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anessa\Downloads\"/>
    </mc:Choice>
  </mc:AlternateContent>
  <xr:revisionPtr revIDLastSave="0" documentId="13_ncr:1_{80EFE40C-08CD-49C3-901C-625A026A62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resas_receita_federal_2025-1" sheetId="1" r:id="rId1"/>
  </sheets>
  <externalReferences>
    <externalReference r:id="rId2"/>
  </externalReferences>
  <definedNames>
    <definedName name="_xlnm._FilterDatabase" localSheetId="0" hidden="1">'empresas_receita_federal_2025-1'!$A$1:$U$3937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C10" i="1" s="1"/>
  <c r="B11" i="1"/>
  <c r="B12" i="1"/>
  <c r="C12" i="1" s="1"/>
  <c r="B13" i="1"/>
  <c r="B14" i="1"/>
  <c r="B15" i="1"/>
  <c r="B16" i="1"/>
  <c r="B17" i="1"/>
  <c r="C17" i="1" s="1"/>
  <c r="B18" i="1"/>
  <c r="B19" i="1"/>
  <c r="C19" i="1" s="1"/>
  <c r="B20" i="1"/>
  <c r="B21" i="1"/>
  <c r="B22" i="1"/>
  <c r="B23" i="1"/>
  <c r="C23" i="1" s="1"/>
  <c r="B24" i="1"/>
  <c r="C24" i="1" s="1"/>
  <c r="B25" i="1"/>
  <c r="C25" i="1" s="1"/>
  <c r="B26" i="1"/>
  <c r="B27" i="1"/>
  <c r="B28" i="1"/>
  <c r="B29" i="1"/>
  <c r="B30" i="1"/>
  <c r="B31" i="1"/>
  <c r="B32" i="1"/>
  <c r="B33" i="1"/>
  <c r="C33" i="1" s="1"/>
  <c r="B34" i="1"/>
  <c r="B35" i="1"/>
  <c r="C35" i="1" s="1"/>
  <c r="B36" i="1"/>
  <c r="C36" i="1" s="1"/>
  <c r="B37" i="1"/>
  <c r="C37" i="1" s="1"/>
  <c r="B38" i="1"/>
  <c r="B39" i="1"/>
  <c r="B40" i="1"/>
  <c r="B41" i="1"/>
  <c r="B42" i="1"/>
  <c r="B43" i="1"/>
  <c r="B44" i="1"/>
  <c r="C44" i="1" s="1"/>
  <c r="B45" i="1"/>
  <c r="B46" i="1"/>
  <c r="B47" i="1"/>
  <c r="B48" i="1"/>
  <c r="C48" i="1" s="1"/>
  <c r="B49" i="1"/>
  <c r="C49" i="1" s="1"/>
  <c r="B50" i="1"/>
  <c r="B51" i="1"/>
  <c r="B52" i="1"/>
  <c r="B53" i="1"/>
  <c r="B54" i="1"/>
  <c r="B55" i="1"/>
  <c r="C55" i="1" s="1"/>
  <c r="B56" i="1"/>
  <c r="C56" i="1" s="1"/>
  <c r="B57" i="1"/>
  <c r="C57" i="1" s="1"/>
  <c r="B58" i="1"/>
  <c r="B59" i="1"/>
  <c r="C59" i="1" s="1"/>
  <c r="B60" i="1"/>
  <c r="C60" i="1" s="1"/>
  <c r="B61" i="1"/>
  <c r="B62" i="1"/>
  <c r="B63" i="1"/>
  <c r="B64" i="1"/>
  <c r="B65" i="1"/>
  <c r="C65" i="1" s="1"/>
  <c r="B66" i="1"/>
  <c r="B67" i="1"/>
  <c r="B68" i="1"/>
  <c r="B69" i="1"/>
  <c r="B70" i="1"/>
  <c r="B71" i="1"/>
  <c r="C71" i="1" s="1"/>
  <c r="B72" i="1"/>
  <c r="C72" i="1" s="1"/>
  <c r="B73" i="1"/>
  <c r="B74" i="1"/>
  <c r="B75" i="1"/>
  <c r="B76" i="1"/>
  <c r="C76" i="1" s="1"/>
  <c r="B77" i="1"/>
  <c r="B78" i="1"/>
  <c r="B79" i="1"/>
  <c r="B80" i="1"/>
  <c r="B81" i="1"/>
  <c r="B82" i="1"/>
  <c r="B83" i="1"/>
  <c r="C83" i="1" s="1"/>
  <c r="B84" i="1"/>
  <c r="B85" i="1"/>
  <c r="C85" i="1" s="1"/>
  <c r="B86" i="1"/>
  <c r="B87" i="1"/>
  <c r="B88" i="1"/>
  <c r="B89" i="1"/>
  <c r="B90" i="1"/>
  <c r="B91" i="1"/>
  <c r="B92" i="1"/>
  <c r="B93" i="1"/>
  <c r="B94" i="1"/>
  <c r="B95" i="1"/>
  <c r="B96" i="1"/>
  <c r="C96" i="1" s="1"/>
  <c r="B97" i="1"/>
  <c r="C97" i="1" s="1"/>
  <c r="B98" i="1"/>
  <c r="B99" i="1"/>
  <c r="B100" i="1"/>
  <c r="C100" i="1" s="1"/>
  <c r="B101" i="1"/>
  <c r="C101" i="1" s="1"/>
  <c r="B102" i="1"/>
  <c r="B103" i="1"/>
  <c r="B104" i="1"/>
  <c r="B105" i="1"/>
  <c r="B106" i="1"/>
  <c r="B107" i="1"/>
  <c r="B108" i="1"/>
  <c r="C108" i="1" s="1"/>
  <c r="B109" i="1"/>
  <c r="B110" i="1"/>
  <c r="B111" i="1"/>
  <c r="B112" i="1"/>
  <c r="B113" i="1"/>
  <c r="B114" i="1"/>
  <c r="B115" i="1"/>
  <c r="B116" i="1"/>
  <c r="B117" i="1"/>
  <c r="B118" i="1"/>
  <c r="B119" i="1"/>
  <c r="C119" i="1" s="1"/>
  <c r="B120" i="1"/>
  <c r="C120" i="1" s="1"/>
  <c r="B121" i="1"/>
  <c r="C121" i="1" s="1"/>
  <c r="B122" i="1"/>
  <c r="B123" i="1"/>
  <c r="B124" i="1"/>
  <c r="B125" i="1"/>
  <c r="B126" i="1"/>
  <c r="B127" i="1"/>
  <c r="C127" i="1" s="1"/>
  <c r="B128" i="1"/>
  <c r="C128" i="1" s="1"/>
  <c r="B129" i="1"/>
  <c r="B130" i="1"/>
  <c r="B131" i="1"/>
  <c r="B132" i="1"/>
  <c r="B133" i="1"/>
  <c r="C133" i="1" s="1"/>
  <c r="B134" i="1"/>
  <c r="B135" i="1"/>
  <c r="B136" i="1"/>
  <c r="C136" i="1" s="1"/>
  <c r="B137" i="1"/>
  <c r="B138" i="1"/>
  <c r="B139" i="1"/>
  <c r="B140" i="1"/>
  <c r="B141" i="1"/>
  <c r="C141" i="1" s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C156" i="1" s="1"/>
  <c r="B157" i="1"/>
  <c r="B158" i="1"/>
  <c r="B159" i="1"/>
  <c r="B160" i="1"/>
  <c r="C160" i="1" s="1"/>
  <c r="B161" i="1"/>
  <c r="B162" i="1"/>
  <c r="B163" i="1"/>
  <c r="B164" i="1"/>
  <c r="C164" i="1" s="1"/>
  <c r="B165" i="1"/>
  <c r="B166" i="1"/>
  <c r="C166" i="1" s="1"/>
  <c r="B167" i="1"/>
  <c r="B168" i="1"/>
  <c r="C168" i="1" s="1"/>
  <c r="B169" i="1"/>
  <c r="B170" i="1"/>
  <c r="B171" i="1"/>
  <c r="B172" i="1"/>
  <c r="B173" i="1"/>
  <c r="C173" i="1" s="1"/>
  <c r="B174" i="1"/>
  <c r="B175" i="1"/>
  <c r="C175" i="1" s="1"/>
  <c r="B176" i="1"/>
  <c r="B177" i="1"/>
  <c r="B178" i="1"/>
  <c r="B179" i="1"/>
  <c r="C179" i="1" s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C203" i="1" s="1"/>
  <c r="B204" i="1"/>
  <c r="C204" i="1" s="1"/>
  <c r="B205" i="1"/>
  <c r="C205" i="1" s="1"/>
  <c r="B206" i="1"/>
  <c r="B207" i="1"/>
  <c r="B208" i="1"/>
  <c r="B209" i="1"/>
  <c r="C209" i="1" s="1"/>
  <c r="B210" i="1"/>
  <c r="B211" i="1"/>
  <c r="C211" i="1" s="1"/>
  <c r="B212" i="1"/>
  <c r="B213" i="1"/>
  <c r="B214" i="1"/>
  <c r="B215" i="1"/>
  <c r="C215" i="1" s="1"/>
  <c r="B216" i="1"/>
  <c r="B217" i="1"/>
  <c r="C217" i="1" s="1"/>
  <c r="B218" i="1"/>
  <c r="B219" i="1"/>
  <c r="B220" i="1"/>
  <c r="B221" i="1"/>
  <c r="C221" i="1" s="1"/>
  <c r="B222" i="1"/>
  <c r="B223" i="1"/>
  <c r="B224" i="1"/>
  <c r="B225" i="1"/>
  <c r="B226" i="1"/>
  <c r="B227" i="1"/>
  <c r="B228" i="1"/>
  <c r="C228" i="1" s="1"/>
  <c r="B229" i="1"/>
  <c r="B230" i="1"/>
  <c r="B231" i="1"/>
  <c r="B232" i="1"/>
  <c r="C232" i="1" s="1"/>
  <c r="B233" i="1"/>
  <c r="B234" i="1"/>
  <c r="B235" i="1"/>
  <c r="B236" i="1"/>
  <c r="B237" i="1"/>
  <c r="C237" i="1" s="1"/>
  <c r="B238" i="1"/>
  <c r="B239" i="1"/>
  <c r="B240" i="1"/>
  <c r="B241" i="1"/>
  <c r="B242" i="1"/>
  <c r="B243" i="1"/>
  <c r="B244" i="1"/>
  <c r="B245" i="1"/>
  <c r="B246" i="1"/>
  <c r="B247" i="1"/>
  <c r="C247" i="1" s="1"/>
  <c r="B248" i="1"/>
  <c r="B249" i="1"/>
  <c r="C249" i="1" s="1"/>
  <c r="B250" i="1"/>
  <c r="C250" i="1" s="1"/>
  <c r="B251" i="1"/>
  <c r="B252" i="1"/>
  <c r="C252" i="1" s="1"/>
  <c r="B253" i="1"/>
  <c r="B254" i="1"/>
  <c r="B255" i="1"/>
  <c r="B256" i="1"/>
  <c r="B257" i="1"/>
  <c r="B258" i="1"/>
  <c r="B259" i="1"/>
  <c r="B260" i="1"/>
  <c r="B261" i="1"/>
  <c r="B262" i="1"/>
  <c r="B263" i="1"/>
  <c r="B264" i="1"/>
  <c r="C264" i="1" s="1"/>
  <c r="B265" i="1"/>
  <c r="B266" i="1"/>
  <c r="B267" i="1"/>
  <c r="B268" i="1"/>
  <c r="C268" i="1" s="1"/>
  <c r="B269" i="1"/>
  <c r="B270" i="1"/>
  <c r="B271" i="1"/>
  <c r="B272" i="1"/>
  <c r="B273" i="1"/>
  <c r="B274" i="1"/>
  <c r="C274" i="1" s="1"/>
  <c r="B275" i="1"/>
  <c r="C275" i="1" s="1"/>
  <c r="B276" i="1"/>
  <c r="C276" i="1" s="1"/>
  <c r="B277" i="1"/>
  <c r="B278" i="1"/>
  <c r="B279" i="1"/>
  <c r="B280" i="1"/>
  <c r="B281" i="1"/>
  <c r="C281" i="1" s="1"/>
  <c r="B282" i="1"/>
  <c r="B283" i="1"/>
  <c r="C283" i="1" s="1"/>
  <c r="B284" i="1"/>
  <c r="B285" i="1"/>
  <c r="B286" i="1"/>
  <c r="C286" i="1" s="1"/>
  <c r="B287" i="1"/>
  <c r="B288" i="1"/>
  <c r="C288" i="1" s="1"/>
  <c r="B289" i="1"/>
  <c r="B290" i="1"/>
  <c r="B291" i="1"/>
  <c r="B292" i="1"/>
  <c r="B293" i="1"/>
  <c r="B294" i="1"/>
  <c r="B295" i="1"/>
  <c r="B296" i="1"/>
  <c r="B297" i="1"/>
  <c r="B298" i="1"/>
  <c r="C298" i="1" s="1"/>
  <c r="B299" i="1"/>
  <c r="B300" i="1"/>
  <c r="B301" i="1"/>
  <c r="B302" i="1"/>
  <c r="B303" i="1"/>
  <c r="B304" i="1"/>
  <c r="B305" i="1"/>
  <c r="B306" i="1"/>
  <c r="B307" i="1"/>
  <c r="C307" i="1" s="1"/>
  <c r="B308" i="1"/>
  <c r="B309" i="1"/>
  <c r="B310" i="1"/>
  <c r="C310" i="1" s="1"/>
  <c r="B311" i="1"/>
  <c r="C311" i="1" s="1"/>
  <c r="B312" i="1"/>
  <c r="B313" i="1"/>
  <c r="C313" i="1" s="1"/>
  <c r="B314" i="1"/>
  <c r="B315" i="1"/>
  <c r="B316" i="1"/>
  <c r="B317" i="1"/>
  <c r="B318" i="1"/>
  <c r="B319" i="1"/>
  <c r="B320" i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B327" i="1"/>
  <c r="B328" i="1"/>
  <c r="B329" i="1"/>
  <c r="C329" i="1" s="1"/>
  <c r="B330" i="1"/>
  <c r="B331" i="1"/>
  <c r="B332" i="1"/>
  <c r="B333" i="1"/>
  <c r="B334" i="1"/>
  <c r="C334" i="1" s="1"/>
  <c r="B335" i="1"/>
  <c r="C335" i="1" s="1"/>
  <c r="B336" i="1"/>
  <c r="B337" i="1"/>
  <c r="C337" i="1" s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C359" i="1" s="1"/>
  <c r="B360" i="1"/>
  <c r="C360" i="1" s="1"/>
  <c r="B361" i="1"/>
  <c r="C361" i="1" s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C380" i="1" s="1"/>
  <c r="B381" i="1"/>
  <c r="C381" i="1" s="1"/>
  <c r="B382" i="1"/>
  <c r="C382" i="1" s="1"/>
  <c r="B383" i="1"/>
  <c r="B384" i="1"/>
  <c r="B385" i="1"/>
  <c r="C385" i="1" s="1"/>
  <c r="B386" i="1"/>
  <c r="B387" i="1"/>
  <c r="B388" i="1"/>
  <c r="B389" i="1"/>
  <c r="B390" i="1"/>
  <c r="B391" i="1"/>
  <c r="B392" i="1"/>
  <c r="B393" i="1"/>
  <c r="B394" i="1"/>
  <c r="B395" i="1"/>
  <c r="B396" i="1"/>
  <c r="B397" i="1"/>
  <c r="C397" i="1" s="1"/>
  <c r="B398" i="1"/>
  <c r="B399" i="1"/>
  <c r="B400" i="1"/>
  <c r="B401" i="1"/>
  <c r="C401" i="1" s="1"/>
  <c r="B402" i="1"/>
  <c r="B403" i="1"/>
  <c r="C403" i="1" s="1"/>
  <c r="B404" i="1"/>
  <c r="C404" i="1" s="1"/>
  <c r="B405" i="1"/>
  <c r="B406" i="1"/>
  <c r="C406" i="1" s="1"/>
  <c r="B407" i="1"/>
  <c r="B408" i="1"/>
  <c r="B409" i="1"/>
  <c r="C409" i="1" s="1"/>
  <c r="B410" i="1"/>
  <c r="B411" i="1"/>
  <c r="B412" i="1"/>
  <c r="B413" i="1"/>
  <c r="B414" i="1"/>
  <c r="B415" i="1"/>
  <c r="B416" i="1"/>
  <c r="B417" i="1"/>
  <c r="B418" i="1"/>
  <c r="B419" i="1"/>
  <c r="B420" i="1"/>
  <c r="C420" i="1" s="1"/>
  <c r="B421" i="1"/>
  <c r="B422" i="1"/>
  <c r="B423" i="1"/>
  <c r="B424" i="1"/>
  <c r="B425" i="1"/>
  <c r="B426" i="1"/>
  <c r="B427" i="1"/>
  <c r="C427" i="1" s="1"/>
  <c r="B428" i="1"/>
  <c r="C428" i="1" s="1"/>
  <c r="B429" i="1"/>
  <c r="B430" i="1"/>
  <c r="B431" i="1"/>
  <c r="B432" i="1"/>
  <c r="B433" i="1"/>
  <c r="C433" i="1" s="1"/>
  <c r="B434" i="1"/>
  <c r="B435" i="1"/>
  <c r="B436" i="1"/>
  <c r="B437" i="1"/>
  <c r="B438" i="1"/>
  <c r="B439" i="1"/>
  <c r="C439" i="1" s="1"/>
  <c r="B440" i="1"/>
  <c r="B441" i="1"/>
  <c r="C441" i="1" s="1"/>
  <c r="B442" i="1"/>
  <c r="B443" i="1"/>
  <c r="B444" i="1"/>
  <c r="B445" i="1"/>
  <c r="B446" i="1"/>
  <c r="B447" i="1"/>
  <c r="B448" i="1"/>
  <c r="B449" i="1"/>
  <c r="B450" i="1"/>
  <c r="B451" i="1"/>
  <c r="C451" i="1" s="1"/>
  <c r="B452" i="1"/>
  <c r="B453" i="1"/>
  <c r="C453" i="1" s="1"/>
  <c r="B454" i="1"/>
  <c r="C454" i="1" s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C467" i="1" s="1"/>
  <c r="B468" i="1"/>
  <c r="C468" i="1" s="1"/>
  <c r="B469" i="1"/>
  <c r="B470" i="1"/>
  <c r="B471" i="1"/>
  <c r="B472" i="1"/>
  <c r="B473" i="1"/>
  <c r="C473" i="1" s="1"/>
  <c r="B474" i="1"/>
  <c r="B475" i="1"/>
  <c r="C475" i="1" s="1"/>
  <c r="B476" i="1"/>
  <c r="C476" i="1" s="1"/>
  <c r="B477" i="1"/>
  <c r="C477" i="1" s="1"/>
  <c r="B478" i="1"/>
  <c r="B479" i="1"/>
  <c r="C479" i="1" s="1"/>
  <c r="B480" i="1"/>
  <c r="B481" i="1"/>
  <c r="B482" i="1"/>
  <c r="B483" i="1"/>
  <c r="B484" i="1"/>
  <c r="B485" i="1"/>
  <c r="B486" i="1"/>
  <c r="B487" i="1"/>
  <c r="B488" i="1"/>
  <c r="C488" i="1" s="1"/>
  <c r="B489" i="1"/>
  <c r="B490" i="1"/>
  <c r="C490" i="1" s="1"/>
  <c r="B491" i="1"/>
  <c r="B492" i="1"/>
  <c r="B493" i="1"/>
  <c r="B494" i="1"/>
  <c r="B495" i="1"/>
  <c r="B496" i="1"/>
  <c r="B497" i="1"/>
  <c r="B498" i="1"/>
  <c r="B499" i="1"/>
  <c r="B500" i="1"/>
  <c r="B501" i="1"/>
  <c r="C501" i="1" s="1"/>
  <c r="B502" i="1"/>
  <c r="B503" i="1"/>
  <c r="C503" i="1" s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C523" i="1" s="1"/>
  <c r="B524" i="1"/>
  <c r="C524" i="1" s="1"/>
  <c r="B525" i="1"/>
  <c r="B526" i="1"/>
  <c r="B527" i="1"/>
  <c r="C527" i="1" s="1"/>
  <c r="B528" i="1"/>
  <c r="B529" i="1"/>
  <c r="C529" i="1" s="1"/>
  <c r="B530" i="1"/>
  <c r="B531" i="1"/>
  <c r="B532" i="1"/>
  <c r="B533" i="1"/>
  <c r="C533" i="1" s="1"/>
  <c r="B534" i="1"/>
  <c r="B535" i="1"/>
  <c r="C535" i="1" s="1"/>
  <c r="B536" i="1"/>
  <c r="C536" i="1" s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C550" i="1" s="1"/>
  <c r="B551" i="1"/>
  <c r="C551" i="1" s="1"/>
  <c r="B552" i="1"/>
  <c r="B553" i="1"/>
  <c r="B554" i="1"/>
  <c r="B555" i="1"/>
  <c r="B556" i="1"/>
  <c r="B557" i="1"/>
  <c r="B558" i="1"/>
  <c r="B559" i="1"/>
  <c r="B560" i="1"/>
  <c r="B561" i="1"/>
  <c r="C561" i="1" s="1"/>
  <c r="B562" i="1"/>
  <c r="B563" i="1"/>
  <c r="B564" i="1"/>
  <c r="C564" i="1" s="1"/>
  <c r="B565" i="1"/>
  <c r="B566" i="1"/>
  <c r="B567" i="1"/>
  <c r="B568" i="1"/>
  <c r="B569" i="1"/>
  <c r="B570" i="1"/>
  <c r="B571" i="1"/>
  <c r="C571" i="1" s="1"/>
  <c r="B572" i="1"/>
  <c r="C572" i="1" s="1"/>
  <c r="B573" i="1"/>
  <c r="C573" i="1" s="1"/>
  <c r="B574" i="1"/>
  <c r="C574" i="1" s="1"/>
  <c r="B575" i="1"/>
  <c r="B576" i="1"/>
  <c r="C576" i="1" s="1"/>
  <c r="B577" i="1"/>
  <c r="B578" i="1"/>
  <c r="B579" i="1"/>
  <c r="B580" i="1"/>
  <c r="B581" i="1"/>
  <c r="C581" i="1" s="1"/>
  <c r="B582" i="1"/>
  <c r="B583" i="1"/>
  <c r="B584" i="1"/>
  <c r="B585" i="1"/>
  <c r="C585" i="1" s="1"/>
  <c r="B586" i="1"/>
  <c r="B587" i="1"/>
  <c r="B588" i="1"/>
  <c r="B589" i="1"/>
  <c r="B590" i="1"/>
  <c r="B591" i="1"/>
  <c r="B592" i="1"/>
  <c r="B593" i="1"/>
  <c r="C593" i="1" s="1"/>
  <c r="B594" i="1"/>
  <c r="B595" i="1"/>
  <c r="B596" i="1"/>
  <c r="B597" i="1"/>
  <c r="B598" i="1"/>
  <c r="B599" i="1"/>
  <c r="B600" i="1"/>
  <c r="B601" i="1"/>
  <c r="C601" i="1" s="1"/>
  <c r="B602" i="1"/>
  <c r="B603" i="1"/>
  <c r="B604" i="1"/>
  <c r="B605" i="1"/>
  <c r="C605" i="1" s="1"/>
  <c r="B606" i="1"/>
  <c r="B607" i="1"/>
  <c r="C607" i="1" s="1"/>
  <c r="B608" i="1"/>
  <c r="B609" i="1"/>
  <c r="B610" i="1"/>
  <c r="B611" i="1"/>
  <c r="B612" i="1"/>
  <c r="C612" i="1" s="1"/>
  <c r="B613" i="1"/>
  <c r="B614" i="1"/>
  <c r="B615" i="1"/>
  <c r="B616" i="1"/>
  <c r="B617" i="1"/>
  <c r="B618" i="1"/>
  <c r="B619" i="1"/>
  <c r="B620" i="1"/>
  <c r="C620" i="1" s="1"/>
  <c r="B621" i="1"/>
  <c r="C621" i="1" s="1"/>
  <c r="B622" i="1"/>
  <c r="C622" i="1" s="1"/>
  <c r="B623" i="1"/>
  <c r="B624" i="1"/>
  <c r="B625" i="1"/>
  <c r="C625" i="1" s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C645" i="1" s="1"/>
  <c r="B646" i="1"/>
  <c r="C646" i="1" s="1"/>
  <c r="B647" i="1"/>
  <c r="B648" i="1"/>
  <c r="B649" i="1"/>
  <c r="C649" i="1" s="1"/>
  <c r="B650" i="1"/>
  <c r="B651" i="1"/>
  <c r="B652" i="1"/>
  <c r="B653" i="1"/>
  <c r="B654" i="1"/>
  <c r="B655" i="1"/>
  <c r="B656" i="1"/>
  <c r="C656" i="1" s="1"/>
  <c r="B657" i="1"/>
  <c r="B658" i="1"/>
  <c r="B659" i="1"/>
  <c r="B660" i="1"/>
  <c r="B661" i="1"/>
  <c r="C661" i="1" s="1"/>
  <c r="B662" i="1"/>
  <c r="B663" i="1"/>
  <c r="B664" i="1"/>
  <c r="B665" i="1"/>
  <c r="B666" i="1"/>
  <c r="B667" i="1"/>
  <c r="C667" i="1" s="1"/>
  <c r="B668" i="1"/>
  <c r="B669" i="1"/>
  <c r="C669" i="1" s="1"/>
  <c r="B670" i="1"/>
  <c r="B671" i="1"/>
  <c r="B672" i="1"/>
  <c r="B673" i="1"/>
  <c r="C673" i="1" s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C708" i="1" s="1"/>
  <c r="B709" i="1"/>
  <c r="C709" i="1" s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C725" i="1" s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C744" i="1" s="1"/>
  <c r="B745" i="1"/>
  <c r="C745" i="1" s="1"/>
  <c r="B746" i="1"/>
  <c r="B747" i="1"/>
  <c r="B748" i="1"/>
  <c r="B749" i="1"/>
  <c r="C749" i="1" s="1"/>
  <c r="B750" i="1"/>
  <c r="B751" i="1"/>
  <c r="B752" i="1"/>
  <c r="C752" i="1" s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C769" i="1" s="1"/>
  <c r="B770" i="1"/>
  <c r="B771" i="1"/>
  <c r="B772" i="1"/>
  <c r="B773" i="1"/>
  <c r="C773" i="1" s="1"/>
  <c r="B774" i="1"/>
  <c r="B775" i="1"/>
  <c r="B776" i="1"/>
  <c r="B777" i="1"/>
  <c r="B778" i="1"/>
  <c r="C778" i="1" s="1"/>
  <c r="B779" i="1"/>
  <c r="B780" i="1"/>
  <c r="B781" i="1"/>
  <c r="C781" i="1" s="1"/>
  <c r="B782" i="1"/>
  <c r="B783" i="1"/>
  <c r="B784" i="1"/>
  <c r="B785" i="1"/>
  <c r="B786" i="1"/>
  <c r="B787" i="1"/>
  <c r="C787" i="1" s="1"/>
  <c r="B788" i="1"/>
  <c r="C788" i="1" s="1"/>
  <c r="B789" i="1"/>
  <c r="B790" i="1"/>
  <c r="C790" i="1" s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C804" i="1" s="1"/>
  <c r="B805" i="1"/>
  <c r="C805" i="1" s="1"/>
  <c r="B806" i="1"/>
  <c r="B807" i="1"/>
  <c r="B808" i="1"/>
  <c r="C808" i="1" s="1"/>
  <c r="B809" i="1"/>
  <c r="C809" i="1" s="1"/>
  <c r="B810" i="1"/>
  <c r="B811" i="1"/>
  <c r="B812" i="1"/>
  <c r="B813" i="1"/>
  <c r="B814" i="1"/>
  <c r="C814" i="1" s="1"/>
  <c r="B815" i="1"/>
  <c r="B816" i="1"/>
  <c r="B817" i="1"/>
  <c r="B818" i="1"/>
  <c r="B819" i="1"/>
  <c r="B820" i="1"/>
  <c r="B821" i="1"/>
  <c r="B822" i="1"/>
  <c r="B823" i="1"/>
  <c r="C823" i="1" s="1"/>
  <c r="B824" i="1"/>
  <c r="B825" i="1"/>
  <c r="C825" i="1" s="1"/>
  <c r="B826" i="1"/>
  <c r="B827" i="1"/>
  <c r="C827" i="1" s="1"/>
  <c r="B828" i="1"/>
  <c r="B829" i="1"/>
  <c r="C829" i="1" s="1"/>
  <c r="B830" i="1"/>
  <c r="B831" i="1"/>
  <c r="B832" i="1"/>
  <c r="B833" i="1"/>
  <c r="B834" i="1"/>
  <c r="B835" i="1"/>
  <c r="B836" i="1"/>
  <c r="B837" i="1"/>
  <c r="B838" i="1"/>
  <c r="B839" i="1"/>
  <c r="B840" i="1"/>
  <c r="C840" i="1" s="1"/>
  <c r="B841" i="1"/>
  <c r="B842" i="1"/>
  <c r="B843" i="1"/>
  <c r="B844" i="1"/>
  <c r="B845" i="1"/>
  <c r="B846" i="1"/>
  <c r="B847" i="1"/>
  <c r="B848" i="1"/>
  <c r="B849" i="1"/>
  <c r="B850" i="1"/>
  <c r="C850" i="1" s="1"/>
  <c r="B851" i="1"/>
  <c r="C851" i="1" s="1"/>
  <c r="B852" i="1"/>
  <c r="B853" i="1"/>
  <c r="C853" i="1" s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C873" i="1" s="1"/>
  <c r="B874" i="1"/>
  <c r="B875" i="1"/>
  <c r="B876" i="1"/>
  <c r="B877" i="1"/>
  <c r="B878" i="1"/>
  <c r="B879" i="1"/>
  <c r="B880" i="1"/>
  <c r="B881" i="1"/>
  <c r="C881" i="1" s="1"/>
  <c r="B882" i="1"/>
  <c r="B883" i="1"/>
  <c r="B884" i="1"/>
  <c r="B885" i="1"/>
  <c r="B886" i="1"/>
  <c r="B887" i="1"/>
  <c r="B888" i="1"/>
  <c r="C888" i="1" s="1"/>
  <c r="B889" i="1"/>
  <c r="B890" i="1"/>
  <c r="B891" i="1"/>
  <c r="B892" i="1"/>
  <c r="B893" i="1"/>
  <c r="B894" i="1"/>
  <c r="B895" i="1"/>
  <c r="C895" i="1" s="1"/>
  <c r="B896" i="1"/>
  <c r="B897" i="1"/>
  <c r="B898" i="1"/>
  <c r="B899" i="1"/>
  <c r="B900" i="1"/>
  <c r="B901" i="1"/>
  <c r="C901" i="1" s="1"/>
  <c r="B902" i="1"/>
  <c r="B903" i="1"/>
  <c r="B904" i="1"/>
  <c r="B905" i="1"/>
  <c r="B906" i="1"/>
  <c r="B907" i="1"/>
  <c r="B908" i="1"/>
  <c r="B909" i="1"/>
  <c r="B910" i="1"/>
  <c r="B911" i="1"/>
  <c r="B912" i="1"/>
  <c r="C912" i="1" s="1"/>
  <c r="B913" i="1"/>
  <c r="B914" i="1"/>
  <c r="B915" i="1"/>
  <c r="B916" i="1"/>
  <c r="B917" i="1"/>
  <c r="C917" i="1" s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C945" i="1" s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C977" i="1" s="1"/>
  <c r="B978" i="1"/>
  <c r="B979" i="1"/>
  <c r="C979" i="1" s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C1007" i="1" s="1"/>
  <c r="B1008" i="1"/>
  <c r="B1009" i="1"/>
  <c r="B1010" i="1"/>
  <c r="B1011" i="1"/>
  <c r="B1012" i="1"/>
  <c r="B1013" i="1"/>
  <c r="C1013" i="1" s="1"/>
  <c r="B1014" i="1"/>
  <c r="B1015" i="1"/>
  <c r="B1016" i="1"/>
  <c r="B1017" i="1"/>
  <c r="C1017" i="1" s="1"/>
  <c r="B1018" i="1"/>
  <c r="B1019" i="1"/>
  <c r="B1020" i="1"/>
  <c r="B1021" i="1"/>
  <c r="C1021" i="1" s="1"/>
  <c r="B1022" i="1"/>
  <c r="B1023" i="1"/>
  <c r="B1024" i="1"/>
  <c r="B1025" i="1"/>
  <c r="B1026" i="1"/>
  <c r="B1027" i="1"/>
  <c r="C1027" i="1" s="1"/>
  <c r="B1028" i="1"/>
  <c r="B1029" i="1"/>
  <c r="B1030" i="1"/>
  <c r="B1031" i="1"/>
  <c r="B1032" i="1"/>
  <c r="B1033" i="1"/>
  <c r="B1034" i="1"/>
  <c r="B1035" i="1"/>
  <c r="B1036" i="1"/>
  <c r="B1037" i="1"/>
  <c r="C1037" i="1" s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C1064" i="1" s="1"/>
  <c r="B1065" i="1"/>
  <c r="B1066" i="1"/>
  <c r="B1067" i="1"/>
  <c r="C1067" i="1" s="1"/>
  <c r="B1068" i="1"/>
  <c r="C1068" i="1" s="1"/>
  <c r="B1069" i="1"/>
  <c r="B1070" i="1"/>
  <c r="B1071" i="1"/>
  <c r="B1072" i="1"/>
  <c r="B1073" i="1"/>
  <c r="B1074" i="1"/>
  <c r="B1075" i="1"/>
  <c r="C1075" i="1" s="1"/>
  <c r="B1076" i="1"/>
  <c r="C1076" i="1" s="1"/>
  <c r="B1077" i="1"/>
  <c r="B1078" i="1"/>
  <c r="B1079" i="1"/>
  <c r="B1080" i="1"/>
  <c r="C1080" i="1" s="1"/>
  <c r="B1081" i="1"/>
  <c r="C1081" i="1" s="1"/>
  <c r="B1082" i="1"/>
  <c r="B1083" i="1"/>
  <c r="B1084" i="1"/>
  <c r="B1085" i="1"/>
  <c r="C1085" i="1" s="1"/>
  <c r="B1086" i="1"/>
  <c r="B1087" i="1"/>
  <c r="B1088" i="1"/>
  <c r="C1088" i="1" s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C1104" i="1" s="1"/>
  <c r="B1105" i="1"/>
  <c r="B1106" i="1"/>
  <c r="B1107" i="1"/>
  <c r="B1108" i="1"/>
  <c r="B1109" i="1"/>
  <c r="B1110" i="1"/>
  <c r="B1111" i="1"/>
  <c r="B1112" i="1"/>
  <c r="B1113" i="1"/>
  <c r="B1114" i="1"/>
  <c r="B1115" i="1"/>
  <c r="C1115" i="1" s="1"/>
  <c r="B1116" i="1"/>
  <c r="B1117" i="1"/>
  <c r="B1118" i="1"/>
  <c r="B1119" i="1"/>
  <c r="B1120" i="1"/>
  <c r="B1121" i="1"/>
  <c r="B1122" i="1"/>
  <c r="B1123" i="1"/>
  <c r="B1124" i="1"/>
  <c r="C1124" i="1" s="1"/>
  <c r="B1125" i="1"/>
  <c r="B1126" i="1"/>
  <c r="B1127" i="1"/>
  <c r="B1128" i="1"/>
  <c r="C1128" i="1" s="1"/>
  <c r="B1129" i="1"/>
  <c r="B1130" i="1"/>
  <c r="B1131" i="1"/>
  <c r="B1132" i="1"/>
  <c r="B1133" i="1"/>
  <c r="B1134" i="1"/>
  <c r="B1135" i="1"/>
  <c r="B1136" i="1"/>
  <c r="B1137" i="1"/>
  <c r="B1138" i="1"/>
  <c r="C1138" i="1" s="1"/>
  <c r="B1139" i="1"/>
  <c r="B1140" i="1"/>
  <c r="B1141" i="1"/>
  <c r="C1141" i="1" s="1"/>
  <c r="B1142" i="1"/>
  <c r="B1143" i="1"/>
  <c r="B1144" i="1"/>
  <c r="B1145" i="1"/>
  <c r="C1145" i="1" s="1"/>
  <c r="B1146" i="1"/>
  <c r="B1147" i="1"/>
  <c r="B1148" i="1"/>
  <c r="B1149" i="1"/>
  <c r="B1150" i="1"/>
  <c r="B1151" i="1"/>
  <c r="C1151" i="1" s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C1163" i="1" s="1"/>
  <c r="B1164" i="1"/>
  <c r="B1165" i="1"/>
  <c r="B1166" i="1"/>
  <c r="B1167" i="1"/>
  <c r="B1168" i="1"/>
  <c r="B1169" i="1"/>
  <c r="B1170" i="1"/>
  <c r="B1171" i="1"/>
  <c r="B1172" i="1"/>
  <c r="B1173" i="1"/>
  <c r="B1174" i="1"/>
  <c r="C1174" i="1" s="1"/>
  <c r="B1175" i="1"/>
  <c r="B1176" i="1"/>
  <c r="C1176" i="1" s="1"/>
  <c r="B1177" i="1"/>
  <c r="B1178" i="1"/>
  <c r="B1179" i="1"/>
  <c r="B1180" i="1"/>
  <c r="B1181" i="1"/>
  <c r="B1182" i="1"/>
  <c r="B1183" i="1"/>
  <c r="C1183" i="1" s="1"/>
  <c r="B1184" i="1"/>
  <c r="B1185" i="1"/>
  <c r="C1185" i="1" s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C1209" i="1" s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C1228" i="1" s="1"/>
  <c r="B1229" i="1"/>
  <c r="C1229" i="1" s="1"/>
  <c r="B1230" i="1"/>
  <c r="B1231" i="1"/>
  <c r="B1232" i="1"/>
  <c r="C1232" i="1" s="1"/>
  <c r="B1233" i="1"/>
  <c r="B1234" i="1"/>
  <c r="B1235" i="1"/>
  <c r="C1235" i="1" s="1"/>
  <c r="B1236" i="1"/>
  <c r="C1236" i="1" s="1"/>
  <c r="B1237" i="1"/>
  <c r="B1238" i="1"/>
  <c r="B1239" i="1"/>
  <c r="B1240" i="1"/>
  <c r="B1241" i="1"/>
  <c r="C1241" i="1" s="1"/>
  <c r="B1242" i="1"/>
  <c r="B1243" i="1"/>
  <c r="B1244" i="1"/>
  <c r="B1245" i="1"/>
  <c r="B1246" i="1"/>
  <c r="B1247" i="1"/>
  <c r="C1247" i="1" s="1"/>
  <c r="B1248" i="1"/>
  <c r="B1249" i="1"/>
  <c r="B1250" i="1"/>
  <c r="B1251" i="1"/>
  <c r="B1252" i="1"/>
  <c r="B1253" i="1"/>
  <c r="B1254" i="1"/>
  <c r="B1255" i="1"/>
  <c r="B1256" i="1"/>
  <c r="B1257" i="1"/>
  <c r="C1257" i="1" s="1"/>
  <c r="B1258" i="1"/>
  <c r="B1259" i="1"/>
  <c r="C1259" i="1" s="1"/>
  <c r="B1260" i="1"/>
  <c r="C1260" i="1" s="1"/>
  <c r="B1261" i="1"/>
  <c r="B1262" i="1"/>
  <c r="B1263" i="1"/>
  <c r="B1264" i="1"/>
  <c r="B1265" i="1"/>
  <c r="B1266" i="1"/>
  <c r="B1267" i="1"/>
  <c r="B1268" i="1"/>
  <c r="B1269" i="1"/>
  <c r="B1270" i="1"/>
  <c r="B1271" i="1"/>
  <c r="C1271" i="1" s="1"/>
  <c r="B1272" i="1"/>
  <c r="B1273" i="1"/>
  <c r="B1274" i="1"/>
  <c r="B1275" i="1"/>
  <c r="B1276" i="1"/>
  <c r="B1277" i="1"/>
  <c r="C1277" i="1" s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C1292" i="1" s="1"/>
  <c r="B1293" i="1"/>
  <c r="B1294" i="1"/>
  <c r="C1294" i="1" s="1"/>
  <c r="B1295" i="1"/>
  <c r="B1296" i="1"/>
  <c r="C1296" i="1" s="1"/>
  <c r="B1297" i="1"/>
  <c r="C1297" i="1" s="1"/>
  <c r="B1298" i="1"/>
  <c r="B1299" i="1"/>
  <c r="B1300" i="1"/>
  <c r="B1301" i="1"/>
  <c r="B1302" i="1"/>
  <c r="B1303" i="1"/>
  <c r="B1304" i="1"/>
  <c r="B1305" i="1"/>
  <c r="B1306" i="1"/>
  <c r="B1307" i="1"/>
  <c r="C1307" i="1" s="1"/>
  <c r="B1308" i="1"/>
  <c r="C1308" i="1" s="1"/>
  <c r="B1309" i="1"/>
  <c r="C1309" i="1" s="1"/>
  <c r="B1310" i="1"/>
  <c r="C1310" i="1" s="1"/>
  <c r="B1311" i="1"/>
  <c r="B1312" i="1"/>
  <c r="B1313" i="1"/>
  <c r="B1314" i="1"/>
  <c r="B1315" i="1"/>
  <c r="C1315" i="1" s="1"/>
  <c r="B1316" i="1"/>
  <c r="B1317" i="1"/>
  <c r="C1317" i="1" s="1"/>
  <c r="B1318" i="1"/>
  <c r="B1319" i="1"/>
  <c r="B1320" i="1"/>
  <c r="C1320" i="1" s="1"/>
  <c r="B1321" i="1"/>
  <c r="B1322" i="1"/>
  <c r="B1323" i="1"/>
  <c r="B1324" i="1"/>
  <c r="B1325" i="1"/>
  <c r="B1326" i="1"/>
  <c r="B1327" i="1"/>
  <c r="C1327" i="1" s="1"/>
  <c r="B1328" i="1"/>
  <c r="C1328" i="1" s="1"/>
  <c r="B1329" i="1"/>
  <c r="B1330" i="1"/>
  <c r="B1331" i="1"/>
  <c r="C1331" i="1" s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C1351" i="1" s="1"/>
  <c r="B1352" i="1"/>
  <c r="B1353" i="1"/>
  <c r="B1354" i="1"/>
  <c r="B1355" i="1"/>
  <c r="B1356" i="1"/>
  <c r="C1356" i="1" s="1"/>
  <c r="B1357" i="1"/>
  <c r="B1358" i="1"/>
  <c r="B1359" i="1"/>
  <c r="B1360" i="1"/>
  <c r="B1361" i="1"/>
  <c r="B1362" i="1"/>
  <c r="B1363" i="1"/>
  <c r="B1364" i="1"/>
  <c r="B1365" i="1"/>
  <c r="B1366" i="1"/>
  <c r="B1367" i="1"/>
  <c r="C1367" i="1" s="1"/>
  <c r="B1368" i="1"/>
  <c r="B1369" i="1"/>
  <c r="C1369" i="1" s="1"/>
  <c r="B1370" i="1"/>
  <c r="B1371" i="1"/>
  <c r="B1372" i="1"/>
  <c r="B1373" i="1"/>
  <c r="B1374" i="1"/>
  <c r="B1375" i="1"/>
  <c r="B1376" i="1"/>
  <c r="B1377" i="1"/>
  <c r="C1377" i="1" s="1"/>
  <c r="B1378" i="1"/>
  <c r="C1378" i="1" s="1"/>
  <c r="B1379" i="1"/>
  <c r="B1380" i="1"/>
  <c r="B1381" i="1"/>
  <c r="C1381" i="1" s="1"/>
  <c r="B1382" i="1"/>
  <c r="B1383" i="1"/>
  <c r="B1384" i="1"/>
  <c r="B1385" i="1"/>
  <c r="B1386" i="1"/>
  <c r="B1387" i="1"/>
  <c r="C1387" i="1" s="1"/>
  <c r="B1388" i="1"/>
  <c r="B1389" i="1"/>
  <c r="B1390" i="1"/>
  <c r="B1391" i="1"/>
  <c r="B1392" i="1"/>
  <c r="C1392" i="1" s="1"/>
  <c r="B1393" i="1"/>
  <c r="B1394" i="1"/>
  <c r="B1395" i="1"/>
  <c r="B1396" i="1"/>
  <c r="B1397" i="1"/>
  <c r="B1398" i="1"/>
  <c r="B1399" i="1"/>
  <c r="C1399" i="1" s="1"/>
  <c r="B1400" i="1"/>
  <c r="B1401" i="1"/>
  <c r="C1401" i="1" s="1"/>
  <c r="B1402" i="1"/>
  <c r="B1403" i="1"/>
  <c r="C1403" i="1" s="1"/>
  <c r="B1404" i="1"/>
  <c r="B1405" i="1"/>
  <c r="B1406" i="1"/>
  <c r="B1407" i="1"/>
  <c r="B1408" i="1"/>
  <c r="B1409" i="1"/>
  <c r="B1410" i="1"/>
  <c r="B1411" i="1"/>
  <c r="C1411" i="1" s="1"/>
  <c r="B1412" i="1"/>
  <c r="B1413" i="1"/>
  <c r="B1414" i="1"/>
  <c r="B1415" i="1"/>
  <c r="C1415" i="1" s="1"/>
  <c r="B1416" i="1"/>
  <c r="C1416" i="1" s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C1429" i="1" s="1"/>
  <c r="B1430" i="1"/>
  <c r="B1431" i="1"/>
  <c r="B1432" i="1"/>
  <c r="B1433" i="1"/>
  <c r="B1434" i="1"/>
  <c r="B1435" i="1"/>
  <c r="B1436" i="1"/>
  <c r="B1437" i="1"/>
  <c r="B1438" i="1"/>
  <c r="C1438" i="1" s="1"/>
  <c r="B1439" i="1"/>
  <c r="B1440" i="1"/>
  <c r="B1441" i="1"/>
  <c r="C1441" i="1" s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C1460" i="1" s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C1486" i="1" s="1"/>
  <c r="B1487" i="1"/>
  <c r="B1488" i="1"/>
  <c r="B1489" i="1"/>
  <c r="B1490" i="1"/>
  <c r="B1491" i="1"/>
  <c r="B1492" i="1"/>
  <c r="B1493" i="1"/>
  <c r="B1494" i="1"/>
  <c r="B1495" i="1"/>
  <c r="B1496" i="1"/>
  <c r="B1497" i="1"/>
  <c r="C1497" i="1" s="1"/>
  <c r="B1498" i="1"/>
  <c r="B1499" i="1"/>
  <c r="B1500" i="1"/>
  <c r="B1501" i="1"/>
  <c r="B1502" i="1"/>
  <c r="B1503" i="1"/>
  <c r="B1504" i="1"/>
  <c r="B1505" i="1"/>
  <c r="B1506" i="1"/>
  <c r="B1507" i="1"/>
  <c r="C1507" i="1" s="1"/>
  <c r="B1508" i="1"/>
  <c r="B1509" i="1"/>
  <c r="B1510" i="1"/>
  <c r="C1510" i="1" s="1"/>
  <c r="B1511" i="1"/>
  <c r="B1512" i="1"/>
  <c r="B1513" i="1"/>
  <c r="B1514" i="1"/>
  <c r="B1515" i="1"/>
  <c r="B1516" i="1"/>
  <c r="B1517" i="1"/>
  <c r="B1518" i="1"/>
  <c r="B1519" i="1"/>
  <c r="C1519" i="1" s="1"/>
  <c r="B1520" i="1"/>
  <c r="B1521" i="1"/>
  <c r="B1522" i="1"/>
  <c r="C1522" i="1" s="1"/>
  <c r="B1523" i="1"/>
  <c r="B1524" i="1"/>
  <c r="C1524" i="1" s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C1540" i="1" s="1"/>
  <c r="B1541" i="1"/>
  <c r="B1542" i="1"/>
  <c r="B1543" i="1"/>
  <c r="B1544" i="1"/>
  <c r="B1545" i="1"/>
  <c r="C1545" i="1" s="1"/>
  <c r="B1546" i="1"/>
  <c r="C1546" i="1" s="1"/>
  <c r="B1547" i="1"/>
  <c r="B1548" i="1"/>
  <c r="B1549" i="1"/>
  <c r="B1550" i="1"/>
  <c r="B1551" i="1"/>
  <c r="B1552" i="1"/>
  <c r="B1553" i="1"/>
  <c r="B1554" i="1"/>
  <c r="B1555" i="1"/>
  <c r="C1555" i="1" s="1"/>
  <c r="B1556" i="1"/>
  <c r="B1557" i="1"/>
  <c r="B1558" i="1"/>
  <c r="C1558" i="1" s="1"/>
  <c r="B1559" i="1"/>
  <c r="B1560" i="1"/>
  <c r="B1561" i="1"/>
  <c r="B1562" i="1"/>
  <c r="B1563" i="1"/>
  <c r="B1564" i="1"/>
  <c r="C1564" i="1" s="1"/>
  <c r="B1565" i="1"/>
  <c r="B1566" i="1"/>
  <c r="B1567" i="1"/>
  <c r="C1567" i="1" s="1"/>
  <c r="B1568" i="1"/>
  <c r="B1569" i="1"/>
  <c r="B1570" i="1"/>
  <c r="C1570" i="1" s="1"/>
  <c r="B1571" i="1"/>
  <c r="C1571" i="1" s="1"/>
  <c r="B1572" i="1"/>
  <c r="B1573" i="1"/>
  <c r="B1574" i="1"/>
  <c r="B1575" i="1"/>
  <c r="B1576" i="1"/>
  <c r="B1577" i="1"/>
  <c r="B1578" i="1"/>
  <c r="B1579" i="1"/>
  <c r="B1580" i="1"/>
  <c r="B1581" i="1"/>
  <c r="B1582" i="1"/>
  <c r="C1582" i="1" s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C1601" i="1" s="1"/>
  <c r="B1602" i="1"/>
  <c r="B1603" i="1"/>
  <c r="B1604" i="1"/>
  <c r="B1605" i="1"/>
  <c r="B1606" i="1"/>
  <c r="B1607" i="1"/>
  <c r="B1608" i="1"/>
  <c r="B1609" i="1"/>
  <c r="B1610" i="1"/>
  <c r="B1611" i="1"/>
  <c r="B1612" i="1"/>
  <c r="C1612" i="1" s="1"/>
  <c r="B1613" i="1"/>
  <c r="B1614" i="1"/>
  <c r="B1615" i="1"/>
  <c r="B1616" i="1"/>
  <c r="B1617" i="1"/>
  <c r="C1617" i="1" s="1"/>
  <c r="B1618" i="1"/>
  <c r="C1618" i="1" s="1"/>
  <c r="B1619" i="1"/>
  <c r="C1619" i="1" s="1"/>
  <c r="B1620" i="1"/>
  <c r="B1621" i="1"/>
  <c r="B1622" i="1"/>
  <c r="B1623" i="1"/>
  <c r="B1624" i="1"/>
  <c r="B1625" i="1"/>
  <c r="C1625" i="1" s="1"/>
  <c r="B1626" i="1"/>
  <c r="B1627" i="1"/>
  <c r="C1627" i="1" s="1"/>
  <c r="B1628" i="1"/>
  <c r="B1629" i="1"/>
  <c r="C1629" i="1" s="1"/>
  <c r="B1630" i="1"/>
  <c r="B1631" i="1"/>
  <c r="B1632" i="1"/>
  <c r="B1633" i="1"/>
  <c r="C1633" i="1" s="1"/>
  <c r="B1634" i="1"/>
  <c r="B1635" i="1"/>
  <c r="B1636" i="1"/>
  <c r="B1637" i="1"/>
  <c r="B1638" i="1"/>
  <c r="B1639" i="1"/>
  <c r="B1640" i="1"/>
  <c r="B1641" i="1"/>
  <c r="C1641" i="1" s="1"/>
  <c r="B1642" i="1"/>
  <c r="C1642" i="1" s="1"/>
  <c r="B1643" i="1"/>
  <c r="B1644" i="1"/>
  <c r="B1645" i="1"/>
  <c r="C1645" i="1" s="1"/>
  <c r="B1646" i="1"/>
  <c r="B1647" i="1"/>
  <c r="B1648" i="1"/>
  <c r="B1649" i="1"/>
  <c r="B1650" i="1"/>
  <c r="B1651" i="1"/>
  <c r="C1651" i="1" s="1"/>
  <c r="B1652" i="1"/>
  <c r="B1653" i="1"/>
  <c r="C1653" i="1" s="1"/>
  <c r="B1654" i="1"/>
  <c r="B1655" i="1"/>
  <c r="B1656" i="1"/>
  <c r="B1657" i="1"/>
  <c r="B1658" i="1"/>
  <c r="B1659" i="1"/>
  <c r="B1660" i="1"/>
  <c r="B1661" i="1"/>
  <c r="B1662" i="1"/>
  <c r="B1663" i="1"/>
  <c r="C1663" i="1" s="1"/>
  <c r="B1664" i="1"/>
  <c r="B1665" i="1"/>
  <c r="C1665" i="1" s="1"/>
  <c r="B1666" i="1"/>
  <c r="B1667" i="1"/>
  <c r="B1668" i="1"/>
  <c r="B1669" i="1"/>
  <c r="B1670" i="1"/>
  <c r="B1671" i="1"/>
  <c r="B1672" i="1"/>
  <c r="B1673" i="1"/>
  <c r="B1674" i="1"/>
  <c r="B1675" i="1"/>
  <c r="B1676" i="1"/>
  <c r="C1676" i="1" s="1"/>
  <c r="B1677" i="1"/>
  <c r="B1678" i="1"/>
  <c r="C1678" i="1" s="1"/>
  <c r="B1679" i="1"/>
  <c r="B1680" i="1"/>
  <c r="B1681" i="1"/>
  <c r="B1682" i="1"/>
  <c r="B1683" i="1"/>
  <c r="B1684" i="1"/>
  <c r="B1685" i="1"/>
  <c r="B1686" i="1"/>
  <c r="B1687" i="1"/>
  <c r="B1688" i="1"/>
  <c r="C1688" i="1" s="1"/>
  <c r="B1689" i="1"/>
  <c r="B1690" i="1"/>
  <c r="C1690" i="1" s="1"/>
  <c r="B1691" i="1"/>
  <c r="C1691" i="1" s="1"/>
  <c r="B1692" i="1"/>
  <c r="B1693" i="1"/>
  <c r="B1694" i="1"/>
  <c r="B1695" i="1"/>
  <c r="B1696" i="1"/>
  <c r="B1697" i="1"/>
  <c r="B1698" i="1"/>
  <c r="B1699" i="1"/>
  <c r="C1699" i="1" s="1"/>
  <c r="B1700" i="1"/>
  <c r="B1701" i="1"/>
  <c r="B1702" i="1"/>
  <c r="B1703" i="1"/>
  <c r="C1703" i="1" s="1"/>
  <c r="B1704" i="1"/>
  <c r="B1705" i="1"/>
  <c r="C1705" i="1" s="1"/>
  <c r="B1706" i="1"/>
  <c r="C1706" i="1" s="1"/>
  <c r="B1707" i="1"/>
  <c r="B1708" i="1"/>
  <c r="B1709" i="1"/>
  <c r="B1710" i="1"/>
  <c r="B1711" i="1"/>
  <c r="C1711" i="1" s="1"/>
  <c r="B1712" i="1"/>
  <c r="B1713" i="1"/>
  <c r="B1714" i="1"/>
  <c r="C1714" i="1" s="1"/>
  <c r="B1715" i="1"/>
  <c r="B1716" i="1"/>
  <c r="C1716" i="1" s="1"/>
  <c r="B1717" i="1"/>
  <c r="C1717" i="1" s="1"/>
  <c r="B1718" i="1"/>
  <c r="B1719" i="1"/>
  <c r="B1720" i="1"/>
  <c r="B1721" i="1"/>
  <c r="B1722" i="1"/>
  <c r="B1723" i="1"/>
  <c r="B1724" i="1"/>
  <c r="B1725" i="1"/>
  <c r="C1725" i="1" s="1"/>
  <c r="B1726" i="1"/>
  <c r="C1726" i="1" s="1"/>
  <c r="B1727" i="1"/>
  <c r="B1728" i="1"/>
  <c r="C1728" i="1" s="1"/>
  <c r="B1729" i="1"/>
  <c r="B1730" i="1"/>
  <c r="B1731" i="1"/>
  <c r="B1732" i="1"/>
  <c r="B1733" i="1"/>
  <c r="B1734" i="1"/>
  <c r="B1735" i="1"/>
  <c r="B1736" i="1"/>
  <c r="B1737" i="1"/>
  <c r="C1737" i="1" s="1"/>
  <c r="B1738" i="1"/>
  <c r="B1739" i="1"/>
  <c r="C1739" i="1" s="1"/>
  <c r="B1740" i="1"/>
  <c r="B1741" i="1"/>
  <c r="C1741" i="1" s="1"/>
  <c r="B1742" i="1"/>
  <c r="B1743" i="1"/>
  <c r="B1744" i="1"/>
  <c r="B1745" i="1"/>
  <c r="B1746" i="1"/>
  <c r="B1747" i="1"/>
  <c r="C1747" i="1" s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C1760" i="1" s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C1775" i="1" s="1"/>
  <c r="B1776" i="1"/>
  <c r="B1777" i="1"/>
  <c r="C1777" i="1" s="1"/>
  <c r="B1778" i="1"/>
  <c r="B1779" i="1"/>
  <c r="B1780" i="1"/>
  <c r="B1781" i="1"/>
  <c r="B1782" i="1"/>
  <c r="B1783" i="1"/>
  <c r="B1784" i="1"/>
  <c r="C1784" i="1" s="1"/>
  <c r="B1785" i="1"/>
  <c r="B1786" i="1"/>
  <c r="B1787" i="1"/>
  <c r="B1788" i="1"/>
  <c r="B1789" i="1"/>
  <c r="B1790" i="1"/>
  <c r="B1791" i="1"/>
  <c r="B1792" i="1"/>
  <c r="B1793" i="1"/>
  <c r="B1794" i="1"/>
  <c r="B1795" i="1"/>
  <c r="C1795" i="1" s="1"/>
  <c r="B1796" i="1"/>
  <c r="B1797" i="1"/>
  <c r="B1798" i="1"/>
  <c r="C1798" i="1" s="1"/>
  <c r="B1799" i="1"/>
  <c r="C1799" i="1" s="1"/>
  <c r="B1800" i="1"/>
  <c r="B1801" i="1"/>
  <c r="B1802" i="1"/>
  <c r="B1803" i="1"/>
  <c r="B1804" i="1"/>
  <c r="B1805" i="1"/>
  <c r="B1806" i="1"/>
  <c r="B1807" i="1"/>
  <c r="B1808" i="1"/>
  <c r="B1809" i="1"/>
  <c r="C1809" i="1" s="1"/>
  <c r="B1810" i="1"/>
  <c r="B1811" i="1"/>
  <c r="B1812" i="1"/>
  <c r="B1813" i="1"/>
  <c r="B1814" i="1"/>
  <c r="B1815" i="1"/>
  <c r="B1816" i="1"/>
  <c r="B1817" i="1"/>
  <c r="B1818" i="1"/>
  <c r="B1819" i="1"/>
  <c r="C1819" i="1" s="1"/>
  <c r="B1820" i="1"/>
  <c r="B1821" i="1"/>
  <c r="B1822" i="1"/>
  <c r="B1823" i="1"/>
  <c r="B1824" i="1"/>
  <c r="B1825" i="1"/>
  <c r="B1826" i="1"/>
  <c r="B1827" i="1"/>
  <c r="B1828" i="1"/>
  <c r="B1829" i="1"/>
  <c r="C1829" i="1" s="1"/>
  <c r="B1830" i="1"/>
  <c r="B1831" i="1"/>
  <c r="B1832" i="1"/>
  <c r="C1832" i="1" s="1"/>
  <c r="B1833" i="1"/>
  <c r="B1834" i="1"/>
  <c r="B1835" i="1"/>
  <c r="C1835" i="1" s="1"/>
  <c r="B1836" i="1"/>
  <c r="B1837" i="1"/>
  <c r="B1838" i="1"/>
  <c r="B1839" i="1"/>
  <c r="B1840" i="1"/>
  <c r="B1841" i="1"/>
  <c r="B1842" i="1"/>
  <c r="B1843" i="1"/>
  <c r="C1843" i="1" s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C1857" i="1" s="1"/>
  <c r="B1858" i="1"/>
  <c r="B1859" i="1"/>
  <c r="B1860" i="1"/>
  <c r="B1861" i="1"/>
  <c r="B1862" i="1"/>
  <c r="B1863" i="1"/>
  <c r="B1864" i="1"/>
  <c r="B1865" i="1"/>
  <c r="C1865" i="1" s="1"/>
  <c r="B1866" i="1"/>
  <c r="B1867" i="1"/>
  <c r="B1868" i="1"/>
  <c r="C1868" i="1" s="1"/>
  <c r="B1869" i="1"/>
  <c r="B1870" i="1"/>
  <c r="C1870" i="1" s="1"/>
  <c r="B1871" i="1"/>
  <c r="B1872" i="1"/>
  <c r="C1872" i="1" s="1"/>
  <c r="B1873" i="1"/>
  <c r="C1873" i="1" s="1"/>
  <c r="B1874" i="1"/>
  <c r="B1875" i="1"/>
  <c r="B1876" i="1"/>
  <c r="B1877" i="1"/>
  <c r="C1877" i="1" s="1"/>
  <c r="B1878" i="1"/>
  <c r="B1879" i="1"/>
  <c r="C1879" i="1" s="1"/>
  <c r="B1880" i="1"/>
  <c r="B1881" i="1"/>
  <c r="B1882" i="1"/>
  <c r="B1883" i="1"/>
  <c r="C1883" i="1" s="1"/>
  <c r="B1884" i="1"/>
  <c r="B1885" i="1"/>
  <c r="C1885" i="1" s="1"/>
  <c r="B1886" i="1"/>
  <c r="B1887" i="1"/>
  <c r="B1888" i="1"/>
  <c r="B1889" i="1"/>
  <c r="B1890" i="1"/>
  <c r="B1891" i="1"/>
  <c r="B1892" i="1"/>
  <c r="B1893" i="1"/>
  <c r="B1894" i="1"/>
  <c r="B1895" i="1"/>
  <c r="C1895" i="1" s="1"/>
  <c r="B1896" i="1"/>
  <c r="C1896" i="1" s="1"/>
  <c r="B1897" i="1"/>
  <c r="B1898" i="1"/>
  <c r="B1899" i="1"/>
  <c r="B1900" i="1"/>
  <c r="B1901" i="1"/>
  <c r="B1902" i="1"/>
  <c r="B1903" i="1"/>
  <c r="B1904" i="1"/>
  <c r="B1905" i="1"/>
  <c r="B1906" i="1"/>
  <c r="B1907" i="1"/>
  <c r="C1907" i="1" s="1"/>
  <c r="B1908" i="1"/>
  <c r="C1908" i="1" s="1"/>
  <c r="B1909" i="1"/>
  <c r="B1910" i="1"/>
  <c r="B1911" i="1"/>
  <c r="B1912" i="1"/>
  <c r="B1913" i="1"/>
  <c r="B1914" i="1"/>
  <c r="B1915" i="1"/>
  <c r="B1916" i="1"/>
  <c r="C1916" i="1" s="1"/>
  <c r="B1917" i="1"/>
  <c r="C1917" i="1" s="1"/>
  <c r="B1918" i="1"/>
  <c r="B1919" i="1"/>
  <c r="C1919" i="1" s="1"/>
  <c r="B1920" i="1"/>
  <c r="B1921" i="1"/>
  <c r="B1922" i="1"/>
  <c r="B1923" i="1"/>
  <c r="B1924" i="1"/>
  <c r="C1924" i="1" s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C1940" i="1" s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C1952" i="1" s="1"/>
  <c r="B1953" i="1"/>
  <c r="C1953" i="1" s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C1965" i="1" s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C1981" i="1" s="1"/>
  <c r="B1982" i="1"/>
  <c r="B1983" i="1"/>
  <c r="B1984" i="1"/>
  <c r="C1984" i="1" s="1"/>
  <c r="B1985" i="1"/>
  <c r="C1985" i="1" s="1"/>
  <c r="B1986" i="1"/>
  <c r="B1987" i="1"/>
  <c r="B1988" i="1"/>
  <c r="C1988" i="1" s="1"/>
  <c r="B1989" i="1"/>
  <c r="C1989" i="1" s="1"/>
  <c r="B1990" i="1"/>
  <c r="C1990" i="1" s="1"/>
  <c r="B1991" i="1"/>
  <c r="B1992" i="1"/>
  <c r="B1993" i="1"/>
  <c r="B1994" i="1"/>
  <c r="B1995" i="1"/>
  <c r="B1996" i="1"/>
  <c r="B1997" i="1"/>
  <c r="B1998" i="1"/>
  <c r="B1999" i="1"/>
  <c r="C1999" i="1" s="1"/>
  <c r="B2000" i="1"/>
  <c r="B2001" i="1"/>
  <c r="C2001" i="1" s="1"/>
  <c r="B2002" i="1"/>
  <c r="C2002" i="1" s="1"/>
  <c r="B2003" i="1"/>
  <c r="B2004" i="1"/>
  <c r="C2004" i="1" s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C2025" i="1" s="1"/>
  <c r="B2026" i="1"/>
  <c r="B2027" i="1"/>
  <c r="B2028" i="1"/>
  <c r="B2029" i="1"/>
  <c r="C2029" i="1" s="1"/>
  <c r="B2030" i="1"/>
  <c r="B2031" i="1"/>
  <c r="B2032" i="1"/>
  <c r="B2033" i="1"/>
  <c r="B2034" i="1"/>
  <c r="B2035" i="1"/>
  <c r="C2035" i="1" s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C2047" i="1" s="1"/>
  <c r="B2048" i="1"/>
  <c r="B2049" i="1"/>
  <c r="B2050" i="1"/>
  <c r="B2051" i="1"/>
  <c r="B2052" i="1"/>
  <c r="B2053" i="1"/>
  <c r="C2053" i="1" s="1"/>
  <c r="B2054" i="1"/>
  <c r="B2055" i="1"/>
  <c r="B2056" i="1"/>
  <c r="B2057" i="1"/>
  <c r="B2058" i="1"/>
  <c r="B2059" i="1"/>
  <c r="C2059" i="1" s="1"/>
  <c r="B2060" i="1"/>
  <c r="B2061" i="1"/>
  <c r="B2062" i="1"/>
  <c r="B2063" i="1"/>
  <c r="B2064" i="1"/>
  <c r="B2065" i="1"/>
  <c r="B2066" i="1"/>
  <c r="B2067" i="1"/>
  <c r="B2068" i="1"/>
  <c r="B2069" i="1"/>
  <c r="C2069" i="1" s="1"/>
  <c r="B2070" i="1"/>
  <c r="B2071" i="1"/>
  <c r="C2071" i="1" s="1"/>
  <c r="B2072" i="1"/>
  <c r="B2073" i="1"/>
  <c r="B2074" i="1"/>
  <c r="C2074" i="1" s="1"/>
  <c r="B2075" i="1"/>
  <c r="B2076" i="1"/>
  <c r="C2076" i="1" s="1"/>
  <c r="B2077" i="1"/>
  <c r="B2078" i="1"/>
  <c r="B2079" i="1"/>
  <c r="B2080" i="1"/>
  <c r="B2081" i="1"/>
  <c r="B2082" i="1"/>
  <c r="B2083" i="1"/>
  <c r="B2084" i="1"/>
  <c r="C2084" i="1" s="1"/>
  <c r="B2085" i="1"/>
  <c r="C2085" i="1" s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C2099" i="1" s="1"/>
  <c r="B2100" i="1"/>
  <c r="B2101" i="1"/>
  <c r="B2102" i="1"/>
  <c r="B2103" i="1"/>
  <c r="B2104" i="1"/>
  <c r="B2105" i="1"/>
  <c r="B2106" i="1"/>
  <c r="B2107" i="1"/>
  <c r="B2108" i="1"/>
  <c r="C2108" i="1" s="1"/>
  <c r="B2109" i="1"/>
  <c r="B2110" i="1"/>
  <c r="B2111" i="1"/>
  <c r="B2112" i="1"/>
  <c r="C2112" i="1" s="1"/>
  <c r="B2113" i="1"/>
  <c r="B2114" i="1"/>
  <c r="B2115" i="1"/>
  <c r="B2116" i="1"/>
  <c r="B2117" i="1"/>
  <c r="C2117" i="1" s="1"/>
  <c r="B2118" i="1"/>
  <c r="B2119" i="1"/>
  <c r="B2120" i="1"/>
  <c r="B2121" i="1"/>
  <c r="C2121" i="1" s="1"/>
  <c r="B2122" i="1"/>
  <c r="C2122" i="1" s="1"/>
  <c r="B2123" i="1"/>
  <c r="B2124" i="1"/>
  <c r="B2125" i="1"/>
  <c r="B2126" i="1"/>
  <c r="B2127" i="1"/>
  <c r="B2128" i="1"/>
  <c r="B2129" i="1"/>
  <c r="B2130" i="1"/>
  <c r="B2131" i="1"/>
  <c r="C2131" i="1" s="1"/>
  <c r="B2132" i="1"/>
  <c r="C2132" i="1" s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C2148" i="1" s="1"/>
  <c r="B2149" i="1"/>
  <c r="C2149" i="1" s="1"/>
  <c r="B2150" i="1"/>
  <c r="B2151" i="1"/>
  <c r="B2152" i="1"/>
  <c r="B2153" i="1"/>
  <c r="B2154" i="1"/>
  <c r="B2155" i="1"/>
  <c r="B2156" i="1"/>
  <c r="C2156" i="1" s="1"/>
  <c r="B2157" i="1"/>
  <c r="B2158" i="1"/>
  <c r="B2159" i="1"/>
  <c r="B2160" i="1"/>
  <c r="B2161" i="1"/>
  <c r="B2162" i="1"/>
  <c r="B2163" i="1"/>
  <c r="B2164" i="1"/>
  <c r="B2165" i="1"/>
  <c r="C2165" i="1" s="1"/>
  <c r="B2166" i="1"/>
  <c r="B2167" i="1"/>
  <c r="C2167" i="1" s="1"/>
  <c r="B2168" i="1"/>
  <c r="B2169" i="1"/>
  <c r="B2170" i="1"/>
  <c r="C2170" i="1" s="1"/>
  <c r="B2171" i="1"/>
  <c r="B2172" i="1"/>
  <c r="C2172" i="1" s="1"/>
  <c r="B2173" i="1"/>
  <c r="B2174" i="1"/>
  <c r="B2175" i="1"/>
  <c r="B2176" i="1"/>
  <c r="B2177" i="1"/>
  <c r="B2178" i="1"/>
  <c r="B2179" i="1"/>
  <c r="C2179" i="1" s="1"/>
  <c r="B2180" i="1"/>
  <c r="B2181" i="1"/>
  <c r="B2182" i="1"/>
  <c r="C2182" i="1" s="1"/>
  <c r="B2183" i="1"/>
  <c r="C2183" i="1" s="1"/>
  <c r="B2184" i="1"/>
  <c r="B2185" i="1"/>
  <c r="B2186" i="1"/>
  <c r="B2187" i="1"/>
  <c r="B2188" i="1"/>
  <c r="B2189" i="1"/>
  <c r="C2189" i="1" s="1"/>
  <c r="B2190" i="1"/>
  <c r="B2191" i="1"/>
  <c r="B2192" i="1"/>
  <c r="B2193" i="1"/>
  <c r="B2194" i="1"/>
  <c r="B2195" i="1"/>
  <c r="B2196" i="1"/>
  <c r="C2196" i="1" s="1"/>
  <c r="B2197" i="1"/>
  <c r="C2197" i="1" s="1"/>
  <c r="B2198" i="1"/>
  <c r="C2198" i="1" s="1"/>
  <c r="B2199" i="1"/>
  <c r="B2200" i="1"/>
  <c r="B2201" i="1"/>
  <c r="C2201" i="1" s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C2229" i="1" s="1"/>
  <c r="B2230" i="1"/>
  <c r="B2231" i="1"/>
  <c r="B2232" i="1"/>
  <c r="B2233" i="1"/>
  <c r="B2234" i="1"/>
  <c r="B2235" i="1"/>
  <c r="B2236" i="1"/>
  <c r="B2237" i="1"/>
  <c r="B2238" i="1"/>
  <c r="B2239" i="1"/>
  <c r="B2240" i="1"/>
  <c r="C2240" i="1" s="1"/>
  <c r="B2241" i="1"/>
  <c r="B2242" i="1"/>
  <c r="B2243" i="1"/>
  <c r="C2243" i="1" s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C2279" i="1" s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C2296" i="1" s="1"/>
  <c r="B2297" i="1"/>
  <c r="B2298" i="1"/>
  <c r="B2299" i="1"/>
  <c r="B2300" i="1"/>
  <c r="C2300" i="1" s="1"/>
  <c r="B2301" i="1"/>
  <c r="C2301" i="1" s="1"/>
  <c r="B2302" i="1"/>
  <c r="C2302" i="1" s="1"/>
  <c r="B2303" i="1"/>
  <c r="B2304" i="1"/>
  <c r="B2305" i="1"/>
  <c r="C2305" i="1" s="1"/>
  <c r="B2306" i="1"/>
  <c r="B2307" i="1"/>
  <c r="B2308" i="1"/>
  <c r="C2308" i="1" s="1"/>
  <c r="B2309" i="1"/>
  <c r="B2310" i="1"/>
  <c r="B2311" i="1"/>
  <c r="C2311" i="1" s="1"/>
  <c r="B2312" i="1"/>
  <c r="B2313" i="1"/>
  <c r="C2313" i="1" s="1"/>
  <c r="B2314" i="1"/>
  <c r="B2315" i="1"/>
  <c r="B2316" i="1"/>
  <c r="C2316" i="1" s="1"/>
  <c r="B2317" i="1"/>
  <c r="B2318" i="1"/>
  <c r="B2319" i="1"/>
  <c r="B2320" i="1"/>
  <c r="B2321" i="1"/>
  <c r="B2322" i="1"/>
  <c r="B2323" i="1"/>
  <c r="B2324" i="1"/>
  <c r="B2325" i="1"/>
  <c r="C2325" i="1" s="1"/>
  <c r="B2326" i="1"/>
  <c r="C2326" i="1" s="1"/>
  <c r="B2327" i="1"/>
  <c r="B2328" i="1"/>
  <c r="C2328" i="1" s="1"/>
  <c r="B2329" i="1"/>
  <c r="B2330" i="1"/>
  <c r="B2331" i="1"/>
  <c r="B2332" i="1"/>
  <c r="C2332" i="1" s="1"/>
  <c r="B2333" i="1"/>
  <c r="C2333" i="1" s="1"/>
  <c r="B2334" i="1"/>
  <c r="B2335" i="1"/>
  <c r="C2335" i="1" s="1"/>
  <c r="B2336" i="1"/>
  <c r="C2336" i="1" s="1"/>
  <c r="B2337" i="1"/>
  <c r="C2337" i="1" s="1"/>
  <c r="B2338" i="1"/>
  <c r="C2338" i="1" s="1"/>
  <c r="B2339" i="1"/>
  <c r="C2339" i="1" s="1"/>
  <c r="B2340" i="1"/>
  <c r="B2341" i="1"/>
  <c r="B2342" i="1"/>
  <c r="C2342" i="1" s="1"/>
  <c r="B2343" i="1"/>
  <c r="B2344" i="1"/>
  <c r="B2345" i="1"/>
  <c r="B2346" i="1"/>
  <c r="B2347" i="1"/>
  <c r="B2348" i="1"/>
  <c r="B2349" i="1"/>
  <c r="B2350" i="1"/>
  <c r="B2351" i="1"/>
  <c r="B2352" i="1"/>
  <c r="B2353" i="1"/>
  <c r="C2353" i="1" s="1"/>
  <c r="B2354" i="1"/>
  <c r="B2355" i="1"/>
  <c r="B2356" i="1"/>
  <c r="B2357" i="1"/>
  <c r="B2358" i="1"/>
  <c r="B2359" i="1"/>
  <c r="C2359" i="1" s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C2384" i="1" s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C2408" i="1" s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C2420" i="1" s="1"/>
  <c r="B2421" i="1"/>
  <c r="B2422" i="1"/>
  <c r="B2423" i="1"/>
  <c r="C2423" i="1" s="1"/>
  <c r="B2424" i="1"/>
  <c r="C2424" i="1" s="1"/>
  <c r="B2425" i="1"/>
  <c r="B2426" i="1"/>
  <c r="B2427" i="1"/>
  <c r="B2428" i="1"/>
  <c r="B2429" i="1"/>
  <c r="B2430" i="1"/>
  <c r="B2431" i="1"/>
  <c r="B2432" i="1"/>
  <c r="B2433" i="1"/>
  <c r="B2434" i="1"/>
  <c r="C2434" i="1" s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C2459" i="1" s="1"/>
  <c r="B2460" i="1"/>
  <c r="B2461" i="1"/>
  <c r="B2462" i="1"/>
  <c r="B2463" i="1"/>
  <c r="B2464" i="1"/>
  <c r="B2465" i="1"/>
  <c r="B2466" i="1"/>
  <c r="B2467" i="1"/>
  <c r="B2468" i="1"/>
  <c r="B2469" i="1"/>
  <c r="C2469" i="1" s="1"/>
  <c r="B2470" i="1"/>
  <c r="B2471" i="1"/>
  <c r="B2472" i="1"/>
  <c r="B2473" i="1"/>
  <c r="B2474" i="1"/>
  <c r="B2475" i="1"/>
  <c r="B2476" i="1"/>
  <c r="B2477" i="1"/>
  <c r="B2478" i="1"/>
  <c r="B2479" i="1"/>
  <c r="C2479" i="1" s="1"/>
  <c r="B2480" i="1"/>
  <c r="B2481" i="1"/>
  <c r="B2482" i="1"/>
  <c r="B2483" i="1"/>
  <c r="C2483" i="1" s="1"/>
  <c r="B2484" i="1"/>
  <c r="C2484" i="1" s="1"/>
  <c r="B2485" i="1"/>
  <c r="C2485" i="1" s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C2503" i="1" s="1"/>
  <c r="B2504" i="1"/>
  <c r="C2504" i="1" s="1"/>
  <c r="B2505" i="1"/>
  <c r="B2506" i="1"/>
  <c r="B2507" i="1"/>
  <c r="C2507" i="1" s="1"/>
  <c r="B2508" i="1"/>
  <c r="B2509" i="1"/>
  <c r="B2510" i="1"/>
  <c r="B2511" i="1"/>
  <c r="B2512" i="1"/>
  <c r="C2512" i="1" s="1"/>
  <c r="B2513" i="1"/>
  <c r="C2513" i="1" s="1"/>
  <c r="B2514" i="1"/>
  <c r="B2515" i="1"/>
  <c r="B2516" i="1"/>
  <c r="B2517" i="1"/>
  <c r="B2518" i="1"/>
  <c r="C2518" i="1" s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C2530" i="1" s="1"/>
  <c r="B2531" i="1"/>
  <c r="C2531" i="1" s="1"/>
  <c r="B2532" i="1"/>
  <c r="B2533" i="1"/>
  <c r="C2533" i="1" s="1"/>
  <c r="B2534" i="1"/>
  <c r="C2534" i="1" s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C2563" i="1" s="1"/>
  <c r="B2564" i="1"/>
  <c r="C2564" i="1" s="1"/>
  <c r="B2565" i="1"/>
  <c r="B2566" i="1"/>
  <c r="B2567" i="1"/>
  <c r="B2568" i="1"/>
  <c r="B2569" i="1"/>
  <c r="B2570" i="1"/>
  <c r="B2571" i="1"/>
  <c r="B2572" i="1"/>
  <c r="C2572" i="1" s="1"/>
  <c r="B2573" i="1"/>
  <c r="B2574" i="1"/>
  <c r="B2575" i="1"/>
  <c r="B2576" i="1"/>
  <c r="B2577" i="1"/>
  <c r="B2578" i="1"/>
  <c r="B2579" i="1"/>
  <c r="B2580" i="1"/>
  <c r="B2581" i="1"/>
  <c r="C2581" i="1" s="1"/>
  <c r="B2582" i="1"/>
  <c r="B2583" i="1"/>
  <c r="B2584" i="1"/>
  <c r="C2584" i="1" s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C2597" i="1" s="1"/>
  <c r="B2598" i="1"/>
  <c r="B2599" i="1"/>
  <c r="B2600" i="1"/>
  <c r="B2601" i="1"/>
  <c r="B2602" i="1"/>
  <c r="C2602" i="1" s="1"/>
  <c r="B2603" i="1"/>
  <c r="B2604" i="1"/>
  <c r="B2605" i="1"/>
  <c r="C2605" i="1" s="1"/>
  <c r="B2606" i="1"/>
  <c r="B2607" i="1"/>
  <c r="B2608" i="1"/>
  <c r="C2608" i="1" s="1"/>
  <c r="B2609" i="1"/>
  <c r="B2610" i="1"/>
  <c r="B2611" i="1"/>
  <c r="C2611" i="1" s="1"/>
  <c r="B2612" i="1"/>
  <c r="C2612" i="1" s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C2650" i="1" s="1"/>
  <c r="B2651" i="1"/>
  <c r="B2652" i="1"/>
  <c r="C2652" i="1" s="1"/>
  <c r="B2653" i="1"/>
  <c r="C2653" i="1" s="1"/>
  <c r="B2654" i="1"/>
  <c r="B2655" i="1"/>
  <c r="B2656" i="1"/>
  <c r="B2657" i="1"/>
  <c r="C2657" i="1" s="1"/>
  <c r="B2658" i="1"/>
  <c r="B2659" i="1"/>
  <c r="B2660" i="1"/>
  <c r="B2661" i="1"/>
  <c r="B2662" i="1"/>
  <c r="B2663" i="1"/>
  <c r="C2663" i="1" s="1"/>
  <c r="B2664" i="1"/>
  <c r="B2665" i="1"/>
  <c r="B2666" i="1"/>
  <c r="B2667" i="1"/>
  <c r="B2668" i="1"/>
  <c r="B2669" i="1"/>
  <c r="B2670" i="1"/>
  <c r="B2671" i="1"/>
  <c r="C2671" i="1" s="1"/>
  <c r="B2672" i="1"/>
  <c r="B2673" i="1"/>
  <c r="B2674" i="1"/>
  <c r="B2675" i="1"/>
  <c r="C2675" i="1" s="1"/>
  <c r="B2676" i="1"/>
  <c r="B2677" i="1"/>
  <c r="B2678" i="1"/>
  <c r="B2679" i="1"/>
  <c r="B2680" i="1"/>
  <c r="B2681" i="1"/>
  <c r="B2682" i="1"/>
  <c r="B2683" i="1"/>
  <c r="C2683" i="1" s="1"/>
  <c r="B2684" i="1"/>
  <c r="C2684" i="1" s="1"/>
  <c r="B2685" i="1"/>
  <c r="B2686" i="1"/>
  <c r="C2686" i="1" s="1"/>
  <c r="B2687" i="1"/>
  <c r="B2688" i="1"/>
  <c r="C2688" i="1" s="1"/>
  <c r="B2689" i="1"/>
  <c r="B2690" i="1"/>
  <c r="B2691" i="1"/>
  <c r="B2692" i="1"/>
  <c r="B2693" i="1"/>
  <c r="B2694" i="1"/>
  <c r="B2695" i="1"/>
  <c r="B2696" i="1"/>
  <c r="B2697" i="1"/>
  <c r="B2698" i="1"/>
  <c r="B2699" i="1"/>
  <c r="C2699" i="1" s="1"/>
  <c r="B2700" i="1"/>
  <c r="C2700" i="1" s="1"/>
  <c r="B2701" i="1"/>
  <c r="B2702" i="1"/>
  <c r="B2703" i="1"/>
  <c r="B2704" i="1"/>
  <c r="B2705" i="1"/>
  <c r="B2706" i="1"/>
  <c r="B2707" i="1"/>
  <c r="C2707" i="1" s="1"/>
  <c r="B2708" i="1"/>
  <c r="B2709" i="1"/>
  <c r="C2709" i="1" s="1"/>
  <c r="B2710" i="1"/>
  <c r="B2711" i="1"/>
  <c r="B2712" i="1"/>
  <c r="B2713" i="1"/>
  <c r="C2713" i="1" s="1"/>
  <c r="B2714" i="1"/>
  <c r="B2715" i="1"/>
  <c r="B2716" i="1"/>
  <c r="B2717" i="1"/>
  <c r="C2717" i="1" s="1"/>
  <c r="B2718" i="1"/>
  <c r="B2719" i="1"/>
  <c r="C2719" i="1" s="1"/>
  <c r="B2720" i="1"/>
  <c r="B2721" i="1"/>
  <c r="B2722" i="1"/>
  <c r="B2723" i="1"/>
  <c r="C2723" i="1" s="1"/>
  <c r="B2724" i="1"/>
  <c r="B2725" i="1"/>
  <c r="B2726" i="1"/>
  <c r="B2727" i="1"/>
  <c r="B2728" i="1"/>
  <c r="C2728" i="1" s="1"/>
  <c r="B2729" i="1"/>
  <c r="B2730" i="1"/>
  <c r="B2731" i="1"/>
  <c r="B2732" i="1"/>
  <c r="B2733" i="1"/>
  <c r="B2734" i="1"/>
  <c r="B2735" i="1"/>
  <c r="B2736" i="1"/>
  <c r="C2736" i="1" s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C2751" i="1" s="1"/>
  <c r="B2752" i="1"/>
  <c r="B2753" i="1"/>
  <c r="B2754" i="1"/>
  <c r="B2755" i="1"/>
  <c r="C2755" i="1" s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C2768" i="1" s="1"/>
  <c r="B2769" i="1"/>
  <c r="C2769" i="1" s="1"/>
  <c r="B2770" i="1"/>
  <c r="B2771" i="1"/>
  <c r="B2772" i="1"/>
  <c r="C2772" i="1" s="1"/>
  <c r="B2773" i="1"/>
  <c r="B2774" i="1"/>
  <c r="B2775" i="1"/>
  <c r="B2776" i="1"/>
  <c r="B2777" i="1"/>
  <c r="B2778" i="1"/>
  <c r="B2779" i="1"/>
  <c r="C2779" i="1" s="1"/>
  <c r="B2780" i="1"/>
  <c r="B2781" i="1"/>
  <c r="C2781" i="1" s="1"/>
  <c r="B2782" i="1"/>
  <c r="B2783" i="1"/>
  <c r="B2784" i="1"/>
  <c r="B2785" i="1"/>
  <c r="C2785" i="1" s="1"/>
  <c r="B2786" i="1"/>
  <c r="B2787" i="1"/>
  <c r="B2788" i="1"/>
  <c r="B2789" i="1"/>
  <c r="B2790" i="1"/>
  <c r="B2791" i="1"/>
  <c r="B2792" i="1"/>
  <c r="C2792" i="1" s="1"/>
  <c r="B2793" i="1"/>
  <c r="B2794" i="1"/>
  <c r="B2795" i="1"/>
  <c r="B2796" i="1"/>
  <c r="B2797" i="1"/>
  <c r="B2798" i="1"/>
  <c r="B2799" i="1"/>
  <c r="B2800" i="1"/>
  <c r="B2801" i="1"/>
  <c r="B2802" i="1"/>
  <c r="B2803" i="1"/>
  <c r="C2803" i="1" s="1"/>
  <c r="B2804" i="1"/>
  <c r="B2805" i="1"/>
  <c r="B2806" i="1"/>
  <c r="C2806" i="1" s="1"/>
  <c r="B2807" i="1"/>
  <c r="C2807" i="1" s="1"/>
  <c r="B2808" i="1"/>
  <c r="C2808" i="1" s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C2824" i="1" s="1"/>
  <c r="B2825" i="1"/>
  <c r="B2826" i="1"/>
  <c r="B2827" i="1"/>
  <c r="B2828" i="1"/>
  <c r="B2829" i="1"/>
  <c r="C2829" i="1" s="1"/>
  <c r="B2830" i="1"/>
  <c r="B2831" i="1"/>
  <c r="C2831" i="1" s="1"/>
  <c r="B2832" i="1"/>
  <c r="B2833" i="1"/>
  <c r="B2834" i="1"/>
  <c r="B2835" i="1"/>
  <c r="B2836" i="1"/>
  <c r="B2837" i="1"/>
  <c r="C2837" i="1" s="1"/>
  <c r="B2838" i="1"/>
  <c r="B2839" i="1"/>
  <c r="C2839" i="1" s="1"/>
  <c r="B2840" i="1"/>
  <c r="C2840" i="1" s="1"/>
  <c r="B2841" i="1"/>
  <c r="B2842" i="1"/>
  <c r="B2843" i="1"/>
  <c r="B2844" i="1"/>
  <c r="C2844" i="1" s="1"/>
  <c r="B2845" i="1"/>
  <c r="C2845" i="1" s="1"/>
  <c r="B2846" i="1"/>
  <c r="B2847" i="1"/>
  <c r="B2848" i="1"/>
  <c r="C2848" i="1" s="1"/>
  <c r="B2849" i="1"/>
  <c r="B2850" i="1"/>
  <c r="B2851" i="1"/>
  <c r="B2852" i="1"/>
  <c r="B2853" i="1"/>
  <c r="B2854" i="1"/>
  <c r="B2855" i="1"/>
  <c r="B2856" i="1"/>
  <c r="B2857" i="1"/>
  <c r="B2858" i="1"/>
  <c r="B2859" i="1"/>
  <c r="C2859" i="1" s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C2877" i="1" s="1"/>
  <c r="B2878" i="1"/>
  <c r="B2879" i="1"/>
  <c r="C2879" i="1" s="1"/>
  <c r="B2880" i="1"/>
  <c r="B2881" i="1"/>
  <c r="B2882" i="1"/>
  <c r="B2883" i="1"/>
  <c r="B2884" i="1"/>
  <c r="C2884" i="1" s="1"/>
  <c r="B2885" i="1"/>
  <c r="B2886" i="1"/>
  <c r="B2887" i="1"/>
  <c r="B2888" i="1"/>
  <c r="B2889" i="1"/>
  <c r="B2890" i="1"/>
  <c r="B2891" i="1"/>
  <c r="C2891" i="1" s="1"/>
  <c r="B2892" i="1"/>
  <c r="B2893" i="1"/>
  <c r="B2894" i="1"/>
  <c r="B2895" i="1"/>
  <c r="B2896" i="1"/>
  <c r="B2897" i="1"/>
  <c r="C2897" i="1" s="1"/>
  <c r="B2898" i="1"/>
  <c r="B2899" i="1"/>
  <c r="B2900" i="1"/>
  <c r="B2901" i="1"/>
  <c r="B2902" i="1"/>
  <c r="B2903" i="1"/>
  <c r="C2903" i="1" s="1"/>
  <c r="B2904" i="1"/>
  <c r="B2905" i="1"/>
  <c r="B2906" i="1"/>
  <c r="B2907" i="1"/>
  <c r="B2908" i="1"/>
  <c r="B2909" i="1"/>
  <c r="B2910" i="1"/>
  <c r="B2911" i="1"/>
  <c r="C2911" i="1" s="1"/>
  <c r="B2912" i="1"/>
  <c r="B2913" i="1"/>
  <c r="B2914" i="1"/>
  <c r="B2915" i="1"/>
  <c r="C2915" i="1" s="1"/>
  <c r="B2916" i="1"/>
  <c r="B2917" i="1"/>
  <c r="B2918" i="1"/>
  <c r="B2919" i="1"/>
  <c r="B2920" i="1"/>
  <c r="C2920" i="1" s="1"/>
  <c r="B2921" i="1"/>
  <c r="B2922" i="1"/>
  <c r="B2923" i="1"/>
  <c r="B2924" i="1"/>
  <c r="B2925" i="1"/>
  <c r="B2926" i="1"/>
  <c r="B2927" i="1"/>
  <c r="B2928" i="1"/>
  <c r="C2928" i="1" s="1"/>
  <c r="B2929" i="1"/>
  <c r="C2929" i="1" s="1"/>
  <c r="B2930" i="1"/>
  <c r="B2931" i="1"/>
  <c r="B2932" i="1"/>
  <c r="C2932" i="1" s="1"/>
  <c r="B2933" i="1"/>
  <c r="C2933" i="1" s="1"/>
  <c r="B2934" i="1"/>
  <c r="B2935" i="1"/>
  <c r="B2936" i="1"/>
  <c r="B2937" i="1"/>
  <c r="B2938" i="1"/>
  <c r="B2939" i="1"/>
  <c r="C2939" i="1" s="1"/>
  <c r="B2940" i="1"/>
  <c r="C2940" i="1" s="1"/>
  <c r="B2941" i="1"/>
  <c r="C2941" i="1" s="1"/>
  <c r="B2942" i="1"/>
  <c r="B2943" i="1"/>
  <c r="B2944" i="1"/>
  <c r="B2945" i="1"/>
  <c r="B2946" i="1"/>
  <c r="B2947" i="1"/>
  <c r="B2948" i="1"/>
  <c r="C2948" i="1" s="1"/>
  <c r="B2949" i="1"/>
  <c r="B2950" i="1"/>
  <c r="B2951" i="1"/>
  <c r="B2952" i="1"/>
  <c r="B2953" i="1"/>
  <c r="C2953" i="1" s="1"/>
  <c r="B2954" i="1"/>
  <c r="B2955" i="1"/>
  <c r="B2956" i="1"/>
  <c r="B2957" i="1"/>
  <c r="B2958" i="1"/>
  <c r="B2959" i="1"/>
  <c r="B2960" i="1"/>
  <c r="B2961" i="1"/>
  <c r="B2962" i="1"/>
  <c r="B2963" i="1"/>
  <c r="B2964" i="1"/>
  <c r="C2964" i="1" s="1"/>
  <c r="B2965" i="1"/>
  <c r="B2966" i="1"/>
  <c r="B2967" i="1"/>
  <c r="B2968" i="1"/>
  <c r="B2969" i="1"/>
  <c r="B2970" i="1"/>
  <c r="B2971" i="1"/>
  <c r="C2971" i="1" s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C2983" i="1" s="1"/>
  <c r="B2984" i="1"/>
  <c r="C2984" i="1" s="1"/>
  <c r="B2985" i="1"/>
  <c r="B2986" i="1"/>
  <c r="C2986" i="1" s="1"/>
  <c r="B2987" i="1"/>
  <c r="B2988" i="1"/>
  <c r="B2989" i="1"/>
  <c r="C2989" i="1" s="1"/>
  <c r="B2990" i="1"/>
  <c r="B2991" i="1"/>
  <c r="B2992" i="1"/>
  <c r="B2993" i="1"/>
  <c r="C2993" i="1" s="1"/>
  <c r="B2994" i="1"/>
  <c r="B2995" i="1"/>
  <c r="B2996" i="1"/>
  <c r="B2997" i="1"/>
  <c r="C2997" i="1" s="1"/>
  <c r="B2998" i="1"/>
  <c r="B2999" i="1"/>
  <c r="B3000" i="1"/>
  <c r="B3001" i="1"/>
  <c r="B3002" i="1"/>
  <c r="B3003" i="1"/>
  <c r="B3004" i="1"/>
  <c r="C3004" i="1" s="1"/>
  <c r="B3005" i="1"/>
  <c r="B3006" i="1"/>
  <c r="B3007" i="1"/>
  <c r="B3008" i="1"/>
  <c r="B3009" i="1"/>
  <c r="B3010" i="1"/>
  <c r="B3011" i="1"/>
  <c r="C3011" i="1" s="1"/>
  <c r="B3012" i="1"/>
  <c r="C3012" i="1" s="1"/>
  <c r="B3013" i="1"/>
  <c r="B3014" i="1"/>
  <c r="B3015" i="1"/>
  <c r="B3016" i="1"/>
  <c r="B3017" i="1"/>
  <c r="B3018" i="1"/>
  <c r="B3019" i="1"/>
  <c r="B3020" i="1"/>
  <c r="B3021" i="1"/>
  <c r="C3021" i="1" s="1"/>
  <c r="B3022" i="1"/>
  <c r="B3023" i="1"/>
  <c r="B3024" i="1"/>
  <c r="B3025" i="1"/>
  <c r="B3026" i="1"/>
  <c r="B3027" i="1"/>
  <c r="B3028" i="1"/>
  <c r="C3028" i="1" s="1"/>
  <c r="B3029" i="1"/>
  <c r="C3029" i="1" s="1"/>
  <c r="B3030" i="1"/>
  <c r="B3031" i="1"/>
  <c r="B3032" i="1"/>
  <c r="B3033" i="1"/>
  <c r="C3033" i="1" s="1"/>
  <c r="B3034" i="1"/>
  <c r="B3035" i="1"/>
  <c r="B3036" i="1"/>
  <c r="B3037" i="1"/>
  <c r="B3038" i="1"/>
  <c r="B3039" i="1"/>
  <c r="B3040" i="1"/>
  <c r="B3041" i="1"/>
  <c r="B3042" i="1"/>
  <c r="B3043" i="1"/>
  <c r="C3043" i="1" s="1"/>
  <c r="B3044" i="1"/>
  <c r="C3044" i="1" s="1"/>
  <c r="B3045" i="1"/>
  <c r="B3046" i="1"/>
  <c r="B3047" i="1"/>
  <c r="B3048" i="1"/>
  <c r="B3049" i="1"/>
  <c r="B3050" i="1"/>
  <c r="B3051" i="1"/>
  <c r="B3052" i="1"/>
  <c r="C3052" i="1" s="1"/>
  <c r="B3053" i="1"/>
  <c r="B3054" i="1"/>
  <c r="B3055" i="1"/>
  <c r="C3055" i="1" s="1"/>
  <c r="B3056" i="1"/>
  <c r="C3056" i="1" s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C3077" i="1" s="1"/>
  <c r="B3078" i="1"/>
  <c r="B3079" i="1"/>
  <c r="B3080" i="1"/>
  <c r="B3081" i="1"/>
  <c r="B3082" i="1"/>
  <c r="B3083" i="1"/>
  <c r="B3084" i="1"/>
  <c r="B3085" i="1"/>
  <c r="B3086" i="1"/>
  <c r="B3087" i="1"/>
  <c r="B3088" i="1"/>
  <c r="C3088" i="1" s="1"/>
  <c r="B3089" i="1"/>
  <c r="B3090" i="1"/>
  <c r="B3091" i="1"/>
  <c r="B3092" i="1"/>
  <c r="B3093" i="1"/>
  <c r="B3094" i="1"/>
  <c r="B3095" i="1"/>
  <c r="C3095" i="1" s="1"/>
  <c r="B3096" i="1"/>
  <c r="C3096" i="1" s="1"/>
  <c r="B3097" i="1"/>
  <c r="B3098" i="1"/>
  <c r="B3099" i="1"/>
  <c r="B3100" i="1"/>
  <c r="B3101" i="1"/>
  <c r="C3101" i="1" s="1"/>
  <c r="B3102" i="1"/>
  <c r="B3103" i="1"/>
  <c r="C3103" i="1" s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C3116" i="1" s="1"/>
  <c r="B3117" i="1"/>
  <c r="B3118" i="1"/>
  <c r="B3119" i="1"/>
  <c r="B3120" i="1"/>
  <c r="B3121" i="1"/>
  <c r="B3122" i="1"/>
  <c r="B3123" i="1"/>
  <c r="B3124" i="1"/>
  <c r="C3124" i="1" s="1"/>
  <c r="B3125" i="1"/>
  <c r="B3126" i="1"/>
  <c r="B3127" i="1"/>
  <c r="C3127" i="1" s="1"/>
  <c r="B3128" i="1"/>
  <c r="C3128" i="1" s="1"/>
  <c r="B3129" i="1"/>
  <c r="B3130" i="1"/>
  <c r="B3131" i="1"/>
  <c r="B3132" i="1"/>
  <c r="B3133" i="1"/>
  <c r="B3134" i="1"/>
  <c r="B3135" i="1"/>
  <c r="B3136" i="1"/>
  <c r="C3136" i="1" s="1"/>
  <c r="B3137" i="1"/>
  <c r="B3138" i="1"/>
  <c r="B3139" i="1"/>
  <c r="B3140" i="1"/>
  <c r="B3141" i="1"/>
  <c r="B3142" i="1"/>
  <c r="B3143" i="1"/>
  <c r="C3143" i="1" s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C3156" i="1" s="1"/>
  <c r="B3157" i="1"/>
  <c r="B3158" i="1"/>
  <c r="B3159" i="1"/>
  <c r="B3160" i="1"/>
  <c r="B3161" i="1"/>
  <c r="B3162" i="1"/>
  <c r="B3163" i="1"/>
  <c r="B3164" i="1"/>
  <c r="B3165" i="1"/>
  <c r="C3165" i="1" s="1"/>
  <c r="B3166" i="1"/>
  <c r="C3166" i="1" s="1"/>
  <c r="B3167" i="1"/>
  <c r="B3168" i="1"/>
  <c r="B3169" i="1"/>
  <c r="B3170" i="1"/>
  <c r="B3171" i="1"/>
  <c r="B3172" i="1"/>
  <c r="B3173" i="1"/>
  <c r="B3174" i="1"/>
  <c r="B3175" i="1"/>
  <c r="C3175" i="1" s="1"/>
  <c r="B3176" i="1"/>
  <c r="C3176" i="1" s="1"/>
  <c r="B3177" i="1"/>
  <c r="B3178" i="1"/>
  <c r="B3179" i="1"/>
  <c r="B3180" i="1"/>
  <c r="C3180" i="1" s="1"/>
  <c r="B3181" i="1"/>
  <c r="B3182" i="1"/>
  <c r="B3183" i="1"/>
  <c r="B3184" i="1"/>
  <c r="C3184" i="1" s="1"/>
  <c r="B3185" i="1"/>
  <c r="C3185" i="1" s="1"/>
  <c r="B3186" i="1"/>
  <c r="B3187" i="1"/>
  <c r="B3188" i="1"/>
  <c r="C3188" i="1" s="1"/>
  <c r="B3189" i="1"/>
  <c r="C3189" i="1" s="1"/>
  <c r="B3190" i="1"/>
  <c r="B3191" i="1"/>
  <c r="B3192" i="1"/>
  <c r="C3192" i="1" s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C3204" i="1" s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C3217" i="1" s="1"/>
  <c r="B3218" i="1"/>
  <c r="B3219" i="1"/>
  <c r="B3220" i="1"/>
  <c r="B3221" i="1"/>
  <c r="B3222" i="1"/>
  <c r="B3223" i="1"/>
  <c r="B3224" i="1"/>
  <c r="B3225" i="1"/>
  <c r="B3226" i="1"/>
  <c r="B3227" i="1"/>
  <c r="B3228" i="1"/>
  <c r="C3228" i="1" s="1"/>
  <c r="B3229" i="1"/>
  <c r="B3230" i="1"/>
  <c r="B3231" i="1"/>
  <c r="B3232" i="1"/>
  <c r="C3232" i="1" s="1"/>
  <c r="B3233" i="1"/>
  <c r="B3234" i="1"/>
  <c r="B3235" i="1"/>
  <c r="B3236" i="1"/>
  <c r="C3236" i="1" s="1"/>
  <c r="B3237" i="1"/>
  <c r="B3238" i="1"/>
  <c r="B3239" i="1"/>
  <c r="C3239" i="1" s="1"/>
  <c r="B3240" i="1"/>
  <c r="B3241" i="1"/>
  <c r="B3242" i="1"/>
  <c r="B3243" i="1"/>
  <c r="B3244" i="1"/>
  <c r="B3245" i="1"/>
  <c r="B3246" i="1"/>
  <c r="B3247" i="1"/>
  <c r="B3248" i="1"/>
  <c r="C3248" i="1" s="1"/>
  <c r="B3249" i="1"/>
  <c r="B3250" i="1"/>
  <c r="B3251" i="1"/>
  <c r="B3252" i="1"/>
  <c r="B3253" i="1"/>
  <c r="C3253" i="1" s="1"/>
  <c r="B3254" i="1"/>
  <c r="B3255" i="1"/>
  <c r="B3256" i="1"/>
  <c r="B3257" i="1"/>
  <c r="B3258" i="1"/>
  <c r="B3259" i="1"/>
  <c r="C3259" i="1" s="1"/>
  <c r="B3260" i="1"/>
  <c r="B3261" i="1"/>
  <c r="B3262" i="1"/>
  <c r="B3263" i="1"/>
  <c r="B3264" i="1"/>
  <c r="B3265" i="1"/>
  <c r="B3266" i="1"/>
  <c r="B3267" i="1"/>
  <c r="B3268" i="1"/>
  <c r="C3268" i="1" s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C3280" i="1" s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C3295" i="1" s="1"/>
  <c r="B3296" i="1"/>
  <c r="B3297" i="1"/>
  <c r="B3298" i="1"/>
  <c r="B3299" i="1"/>
  <c r="B3300" i="1"/>
  <c r="B3301" i="1"/>
  <c r="C3301" i="1" s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C3336" i="1" s="1"/>
  <c r="B3337" i="1"/>
  <c r="B3338" i="1"/>
  <c r="B3339" i="1"/>
  <c r="B3340" i="1"/>
  <c r="C3340" i="1" s="1"/>
  <c r="B3341" i="1"/>
  <c r="B3342" i="1"/>
  <c r="B3343" i="1"/>
  <c r="B3344" i="1"/>
  <c r="C3344" i="1" s="1"/>
  <c r="B3345" i="1"/>
  <c r="B3346" i="1"/>
  <c r="C3346" i="1" s="1"/>
  <c r="B3347" i="1"/>
  <c r="C3347" i="1" s="1"/>
  <c r="B3348" i="1"/>
  <c r="C3348" i="1" s="1"/>
  <c r="B3349" i="1"/>
  <c r="B3350" i="1"/>
  <c r="B3351" i="1"/>
  <c r="C3351" i="1" s="1"/>
  <c r="B3352" i="1"/>
  <c r="C3352" i="1" s="1"/>
  <c r="B3353" i="1"/>
  <c r="C3353" i="1" s="1"/>
  <c r="B3354" i="1"/>
  <c r="B3355" i="1"/>
  <c r="C3355" i="1" s="1"/>
  <c r="B3356" i="1"/>
  <c r="B3357" i="1"/>
  <c r="C3357" i="1" s="1"/>
  <c r="B3358" i="1"/>
  <c r="B3359" i="1"/>
  <c r="B3360" i="1"/>
  <c r="B3361" i="1"/>
  <c r="B3362" i="1"/>
  <c r="B3363" i="1"/>
  <c r="B3364" i="1"/>
  <c r="B3365" i="1"/>
  <c r="B3366" i="1"/>
  <c r="B3367" i="1"/>
  <c r="C3367" i="1" s="1"/>
  <c r="B3368" i="1"/>
  <c r="B3369" i="1"/>
  <c r="B3370" i="1"/>
  <c r="B3371" i="1"/>
  <c r="B3372" i="1"/>
  <c r="C3372" i="1" s="1"/>
  <c r="B3373" i="1"/>
  <c r="B3374" i="1"/>
  <c r="B3375" i="1"/>
  <c r="B3376" i="1"/>
  <c r="B3377" i="1"/>
  <c r="C3377" i="1" s="1"/>
  <c r="B3378" i="1"/>
  <c r="B3379" i="1"/>
  <c r="B3380" i="1"/>
  <c r="B3381" i="1"/>
  <c r="B3382" i="1"/>
  <c r="B3383" i="1"/>
  <c r="B3384" i="1"/>
  <c r="C3384" i="1" s="1"/>
  <c r="B3385" i="1"/>
  <c r="B3386" i="1"/>
  <c r="B3387" i="1"/>
  <c r="B3388" i="1"/>
  <c r="B3389" i="1"/>
  <c r="B3390" i="1"/>
  <c r="B3391" i="1"/>
  <c r="C3391" i="1" s="1"/>
  <c r="B3392" i="1"/>
  <c r="B3393" i="1"/>
  <c r="B3394" i="1"/>
  <c r="B3395" i="1"/>
  <c r="B3396" i="1"/>
  <c r="B3397" i="1"/>
  <c r="C3397" i="1" s="1"/>
  <c r="B3398" i="1"/>
  <c r="B3399" i="1"/>
  <c r="B3400" i="1"/>
  <c r="B3401" i="1"/>
  <c r="B3402" i="1"/>
  <c r="B3403" i="1"/>
  <c r="C3403" i="1" s="1"/>
  <c r="B3404" i="1"/>
  <c r="B3405" i="1"/>
  <c r="B3406" i="1"/>
  <c r="B3407" i="1"/>
  <c r="B3408" i="1"/>
  <c r="C3408" i="1" s="1"/>
  <c r="B3409" i="1"/>
  <c r="B3410" i="1"/>
  <c r="B3411" i="1"/>
  <c r="B3412" i="1"/>
  <c r="B3413" i="1"/>
  <c r="B3414" i="1"/>
  <c r="B3415" i="1"/>
  <c r="B3416" i="1"/>
  <c r="B3417" i="1"/>
  <c r="B3418" i="1"/>
  <c r="C3418" i="1" s="1"/>
  <c r="B3419" i="1"/>
  <c r="C3419" i="1" s="1"/>
  <c r="B3420" i="1"/>
  <c r="B3421" i="1"/>
  <c r="B3422" i="1"/>
  <c r="B3423" i="1"/>
  <c r="B3424" i="1"/>
  <c r="B3425" i="1"/>
  <c r="C3425" i="1" s="1"/>
  <c r="B3426" i="1"/>
  <c r="B3427" i="1"/>
  <c r="B3428" i="1"/>
  <c r="C3428" i="1" s="1"/>
  <c r="B3429" i="1"/>
  <c r="B3430" i="1"/>
  <c r="B3431" i="1"/>
  <c r="B3432" i="1"/>
  <c r="B3433" i="1"/>
  <c r="C3433" i="1" s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C3448" i="1" s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C3463" i="1" s="1"/>
  <c r="B3464" i="1"/>
  <c r="B3465" i="1"/>
  <c r="B3466" i="1"/>
  <c r="B3467" i="1"/>
  <c r="B3468" i="1"/>
  <c r="C3468" i="1" s="1"/>
  <c r="B3469" i="1"/>
  <c r="B3470" i="1"/>
  <c r="B3471" i="1"/>
  <c r="B3472" i="1"/>
  <c r="B3473" i="1"/>
  <c r="C3473" i="1" s="1"/>
  <c r="B3474" i="1"/>
  <c r="B3475" i="1"/>
  <c r="C3475" i="1" s="1"/>
  <c r="B3476" i="1"/>
  <c r="B3477" i="1"/>
  <c r="B3478" i="1"/>
  <c r="B3479" i="1"/>
  <c r="B3480" i="1"/>
  <c r="B3481" i="1"/>
  <c r="C3481" i="1" s="1"/>
  <c r="B3482" i="1"/>
  <c r="B3483" i="1"/>
  <c r="B3484" i="1"/>
  <c r="B3485" i="1"/>
  <c r="B3486" i="1"/>
  <c r="B3487" i="1"/>
  <c r="C3487" i="1" s="1"/>
  <c r="B3488" i="1"/>
  <c r="B3489" i="1"/>
  <c r="B3490" i="1"/>
  <c r="B3491" i="1"/>
  <c r="C3491" i="1" s="1"/>
  <c r="B3492" i="1"/>
  <c r="B3493" i="1"/>
  <c r="C3493" i="1" s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C3508" i="1" s="1"/>
  <c r="B3509" i="1"/>
  <c r="B3510" i="1"/>
  <c r="B3511" i="1"/>
  <c r="C3511" i="1" s="1"/>
  <c r="B3512" i="1"/>
  <c r="B3513" i="1"/>
  <c r="C3513" i="1" s="1"/>
  <c r="B3514" i="1"/>
  <c r="B3515" i="1"/>
  <c r="B3516" i="1"/>
  <c r="B3517" i="1"/>
  <c r="B3518" i="1"/>
  <c r="B3519" i="1"/>
  <c r="B3520" i="1"/>
  <c r="B3521" i="1"/>
  <c r="B3522" i="1"/>
  <c r="B3523" i="1"/>
  <c r="C3523" i="1" s="1"/>
  <c r="B3524" i="1"/>
  <c r="C3524" i="1" s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C3547" i="1" s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C3563" i="1" s="1"/>
  <c r="B3564" i="1"/>
  <c r="C3564" i="1" s="1"/>
  <c r="B3565" i="1"/>
  <c r="B3566" i="1"/>
  <c r="B3567" i="1"/>
  <c r="B3568" i="1"/>
  <c r="B3569" i="1"/>
  <c r="C3569" i="1" s="1"/>
  <c r="B3570" i="1"/>
  <c r="B3571" i="1"/>
  <c r="C3571" i="1" s="1"/>
  <c r="B3572" i="1"/>
  <c r="C3572" i="1" s="1"/>
  <c r="B3573" i="1"/>
  <c r="C3573" i="1" s="1"/>
  <c r="B3574" i="1"/>
  <c r="C3574" i="1" s="1"/>
  <c r="B3575" i="1"/>
  <c r="C3575" i="1" s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C3587" i="1" s="1"/>
  <c r="B3588" i="1"/>
  <c r="B3589" i="1"/>
  <c r="B3590" i="1"/>
  <c r="B3591" i="1"/>
  <c r="B3592" i="1"/>
  <c r="B3593" i="1"/>
  <c r="B3594" i="1"/>
  <c r="B3595" i="1"/>
  <c r="B3596" i="1"/>
  <c r="B3597" i="1"/>
  <c r="B3598" i="1"/>
  <c r="C3598" i="1" s="1"/>
  <c r="B3599" i="1"/>
  <c r="C3599" i="1" s="1"/>
  <c r="B3600" i="1"/>
  <c r="B3601" i="1"/>
  <c r="C3601" i="1" s="1"/>
  <c r="B3602" i="1"/>
  <c r="B3603" i="1"/>
  <c r="B3604" i="1"/>
  <c r="B3605" i="1"/>
  <c r="B3606" i="1"/>
  <c r="B3607" i="1"/>
  <c r="C3607" i="1" s="1"/>
  <c r="B3608" i="1"/>
  <c r="B3609" i="1"/>
  <c r="B3610" i="1"/>
  <c r="B3611" i="1"/>
  <c r="B3612" i="1"/>
  <c r="B3613" i="1"/>
  <c r="B3614" i="1"/>
  <c r="B3615" i="1"/>
  <c r="B3616" i="1"/>
  <c r="C3616" i="1" s="1"/>
  <c r="B3617" i="1"/>
  <c r="B3618" i="1"/>
  <c r="B3619" i="1"/>
  <c r="B3620" i="1"/>
  <c r="C3620" i="1" s="1"/>
  <c r="B3621" i="1"/>
  <c r="B3622" i="1"/>
  <c r="C3622" i="1" s="1"/>
  <c r="B3623" i="1"/>
  <c r="B3624" i="1"/>
  <c r="B3625" i="1"/>
  <c r="B3626" i="1"/>
  <c r="B3627" i="1"/>
  <c r="B3628" i="1"/>
  <c r="B3629" i="1"/>
  <c r="C3629" i="1" s="1"/>
  <c r="B3630" i="1"/>
  <c r="B3631" i="1"/>
  <c r="B3632" i="1"/>
  <c r="B3633" i="1"/>
  <c r="B3634" i="1"/>
  <c r="C3634" i="1" s="1"/>
  <c r="B3635" i="1"/>
  <c r="B3636" i="1"/>
  <c r="B3637" i="1"/>
  <c r="B3638" i="1"/>
  <c r="B3639" i="1"/>
  <c r="B3640" i="1"/>
  <c r="B3641" i="1"/>
  <c r="C3641" i="1" s="1"/>
  <c r="B3642" i="1"/>
  <c r="B3643" i="1"/>
  <c r="B3644" i="1"/>
  <c r="C3644" i="1" s="1"/>
  <c r="B3645" i="1"/>
  <c r="B3646" i="1"/>
  <c r="B3647" i="1"/>
  <c r="B3648" i="1"/>
  <c r="C3648" i="1" s="1"/>
  <c r="B3649" i="1"/>
  <c r="C3649" i="1" s="1"/>
  <c r="B3650" i="1"/>
  <c r="B3651" i="1"/>
  <c r="B3652" i="1"/>
  <c r="B3653" i="1"/>
  <c r="B3654" i="1"/>
  <c r="B3655" i="1"/>
  <c r="C3655" i="1" s="1"/>
  <c r="B3656" i="1"/>
  <c r="B3657" i="1"/>
  <c r="C3657" i="1" s="1"/>
  <c r="B3658" i="1"/>
  <c r="B3659" i="1"/>
  <c r="B3660" i="1"/>
  <c r="C3660" i="1" s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C3672" i="1" s="1"/>
  <c r="B3673" i="1"/>
  <c r="B3674" i="1"/>
  <c r="B3675" i="1"/>
  <c r="B3676" i="1"/>
  <c r="C3676" i="1" s="1"/>
  <c r="B3677" i="1"/>
  <c r="B3678" i="1"/>
  <c r="B3679" i="1"/>
  <c r="B3680" i="1"/>
  <c r="C3680" i="1" s="1"/>
  <c r="B3681" i="1"/>
  <c r="B3682" i="1"/>
  <c r="B3683" i="1"/>
  <c r="B3684" i="1"/>
  <c r="B3685" i="1"/>
  <c r="C3685" i="1" s="1"/>
  <c r="B3686" i="1"/>
  <c r="B3687" i="1"/>
  <c r="B3688" i="1"/>
  <c r="B3689" i="1"/>
  <c r="B3690" i="1"/>
  <c r="B3691" i="1"/>
  <c r="C3691" i="1" s="1"/>
  <c r="B3692" i="1"/>
  <c r="B3693" i="1"/>
  <c r="C3693" i="1" s="1"/>
  <c r="B3694" i="1"/>
  <c r="B3695" i="1"/>
  <c r="B3696" i="1"/>
  <c r="B3697" i="1"/>
  <c r="B3698" i="1"/>
  <c r="B3699" i="1"/>
  <c r="B3700" i="1"/>
  <c r="B3701" i="1"/>
  <c r="C3701" i="1" s="1"/>
  <c r="B3702" i="1"/>
  <c r="B3703" i="1"/>
  <c r="B3704" i="1"/>
  <c r="B3705" i="1"/>
  <c r="B3706" i="1"/>
  <c r="B3707" i="1"/>
  <c r="C3707" i="1" s="1"/>
  <c r="B3708" i="1"/>
  <c r="C3708" i="1" s="1"/>
  <c r="B3709" i="1"/>
  <c r="B3710" i="1"/>
  <c r="B3711" i="1"/>
  <c r="B3712" i="1"/>
  <c r="B3713" i="1"/>
  <c r="B3714" i="1"/>
  <c r="B3715" i="1"/>
  <c r="B3716" i="1"/>
  <c r="B3717" i="1"/>
  <c r="B3718" i="1"/>
  <c r="C3718" i="1" s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C3744" i="1" s="1"/>
  <c r="B3745" i="1"/>
  <c r="B3746" i="1"/>
  <c r="B3747" i="1"/>
  <c r="B3748" i="1"/>
  <c r="C3748" i="1" s="1"/>
  <c r="B3749" i="1"/>
  <c r="B3750" i="1"/>
  <c r="B3751" i="1"/>
  <c r="B3752" i="1"/>
  <c r="B3753" i="1"/>
  <c r="B3754" i="1"/>
  <c r="B3755" i="1"/>
  <c r="C3755" i="1" s="1"/>
  <c r="B3756" i="1"/>
  <c r="B3757" i="1"/>
  <c r="B3758" i="1"/>
  <c r="B3759" i="1"/>
  <c r="B3760" i="1"/>
  <c r="C3760" i="1" s="1"/>
  <c r="B3761" i="1"/>
  <c r="C3761" i="1" s="1"/>
  <c r="B3762" i="1"/>
  <c r="B3763" i="1"/>
  <c r="B3764" i="1"/>
  <c r="C3764" i="1" s="1"/>
  <c r="B3765" i="1"/>
  <c r="C3765" i="1" s="1"/>
  <c r="B3766" i="1"/>
  <c r="B3767" i="1"/>
  <c r="B3768" i="1"/>
  <c r="B3769" i="1"/>
  <c r="C3769" i="1" s="1"/>
  <c r="B3770" i="1"/>
  <c r="B3771" i="1"/>
  <c r="B3772" i="1"/>
  <c r="C3772" i="1" s="1"/>
  <c r="B3773" i="1"/>
  <c r="B3774" i="1"/>
  <c r="B3775" i="1"/>
  <c r="B3776" i="1"/>
  <c r="C3776" i="1" s="1"/>
  <c r="B3777" i="1"/>
  <c r="C3777" i="1" s="1"/>
  <c r="B3778" i="1"/>
  <c r="B3779" i="1"/>
  <c r="B3780" i="1"/>
  <c r="B3781" i="1"/>
  <c r="B3782" i="1"/>
  <c r="B3783" i="1"/>
  <c r="C3783" i="1" s="1"/>
  <c r="B3784" i="1"/>
  <c r="B3785" i="1"/>
  <c r="B3786" i="1"/>
  <c r="B3787" i="1"/>
  <c r="B3788" i="1"/>
  <c r="C3788" i="1" s="1"/>
  <c r="B3789" i="1"/>
  <c r="B3790" i="1"/>
  <c r="B3791" i="1"/>
  <c r="C3791" i="1" s="1"/>
  <c r="B3792" i="1"/>
  <c r="B3793" i="1"/>
  <c r="B3794" i="1"/>
  <c r="B3795" i="1"/>
  <c r="B3796" i="1"/>
  <c r="B3797" i="1"/>
  <c r="C3797" i="1" s="1"/>
  <c r="B3798" i="1"/>
  <c r="B3799" i="1"/>
  <c r="B3800" i="1"/>
  <c r="B3801" i="1"/>
  <c r="C3801" i="1" s="1"/>
  <c r="B3802" i="1"/>
  <c r="C3802" i="1" s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C3814" i="1" s="1"/>
  <c r="B3815" i="1"/>
  <c r="B3816" i="1"/>
  <c r="B3817" i="1"/>
  <c r="B3818" i="1"/>
  <c r="B3819" i="1"/>
  <c r="B3820" i="1"/>
  <c r="B3821" i="1"/>
  <c r="B3822" i="1"/>
  <c r="B3823" i="1"/>
  <c r="B3824" i="1"/>
  <c r="B3825" i="1"/>
  <c r="C3825" i="1" s="1"/>
  <c r="B3826" i="1"/>
  <c r="C3826" i="1" s="1"/>
  <c r="B3827" i="1"/>
  <c r="B3828" i="1"/>
  <c r="C3828" i="1" s="1"/>
  <c r="B3829" i="1"/>
  <c r="C3829" i="1" s="1"/>
  <c r="B3830" i="1"/>
  <c r="B3831" i="1"/>
  <c r="B3832" i="1"/>
  <c r="B3833" i="1"/>
  <c r="B3834" i="1"/>
  <c r="B3835" i="1"/>
  <c r="C3835" i="1" s="1"/>
  <c r="B3836" i="1"/>
  <c r="C3836" i="1" s="1"/>
  <c r="B3837" i="1"/>
  <c r="B3838" i="1"/>
  <c r="C3838" i="1" s="1"/>
  <c r="B3839" i="1"/>
  <c r="C3839" i="1" s="1"/>
  <c r="B3840" i="1"/>
  <c r="B3841" i="1"/>
  <c r="B3842" i="1"/>
  <c r="B3843" i="1"/>
  <c r="B3844" i="1"/>
  <c r="B3845" i="1"/>
  <c r="C3845" i="1" s="1"/>
  <c r="B3846" i="1"/>
  <c r="B3847" i="1"/>
  <c r="B3848" i="1"/>
  <c r="C3848" i="1" s="1"/>
  <c r="B3849" i="1"/>
  <c r="C3849" i="1" s="1"/>
  <c r="B3850" i="1"/>
  <c r="B3851" i="1"/>
  <c r="B3852" i="1"/>
  <c r="B3853" i="1"/>
  <c r="B3854" i="1"/>
  <c r="B3855" i="1"/>
  <c r="C3855" i="1" s="1"/>
  <c r="B3856" i="1"/>
  <c r="B3857" i="1"/>
  <c r="B3858" i="1"/>
  <c r="B3859" i="1"/>
  <c r="C3859" i="1" s="1"/>
  <c r="B3860" i="1"/>
  <c r="B3861" i="1"/>
  <c r="B3862" i="1"/>
  <c r="B3863" i="1"/>
  <c r="C3863" i="1" s="1"/>
  <c r="B3864" i="1"/>
  <c r="B3865" i="1"/>
  <c r="C3865" i="1" s="1"/>
  <c r="B3866" i="1"/>
  <c r="B3867" i="1"/>
  <c r="B3868" i="1"/>
  <c r="C3868" i="1" s="1"/>
  <c r="B3869" i="1"/>
  <c r="C3869" i="1" s="1"/>
  <c r="B3870" i="1"/>
  <c r="B3871" i="1"/>
  <c r="C3871" i="1" s="1"/>
  <c r="B3872" i="1"/>
  <c r="B3873" i="1"/>
  <c r="B3874" i="1"/>
  <c r="B3875" i="1"/>
  <c r="C3875" i="1" s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C3889" i="1" s="1"/>
  <c r="B3890" i="1"/>
  <c r="B3891" i="1"/>
  <c r="B3892" i="1"/>
  <c r="C3892" i="1" s="1"/>
  <c r="B3893" i="1"/>
  <c r="B3894" i="1"/>
  <c r="B3895" i="1"/>
  <c r="C3895" i="1" s="1"/>
  <c r="B3896" i="1"/>
  <c r="B3897" i="1"/>
  <c r="C3897" i="1" s="1"/>
  <c r="B3898" i="1"/>
  <c r="C3898" i="1" s="1"/>
  <c r="B3899" i="1"/>
  <c r="B3900" i="1"/>
  <c r="C3900" i="1" s="1"/>
  <c r="B3901" i="1"/>
  <c r="B3902" i="1"/>
  <c r="B3903" i="1"/>
  <c r="B3904" i="1"/>
  <c r="B3905" i="1"/>
  <c r="B3906" i="1"/>
  <c r="B3907" i="1"/>
  <c r="C3907" i="1" s="1"/>
  <c r="B3908" i="1"/>
  <c r="B3909" i="1"/>
  <c r="B3910" i="1"/>
  <c r="C3910" i="1" s="1"/>
  <c r="B3911" i="1"/>
  <c r="C3911" i="1" s="1"/>
  <c r="B3912" i="1"/>
  <c r="B3913" i="1"/>
  <c r="B3914" i="1"/>
  <c r="B3915" i="1"/>
  <c r="B3916" i="1"/>
  <c r="B3917" i="1"/>
  <c r="B3918" i="1"/>
  <c r="B3919" i="1"/>
  <c r="B3920" i="1"/>
  <c r="C3920" i="1" s="1"/>
  <c r="B3921" i="1"/>
  <c r="B3922" i="1"/>
  <c r="B3923" i="1"/>
  <c r="C3923" i="1" s="1"/>
  <c r="B3924" i="1"/>
  <c r="B3925" i="1"/>
  <c r="C3925" i="1" s="1"/>
  <c r="B3926" i="1"/>
  <c r="B3927" i="1"/>
  <c r="B3928" i="1"/>
  <c r="B3929" i="1"/>
  <c r="B3930" i="1"/>
  <c r="B3931" i="1"/>
  <c r="C3931" i="1" s="1"/>
  <c r="B3932" i="1"/>
  <c r="B3933" i="1"/>
  <c r="B3934" i="1"/>
  <c r="C3934" i="1" s="1"/>
  <c r="B3935" i="1"/>
  <c r="B3936" i="1"/>
  <c r="C3936" i="1" s="1"/>
  <c r="B3937" i="1"/>
  <c r="C18" i="1"/>
  <c r="C38" i="1"/>
  <c r="C51" i="1"/>
  <c r="C54" i="1"/>
  <c r="C62" i="1"/>
  <c r="C78" i="1"/>
  <c r="C86" i="1"/>
  <c r="C88" i="1"/>
  <c r="C90" i="1"/>
  <c r="C98" i="1"/>
  <c r="C102" i="1"/>
  <c r="C110" i="1"/>
  <c r="C114" i="1"/>
  <c r="C122" i="1"/>
  <c r="C124" i="1"/>
  <c r="C126" i="1"/>
  <c r="C135" i="1"/>
  <c r="C138" i="1"/>
  <c r="C148" i="1"/>
  <c r="C171" i="1"/>
  <c r="C174" i="1"/>
  <c r="C182" i="1"/>
  <c r="C183" i="1"/>
  <c r="C195" i="1"/>
  <c r="C198" i="1"/>
  <c r="C210" i="1"/>
  <c r="C218" i="1"/>
  <c r="C269" i="1"/>
  <c r="C279" i="1"/>
  <c r="C280" i="1"/>
  <c r="C284" i="1"/>
  <c r="C306" i="1"/>
  <c r="C315" i="1"/>
  <c r="C326" i="1"/>
  <c r="C353" i="1"/>
  <c r="C362" i="1"/>
  <c r="C377" i="1"/>
  <c r="C398" i="1"/>
  <c r="C399" i="1"/>
  <c r="C413" i="1"/>
  <c r="C423" i="1"/>
  <c r="C435" i="1"/>
  <c r="C446" i="1"/>
  <c r="C462" i="1"/>
  <c r="C470" i="1"/>
  <c r="C474" i="1"/>
  <c r="C482" i="1"/>
  <c r="C485" i="1"/>
  <c r="C486" i="1"/>
  <c r="C498" i="1"/>
  <c r="C510" i="1"/>
  <c r="C522" i="1"/>
  <c r="C542" i="1"/>
  <c r="C546" i="1"/>
  <c r="C548" i="1"/>
  <c r="C558" i="1"/>
  <c r="C570" i="1"/>
  <c r="C578" i="1"/>
  <c r="C603" i="1"/>
  <c r="C627" i="1"/>
  <c r="C638" i="1"/>
  <c r="C642" i="1"/>
  <c r="C675" i="1"/>
  <c r="C690" i="1"/>
  <c r="C702" i="1"/>
  <c r="C722" i="1"/>
  <c r="C737" i="1"/>
  <c r="C750" i="1"/>
  <c r="C761" i="1"/>
  <c r="C798" i="1"/>
  <c r="C806" i="1"/>
  <c r="C831" i="1"/>
  <c r="C842" i="1"/>
  <c r="C854" i="1"/>
  <c r="C867" i="1"/>
  <c r="C869" i="1"/>
  <c r="C878" i="1"/>
  <c r="C915" i="1"/>
  <c r="C918" i="1"/>
  <c r="C987" i="1"/>
  <c r="C1002" i="1"/>
  <c r="C1011" i="1"/>
  <c r="C1012" i="1"/>
  <c r="C1034" i="1"/>
  <c r="C1048" i="1"/>
  <c r="C1070" i="1"/>
  <c r="C1071" i="1"/>
  <c r="C1072" i="1"/>
  <c r="C1106" i="1"/>
  <c r="C1142" i="1"/>
  <c r="C1143" i="1"/>
  <c r="C1146" i="1"/>
  <c r="C1154" i="1"/>
  <c r="C1167" i="1"/>
  <c r="C1178" i="1"/>
  <c r="C1182" i="1"/>
  <c r="C1202" i="1"/>
  <c r="C1218" i="1"/>
  <c r="C1266" i="1"/>
  <c r="C1276" i="1"/>
  <c r="C1311" i="1"/>
  <c r="C1322" i="1"/>
  <c r="C1358" i="1"/>
  <c r="C1360" i="1"/>
  <c r="C1370" i="1"/>
  <c r="C1408" i="1"/>
  <c r="C1422" i="1"/>
  <c r="C1446" i="1"/>
  <c r="C1482" i="1"/>
  <c r="C1502" i="1"/>
  <c r="C1530" i="1"/>
  <c r="C1578" i="1"/>
  <c r="C1589" i="1"/>
  <c r="C1598" i="1"/>
  <c r="C1600" i="1"/>
  <c r="C1622" i="1"/>
  <c r="C1623" i="1"/>
  <c r="C1626" i="1"/>
  <c r="C1671" i="1"/>
  <c r="C1698" i="1"/>
  <c r="C1718" i="1"/>
  <c r="C1731" i="1"/>
  <c r="C1734" i="1"/>
  <c r="C1742" i="1"/>
  <c r="C1768" i="1"/>
  <c r="C1780" i="1"/>
  <c r="C1802" i="1"/>
  <c r="C1827" i="1"/>
  <c r="C1842" i="1"/>
  <c r="C1854" i="1"/>
  <c r="C1863" i="1"/>
  <c r="C1874" i="1"/>
  <c r="C1902" i="1"/>
  <c r="C1915" i="1"/>
  <c r="C1938" i="1"/>
  <c r="C1986" i="1"/>
  <c r="C2007" i="1"/>
  <c r="C2031" i="1"/>
  <c r="C2043" i="1"/>
  <c r="C2055" i="1"/>
  <c r="C2058" i="1"/>
  <c r="C2091" i="1"/>
  <c r="C2092" i="1"/>
  <c r="C2102" i="1"/>
  <c r="C2106" i="1"/>
  <c r="C2130" i="1"/>
  <c r="C2151" i="1"/>
  <c r="C2163" i="1"/>
  <c r="C2166" i="1"/>
  <c r="C2186" i="1"/>
  <c r="C2187" i="1"/>
  <c r="C2199" i="1"/>
  <c r="C2202" i="1"/>
  <c r="C2214" i="1"/>
  <c r="C2224" i="1"/>
  <c r="C2237" i="1"/>
  <c r="C2250" i="1"/>
  <c r="C2306" i="1"/>
  <c r="C2331" i="1"/>
  <c r="C2379" i="1"/>
  <c r="C2391" i="1"/>
  <c r="C2392" i="1"/>
  <c r="C2428" i="1"/>
  <c r="C2439" i="1"/>
  <c r="C2450" i="1"/>
  <c r="C2466" i="1"/>
  <c r="C2475" i="1"/>
  <c r="C2476" i="1"/>
  <c r="C2501" i="1"/>
  <c r="C2502" i="1"/>
  <c r="C2535" i="1"/>
  <c r="C2595" i="1"/>
  <c r="C2607" i="1"/>
  <c r="C2619" i="1"/>
  <c r="C2658" i="1"/>
  <c r="C2682" i="1"/>
  <c r="C2690" i="1"/>
  <c r="C2691" i="1"/>
  <c r="C2702" i="1"/>
  <c r="C2715" i="1"/>
  <c r="C2754" i="1"/>
  <c r="C2774" i="1"/>
  <c r="C2798" i="1"/>
  <c r="C2799" i="1"/>
  <c r="C2810" i="1"/>
  <c r="C2813" i="1"/>
  <c r="C2822" i="1"/>
  <c r="C2826" i="1"/>
  <c r="C2835" i="1"/>
  <c r="C2838" i="1"/>
  <c r="C2862" i="1"/>
  <c r="C2871" i="1"/>
  <c r="C2922" i="1"/>
  <c r="C2943" i="1"/>
  <c r="C2966" i="1"/>
  <c r="C2990" i="1"/>
  <c r="C3006" i="1"/>
  <c r="C3051" i="1"/>
  <c r="C3066" i="1"/>
  <c r="C3086" i="1"/>
  <c r="C3110" i="1"/>
  <c r="C3122" i="1"/>
  <c r="C3134" i="1"/>
  <c r="C3138" i="1"/>
  <c r="C3195" i="1"/>
  <c r="C3206" i="1"/>
  <c r="C3207" i="1"/>
  <c r="C3246" i="1"/>
  <c r="C3255" i="1"/>
  <c r="C3294" i="1"/>
  <c r="C3354" i="1"/>
  <c r="C3375" i="1"/>
  <c r="C3389" i="1"/>
  <c r="C3399" i="1"/>
  <c r="C3402" i="1"/>
  <c r="C3410" i="1"/>
  <c r="C3423" i="1"/>
  <c r="C3435" i="1"/>
  <c r="C3438" i="1"/>
  <c r="C3459" i="1"/>
  <c r="C3472" i="1"/>
  <c r="C3494" i="1"/>
  <c r="C3510" i="1"/>
  <c r="C3520" i="1"/>
  <c r="C3521" i="1"/>
  <c r="C3522" i="1"/>
  <c r="C3531" i="1"/>
  <c r="C3558" i="1"/>
  <c r="C3590" i="1"/>
  <c r="C3591" i="1"/>
  <c r="C3594" i="1"/>
  <c r="C3618" i="1"/>
  <c r="C3650" i="1"/>
  <c r="C3651" i="1"/>
  <c r="C3652" i="1"/>
  <c r="C3686" i="1"/>
  <c r="C3711" i="1"/>
  <c r="C3713" i="1"/>
  <c r="C3758" i="1"/>
  <c r="C3770" i="1"/>
  <c r="C3774" i="1"/>
  <c r="C3782" i="1"/>
  <c r="C3784" i="1"/>
  <c r="C3786" i="1"/>
  <c r="C3794" i="1"/>
  <c r="C3795" i="1"/>
  <c r="C3806" i="1"/>
  <c r="C3807" i="1"/>
  <c r="C3834" i="1"/>
  <c r="C3843" i="1"/>
  <c r="C3846" i="1"/>
  <c r="C3854" i="1"/>
  <c r="C3881" i="1"/>
  <c r="C3882" i="1"/>
  <c r="C3902" i="1"/>
  <c r="C3906" i="1"/>
  <c r="C3915" i="1"/>
  <c r="C3927" i="1"/>
</calcChain>
</file>

<file path=xl/sharedStrings.xml><?xml version="1.0" encoding="utf-8"?>
<sst xmlns="http://schemas.openxmlformats.org/spreadsheetml/2006/main" count="45711" uniqueCount="13512">
  <si>
    <t>CNPJ</t>
  </si>
  <si>
    <t>Razão Social</t>
  </si>
  <si>
    <t>Nome Fantasia</t>
  </si>
  <si>
    <t>Situação</t>
  </si>
  <si>
    <t>Data Abertura</t>
  </si>
  <si>
    <t>Natureza Jurídica</t>
  </si>
  <si>
    <t>Porte</t>
  </si>
  <si>
    <t>Capital Social</t>
  </si>
  <si>
    <t>CNAE Principal</t>
  </si>
  <si>
    <t>CNAE Descrição</t>
  </si>
  <si>
    <t>Logradouro</t>
  </si>
  <si>
    <t>Número</t>
  </si>
  <si>
    <t>Complemento</t>
  </si>
  <si>
    <t>Bairro</t>
  </si>
  <si>
    <t>Município</t>
  </si>
  <si>
    <t>UF</t>
  </si>
  <si>
    <t>CEP</t>
  </si>
  <si>
    <t>Telefone</t>
  </si>
  <si>
    <t>Status</t>
  </si>
  <si>
    <t>1 TECH COMERCIO, SERVICOS E SOLUCOES DE INFORMATICA LTDA</t>
  </si>
  <si>
    <t>ATIVA</t>
  </si>
  <si>
    <t>Sociedade Empresária Limitada</t>
  </si>
  <si>
    <t>EMPRESA DE PEQUENO PORTE</t>
  </si>
  <si>
    <t>Comércio varejista especializado de equipamentos e suprimentos de informática</t>
  </si>
  <si>
    <t>VISCONDE DE INHAUMA</t>
  </si>
  <si>
    <t>CONJ 202</t>
  </si>
  <si>
    <t>VILA DA SAUDE</t>
  </si>
  <si>
    <t>SAO PAULO</t>
  </si>
  <si>
    <t>SP</t>
  </si>
  <si>
    <t>concluido</t>
  </si>
  <si>
    <t>100 (POR CENTO) TRIBUTARIA-CONSULTORIA FISCAL S/C LTDA</t>
  </si>
  <si>
    <t>INAPTA</t>
  </si>
  <si>
    <t>Sociedade Simples Limitada</t>
  </si>
  <si>
    <t>DEMAIS</t>
  </si>
  <si>
    <t>Outras atividades de serviços financeiros não especificadas anteriormente</t>
  </si>
  <si>
    <t>FRANCISCO PINTO DUARTE</t>
  </si>
  <si>
    <t>COLINA</t>
  </si>
  <si>
    <t>AMERICANA</t>
  </si>
  <si>
    <t>1000 RR DISTRIBUIDORA LIMITADA</t>
  </si>
  <si>
    <t>1000RR DISTRIBUIDORA</t>
  </si>
  <si>
    <t>Comércio atacadista de materiais de construção em geral</t>
  </si>
  <si>
    <t>ORAZIO STANCO</t>
  </si>
  <si>
    <t>PARQUE DOS EUCALIPTOS</t>
  </si>
  <si>
    <t>FRANCO DA ROCHA</t>
  </si>
  <si>
    <t>18.236.567 GREICE PETRY NUNES</t>
  </si>
  <si>
    <t>BAIXADA</t>
  </si>
  <si>
    <t>Empresário (Individual)</t>
  </si>
  <si>
    <t>MICRO EMPRESA</t>
  </si>
  <si>
    <t>Promoção de vendas</t>
  </si>
  <si>
    <t>JAHU</t>
  </si>
  <si>
    <t>CASA 7</t>
  </si>
  <si>
    <t>PATRIA NOVA</t>
  </si>
  <si>
    <t>NOVO HAMBURGO</t>
  </si>
  <si>
    <t>RS</t>
  </si>
  <si>
    <t>26.041.219 TANARA DE SOUZA DANILEVICZ SALERNO</t>
  </si>
  <si>
    <t>Treinamento em desenvolvimento profissional e gerencial</t>
  </si>
  <si>
    <t>JOAO ROMANETTO</t>
  </si>
  <si>
    <t>QUADRA 4;LOTE 23</t>
  </si>
  <si>
    <t>LOTEAMENTO RESIDENCIAL FAZENDA SAO JOSE</t>
  </si>
  <si>
    <t>VALINHOS</t>
  </si>
  <si>
    <t>2GL GUARDA DE DOCUMENTOS LTDA</t>
  </si>
  <si>
    <t>ARQUIVO1 DIGITALIZACAO E GUARDA DE DOCUMENTOS</t>
  </si>
  <si>
    <t>Carga e descarga</t>
  </si>
  <si>
    <t>LUIZ FERNANDO RODRIGUEZ</t>
  </si>
  <si>
    <t>VILA BOA VISTA</t>
  </si>
  <si>
    <t>CAMPINAS</t>
  </si>
  <si>
    <t>3778 GESTAO EM SAUDE LTDA</t>
  </si>
  <si>
    <t>Atividade médica ambulatorial com recursos para realização de exames complementares</t>
  </si>
  <si>
    <t>S JOAO</t>
  </si>
  <si>
    <t>ANDAR 1 CONJ 101 E 102</t>
  </si>
  <si>
    <t>CENTRO</t>
  </si>
  <si>
    <t>3G CONSTRUCOES E REFORMAS LTDA</t>
  </si>
  <si>
    <t>3G CONSTRUCOES E REFORMAS</t>
  </si>
  <si>
    <t>Outras obras de acabamento da construção</t>
  </si>
  <si>
    <t>INAMBA</t>
  </si>
  <si>
    <t>LOTE 03</t>
  </si>
  <si>
    <t>KENNEDY</t>
  </si>
  <si>
    <t>NOVA IGUACU</t>
  </si>
  <si>
    <t>RJ</t>
  </si>
  <si>
    <t>3M DO BRASIL LTDA</t>
  </si>
  <si>
    <t>Fabricação de outros produtos químicos não especificados anteriormente</t>
  </si>
  <si>
    <t>ANHANGUERA</t>
  </si>
  <si>
    <t>S/N</t>
  </si>
  <si>
    <t>KM 110</t>
  </si>
  <si>
    <t>JARDIM MANCHESTER (NOVA VENEZA)</t>
  </si>
  <si>
    <t>SUMARE</t>
  </si>
  <si>
    <t>3S GCON CONSTRUTORA LTDA</t>
  </si>
  <si>
    <t>Construção de edifícios</t>
  </si>
  <si>
    <t>PASTOR ALBERT SCHNEIDER</t>
  </si>
  <si>
    <t>BARRA DO RIO CERRO</t>
  </si>
  <si>
    <t>JARAGUA DO SUL</t>
  </si>
  <si>
    <t>SC</t>
  </si>
  <si>
    <t>3S SOLUCOES MEDICAS S.A.</t>
  </si>
  <si>
    <t>3S - SOLUCAO SERVICO E SAUDE</t>
  </si>
  <si>
    <t>Sociedade Anônima Fechada</t>
  </si>
  <si>
    <t>Atividades de atenção ambulatorial não especificadas anteriormente</t>
  </si>
  <si>
    <t>MINISTRO OROZIMBO NONATO</t>
  </si>
  <si>
    <t>SALA 1015</t>
  </si>
  <si>
    <t>VILA DA SERRA</t>
  </si>
  <si>
    <t>NOVA LIMA</t>
  </si>
  <si>
    <t>MG</t>
  </si>
  <si>
    <t>3STRUCTURE IT LTDA</t>
  </si>
  <si>
    <t>3STRUCTURE</t>
  </si>
  <si>
    <t>Desenvolvimento e licenciamento de programas de computador customizáveis</t>
  </si>
  <si>
    <t>JOSE CARLOS DAUX</t>
  </si>
  <si>
    <t>SALA 302 TORRE JURERE B SC 401 SQUARE CORPORATE</t>
  </si>
  <si>
    <t>SACO GRANDE</t>
  </si>
  <si>
    <t>FLORIANOPOLIS</t>
  </si>
  <si>
    <t>45.906.001 SEVERINO GERMANO DE LIRA JUNIOR</t>
  </si>
  <si>
    <t>Edição de cadastros, listas e de outros produtos gráficos</t>
  </si>
  <si>
    <t>SANTA TERESA</t>
  </si>
  <si>
    <t>SN</t>
  </si>
  <si>
    <t>VALE DA FIGUEIRA (PONTA NEGRA)</t>
  </si>
  <si>
    <t>MARICA</t>
  </si>
  <si>
    <t>48.063.131 CLAYTON DE JESUS GONCALVES</t>
  </si>
  <si>
    <t>Comércio varejista de materiais de construção em geral</t>
  </si>
  <si>
    <t>NICOLAU MAYEVSKY</t>
  </si>
  <si>
    <t>SALA 02</t>
  </si>
  <si>
    <t>JARDIM VELHO SANAZAR</t>
  </si>
  <si>
    <t>JANDIRA</t>
  </si>
  <si>
    <t>49.821.257 EDUARDO PEREIRA DE SOUZA</t>
  </si>
  <si>
    <t>Preparação de documentos e serviços especializados de apoio administrativo não especificados anteriormente</t>
  </si>
  <si>
    <t>SAO MIGUEL DO OESTE</t>
  </si>
  <si>
    <t>BLOCO 3;APT 302</t>
  </si>
  <si>
    <t>CEARA</t>
  </si>
  <si>
    <t>CRICIUMA</t>
  </si>
  <si>
    <t>4TECH MAQUINAS E EQUIPAMENTOS LTDA</t>
  </si>
  <si>
    <t>4TECH MAQUINAS</t>
  </si>
  <si>
    <t>Comércio atacadista de Máquinas e equipamentos para uso industrial; partes e peças</t>
  </si>
  <si>
    <t>GERONYMO BRAGA</t>
  </si>
  <si>
    <t>ANEXO SALAO 07</t>
  </si>
  <si>
    <t>LOTEAMENTO INDUSTRIAL MACHADINHO</t>
  </si>
  <si>
    <t>6B INVENT GERMANY INOX CE - BRASIL, IMPORTACAO E EXPORTACAO LTDA</t>
  </si>
  <si>
    <t>6B INVENT GERMANY INOX CE</t>
  </si>
  <si>
    <t>509088.03</t>
  </si>
  <si>
    <t>Comércio atacadista de instrumentos e materiais para uso médico, cirúrgico, hospitalar e de laboratórios</t>
  </si>
  <si>
    <t>DONA ANA PIMENTEL</t>
  </si>
  <si>
    <t>AGUA BRANCA</t>
  </si>
  <si>
    <t>7Y DISTRIBUIDORA DE FRALDAS LTDA</t>
  </si>
  <si>
    <t>Comércio atacadista de produtos de higiene pessoal</t>
  </si>
  <si>
    <t>DOUTOR VIRGILIO DO NASCIMENTO</t>
  </si>
  <si>
    <t xml:space="preserve"> 105/111</t>
  </si>
  <si>
    <t>BRAS</t>
  </si>
  <si>
    <t>A H DA S MORAES</t>
  </si>
  <si>
    <t>LICITATUDO DISTRIBUICAO E COMERCIO</t>
  </si>
  <si>
    <t>SALDANHA MARINHO</t>
  </si>
  <si>
    <t>FUNDOSHC 1</t>
  </si>
  <si>
    <t>AURORA - VILA</t>
  </si>
  <si>
    <t>SAO JOSE DO RIO PRETO</t>
  </si>
  <si>
    <t>A. A. DE ALMEIDA EQUIPAMENTOS AGRO INDUSTRIAL</t>
  </si>
  <si>
    <t>LEBRINHA EQUIPAMENTOS HIDRAULICOS E AGRO INDUSTRIAL</t>
  </si>
  <si>
    <t>Fabricação de máquinas e equipamentos para a agricultura e pecuária, peças e acessórios, exceto para irrigação</t>
  </si>
  <si>
    <t>ROMILDO SIQUEIRA LINS</t>
  </si>
  <si>
    <t>DISTRITO INDUSTRIAL</t>
  </si>
  <si>
    <t>MOTUCA</t>
  </si>
  <si>
    <t>A. A. VENTURA - PAPER</t>
  </si>
  <si>
    <t>VENTURA PAPER</t>
  </si>
  <si>
    <t>Fabricação de produtos de papel para uso doméstico e higiênico-sanitário não especificados anteriormente</t>
  </si>
  <si>
    <t>MEN DE SA</t>
  </si>
  <si>
    <t>ANTONIO ZANAGA II</t>
  </si>
  <si>
    <t>A. GRINGS S.A.</t>
  </si>
  <si>
    <t>PICCADILLY COMPANY</t>
  </si>
  <si>
    <t>Fabricação de calçados de material sintético</t>
  </si>
  <si>
    <t>GENERAL ERNESTO DORNELLES</t>
  </si>
  <si>
    <t>IGREJINHA</t>
  </si>
  <si>
    <t>A. RICARTE SERVICOS ADMINISTRATIVOS</t>
  </si>
  <si>
    <t>Serviços combinados de escritório e apoio administrativo</t>
  </si>
  <si>
    <t>ASTOLPHINA DUARTE DO PATEO</t>
  </si>
  <si>
    <t>JARDIM UMARIZAL</t>
  </si>
  <si>
    <t>A. STUCHI CONSULTORIA LTDA</t>
  </si>
  <si>
    <t>Atividades de consultoria em gestão empresarial, exceto consultoria técnica específica</t>
  </si>
  <si>
    <t>DO IPE ROXO</t>
  </si>
  <si>
    <t>QUADRAL LOTE 04</t>
  </si>
  <si>
    <t>COND DUAS MARIAS</t>
  </si>
  <si>
    <t>HOLAMBRA</t>
  </si>
  <si>
    <t>A.AUGUSTO S. ELVEDOSA</t>
  </si>
  <si>
    <t>STAHLS DO BRASIL</t>
  </si>
  <si>
    <t>Impressão de material para uso publicitário</t>
  </si>
  <si>
    <t>DOUTOR JOAQUIM GUARANA DE SANTANA</t>
  </si>
  <si>
    <t>ESPLANADA DOS BARREIROS</t>
  </si>
  <si>
    <t>SAO VICENTE</t>
  </si>
  <si>
    <t>A.F.P INDUSTRIA E COMERCIO DE PLASTICOS LTDA</t>
  </si>
  <si>
    <t>A.F.P EMBALAGENS</t>
  </si>
  <si>
    <t>Fabricação de embalagens de material plástico</t>
  </si>
  <si>
    <t>JUIZ DANILO BERTOLIN PRECOMA</t>
  </si>
  <si>
    <t>CIDADE JARDIM</t>
  </si>
  <si>
    <t>SAO JOSE DOS PINHAIS</t>
  </si>
  <si>
    <t>PR</t>
  </si>
  <si>
    <t>A.G.A. LONAS LTDA</t>
  </si>
  <si>
    <t>BRASIL TUDO LONAS</t>
  </si>
  <si>
    <t>Fabricação de tecidos especiais, inclusive artefatos</t>
  </si>
  <si>
    <t>DOUTOR LINO DE MORAIS LEME</t>
  </si>
  <si>
    <t>SALA 08</t>
  </si>
  <si>
    <t>NOVA CAMPINAS</t>
  </si>
  <si>
    <t>A.L.G. SISTEMAS DE SEGURANCA ELETRONICA LTDA</t>
  </si>
  <si>
    <t>A L G</t>
  </si>
  <si>
    <t>Atividades de monitoramento de sistemas de segurança eletrônico</t>
  </si>
  <si>
    <t>UBAJARA</t>
  </si>
  <si>
    <t>TERREO</t>
  </si>
  <si>
    <t>BELEM</t>
  </si>
  <si>
    <t>A.P. TORTELLI COM PRODUTOS MEDICOS HOSPITALARES LTDA</t>
  </si>
  <si>
    <t>APMEDICAL</t>
  </si>
  <si>
    <t>JOAO ALENCAR GUIMARAES</t>
  </si>
  <si>
    <t>SANTA QUITERIA</t>
  </si>
  <si>
    <t>CURITIBA</t>
  </si>
  <si>
    <t>A.T.M. ALIMENTOS LTDA</t>
  </si>
  <si>
    <t>A. T. M. ALIMENTOS</t>
  </si>
  <si>
    <t>Comércio varejista de outros artigos de uso pessoal e doméstico não especificados anteriormente</t>
  </si>
  <si>
    <t>ALBA VIEIRA</t>
  </si>
  <si>
    <t>SALA: 01;</t>
  </si>
  <si>
    <t>CATARATAS</t>
  </si>
  <si>
    <t>CASCAVEL</t>
  </si>
  <si>
    <t>A2C COMERCIO DE ELETRONICOS LTDA</t>
  </si>
  <si>
    <t>A2C EMPRESAS</t>
  </si>
  <si>
    <t>Comércio varejista especializado de eletrodomésticos e equipamentos de áudio e vídeo</t>
  </si>
  <si>
    <t>ALJUBARROTA</t>
  </si>
  <si>
    <t>RIO GRANDE</t>
  </si>
  <si>
    <t>SAO BERNARDO DO CAMPO</t>
  </si>
  <si>
    <t>ABACO TECNOLOGIA DE INFORMACAO LTDA</t>
  </si>
  <si>
    <t>ABACO TECNOLOGIA DE INFORMACAO</t>
  </si>
  <si>
    <t>3721883.5</t>
  </si>
  <si>
    <t>BARAO DE MELGACO</t>
  </si>
  <si>
    <t>ANDAR 1</t>
  </si>
  <si>
    <t>CENTRO NORTE</t>
  </si>
  <si>
    <t>CUIABA</t>
  </si>
  <si>
    <t>MT</t>
  </si>
  <si>
    <t>ABB ELETRIFICACAO LTDA</t>
  </si>
  <si>
    <t>Fabricação de motores elétricos, peças e acessórios</t>
  </si>
  <si>
    <t>SENADOR JOSE ERMIRIO DE MORAES</t>
  </si>
  <si>
    <t>KM 11 - PREDIO 3</t>
  </si>
  <si>
    <t>IPORANGA</t>
  </si>
  <si>
    <t>SOROCABA</t>
  </si>
  <si>
    <t>ABBOTT LABORATORIOS DO BRASIL LTDA</t>
  </si>
  <si>
    <t>Fabricação de medicamentos alopáticos para uso humano</t>
  </si>
  <si>
    <t>MICHIGAN</t>
  </si>
  <si>
    <t>BROOKLIN</t>
  </si>
  <si>
    <t>ABBVIE FARMACEUTICA LTDA.</t>
  </si>
  <si>
    <t>ALLERGAN AESTHETICS</t>
  </si>
  <si>
    <t>Comércio atacadista de mercadorias em geral, sem predominância de alimentos ou de insumos agropecuários</t>
  </si>
  <si>
    <t>GUIDO CALOI</t>
  </si>
  <si>
    <t>ANDAR 1 BLOCO C</t>
  </si>
  <si>
    <t>SANTO AMARO</t>
  </si>
  <si>
    <t>ABEEOLICA - ASSOCIACAO BRASILEIRA DE ENERGIA EOLICA E NOVAS TECNOLOGIAS</t>
  </si>
  <si>
    <t>ABEEOLICA</t>
  </si>
  <si>
    <t>Associação Privada</t>
  </si>
  <si>
    <t>Atividades associativas não especificadas anteriormente</t>
  </si>
  <si>
    <t>PAULISTA</t>
  </si>
  <si>
    <t>ANDAR 13 CONJ 131</t>
  </si>
  <si>
    <t>BELA VISTA</t>
  </si>
  <si>
    <t>ABENGOA GREENFIELD BRASIL HOLDING S.A</t>
  </si>
  <si>
    <t>Holdings de instituições não-financeiras</t>
  </si>
  <si>
    <t>BELISARIO LEITE DE ANDRADE NETO</t>
  </si>
  <si>
    <t>BARRA DA TIJUCA</t>
  </si>
  <si>
    <t>RIO DE JANEIRO</t>
  </si>
  <si>
    <t>ABG SYSTEMS BRASIL LTDA.</t>
  </si>
  <si>
    <t>AURIVERDE</t>
  </si>
  <si>
    <t>VILA INDEPENDENCIA</t>
  </si>
  <si>
    <t>ABILITY TECNOLOGIA E SERVICOS S/A</t>
  </si>
  <si>
    <t>Outras atividades de telecomunicações não especificadas anteriormente</t>
  </si>
  <si>
    <t>ANDRE ROVAI</t>
  </si>
  <si>
    <t xml:space="preserve"> PREDIO CENTRAL</t>
  </si>
  <si>
    <t>BONFIM</t>
  </si>
  <si>
    <t>OSASCO</t>
  </si>
  <si>
    <t>ABRES - ASSOCIACAO BRASILEIRA DE ESTAGIOS</t>
  </si>
  <si>
    <t>Serviços de assistência social sem alojamento</t>
  </si>
  <si>
    <t>BARAO DE ITAPETININGA</t>
  </si>
  <si>
    <t>3 ANDAR</t>
  </si>
  <si>
    <t>ABRIL TOUR VIAGENS E TURISMO LTDA</t>
  </si>
  <si>
    <t>ABRIL TOUR</t>
  </si>
  <si>
    <t>Agências de viagens</t>
  </si>
  <si>
    <t>CIRCULAR</t>
  </si>
  <si>
    <t>LOJA 46 COND COND SHOPPING 1000</t>
  </si>
  <si>
    <t>SET PEDRO LUDOVICO</t>
  </si>
  <si>
    <t>GOIANIA</t>
  </si>
  <si>
    <t>GO</t>
  </si>
  <si>
    <t>ABS QUALITY EVALUATIONS DO BRASIL LTDA.</t>
  </si>
  <si>
    <t>Serviços de engenharia</t>
  </si>
  <si>
    <t>FREDERICO SIMOES</t>
  </si>
  <si>
    <t>EDIF EMPRESARIAL SIMONSENSALA 506</t>
  </si>
  <si>
    <t>CAMINHO DAS ARVORES</t>
  </si>
  <si>
    <t>SALVADOR</t>
  </si>
  <si>
    <t>BA</t>
  </si>
  <si>
    <t>ABSA AEROLINHAS BRASILEIRAS S.A.</t>
  </si>
  <si>
    <t>LATAM CARGO BRASIL</t>
  </si>
  <si>
    <t>Transporte aéreo de carga</t>
  </si>
  <si>
    <t>SANTOS DUMONT KM 66</t>
  </si>
  <si>
    <t xml:space="preserve"> S.V.P. LADO ESQUERDO</t>
  </si>
  <si>
    <t>VIRACOPOS</t>
  </si>
  <si>
    <t>AC VISION SERVICOS DE PORTARIA E ZELADORIA LTDA</t>
  </si>
  <si>
    <t>AC VISION SERVICOS</t>
  </si>
  <si>
    <t>Serviços combinados para apoio a edifícios, exceto condomínios prediais</t>
  </si>
  <si>
    <t>BRENO FERRAZ DO AMARAL</t>
  </si>
  <si>
    <t>VILA FIRMIANO PINTO</t>
  </si>
  <si>
    <t>ACCAETANO COMERCIO E CONSTRUCOES LTDA</t>
  </si>
  <si>
    <t>SANTOS</t>
  </si>
  <si>
    <t>SALA 802</t>
  </si>
  <si>
    <t>CERQUEIRA CESAR</t>
  </si>
  <si>
    <t>ACCELL SOLUCOES PARA ENERGIA E AGUA LTDA. EM RECUPERACAO JUDICIAL</t>
  </si>
  <si>
    <t>Desenvolvimento de programas de computador sob encomenda</t>
  </si>
  <si>
    <t>JOSE ANTUNES DE QUEIROZ</t>
  </si>
  <si>
    <t>GALPAO10</t>
  </si>
  <si>
    <t>CE</t>
  </si>
  <si>
    <t>ACCENTURE CONSULTORIA DE INDUSTRIA E CONSUMO LTDA.</t>
  </si>
  <si>
    <t>Suporte técnico, manutenção e outros serviços em tecnologia da informação</t>
  </si>
  <si>
    <t>ALEXANDRE DUMAS</t>
  </si>
  <si>
    <t xml:space="preserve"> 1 ANDAR ALA B SALA LEGAL I</t>
  </si>
  <si>
    <t>CHACARA SANTO ANTONIO (ZONA SUL)</t>
  </si>
  <si>
    <t>ACCENTURE DO BRASIL LTDA</t>
  </si>
  <si>
    <t>DAS NACOES UNIDAS</t>
  </si>
  <si>
    <t>COND PQ CID TC B2PAINERA PAVMTO11 12 13 CONJ 111A14 121A24 131A34</t>
  </si>
  <si>
    <t>VILA GERTRUDES</t>
  </si>
  <si>
    <t>ACCIONA CONSTRUCCION S.A</t>
  </si>
  <si>
    <t>Estabelecimento, no Brasil, de Sociedade Estrangeira</t>
  </si>
  <si>
    <t>Construção de rodovias e ferrovias</t>
  </si>
  <si>
    <t>OLIMPIADAS</t>
  </si>
  <si>
    <t>CONJ 71 7AN CON ALP TOWER</t>
  </si>
  <si>
    <t>VILA OLIMPIA</t>
  </si>
  <si>
    <t>ACCIONA DO BRASIL LTDA</t>
  </si>
  <si>
    <t>CONJ 72 SALA C</t>
  </si>
  <si>
    <t>ACCO BRANDS BRASIL LTDA.</t>
  </si>
  <si>
    <t>TILIBRA</t>
  </si>
  <si>
    <t>Fabricação de produtos de papel, cartolina, papel cartão e papelão ondulado para uso comercial e de escritório, exceto formulário contínuo</t>
  </si>
  <si>
    <t>RUA AIMORES</t>
  </si>
  <si>
    <t>VILA ANTARTICA</t>
  </si>
  <si>
    <t>BAURU</t>
  </si>
  <si>
    <t>ACCORD FARMACEUTICA LTDA</t>
  </si>
  <si>
    <t>Comércio atacadista de medicamentos e drogas de uso humano</t>
  </si>
  <si>
    <t>GALPAO01 COND RIVER SIDE</t>
  </si>
  <si>
    <t>ACCUMED PRODUTOS MEDICO HOSPITALARES LTDA</t>
  </si>
  <si>
    <t>WASHINGTON LUIZ</t>
  </si>
  <si>
    <t>GALPAOG H J K L</t>
  </si>
  <si>
    <t>VILA SAO SEBASTIAO</t>
  </si>
  <si>
    <t>DUQUE DE CAXIAS</t>
  </si>
  <si>
    <t>ACE REVESTIMENTOS LTDA</t>
  </si>
  <si>
    <t>PRESIDENTE WILSON</t>
  </si>
  <si>
    <t>ANEXO 1648-A</t>
  </si>
  <si>
    <t>MOOCA</t>
  </si>
  <si>
    <t>ACESSOLINE TELECOMUNICACOES LTDA</t>
  </si>
  <si>
    <t>ALT</t>
  </si>
  <si>
    <t>Serviços de comunicação multimídia - SCM</t>
  </si>
  <si>
    <t>MARCILIO DIAS</t>
  </si>
  <si>
    <t>420E</t>
  </si>
  <si>
    <t>SALA 01 QUADRA557 LOTE 19</t>
  </si>
  <si>
    <t>CHAPECO</t>
  </si>
  <si>
    <t>ACETECNO DO BRASIL IND. E COM. DE MAQUINAS E EQUIPAMENTOS LTDA</t>
  </si>
  <si>
    <t>Fabricação de máquinas e equipamentos para saneamento básico e ambiental, peças e acessórios</t>
  </si>
  <si>
    <t>DOUTOR BLUMENAU</t>
  </si>
  <si>
    <t>ENCANO</t>
  </si>
  <si>
    <t>INDAIAL</t>
  </si>
  <si>
    <t>ACG ASSESSORIA COMERCIAL LTDA</t>
  </si>
  <si>
    <t>ANTONIO CAMARDO</t>
  </si>
  <si>
    <t>APT 101</t>
  </si>
  <si>
    <t>VILA GOMES CARDIM</t>
  </si>
  <si>
    <t>ACHE LABORATORIOS FARMACEUTICOS SA</t>
  </si>
  <si>
    <t>PRESIDENTE DUTRA</t>
  </si>
  <si>
    <t>KM 222,2</t>
  </si>
  <si>
    <t>PORTO DA IGREJA</t>
  </si>
  <si>
    <t>GUARULHOS</t>
  </si>
  <si>
    <t>ACHEI INDUSTRIA DE MOVEIS LTDA</t>
  </si>
  <si>
    <t>Fabricação de móveis com predominância de madeira</t>
  </si>
  <si>
    <t>AUTORAMA</t>
  </si>
  <si>
    <t>GALPAOA</t>
  </si>
  <si>
    <t>CATALAO</t>
  </si>
  <si>
    <t>DIVINOPOLIS</t>
  </si>
  <si>
    <t>ACJ BRASIL CONSTRUTORA LTDA</t>
  </si>
  <si>
    <t>CRISTIANO CLEOPATH</t>
  </si>
  <si>
    <t>ALEMAES</t>
  </si>
  <si>
    <t>PIRACICABA</t>
  </si>
  <si>
    <t>ACO BRASIL COMERCIAL DE ACOS LTDA.</t>
  </si>
  <si>
    <t>ACO BRASIL</t>
  </si>
  <si>
    <t>BOA VISTA</t>
  </si>
  <si>
    <t>JUAZEIRO DO NORTE</t>
  </si>
  <si>
    <t>ACO SOLUCOES EM DRENAGEM LTDA</t>
  </si>
  <si>
    <t>ABADE BIAGINO CHIEFFI</t>
  </si>
  <si>
    <t>PAGADOR DE ANDRADE</t>
  </si>
  <si>
    <t>JACAREI</t>
  </si>
  <si>
    <t>ACO VERDE DO BRASIL S/A</t>
  </si>
  <si>
    <t>Sociedade Anônima Aberta</t>
  </si>
  <si>
    <t>Produção de ferro-gusa</t>
  </si>
  <si>
    <t>BR 222 KM 14,5, GLEBA ITINGA LOTE 71</t>
  </si>
  <si>
    <t>DISTRITO DE PEQUIA</t>
  </si>
  <si>
    <t>ACAILANDIA</t>
  </si>
  <si>
    <t>MA</t>
  </si>
  <si>
    <t>ACOFORJA INDUSTRIA DE FORJADOS SA</t>
  </si>
  <si>
    <t>ACOFORJA</t>
  </si>
  <si>
    <t>Produção de forjados de aço</t>
  </si>
  <si>
    <t>ENGENHEIRO JANUARIO ALVARENGA SANTOS</t>
  </si>
  <si>
    <t>DISTRITO INDUSTRIAL DESEMBARGADOR MELLO JUNIOR</t>
  </si>
  <si>
    <t>SANTA LUZIA</t>
  </si>
  <si>
    <t>ACOS FAVORIT DISTRIBUIDORA LTDA</t>
  </si>
  <si>
    <t>Comércio atacadista de produtos siderúrgicos e metalúrgicos, exceto para construção</t>
  </si>
  <si>
    <t>AMERICO SIMOES</t>
  </si>
  <si>
    <t>SAO ROQUE DA CHAVE</t>
  </si>
  <si>
    <t>ITUPEVA</t>
  </si>
  <si>
    <t>ACOS TATUI LTDA</t>
  </si>
  <si>
    <t>ACOS TATUI</t>
  </si>
  <si>
    <t>Comércio varejista de ferragens e ferramentas</t>
  </si>
  <si>
    <t>HUMBERTO JOSE FERNANDO NOTARI</t>
  </si>
  <si>
    <t>VILA NOVO HORIZONTE</t>
  </si>
  <si>
    <t>ITAPETININGA</t>
  </si>
  <si>
    <t>ACOS TREFITA LTDA</t>
  </si>
  <si>
    <t>CABO ANTONIO ALVES</t>
  </si>
  <si>
    <t>PQ N MUNDO</t>
  </si>
  <si>
    <t>ACOTUBO INDUSTRIA E COMERCIO LTDA</t>
  </si>
  <si>
    <t>MAJESTIC</t>
  </si>
  <si>
    <t>BLOCO I</t>
  </si>
  <si>
    <t>CUMBICA</t>
  </si>
  <si>
    <t>ACQUA EXPERT ENGENHARIA AMBIENTAL LTDA.</t>
  </si>
  <si>
    <t>ACQUA EXPERT</t>
  </si>
  <si>
    <t>ANA COSTA</t>
  </si>
  <si>
    <t>SALA 1402 E 1407</t>
  </si>
  <si>
    <t>VILA MATHIAS</t>
  </si>
  <si>
    <t>ACQUABIOS - INDUSTRIA E COMERCIO DE FILTROS PURIFICADORES LTDA EM RECUPERACAO JUDICIAL</t>
  </si>
  <si>
    <t>ACQUABIOS</t>
  </si>
  <si>
    <t>Fabricação de artefatos de material plástico para outros usos não especificados anteriormente</t>
  </si>
  <si>
    <t>VRS 864</t>
  </si>
  <si>
    <t>LINHA PALMEIRO</t>
  </si>
  <si>
    <t>FARROUPILHA</t>
  </si>
  <si>
    <t>ACQUAPLANT QUIMICA DO BRASIL LTDA</t>
  </si>
  <si>
    <t>Comércio atacadista de outros produtos químicos e petroquímicos não especificados anteriormente</t>
  </si>
  <si>
    <t>PARATI</t>
  </si>
  <si>
    <t xml:space="preserve"> BR 101 KM 45</t>
  </si>
  <si>
    <t>NOVA BRASILIA</t>
  </si>
  <si>
    <t>JOINVILLE</t>
  </si>
  <si>
    <t>ACRIMET PRODUTOS PARA ESCRITORIO LTDA</t>
  </si>
  <si>
    <t>Depósitos de mercadorias para terceiros, exceto armazéns gerais e guarda-móveis</t>
  </si>
  <si>
    <t>FUKUTARO YIDA</t>
  </si>
  <si>
    <t>GALPAO01</t>
  </si>
  <si>
    <t>COOPERATIVA</t>
  </si>
  <si>
    <t>ACS - EQUIPAMENTOS INDUSTRIAIS LTDA</t>
  </si>
  <si>
    <t>ACS EQUIPAMENTOS INDUSTRIAIS</t>
  </si>
  <si>
    <t>DOZE A</t>
  </si>
  <si>
    <t>SERRA DOURADA (PARQUE DURVAL DE BARROS)</t>
  </si>
  <si>
    <t>IBIRITE</t>
  </si>
  <si>
    <t>ACTIA DO BRASIL INDUSTRIA E COMERCIO LTDA</t>
  </si>
  <si>
    <t>Fabricação de aparelhos de recepção, reprodução, gravação e amplificação de áudio e vídeo</t>
  </si>
  <si>
    <t>SAO GERALDO</t>
  </si>
  <si>
    <t>PORTO ALEGRE</t>
  </si>
  <si>
    <t>ACTON INDUSTRIA E COMERCIO DE ELETROELETRONICOS LTDA</t>
  </si>
  <si>
    <t>ACTON</t>
  </si>
  <si>
    <t>Fabricação de aparelhos e equipamentos para distribuição e controle de energia elétrica</t>
  </si>
  <si>
    <t>VEREADOR ARIEL FRAGATA</t>
  </si>
  <si>
    <t>JOSE FERREIRA DA COSTA</t>
  </si>
  <si>
    <t>MARILIA</t>
  </si>
  <si>
    <t>ACTUS-ASSESSORIA E CONSULTORIA DE SAUDE OCUPACIONAL E MEIO AMBIENTE LTDA</t>
  </si>
  <si>
    <t>ACTUS</t>
  </si>
  <si>
    <t>Serviços de perícia técnica relacionados à segurança do trabalho</t>
  </si>
  <si>
    <t>SILVA RAMOS</t>
  </si>
  <si>
    <t>MANAUS</t>
  </si>
  <si>
    <t>AM</t>
  </si>
  <si>
    <t>ACUMULADORES MOURA S A</t>
  </si>
  <si>
    <t>BATERIAS MOURA</t>
  </si>
  <si>
    <t>Fabricação de baterias e acumuladores para veículos automotores</t>
  </si>
  <si>
    <t>DIARIO DE PERNAMBUCO</t>
  </si>
  <si>
    <t>EDSON MORORO MOURA</t>
  </si>
  <si>
    <t>BELO JARDIM</t>
  </si>
  <si>
    <t>PE</t>
  </si>
  <si>
    <t>ACXIOM BRASIL PARTICIPACOES LTDA.</t>
  </si>
  <si>
    <t>Outras sociedades de participação, exceto holdings</t>
  </si>
  <si>
    <t>FREI CANECA</t>
  </si>
  <si>
    <t>ANDAR 6</t>
  </si>
  <si>
    <t>CONSOLACAO</t>
  </si>
  <si>
    <t>ADA COMERCIOS E SERVICOS GERAIS LTDA</t>
  </si>
  <si>
    <t>ADACOMERCIOS E SERVICOS GERAIS</t>
  </si>
  <si>
    <t>Comércio atacadista de produtos de higiene, limpeza e conservação domiciliar</t>
  </si>
  <si>
    <t>PARTENON</t>
  </si>
  <si>
    <t xml:space="preserve"> A</t>
  </si>
  <si>
    <t>FLORES</t>
  </si>
  <si>
    <t>ADARGA MANUTENCAO PREDIAL E FACILITIES LTDA</t>
  </si>
  <si>
    <t>ADARGA</t>
  </si>
  <si>
    <t>AMAZONAS</t>
  </si>
  <si>
    <t>SAO CAETANO DO SUL</t>
  </si>
  <si>
    <t>ADCON - ADMINISTRACAO E CONSERVACAO LTDA</t>
  </si>
  <si>
    <t>Fornecimento e gestão de recursos humanos para terceiros</t>
  </si>
  <si>
    <t>PADRE SILVEIRA LOBO</t>
  </si>
  <si>
    <t>SAO LUIZ</t>
  </si>
  <si>
    <t>BELO HORIZONTE</t>
  </si>
  <si>
    <t>ADDLIFE DIAGNOSTICOS LTDA</t>
  </si>
  <si>
    <t>GUARDA CUSTODIO</t>
  </si>
  <si>
    <t>OURO PRETO</t>
  </si>
  <si>
    <t>ADECCO RECURSOS HUMANOS S.A.</t>
  </si>
  <si>
    <t>Locação de mão-de-obra temporária</t>
  </si>
  <si>
    <t>ANDAR 17 CONJ 171 E 172 COND ED. STA CATARINA</t>
  </si>
  <si>
    <t>ADELBRAS INDUSTRIA E COMERCIO DE ADESIVOS LTDA</t>
  </si>
  <si>
    <t>ADELBRAS</t>
  </si>
  <si>
    <t>Fabricação de adesivos e selantes</t>
  </si>
  <si>
    <t>FRANCISCO FOGA</t>
  </si>
  <si>
    <t>DISTRITO INDUSTRIAL BENEDITO STORANI</t>
  </si>
  <si>
    <t>VINHEDO</t>
  </si>
  <si>
    <t>ADERE PRODUTOS AUTOADESIVOS LTDA</t>
  </si>
  <si>
    <t>MUNICIPAL VALENCIO CALEGARI</t>
  </si>
  <si>
    <t>PQ.STO.ANTONIO</t>
  </si>
  <si>
    <t>ADG FACILITIES</t>
  </si>
  <si>
    <t>ADG SOLUCOES E FACILITIES</t>
  </si>
  <si>
    <t>Limpeza em prédios e em domicílios</t>
  </si>
  <si>
    <t>DA COLONIA MARIO REIMBERG CHRISTE</t>
  </si>
  <si>
    <t>SALA 01</t>
  </si>
  <si>
    <t>PARELHEIROS</t>
  </si>
  <si>
    <t>ADG SERVICOS GERAIS LTDA</t>
  </si>
  <si>
    <t>ADG SECURITY AND SERVICES GROUP</t>
  </si>
  <si>
    <t>DOUTOR ARMANDO FAJARDO</t>
  </si>
  <si>
    <t>JARDIM SAO BERNARDO</t>
  </si>
  <si>
    <t>ADHEFIX SERVICOS E COMUNICACAO VISUAL LTDA</t>
  </si>
  <si>
    <t>Fotocópias</t>
  </si>
  <si>
    <t>GENERAL PEDRO PINHO</t>
  </si>
  <si>
    <t>SALA 1</t>
  </si>
  <si>
    <t>PESTANA</t>
  </si>
  <si>
    <t>ADIUM S.A.</t>
  </si>
  <si>
    <t>VEREADOR ABEL FABRICIO DIAS</t>
  </si>
  <si>
    <t>LOTEAMENTO INDUSTRIAL AGUA PRETA</t>
  </si>
  <si>
    <t>PINDAMONHANGABA</t>
  </si>
  <si>
    <t>ADM TERCEIRIZACAO E SERVICOS GERAIS LTDA</t>
  </si>
  <si>
    <t>PROFESSORA ENEIDA RABELO</t>
  </si>
  <si>
    <t>CASA</t>
  </si>
  <si>
    <t>CANDEIAS</t>
  </si>
  <si>
    <t>JABOATAO DOS GUARARAPES</t>
  </si>
  <si>
    <t>ADONAI ATACADISTA LTDA</t>
  </si>
  <si>
    <t>Comércio varejista de mercadorias em geral, com predominância de produtos alimentícios - hipermercados</t>
  </si>
  <si>
    <t>BRASIL</t>
  </si>
  <si>
    <t>PADRE MIGUEL</t>
  </si>
  <si>
    <t>ADR BRASIL EIXOS LTDA</t>
  </si>
  <si>
    <t>Fabricação de peças e acessórios para o sistema de direção e suspensão de veículos automotores</t>
  </si>
  <si>
    <t>NELSON COLELA</t>
  </si>
  <si>
    <t>DISTRITO EMPRESARIAL PREFEITO LUIZ ROBERTO JABALI</t>
  </si>
  <si>
    <t>RIBEIRAO PRETO</t>
  </si>
  <si>
    <t>ADRIANA SOARES 02744301698</t>
  </si>
  <si>
    <t>Fabricação de produtos de panificação industrial</t>
  </si>
  <si>
    <t>ENGENHEIRO FELIPE MOREIRA CALDAS</t>
  </si>
  <si>
    <t>NOVA VILA BRETAS</t>
  </si>
  <si>
    <t>GOVERNADOR VALADARES</t>
  </si>
  <si>
    <t>ADS SERVICOS LTDA</t>
  </si>
  <si>
    <t>ADSERVI SERVICOS LTDA</t>
  </si>
  <si>
    <t>Outras atividades de serviços prestados principalmente às empresas não especificadas anteriormente</t>
  </si>
  <si>
    <t>GERONCIO THIVES</t>
  </si>
  <si>
    <t>SALA 04</t>
  </si>
  <si>
    <t>BARREIROS</t>
  </si>
  <si>
    <t>SAO JOSE</t>
  </si>
  <si>
    <t>ADSUMUS EQUIPAMENTO TATICO INDIVIDUAL LTDA</t>
  </si>
  <si>
    <t>ADSUMUS EQUIPAMENTO TATICO INDIVIDUAL</t>
  </si>
  <si>
    <t>Comércio varejista de artigos de caça, pesca e camping</t>
  </si>
  <si>
    <t>SEN JOSE ERMIRIO DE MORAES</t>
  </si>
  <si>
    <t>TREMEMBE</t>
  </si>
  <si>
    <t>AEGEA SANEAMENTO E PARTICIPACOES S.A.</t>
  </si>
  <si>
    <t>BRIGADEIRO FARIA LIMA</t>
  </si>
  <si>
    <t>ANDAR 1 SALA 01 EDIF PLAZA SAO LOURENCO</t>
  </si>
  <si>
    <t>JARDIM PAULISTANO</t>
  </si>
  <si>
    <t>AEL SISTEMAS S.A</t>
  </si>
  <si>
    <t>AEL SISTEMAS</t>
  </si>
  <si>
    <t>Fabricação de componentes eletrônicos</t>
  </si>
  <si>
    <t>SERTORIO</t>
  </si>
  <si>
    <t>JARDIM SAO PEDRO</t>
  </si>
  <si>
    <t>AERIS INDUSTRIA E COMERCIO DE EQUIPAMENTOS PARA GERACAO DE ENERGIA S.A</t>
  </si>
  <si>
    <t>Fabricação de geradores de corrente contínua e alternada, peças e acessórios</t>
  </si>
  <si>
    <t>CE 155</t>
  </si>
  <si>
    <t>KM 02</t>
  </si>
  <si>
    <t>COMPLEXO INDUSTRIAL E PORTUARIO DO PECEM</t>
  </si>
  <si>
    <t>CAUCAIA</t>
  </si>
  <si>
    <t>AEROTECH DO BRASIL SOLUCOES EM TECNOLOGIA LTDA.</t>
  </si>
  <si>
    <t>Comércio atacadista de outras máquinas e equipamentos não especificados anteriormente; partes e peças</t>
  </si>
  <si>
    <t>ONZE DE JUNHO</t>
  </si>
  <si>
    <t>VILA CLEMENTINO</t>
  </si>
  <si>
    <t>AERZEN DO BRASIL LTDA.</t>
  </si>
  <si>
    <t>AERZEN DO BRASIL</t>
  </si>
  <si>
    <t>Fabricação de compressores para uso industrial, peças e acessórios</t>
  </si>
  <si>
    <t>DIONYSIO RITO</t>
  </si>
  <si>
    <t>LOTE: 14; QUADRA: D;</t>
  </si>
  <si>
    <t>LOTEAMENTO PARQUE INDUSTRIAL</t>
  </si>
  <si>
    <t>JUNDIAI</t>
  </si>
  <si>
    <t>AF EMPREENDIMENTOS LTDA</t>
  </si>
  <si>
    <t>A F EMPREENDIMENTOS</t>
  </si>
  <si>
    <t>JARI</t>
  </si>
  <si>
    <t>QUADRA79 LOTE 04 SALA 07 E 08</t>
  </si>
  <si>
    <t>VILA BRASILIA</t>
  </si>
  <si>
    <t>APARECIDA DE GOIANIA</t>
  </si>
  <si>
    <t>AF PLAST INDUSTRIA E COMERCIO DE PLASTICOS LTDA</t>
  </si>
  <si>
    <t>EXPEPLAST</t>
  </si>
  <si>
    <t>Fabricação de artefatos de material plástico para usos industriais</t>
  </si>
  <si>
    <t>BALTAZAR AGUILA</t>
  </si>
  <si>
    <t>: VILA FIDALGO;</t>
  </si>
  <si>
    <t>FURNAS</t>
  </si>
  <si>
    <t>AFER INDUSTRIAL LTDA</t>
  </si>
  <si>
    <t>Fundição de ferro e aço</t>
  </si>
  <si>
    <t>BR 494</t>
  </si>
  <si>
    <t>KM: 85.9;</t>
  </si>
  <si>
    <t>DIST INDUSTRIAL JACI BERNARDES</t>
  </si>
  <si>
    <t>CARMO DA MATA</t>
  </si>
  <si>
    <t>AFONSO FRANCA CONSTRUCOES E COMERCIO LTDA</t>
  </si>
  <si>
    <t>AFONSO FRANCA ENGENHARIA</t>
  </si>
  <si>
    <t>DESEMBARGADOR PAULO PASSALAQUA</t>
  </si>
  <si>
    <t>PACAEMBU</t>
  </si>
  <si>
    <t>AFRY BRASIL LTDA.</t>
  </si>
  <si>
    <t>ALFREDO EGIDIO DE SOUZA ARANHA</t>
  </si>
  <si>
    <t>ANDAR 3 4 5 BLOCO B</t>
  </si>
  <si>
    <t>VILA CRUZEIRO</t>
  </si>
  <si>
    <t>AG LEADER TECHNOLOGY BRASIL SISTEMAS DE NAVEGACAO LTDA.</t>
  </si>
  <si>
    <t>Comércio atacadista de máquinas, aparelhos e equipamentos para uso agropecuário; partes e peças</t>
  </si>
  <si>
    <t>ATILIO BORIO</t>
  </si>
  <si>
    <t>CRISTO REI</t>
  </si>
  <si>
    <t>AGAU EQUIPAMENTOS DE MEDICAO LTDA</t>
  </si>
  <si>
    <t>AEPIO</t>
  </si>
  <si>
    <t>Fabricação de aparelhos e equipamentos de medida, teste e controle</t>
  </si>
  <si>
    <t>CECILIA FRIDEL BARCELOS</t>
  </si>
  <si>
    <t>PASSO DAS PEDRAS</t>
  </si>
  <si>
    <t>GRAVATAI</t>
  </si>
  <si>
    <t>AGC COMERCIO DE PECAS E SERVICOS</t>
  </si>
  <si>
    <t>RENATA</t>
  </si>
  <si>
    <t>CHACARA BELENZINHO</t>
  </si>
  <si>
    <t>AGCO DO BRASIL SOLUCOES AGRICOLAS LTDA.</t>
  </si>
  <si>
    <t>Fabricação de tratores agrícolas, peças e acessórios</t>
  </si>
  <si>
    <t>GUILHERME SCHELL</t>
  </si>
  <si>
    <t>INDUSTRIAL</t>
  </si>
  <si>
    <t>CANOAS</t>
  </si>
  <si>
    <t>AGEL ANEIS GAXETAS EQUIPAMENTOS LTDA</t>
  </si>
  <si>
    <t>Fabricação de artefatos de borracha não especificados anteriormente</t>
  </si>
  <si>
    <t>CECI</t>
  </si>
  <si>
    <t>LOTE 16 A</t>
  </si>
  <si>
    <t>TAMBORE</t>
  </si>
  <si>
    <t>BARUERI</t>
  </si>
  <si>
    <t>AGENCIA DE AGUAS DO ESTADO DE SAO PAULO - SP-AGUAS</t>
  </si>
  <si>
    <t>SP-AGUAS - SEDE</t>
  </si>
  <si>
    <t>Autarquia Estadual ou do Distrito Federal</t>
  </si>
  <si>
    <t>Administração pública em geral</t>
  </si>
  <si>
    <t>ANDAR 11 BLOCO V</t>
  </si>
  <si>
    <t>AGENCIA DE PROMOCAO DE EXPORTACOES DO BRASIL - APEX-BRASIL</t>
  </si>
  <si>
    <t>APEX-BRASIL</t>
  </si>
  <si>
    <t>Serviço Social Autônomo</t>
  </si>
  <si>
    <t>Atividades de associações de defesa de direitos sociais</t>
  </si>
  <si>
    <t>SAUN QUADRA 5, BLOCO C, TORRE</t>
  </si>
  <si>
    <t>II</t>
  </si>
  <si>
    <t>SALA 1201 A 1701</t>
  </si>
  <si>
    <t>ASA NORTE</t>
  </si>
  <si>
    <t>BRASILIA</t>
  </si>
  <si>
    <t>DF</t>
  </si>
  <si>
    <t>AGENCIA METROPOLITANA DA BAIXADA SANTISTA - AGEM</t>
  </si>
  <si>
    <t>AGEM</t>
  </si>
  <si>
    <t>PRACA DOS EXPEDICIONARIOS</t>
  </si>
  <si>
    <t>ANDAR 10 E 11</t>
  </si>
  <si>
    <t>GONZAGA</t>
  </si>
  <si>
    <t>AGENCIA MUNICIPAL DE AGUA E ESGOTO DE MARILIA - AMAE</t>
  </si>
  <si>
    <t>AMAE</t>
  </si>
  <si>
    <t>Autarquia Municipal</t>
  </si>
  <si>
    <t>Regulação das atividades econômicas</t>
  </si>
  <si>
    <t>AGENCIA NACIONAL DO PETROLEO, GAS NATURAL E BIOCOMBUSTIVEIS</t>
  </si>
  <si>
    <t>ESCRITORIO CENTRAL NO RIO DE JANEIRO - EC/RJ</t>
  </si>
  <si>
    <t>Autarquia Federal</t>
  </si>
  <si>
    <t>RIO BRANCO</t>
  </si>
  <si>
    <t>12 ANDAR</t>
  </si>
  <si>
    <t>CENTRO - RJ</t>
  </si>
  <si>
    <t>AGENCIA REGULADORA DE SERVICOS PUBLICOS DO ESTADO DE SAO PAULO - ARSESP</t>
  </si>
  <si>
    <t>CRISTIANO VIANA</t>
  </si>
  <si>
    <t>AGENCIA TUBAZUL LTDA</t>
  </si>
  <si>
    <t>AGENCIA DE DESENVOLVIMENTO PROFISSIONAL E SOCIAL</t>
  </si>
  <si>
    <t>IRE LUIZ DE OLIVEIRA</t>
  </si>
  <si>
    <t>SAO JOAO (MARGEM DIREITA)</t>
  </si>
  <si>
    <t>TUBARAO</t>
  </si>
  <si>
    <t>AGENCIANOZ - AGENCIA DE PUBLICIDADE E CONSULTORIA DE MARKETING LTDA</t>
  </si>
  <si>
    <t>Agências de publicidade</t>
  </si>
  <si>
    <t>BRUNO LOBO</t>
  </si>
  <si>
    <t>INSTITUTO DE PREVIDENCIA</t>
  </si>
  <si>
    <t>AGF IMPORTACAO, EXPORTACAO E COMERCIALIZACAO DE MAQUINAS E ACESSORIOS LTDA</t>
  </si>
  <si>
    <t>AGF EQUIPAMENTOS</t>
  </si>
  <si>
    <t>Fabricação de outras máquinas e equipamentos para uso na extração mineral, peças e acessórios, exceto na extração de petróleo</t>
  </si>
  <si>
    <t>SP 346</t>
  </si>
  <si>
    <t>KM 202.5</t>
  </si>
  <si>
    <t>ESPIRITO SANTO DO PINHAL</t>
  </si>
  <si>
    <t>AGF MEDICAL LTDA</t>
  </si>
  <si>
    <t>GONCALVES LEDO</t>
  </si>
  <si>
    <t>FORTALEZA</t>
  </si>
  <si>
    <t>AGGREKO ENERGIA LOCACAO DE GERADORES LTDA.</t>
  </si>
  <si>
    <t>Aluguel de outras máquinas e equipamentos comerciais e industriais não especificados anteriormente, sem operador</t>
  </si>
  <si>
    <t>EMILIO MARCONATO</t>
  </si>
  <si>
    <t>GALPAOG39</t>
  </si>
  <si>
    <t>NUCLEO RESIDENCIAL DOUTOR JOAO ALDO NASSIF</t>
  </si>
  <si>
    <t>JAGUARIUNA</t>
  </si>
  <si>
    <t>AGI BRASIL INDUSTRIA E COMERCIO S.A.</t>
  </si>
  <si>
    <t>ESTRADA MUNICIPAL RURAL ROBERT ALLAN STENSON</t>
  </si>
  <si>
    <t>AREA RURAL DE NOVA ALEXANDRIA</t>
  </si>
  <si>
    <t>CANDIDO MOTA</t>
  </si>
  <si>
    <t>AGILENT TECHNOLOGIES BRASIL LTDA</t>
  </si>
  <si>
    <t>ARAGUAIA</t>
  </si>
  <si>
    <t>BLOCO 01 ANDAR 01 CONJ 05</t>
  </si>
  <si>
    <t>ALPHAVILLE INDUSTRIAL</t>
  </si>
  <si>
    <t>AGIS EQUIPAMENTOS E SERVICOS DE INFORMATICA LTDA.</t>
  </si>
  <si>
    <t>AGIS</t>
  </si>
  <si>
    <t>Comércio atacadista de equipamentos de informática</t>
  </si>
  <si>
    <t>PHILIP LEINER</t>
  </si>
  <si>
    <t>SALA 37 MODULO 01 E 02</t>
  </si>
  <si>
    <t>PARQUE ALEXANDRE</t>
  </si>
  <si>
    <t>COTIA</t>
  </si>
  <si>
    <t>AGIS MEDICAL PRODUTOS HOSPITALARES LTDA</t>
  </si>
  <si>
    <t>AGIS MEDICAL</t>
  </si>
  <si>
    <t>Comércio atacadista de máquinas, aparelhos e equipamentos para uso odonto-médico-hospitalar; partes e peças</t>
  </si>
  <si>
    <t>BARBACENA</t>
  </si>
  <si>
    <t>BARRO PRETO</t>
  </si>
  <si>
    <t>AGL ELETRONICOS DO BRASIL S/A</t>
  </si>
  <si>
    <t>FERROVIARIO ANIZIO VIRIATO</t>
  </si>
  <si>
    <t>GALPAOBLOCO 7</t>
  </si>
  <si>
    <t>MORADA NOVA</t>
  </si>
  <si>
    <t>AGL TRANSPORTES INTERNACIONAIS LTDA</t>
  </si>
  <si>
    <t>AGL CARGO</t>
  </si>
  <si>
    <t>Atividades de agenciamento marítimo</t>
  </si>
  <si>
    <t>QUEIROZ FILHO</t>
  </si>
  <si>
    <t>ANDAR 9 SALA 906</t>
  </si>
  <si>
    <t>VILA HAMBURGUESA</t>
  </si>
  <si>
    <t>AGLAMED-MATERIAL MEDICO HOSPITALAR LTDA</t>
  </si>
  <si>
    <t>AGLAMED</t>
  </si>
  <si>
    <t>Comércio varejista de artigos médicos e ortopédicos</t>
  </si>
  <si>
    <t>PEDRO CALAZANS</t>
  </si>
  <si>
    <t>SALA 09 1 ANDAR</t>
  </si>
  <si>
    <t>CIRURGIA</t>
  </si>
  <si>
    <t>ARACAJU</t>
  </si>
  <si>
    <t>SE</t>
  </si>
  <si>
    <t>AGLON COMERCIO E REPRESENTACOES LTDA</t>
  </si>
  <si>
    <t>AGLON MEDICAMENTOS</t>
  </si>
  <si>
    <t>VISCONDE DE NOVA GRANADA</t>
  </si>
  <si>
    <t>VILA GROSSKLAUSS</t>
  </si>
  <si>
    <t>LEME</t>
  </si>
  <si>
    <t>AGMDOC TECNOLOGIA E GESTAO DE DOCUMENTOS LTDA</t>
  </si>
  <si>
    <t>AGMDOC</t>
  </si>
  <si>
    <t>Guarda-móveis</t>
  </si>
  <si>
    <t>BENJAMIM DA SILVA</t>
  </si>
  <si>
    <t xml:space="preserve"> PARTE</t>
  </si>
  <si>
    <t>PAVUNA</t>
  </si>
  <si>
    <t>AGN7 COMUNICACAO LTDA</t>
  </si>
  <si>
    <t>AGN7 COMUNICACAO</t>
  </si>
  <si>
    <t>Edição de revistas</t>
  </si>
  <si>
    <t>CONJ 03 PAVMTO01 SALA 103 E 105 ANEXO 258</t>
  </si>
  <si>
    <t>AGRALE SOCIEDADE ANONIMA</t>
  </si>
  <si>
    <t>FEDERAL BR 116 - KM 145</t>
  </si>
  <si>
    <t>SAO CIRO</t>
  </si>
  <si>
    <t>CAXIAS DO SUL</t>
  </si>
  <si>
    <t>AGRICHEM DO BRASIL S.A.</t>
  </si>
  <si>
    <t>Fabricação de adubos e fertilizantes, exceto organo-minerais</t>
  </si>
  <si>
    <t>URUGUAI</t>
  </si>
  <si>
    <t>SALA SALAO</t>
  </si>
  <si>
    <t>PARQUE INDUSTRIAL QUITO JUNQUEIRA</t>
  </si>
  <si>
    <t>AGRICOPEL COMERCIO DE DERIVADOS DE PETROLEO LTDA</t>
  </si>
  <si>
    <t>Comércio atacadista de combustíveis realizado por transportador retalhista (T.R.R.)</t>
  </si>
  <si>
    <t>MANOEL FRANCISCO DA COSTA</t>
  </si>
  <si>
    <t>VIEIRAS</t>
  </si>
  <si>
    <t>AGRIESTUFA INDUSTRIA E COMERCIO LTDA</t>
  </si>
  <si>
    <t>AGRIESTUFA</t>
  </si>
  <si>
    <t>ARMELINO GALLO</t>
  </si>
  <si>
    <t>PARQUE INDUSTRIAL BATISTELA</t>
  </si>
  <si>
    <t>ARTUR NOGUEIRA</t>
  </si>
  <si>
    <t>AGRIMEC AGRO INDUSTRIAL E MECANICA LTDA</t>
  </si>
  <si>
    <t>AGRIMEC</t>
  </si>
  <si>
    <t>PEDRO CEZAR SACCOL</t>
  </si>
  <si>
    <t>SANTA MARIA</t>
  </si>
  <si>
    <t>AGRO COMERCIAL CAROL LTDA</t>
  </si>
  <si>
    <t>Comércio atacadista de frutas, verduras, raízes, tubérculos, hortaliças e legumes frescos</t>
  </si>
  <si>
    <t>DR GASTAO VIDIGAL</t>
  </si>
  <si>
    <t>PAVLH PMFEB M418A420</t>
  </si>
  <si>
    <t>VILA LEOPOLDINA</t>
  </si>
  <si>
    <t>AGROFITO CASE MAQUINAS AGRICOLAS LTDA</t>
  </si>
  <si>
    <t>AGROFITO CASE IH</t>
  </si>
  <si>
    <t>ITRIO CORREA DA COSTA</t>
  </si>
  <si>
    <t>JARDIM BELO HORIZONTE</t>
  </si>
  <si>
    <t>RONDONOPOLIS</t>
  </si>
  <si>
    <t>AGROFRUTA DO BRASIL ALIMENTOS LTDA</t>
  </si>
  <si>
    <t>Fabricação de conservas de frutas</t>
  </si>
  <si>
    <t>NILO VELTEN</t>
  </si>
  <si>
    <t>KM: 92.5; GALPAO: A; : ZONA RURAL;</t>
  </si>
  <si>
    <t>ARACE</t>
  </si>
  <si>
    <t>DOMINGOS MARTINS</t>
  </si>
  <si>
    <t>ES</t>
  </si>
  <si>
    <t>AGROPARTS COMERCIO DE PECAS LTDA</t>
  </si>
  <si>
    <t>AGROPARTS COMERCIO DE PECAS</t>
  </si>
  <si>
    <t>Comércio a varejo de peças e acessórios novos para veículos automotores</t>
  </si>
  <si>
    <t>DOS MISSIONARIOS</t>
  </si>
  <si>
    <t>QUADRAA LOTE 01 SALA 05 ESQ N S CONCEICAO</t>
  </si>
  <si>
    <t>BRO RODOVIARIO</t>
  </si>
  <si>
    <t>AGRORURAL COMERCIO DE PRODUTOS AGROPECUARIOS LTDA</t>
  </si>
  <si>
    <t>AGRORURAL</t>
  </si>
  <si>
    <t>Comércio varejista de outros produtos não especificados anteriormente</t>
  </si>
  <si>
    <t>DA BANDEIRA</t>
  </si>
  <si>
    <t>GUANAMBI</t>
  </si>
  <si>
    <t>AGROSUL AGROAVICOLA INDUSTRIAL S.A.</t>
  </si>
  <si>
    <t>AGROSUL</t>
  </si>
  <si>
    <t>Cultivo de milho</t>
  </si>
  <si>
    <t>TIRADENTES</t>
  </si>
  <si>
    <t>FELIZ</t>
  </si>
  <si>
    <t>AGRU TECNOLOGIA EM PLASTICO BRASIL LTDA</t>
  </si>
  <si>
    <t>Comércio atacadista especializado em outros produtos intermediários não especificados anteriormente</t>
  </si>
  <si>
    <t>PRIMEIRO DE MARCO</t>
  </si>
  <si>
    <t xml:space="preserve"> PAV 3</t>
  </si>
  <si>
    <t>AGUA NORTE - TRATAMENTO DE AGUA E SOLUCOES AMBIENTAIS LTDA</t>
  </si>
  <si>
    <t>AGUA NORTE</t>
  </si>
  <si>
    <t>Captação, tratamento e distribuição de água</t>
  </si>
  <si>
    <t>ANTONIO CHAVES</t>
  </si>
  <si>
    <t>NOVO HORIZONTE</t>
  </si>
  <si>
    <t>MARABA</t>
  </si>
  <si>
    <t>PA</t>
  </si>
  <si>
    <t>AGUAS DA PRATA INDUSTRIA E COMERCIO DE AGUA MINERAL LTDA</t>
  </si>
  <si>
    <t>AGUAS DA PRATA</t>
  </si>
  <si>
    <t>Fabricação de águas envasadas</t>
  </si>
  <si>
    <t>DA MATA</t>
  </si>
  <si>
    <t>MATA</t>
  </si>
  <si>
    <t>SAO JOSE DE RIBAMAR</t>
  </si>
  <si>
    <t>AGUAS DE ITU GESTAO EMPRESARIAL S.A. - EM RECUPERACAO JUDICIAL</t>
  </si>
  <si>
    <t>AUGUSTA</t>
  </si>
  <si>
    <t>ANDAR 9 CONJ 905</t>
  </si>
  <si>
    <t>AGUAS DE JAHU S/A</t>
  </si>
  <si>
    <t>COMENDADOR ITALO MAZZEI</t>
  </si>
  <si>
    <t>JARDIM OLIMPIA</t>
  </si>
  <si>
    <t>JAU</t>
  </si>
  <si>
    <t>AGUAS DO PARAIBA SA</t>
  </si>
  <si>
    <t>JOSE ALVES DE AZEVEDO</t>
  </si>
  <si>
    <t>PARQUE ROSARIO</t>
  </si>
  <si>
    <t>CAMPOS DOS GOYTACAZES</t>
  </si>
  <si>
    <t>AHARDS SISTEMAS S/A</t>
  </si>
  <si>
    <t>AHARDS</t>
  </si>
  <si>
    <t>Fabricação de cronômetros e relógios</t>
  </si>
  <si>
    <t>SALA 412 413 E 501 A 505</t>
  </si>
  <si>
    <t>JOAO PAULO</t>
  </si>
  <si>
    <t>AHESE ENGENHARIA LTDA</t>
  </si>
  <si>
    <t>ARAL</t>
  </si>
  <si>
    <t>JARDIM DO MAR</t>
  </si>
  <si>
    <t>AHLSTROM BRASIL INDUSTRIA E COMERCIO DE PAPEIS ESPECIAIS LTDA.</t>
  </si>
  <si>
    <t>AHLSTROM BRASIL</t>
  </si>
  <si>
    <t>Fabricação de papel</t>
  </si>
  <si>
    <t>ARMANDO STECK</t>
  </si>
  <si>
    <t>JARDIM NIERO</t>
  </si>
  <si>
    <t>LOUVEIRA</t>
  </si>
  <si>
    <t>AIDC TECNOLOGIA LTDA</t>
  </si>
  <si>
    <t>PRIME INTERWAY</t>
  </si>
  <si>
    <t>Fabricação de máquinas de escrever, calcular e outros equipamentos não-eletrônicos para escritório, peças e acessórios</t>
  </si>
  <si>
    <t>POCOS DE CALDAS</t>
  </si>
  <si>
    <t>GALPAO1</t>
  </si>
  <si>
    <t>ITAJUBA</t>
  </si>
  <si>
    <t>AIESEC NO BRASIL</t>
  </si>
  <si>
    <t>AIESEC BRASIL</t>
  </si>
  <si>
    <t>AIR LIQUIDE BRASIL LTDA</t>
  </si>
  <si>
    <t>Fabricação de gases industriais</t>
  </si>
  <si>
    <t>MORUMBI</t>
  </si>
  <si>
    <t>ANDAR 3</t>
  </si>
  <si>
    <t>AIR PRODUCTS BRASIL LTDA.</t>
  </si>
  <si>
    <t>FRANCISCO MATARAZZO</t>
  </si>
  <si>
    <t>EDIF MILANO ANDAR 11</t>
  </si>
  <si>
    <t>AIR RENT COM E SERVICOS TECNICOS DE AR COMPRIMIDO LTDA</t>
  </si>
  <si>
    <t>345050.78</t>
  </si>
  <si>
    <t>MARIA APARECIDA CARDIA</t>
  </si>
  <si>
    <t xml:space="preserve"> 190 192 204 224 172</t>
  </si>
  <si>
    <t>VILA FRIBURGO</t>
  </si>
  <si>
    <t>AIRBPO SERVICOS E TECNOLOGIA LTDA</t>
  </si>
  <si>
    <t>DOMINGOS LOPES</t>
  </si>
  <si>
    <t>CAMPO BELO</t>
  </si>
  <si>
    <t>AIRCOM PECAS E SERVICOS LTDA</t>
  </si>
  <si>
    <t>CHAGU</t>
  </si>
  <si>
    <t>VILA FORMOSA</t>
  </si>
  <si>
    <t>AIRZAP - ANEST IWATA INDUSTRIA E COMERCIO LTDA</t>
  </si>
  <si>
    <t>AIRZAP - ANEST IWATA</t>
  </si>
  <si>
    <t>PROF ESTEVAN LANGE ADRIEN</t>
  </si>
  <si>
    <t>PQ RES STAHLBERG</t>
  </si>
  <si>
    <t>LIMEIRA</t>
  </si>
  <si>
    <t>AIZ INDUSTRIA DE MAQUINAS E IMPLEMENTOS LTDA</t>
  </si>
  <si>
    <t>Fabricação de cabines, carrocerias e reboques para caminhões</t>
  </si>
  <si>
    <t>JOROSLAU SOCHAKI</t>
  </si>
  <si>
    <t>BRCAO 2</t>
  </si>
  <si>
    <t>IPE</t>
  </si>
  <si>
    <t>AJEL MATERIAIS ELETRICOS LTDA</t>
  </si>
  <si>
    <t>Comércio atacadista de material elétrico</t>
  </si>
  <si>
    <t xml:space="preserve"> QD. 07 LT 1/6</t>
  </si>
  <si>
    <t>SETOR ESPLANADA DO ANICUNS</t>
  </si>
  <si>
    <t>AKAD TECNOLOGIA COMERCIO, IMPORTACAO E EXPORTACAO LTDA.</t>
  </si>
  <si>
    <t>CONJ 101</t>
  </si>
  <si>
    <t>AKATO INDUSTRIA DE PRODUTOS PARA CONSTRUCAO CIVIL LTDA</t>
  </si>
  <si>
    <t>AKATO TUBOS E CONEXOES</t>
  </si>
  <si>
    <t>Fabricação de tubos e acessórios de material plástico para uso na construção</t>
  </si>
  <si>
    <t>TUIUTI</t>
  </si>
  <si>
    <t>AVENTUREIRO</t>
  </si>
  <si>
    <t>AKSO PRODUTOS ELETRONICOS LTDA</t>
  </si>
  <si>
    <t>EMILIO H. DEXHEIMER</t>
  </si>
  <si>
    <t xml:space="preserve"> 347 E 385</t>
  </si>
  <si>
    <t>JARDIM AMERICA</t>
  </si>
  <si>
    <t>SAO LEOPOLDO</t>
  </si>
  <si>
    <t>AKZO NOBEL LTDA</t>
  </si>
  <si>
    <t>Fabricação de tintas, vernizes, esmaltes e lacas</t>
  </si>
  <si>
    <t>PAPA JOAO XXIII 2100</t>
  </si>
  <si>
    <t>BLOCO: A; : PARTE; SALA: ADMINISTRATIVA;</t>
  </si>
  <si>
    <t>VILA CARLINA</t>
  </si>
  <si>
    <t>MAUA</t>
  </si>
  <si>
    <t>ALA COMERCIO INTERNACIONAL, IMPORTACAO E EXPORTACAO LTDA.</t>
  </si>
  <si>
    <t>TERESINA</t>
  </si>
  <si>
    <t>GALPAO125 E 135</t>
  </si>
  <si>
    <t>VILA BERTIOGA</t>
  </si>
  <si>
    <t>ALBERFLEX INDUSTRIA DE MOVEIS LTDA</t>
  </si>
  <si>
    <t>RUDOLF DAFFERNER</t>
  </si>
  <si>
    <t>ALBERTO MARANGONI LEATHER LTDA</t>
  </si>
  <si>
    <t>BETO MARANGONI</t>
  </si>
  <si>
    <t>Comércio atacadista de couros, lãs, peles e outros subprodutos não-comestíveis de origem animal</t>
  </si>
  <si>
    <t>PREF GUILHERME GERALDI FERREIRA CAMPANHA</t>
  </si>
  <si>
    <t>JD NOVA BOCAINA</t>
  </si>
  <si>
    <t>BOCAINA</t>
  </si>
  <si>
    <t>ALBRECHT EQUIPAMENTOS INDUSTRIAIS LTDA</t>
  </si>
  <si>
    <t>Fabricação de máquinas e equipamentos para a indústria têxtil, peças e acessórios</t>
  </si>
  <si>
    <t>BR CENTO E UM KM 29</t>
  </si>
  <si>
    <t>PIRABEIRABA</t>
  </si>
  <si>
    <t>ALBRIGGS DEFESA AMBIENTAL S.A.</t>
  </si>
  <si>
    <t>ALBRIGGS</t>
  </si>
  <si>
    <t>Descontaminação e outros serviços de gestão de resíduos</t>
  </si>
  <si>
    <t>JABAQUARA</t>
  </si>
  <si>
    <t>ANDAR 3 SALA 302</t>
  </si>
  <si>
    <t>MIRANDOPOLIS</t>
  </si>
  <si>
    <t>ALCATEL-LUCENT BRASIL TELECOMUNICACOES LTDA.</t>
  </si>
  <si>
    <t>Fabricação de equipamentos transmissores de comunicação, peças e acessórios</t>
  </si>
  <si>
    <t>MARCOS PENTEADO DE ULHOA RODRIGUES</t>
  </si>
  <si>
    <t xml:space="preserve"> PARTE 33</t>
  </si>
  <si>
    <t>ALCOA ALUMINIO S/A</t>
  </si>
  <si>
    <t>Produção de alumínio e suas ligas em formas primárias</t>
  </si>
  <si>
    <t>POCOS DE CALDAS - ANDRADAS KM 10</t>
  </si>
  <si>
    <t>ZONA RURAL</t>
  </si>
  <si>
    <t>ALCOLINA QUIMICA E DERIVADOS S.A.</t>
  </si>
  <si>
    <t>Fabricação de aditivos de uso industrial</t>
  </si>
  <si>
    <t>PALETRANS</t>
  </si>
  <si>
    <t>CRAVINHOS</t>
  </si>
  <si>
    <t>ALCON LABORATORIOS DO BRASIL LTDA</t>
  </si>
  <si>
    <t>PROFESSOR VICENTE RAO</t>
  </si>
  <si>
    <t>: PREDIO 122; BLOCO: A; ANDAR: 1;</t>
  </si>
  <si>
    <t>JARDIM PETROPOLIS</t>
  </si>
  <si>
    <t>ALCTEL TELECOMUNICACOES E INFORMATICA LTDA</t>
  </si>
  <si>
    <t>ALCTEL TELECOM &amp; CABLING</t>
  </si>
  <si>
    <t>Reparação e manutenção de equipamentos de comunicação</t>
  </si>
  <si>
    <t>ALVARENGA PEIXOTO</t>
  </si>
  <si>
    <t>SANTO AGOSTINHO</t>
  </si>
  <si>
    <t>ALDEIA DA SERRA FIRE LTDA</t>
  </si>
  <si>
    <t>Outras atividades de ensino não especificadas anteriormente</t>
  </si>
  <si>
    <t>DOUTOR CICERO BORGES DE MORAIS</t>
  </si>
  <si>
    <t>SITIO DO MORRO</t>
  </si>
  <si>
    <t>SANTANA DE PARNAIBA</t>
  </si>
  <si>
    <t>ALDO EUGENIO DA COSTA 41725691884</t>
  </si>
  <si>
    <t>Filmagem de festas e eventos</t>
  </si>
  <si>
    <t>JOSE DE ALMEIDA CAMPOS</t>
  </si>
  <si>
    <t>PARQUE RESIDENCIAL RONDON</t>
  </si>
  <si>
    <t>SALTO</t>
  </si>
  <si>
    <t>ALELO INSTITUICAO DE PAGAMENTO SA</t>
  </si>
  <si>
    <t>ALELO</t>
  </si>
  <si>
    <t>Emissão de vales-alimentação, vales-transporte e similares</t>
  </si>
  <si>
    <t>XINGU</t>
  </si>
  <si>
    <t>ANDAR 3 E 4 E 16 PARTE</t>
  </si>
  <si>
    <t>ALPHAVILLE CENTRO INDUSTRIAL E EMPRESARIAL/ALPHAV</t>
  </si>
  <si>
    <t>ALEXANDRE BRUNO MAGELA</t>
  </si>
  <si>
    <t>FORTMAN SEGURANCA E EVENTOS</t>
  </si>
  <si>
    <t>Atividades de vigilância e segurança privada</t>
  </si>
  <si>
    <t>VIVIANE CAROLINA DE OLIVEIRA</t>
  </si>
  <si>
    <t>APT: 102; BLOCO: A4;</t>
  </si>
  <si>
    <t>SERRA VERDE (VENDA NOVA)</t>
  </si>
  <si>
    <t>ALFA GESTAO DE RECURSOS HUMANOS LTDA</t>
  </si>
  <si>
    <t>ALFA</t>
  </si>
  <si>
    <t>JESUS TOMAZ TAJRA</t>
  </si>
  <si>
    <t>SAO CRISTOVAO</t>
  </si>
  <si>
    <t>PI</t>
  </si>
  <si>
    <t>ALFA MED SISTEMAS MEDICOS LTDA</t>
  </si>
  <si>
    <t>Fabricação de aparelhos eletromédicos e eletroterapêuticos e equipamentos de irradiação</t>
  </si>
  <si>
    <t>UM</t>
  </si>
  <si>
    <t>GALPAO5</t>
  </si>
  <si>
    <t>DISTRITO INDUSTRIAL GENESCO APARECIDO DE OLIVEIRA</t>
  </si>
  <si>
    <t>LAGOA SANTA</t>
  </si>
  <si>
    <t>ALFA TECNOLOGIA E SERVICOS EM SENSORIAMENTO DE FIBRA OPTICA LTDA</t>
  </si>
  <si>
    <t>ALFA SENSE</t>
  </si>
  <si>
    <t>JOSE VERSOLATO</t>
  </si>
  <si>
    <t>BLOCO B SALA 1910 1911 1912 1913</t>
  </si>
  <si>
    <t>ALFA TECNOLOGIA EM ENGENHARIA E INFRAESTRUTURA DE REDES LTDA</t>
  </si>
  <si>
    <t>ALFA TECNOLOGIA EM ENGENHARIA E INFRAESTRUTURA DE REDES</t>
  </si>
  <si>
    <t>Instalação e manutenção elétrica</t>
  </si>
  <si>
    <t>RIACHO FUNDO I QN 7 CJ 5 LT 15</t>
  </si>
  <si>
    <t>RIACHO FUNDO I</t>
  </si>
  <si>
    <t>ALFAGAS COMERCIO E DISTRIBUICAO LTDA</t>
  </si>
  <si>
    <t>ALFAGAS</t>
  </si>
  <si>
    <t>DOS METALURGICOS</t>
  </si>
  <si>
    <t>CENTRO EMPRESARIAL DE LAVRAS</t>
  </si>
  <si>
    <t>LAVRAS</t>
  </si>
  <si>
    <t>ALFALAGOS LTDA.</t>
  </si>
  <si>
    <t>ALBERTO VIEIRA ROMAO</t>
  </si>
  <si>
    <t>ALFENAS</t>
  </si>
  <si>
    <t>ALFATERM INDUSTRIA E COMERCIO LTDA</t>
  </si>
  <si>
    <t>Fabricação de fornos industriais, aparelhos e equipamentos não-elétricos para instalações térmicas, peças e acessórios</t>
  </si>
  <si>
    <t>TENENTE MARQUES</t>
  </si>
  <si>
    <t>ANEXO ANTIGO 5490</t>
  </si>
  <si>
    <t>CHACARA DO SOLAR I (FAZENDINHA)</t>
  </si>
  <si>
    <t>ALFER PRESTADORA DE SERVICOS LTDA</t>
  </si>
  <si>
    <t>ANTONIO ALVES</t>
  </si>
  <si>
    <t>16-29</t>
  </si>
  <si>
    <t>ALGAR MULTIMIDIA S/A</t>
  </si>
  <si>
    <t>ALGAR TELECOM</t>
  </si>
  <si>
    <t>JOSE ALVES GARCIA</t>
  </si>
  <si>
    <t>: MEZANINO;</t>
  </si>
  <si>
    <t>UBERLANDIA</t>
  </si>
  <si>
    <t>ALGAR TELECOM S/A</t>
  </si>
  <si>
    <t>ALGAR</t>
  </si>
  <si>
    <t>Serviços de telefonia fixa comutada - STFC</t>
  </si>
  <si>
    <t>ALIANCA CARVALHO COMERCIO E SERVICOS DE PRODUTOS INDUSTRIAIS E AUTOMOTIVOS LTDA</t>
  </si>
  <si>
    <t>ALIANCA CARVALHO COMERCIO E SERVICO DE RPODUTOS INDUSTR</t>
  </si>
  <si>
    <t>Serviços de manutenção e reparação mecânica de veículos automotores</t>
  </si>
  <si>
    <t>LATERAL</t>
  </si>
  <si>
    <t>ANDRADE ARAUJO</t>
  </si>
  <si>
    <t>ALIBEM ALIMENTOS S.A.</t>
  </si>
  <si>
    <t>Frigorífico - abate de suínos</t>
  </si>
  <si>
    <t>PROTASIO ALVES</t>
  </si>
  <si>
    <t>PETROPOLIS</t>
  </si>
  <si>
    <t>ALIBRA INGREDIENTES S.A.</t>
  </si>
  <si>
    <t>ALIBRA</t>
  </si>
  <si>
    <t>Fabricação de pós alimentícios</t>
  </si>
  <si>
    <t>ALEXANDER GRAHAN BELL</t>
  </si>
  <si>
    <t>BLOCO D MOD D1 E B MOD B4</t>
  </si>
  <si>
    <t>TECHNO PARK</t>
  </si>
  <si>
    <t>ALIMENTAR FOODS FRIGORIFICO LTDA</t>
  </si>
  <si>
    <t>ALIMENTAR FOODS</t>
  </si>
  <si>
    <t>Fabricação de produtos de carne</t>
  </si>
  <si>
    <t>ANEL RODOVIARIO CELSO MELLO AZEVEDO</t>
  </si>
  <si>
    <t>EYMARD</t>
  </si>
  <si>
    <t>ALL-CROM TRATAMENTO DE METAIS LTDA</t>
  </si>
  <si>
    <t>Serviços de usinagem, tornearia e solda</t>
  </si>
  <si>
    <t>RODOVALHO JUNIOR</t>
  </si>
  <si>
    <t>FUNDOS</t>
  </si>
  <si>
    <t>PENHA</t>
  </si>
  <si>
    <t>ALLERGAN PRODUTOS FARMACEUTICOS LTDA.</t>
  </si>
  <si>
    <t>ENGENHEIRO LUIZ CARLOS BERRINI 105</t>
  </si>
  <si>
    <t>ANDAR 18 CONJ 181 E 182 TORRE 3 SETOR B COND THERA ONE</t>
  </si>
  <si>
    <t>CIDADE MONCOES</t>
  </si>
  <si>
    <t>ALLEVO CAPITAL LTDA</t>
  </si>
  <si>
    <t>DENALI TAX CONSULTORIA</t>
  </si>
  <si>
    <t>Atividades de consultoria e auditoria contábil e tributária</t>
  </si>
  <si>
    <t>ITAPEVA</t>
  </si>
  <si>
    <t>CONJ 123</t>
  </si>
  <si>
    <t>ALLIAGE S/A INDUSTRIAS MEDICO ODONTOLOGICA</t>
  </si>
  <si>
    <t>DABI</t>
  </si>
  <si>
    <t>ABRAO ASSED</t>
  </si>
  <si>
    <t>KM 53 E 450 METROS</t>
  </si>
  <si>
    <t>RECREIO ANHANGUERA</t>
  </si>
  <si>
    <t>ALLIED TECNOLOGIA S.A.</t>
  </si>
  <si>
    <t>Comércio atacadista de componentes eletrônicos e equipamentos de telefonia e comunicação</t>
  </si>
  <si>
    <t>VICE-PREFEITO HERMENEGILDO TONOLLI</t>
  </si>
  <si>
    <t>LOTE GLA2A GALPAO04B</t>
  </si>
  <si>
    <t>ALLMED COMERCIO DE MATERIAIS MEDICO HOSPITALARES LTDA</t>
  </si>
  <si>
    <t>ALLMED</t>
  </si>
  <si>
    <t>DO TINDIBA</t>
  </si>
  <si>
    <t xml:space="preserve"> SALAS 301 308 309</t>
  </si>
  <si>
    <t>TAQUARA</t>
  </si>
  <si>
    <t>ALLONDA ENGENHARIA LTDA - EM RECUPERACAO JUDICIAL</t>
  </si>
  <si>
    <t>Construção de obras de arte especiais</t>
  </si>
  <si>
    <t>MAMORE</t>
  </si>
  <si>
    <t>CONJ 23 E 24</t>
  </si>
  <si>
    <t>ALPHAVILLE CENTRO INDUSTRIAL E EMPRESARIAL/ALPHAVI</t>
  </si>
  <si>
    <t>ALLPARK EMPREENDIMENTOS, PARTICIPACOES E SERVICOS S.A.</t>
  </si>
  <si>
    <t>ESTAPAR</t>
  </si>
  <si>
    <t>Estacionamento de veículos</t>
  </si>
  <si>
    <t>PRES JUSCELINO KUBITSCHEK</t>
  </si>
  <si>
    <t>ANDAR 2 BLOCO 3</t>
  </si>
  <si>
    <t>VILA NOVA CONCEICAO</t>
  </si>
  <si>
    <t>ALLTAPE INDUSTRIA E COMERCIO DE FITAS ADESIVAS LTDA</t>
  </si>
  <si>
    <t>ALLTAPE</t>
  </si>
  <si>
    <t>DOUTOR SEBASTIAO ARMELIN</t>
  </si>
  <si>
    <t>CORTE PRETO</t>
  </si>
  <si>
    <t>CAPIVARI</t>
  </si>
  <si>
    <t>ALLTECH MAQUINAS E EQUIPAMENTOS LTDA</t>
  </si>
  <si>
    <t>ANTONIO FRANCISCO MARCHETT</t>
  </si>
  <si>
    <t>PAVLH 1</t>
  </si>
  <si>
    <t>SANTA CATARINA</t>
  </si>
  <si>
    <t>ALMAPAL S.A.</t>
  </si>
  <si>
    <t>JOSE DE ANDRADE</t>
  </si>
  <si>
    <t>ALMEIDA SAPATA ENGENHARIA E CONSTRUCOES LTDA</t>
  </si>
  <si>
    <t>DR DIOGO DE FARIA</t>
  </si>
  <si>
    <t>CONJ 42 E 43</t>
  </si>
  <si>
    <t>VILA MARIANA</t>
  </si>
  <si>
    <t>ALPARGATAS S.A.</t>
  </si>
  <si>
    <t>Preparação e fiação de fibras de algodão</t>
  </si>
  <si>
    <t>CONJ 1001A - ALA A1</t>
  </si>
  <si>
    <t>ALPHA EQUIPAMENTOS ELETRICOS LTDA</t>
  </si>
  <si>
    <t>ORLANDO MARCHETTI</t>
  </si>
  <si>
    <t>FREGUESIA DO O</t>
  </si>
  <si>
    <t>ALPHA WATER TRATAMENTO DE AGUA E EQUIPAMENTOS, IMPORTACAO E EXPORTACAO LTDA</t>
  </si>
  <si>
    <t>ALPHA WATER</t>
  </si>
  <si>
    <t>RIO ACIMA</t>
  </si>
  <si>
    <t>SALA 02 E 03</t>
  </si>
  <si>
    <t>ALPHACARBO INDUSTRIAL LTDA</t>
  </si>
  <si>
    <t>MUNICIPAL BENEDITO DE PAULA LOURO</t>
  </si>
  <si>
    <t>PRIMAVERA</t>
  </si>
  <si>
    <t>GUARAPUAVA</t>
  </si>
  <si>
    <t>ALPHATEK ENGENHARIA LTDA</t>
  </si>
  <si>
    <t>IPE BRANCO</t>
  </si>
  <si>
    <t>LOTEAMENTO INDUSTRIAL VECCON ZETA</t>
  </si>
  <si>
    <t>ALPINO INDUSTRIA METALURGICA LTDA</t>
  </si>
  <si>
    <t>Fabricação de outras peças e acessórios para veículos automotores não especificadas anteriormente</t>
  </si>
  <si>
    <t>MARGINAL DA RODOVIA DOS BANDEIRANTES</t>
  </si>
  <si>
    <t>ALPITEL BRASIL IMPLANTACOES DE SISTEMAS LTDA -</t>
  </si>
  <si>
    <t>ALPITEL BRASIL</t>
  </si>
  <si>
    <t>AMADIS</t>
  </si>
  <si>
    <t>BLOCO C SALA 3 ANDAR SUPERIOR</t>
  </si>
  <si>
    <t>ALS AMBIENTAL LTDA</t>
  </si>
  <si>
    <t>CORPLAB BRASIL</t>
  </si>
  <si>
    <t>Outras atividades profissionais, científicas e técnicas não especificadas anteriormente</t>
  </si>
  <si>
    <t>GALATEA</t>
  </si>
  <si>
    <t>CARANDIRU</t>
  </si>
  <si>
    <t>ALS TECNOLOGIA LTDA</t>
  </si>
  <si>
    <t>EMBAIXADOR ABELARDO BUENO</t>
  </si>
  <si>
    <t>SALA: 402;</t>
  </si>
  <si>
    <t>ALSA FORT SEGURANCA LTDA</t>
  </si>
  <si>
    <t>ALSCO BRASIL LTDA</t>
  </si>
  <si>
    <t>Toalheiros</t>
  </si>
  <si>
    <t>CDE DE ITU</t>
  </si>
  <si>
    <t>JARDIM SANTO AMARO</t>
  </si>
  <si>
    <t>ALSTOM BRASIL ENERGIA E TRANSPORTE LTDA</t>
  </si>
  <si>
    <t>ALSTOM</t>
  </si>
  <si>
    <t>VIRGILIO WEY</t>
  </si>
  <si>
    <t>ALTA GENETICS DO BRASIL LTDA</t>
  </si>
  <si>
    <t>ALTA BRASIL</t>
  </si>
  <si>
    <t>Comércio atacadista de animais vivos</t>
  </si>
  <si>
    <t>BR-050</t>
  </si>
  <si>
    <t>N/A</t>
  </si>
  <si>
    <t>KM 162 A DIREITA CXPST 4008</t>
  </si>
  <si>
    <t>PARQUE HILEIA</t>
  </si>
  <si>
    <t>UBERABA</t>
  </si>
  <si>
    <t>ALTA REGULARIZACAO E SERVICOS LTDA</t>
  </si>
  <si>
    <t>ALTA REGULARIZACAO</t>
  </si>
  <si>
    <t>Serviços de arquitetura</t>
  </si>
  <si>
    <t>TRINDADE</t>
  </si>
  <si>
    <t>SALA 0505</t>
  </si>
  <si>
    <t>BETHAVILLE I</t>
  </si>
  <si>
    <t>ALTERMED MATERIAL MEDICO HOSPITALAR LTDA</t>
  </si>
  <si>
    <t>ALTERMED MEDICAMENTOS E MATERIAIS HOSPITALARES</t>
  </si>
  <si>
    <t>BOA ESPERANCA</t>
  </si>
  <si>
    <t>FUNDO CANOAS</t>
  </si>
  <si>
    <t>RIO DO SUL</t>
  </si>
  <si>
    <t>ALTERNATIVA ELETRICA UBA LTDA</t>
  </si>
  <si>
    <t>MG 447 DO KM 01 AO KM 08 (TRECHO UBA/VISCONDE DO RIO BRANCO)</t>
  </si>
  <si>
    <t xml:space="preserve"> ESCRITORIO</t>
  </si>
  <si>
    <t>EIXO RODOVIARIO</t>
  </si>
  <si>
    <t>UBA</t>
  </si>
  <si>
    <t>ALTERNATIVA VEICULOS ESPECIAIS, PECAS E SERVICOS LTDA</t>
  </si>
  <si>
    <t>DAS INDUSTRIAS</t>
  </si>
  <si>
    <t>VILA LOANDA</t>
  </si>
  <si>
    <t>FERRAZ DE VASCONCELOS</t>
  </si>
  <si>
    <t>ALTIS BRASIL DISTRIBUIDORA E IMPORTADORA DE PRODUTOS MEDICOS LTDA</t>
  </si>
  <si>
    <t>JULIO DE SA BIERRENBACH ALM</t>
  </si>
  <si>
    <t xml:space="preserve"> BLOCO 4 SALA 211</t>
  </si>
  <si>
    <t>JACAREPAGUA</t>
  </si>
  <si>
    <t>ALTITUDE COMERCIO DE EQUIPAMENTOS ESPORTIVOS LTDA</t>
  </si>
  <si>
    <t>ALTITUDE</t>
  </si>
  <si>
    <t>Comércio atacadista de roupas e acessórios para uso profissional e de segurança do trabalho</t>
  </si>
  <si>
    <t>DOS GUARANIS</t>
  </si>
  <si>
    <t>CAMPO GRANDE</t>
  </si>
  <si>
    <t>MS</t>
  </si>
  <si>
    <t>ALTRA INDUSTRIAL MOTION DO BRASIL EQUIPAMENTOS INDUSTRIAIS LTDA.</t>
  </si>
  <si>
    <t>Fabricação de outros produtos de metal não especificados anteriormente</t>
  </si>
  <si>
    <t>JOAO PAULO ABLAS</t>
  </si>
  <si>
    <t>JARDIM DA GLORIA</t>
  </si>
  <si>
    <t>ALTUS SISTEMAS DE AUTOMACAO S.A.</t>
  </si>
  <si>
    <t>THEODOMIRO PORTO DA FONSECA</t>
  </si>
  <si>
    <t>LOTE 01</t>
  </si>
  <si>
    <t>ALUCEL SUPRIMENTOS INDUSTRIAIS LTDA</t>
  </si>
  <si>
    <t>COMERCIAL ALUCEL</t>
  </si>
  <si>
    <t>Comércio varejista de material elétrico</t>
  </si>
  <si>
    <t>LUCAS SAMPRONHA (LOTEAMENTO ALPHANORTH INDUSTRIAL)</t>
  </si>
  <si>
    <t>GUAMIUM</t>
  </si>
  <si>
    <t>ALUFER S A ESTRUTURAS METALICAS</t>
  </si>
  <si>
    <t>Fabricação de estruturas metálicas</t>
  </si>
  <si>
    <t>GENERAL FURTADO DO NASCIMENTO</t>
  </si>
  <si>
    <t>7º AND.-CJS.71/73/74</t>
  </si>
  <si>
    <t>VILA MADALENA</t>
  </si>
  <si>
    <t>ALUMBRA PRODUTOS ELETRICOS E ELETRONICOS LTDA</t>
  </si>
  <si>
    <t>ALUMBRA</t>
  </si>
  <si>
    <t>Fabricação de material elétrico para instalações em circuito de consumo</t>
  </si>
  <si>
    <t>GUIMARAES ROSA</t>
  </si>
  <si>
    <t>JD CONTINENTAL</t>
  </si>
  <si>
    <t>ALVARENGA E LINHARES COMERCIO E SERVICOS LTDA</t>
  </si>
  <si>
    <t>Atividades de apoio à agricultura não especificadas anteriormente</t>
  </si>
  <si>
    <t>ALBERTO FERREIRA</t>
  </si>
  <si>
    <t>PARQUE TAMANDARE</t>
  </si>
  <si>
    <t>ALVENIUS EQUIPAMENTOS TUBULARES LTDA</t>
  </si>
  <si>
    <t>Produção de tubos de aço com costura</t>
  </si>
  <si>
    <t>FERNANDO NOBRE</t>
  </si>
  <si>
    <t>RIO COTIA</t>
  </si>
  <si>
    <t>ALVES &amp; NUNES COMERCIAL TEXTIL LTDA</t>
  </si>
  <si>
    <t>Comércio atacadista de artigos do vestuário e acessórios, exceto profissionais e de segurança</t>
  </si>
  <si>
    <t>ITALIA</t>
  </si>
  <si>
    <t>JARDIM EUROPA I</t>
  </si>
  <si>
    <t>SANTA BARBARA D'OESTE</t>
  </si>
  <si>
    <t>ALVIM SERVICOS DE PERFURACAO DE DIRECIONAL E COMERCIO</t>
  </si>
  <si>
    <t>ALVIM MND</t>
  </si>
  <si>
    <t>Serviços especializados para construção não especificados anteriormente</t>
  </si>
  <si>
    <t>MARQ DE SAO VICENTE</t>
  </si>
  <si>
    <t>SALA 2422</t>
  </si>
  <si>
    <t>VARZEA DA BARRA FUNDA</t>
  </si>
  <si>
    <t>ALYA CONSTRUTORA S/A</t>
  </si>
  <si>
    <t>Outras obras de engenharia civil não especificadas anteriormente</t>
  </si>
  <si>
    <t xml:space="preserve"> PAV 21</t>
  </si>
  <si>
    <t>AM MEDICAL COMERCIO DE MEDICAMENTOS E PRODUTOS HOSPITALARES LTDA</t>
  </si>
  <si>
    <t>AM MEDICAL</t>
  </si>
  <si>
    <t>CASSIOPEIA</t>
  </si>
  <si>
    <t>ANDAR 1 SALA 1</t>
  </si>
  <si>
    <t>AMAGGI COMERCIALIZADORA DE ENERGIA LTDA.</t>
  </si>
  <si>
    <t>Comércio atacadista de energia elétrica</t>
  </si>
  <si>
    <t>ANDRE ANTONIO MAGGI</t>
  </si>
  <si>
    <t>ANDAR 3 SALA 8</t>
  </si>
  <si>
    <t>ALVORADA</t>
  </si>
  <si>
    <t>AMARAL DANTAS COMERCIAL, OBRAS E SERVICOS LTDA</t>
  </si>
  <si>
    <t>AMARAL DANTAS</t>
  </si>
  <si>
    <t>Compra e venda de imóveis próprios</t>
  </si>
  <si>
    <t>QUADRA49 LOTE 05</t>
  </si>
  <si>
    <t>RODA VELHA</t>
  </si>
  <si>
    <t>SAO DESIDERIO</t>
  </si>
  <si>
    <t>AMATOOLS COMERCIAL E IMPORTADORA LTDA</t>
  </si>
  <si>
    <t>7310156.5</t>
  </si>
  <si>
    <t>DOIS CORREGOS</t>
  </si>
  <si>
    <t>AMAZON SECURITY LTDA</t>
  </si>
  <si>
    <t>CAS SEGURANCA E VIGILANCIA</t>
  </si>
  <si>
    <t>HEISEI</t>
  </si>
  <si>
    <t xml:space="preserve"> QD-B LOT-15 RES. JD</t>
  </si>
  <si>
    <t>PARQUE 10 DE NOVEMBRO</t>
  </si>
  <si>
    <t>AMAZON SISTEMAS DE REFRIGERACAO E INFORMATICA LTDA</t>
  </si>
  <si>
    <t>AMAZONCLIMA</t>
  </si>
  <si>
    <t>SAO JORGE</t>
  </si>
  <si>
    <t>SALA 12-CENTRO COMERCIAL SAO JORGE CENTER</t>
  </si>
  <si>
    <t>AMAZONAS INDUSTRIA E COMERCIO LTDA</t>
  </si>
  <si>
    <t>RIO BRANCO 745</t>
  </si>
  <si>
    <t>VILA SANTOS DUMONT</t>
  </si>
  <si>
    <t>FRANCA</t>
  </si>
  <si>
    <t>AMAZONGAS DISTRIB DE GAS LIQUEF DE PETROLEO LTDA</t>
  </si>
  <si>
    <t>Comércio atacadista de gás liqüefeito de petróleo (GLP)</t>
  </si>
  <si>
    <t>RIO QUIXITO</t>
  </si>
  <si>
    <t>AMAZONIAN AIR AR CONDICIONADO LTDA</t>
  </si>
  <si>
    <t>AMAZONIAN AIR</t>
  </si>
  <si>
    <t>Reparação e manutenção de equipamentos eletroeletrônicos de uso pessoal e doméstico</t>
  </si>
  <si>
    <t>ANDRADE NEVES</t>
  </si>
  <si>
    <t>SALA 72</t>
  </si>
  <si>
    <t>AMBEV S.A.</t>
  </si>
  <si>
    <t>Fabricação de cervejas e chopes</t>
  </si>
  <si>
    <t>DR RENATO PAES DE BARROS</t>
  </si>
  <si>
    <t>ANDAR 3 EDIF CORP. PARK</t>
  </si>
  <si>
    <t>ITAIM BIBI</t>
  </si>
  <si>
    <t>AMBICAMP - GERENCIAMENTO DE RESIDUOS LTDA</t>
  </si>
  <si>
    <t>ALBERTO MAGNUSSON</t>
  </si>
  <si>
    <t>QUADRAF LOTE 12</t>
  </si>
  <si>
    <t>COMERCIAL VITORIA MARTINI</t>
  </si>
  <si>
    <t>INDAIATUBA</t>
  </si>
  <si>
    <t>AMBIENSYS GESTAO AMBIENTAL LTDA</t>
  </si>
  <si>
    <t>AMBIENSYS</t>
  </si>
  <si>
    <t>CANDIDO DE ABREU</t>
  </si>
  <si>
    <t>CONJ 51 ANDAR 05 COND CENTRO CIVICO COND BLOCO CENTRO CIVICO BL-COR</t>
  </si>
  <si>
    <t>CENTRO CIVICO</t>
  </si>
  <si>
    <t>AMBIENTAL COLETA DE RESIDUOS E SERVICOS LTDA</t>
  </si>
  <si>
    <t>AMBIENTAL COLETA</t>
  </si>
  <si>
    <t>Coleta de resíduos não-perigosos</t>
  </si>
  <si>
    <t>WALDEMAR SIEPIERSKI</t>
  </si>
  <si>
    <t>SALA 619</t>
  </si>
  <si>
    <t>CARIACICA</t>
  </si>
  <si>
    <t>AMBIPAR PARTICIPACOES E EMPREENDIMENTOS S.A.</t>
  </si>
  <si>
    <t>SALA 09</t>
  </si>
  <si>
    <t>AMBIPAR RESPONSE OGTEC FACILITIES LTDA</t>
  </si>
  <si>
    <t>MANOEL FEU SUBTIL</t>
  </si>
  <si>
    <t>SALA 201</t>
  </si>
  <si>
    <t>ENSEADA DO SUA</t>
  </si>
  <si>
    <t>VITORIA</t>
  </si>
  <si>
    <t>AMBSERV TRATAMENTO DE RESIDUOS LTDA</t>
  </si>
  <si>
    <t>Coleta de resíduos perigosos</t>
  </si>
  <si>
    <t>ALEXANDRE ZANCHETTA</t>
  </si>
  <si>
    <t>CAMPINA</t>
  </si>
  <si>
    <t>AMCOR PACKAGING DO BRASIL LTDA</t>
  </si>
  <si>
    <t>FRANCISCO PEREIRA DUTRA</t>
  </si>
  <si>
    <t>ESTIVA</t>
  </si>
  <si>
    <t>AMERICA TECNOLOGIA DE INFORMATICA E ELETRO - ELETRONICOS SP LTDA</t>
  </si>
  <si>
    <t>AT SERVICES</t>
  </si>
  <si>
    <t>Comércio varejista especializado de equipamentos de telefonia e comunicação</t>
  </si>
  <si>
    <t>CONDESSA DO PINHAL</t>
  </si>
  <si>
    <t>ANDAR SUPERIOR SALA 01 SALA 02 SALA 03</t>
  </si>
  <si>
    <t>PARQUE COLONIAL</t>
  </si>
  <si>
    <t>AMERICASUL AEROAGRICOLA LTDA</t>
  </si>
  <si>
    <t>AMERICASUL AVIACAO</t>
  </si>
  <si>
    <t>Atividades de apoio à produção florestal</t>
  </si>
  <si>
    <t>TRAJANO BALDUINO</t>
  </si>
  <si>
    <t>CXPST 53 AEROPORTO FORMOSA</t>
  </si>
  <si>
    <t>FORMOSA</t>
  </si>
  <si>
    <t>AMERICO DOS SANTOS</t>
  </si>
  <si>
    <t>OCR MATERIAIS ELETRICOS</t>
  </si>
  <si>
    <t>AULINDA QUEIROZ DE MATOS</t>
  </si>
  <si>
    <t>JARDIM PATENTE NOVO</t>
  </si>
  <si>
    <t>AMETEK DO BRASIL LTDA</t>
  </si>
  <si>
    <t>ANTONIO ARTIOLI</t>
  </si>
  <si>
    <t>BLOCO F CONJ 207 209 211 CONJ 213 215 217</t>
  </si>
  <si>
    <t>SWISS PARK</t>
  </si>
  <si>
    <t>AMGEN BIOTECNOLOGIA DO BRASIL LTDA.</t>
  </si>
  <si>
    <t>PATRICIA LUCIA DE SOUZA</t>
  </si>
  <si>
    <t>JARDIM DAS OLIVEIRAS</t>
  </si>
  <si>
    <t>TABOAO DA SERRA</t>
  </si>
  <si>
    <t>AMM TECNOLOGIA SERVICOS DE INFORMATICA LTDA</t>
  </si>
  <si>
    <t>HORACIO RACCANELLO FILHO,ADVOGADO</t>
  </si>
  <si>
    <t>ANDAR 7 SALA 701 E 703</t>
  </si>
  <si>
    <t>ZONA 01</t>
  </si>
  <si>
    <t>MARINGA</t>
  </si>
  <si>
    <t>AMPLAVISAO - CENTRO OFTALMOLOGICO LTDA</t>
  </si>
  <si>
    <t>AMPLAVISAO</t>
  </si>
  <si>
    <t>Atividade médica ambulatorial restrita a consultas</t>
  </si>
  <si>
    <t>DOM JOSE GASPAR</t>
  </si>
  <si>
    <t>VILA ASSIS</t>
  </si>
  <si>
    <t>AMT CONSULTORIA LTDA</t>
  </si>
  <si>
    <t>FLORIDA</t>
  </si>
  <si>
    <t>CONJ 92</t>
  </si>
  <si>
    <t>ANA PAULA ROLDAO DA SILVA 74794434634</t>
  </si>
  <si>
    <t>P&amp;P TURISMO</t>
  </si>
  <si>
    <t>ROSA DO CAMPO</t>
  </si>
  <si>
    <t>CONJ</t>
  </si>
  <si>
    <t>JARDIM DOS COQUEIRAIS</t>
  </si>
  <si>
    <t>ESMERALDAS</t>
  </si>
  <si>
    <t>ANALITICA QUIMICA INDUSTRIA E COMERCIO LTDA</t>
  </si>
  <si>
    <t>ANALITICA QUIMICA</t>
  </si>
  <si>
    <t>ARAXA</t>
  </si>
  <si>
    <t>DISTRITO INDUSTRIAL JOSE HONORATO DA SILVA</t>
  </si>
  <si>
    <t>ANAQUEN BRASIL EQUIPAMENTOS LTDA</t>
  </si>
  <si>
    <t>ANAQUEN BRASIL</t>
  </si>
  <si>
    <t>SETE QUEDAS</t>
  </si>
  <si>
    <t>VILA PADRE BENTO</t>
  </si>
  <si>
    <t>ITU</t>
  </si>
  <si>
    <t>ANB FARMA LTDA</t>
  </si>
  <si>
    <t>ALCIDES JAZAR</t>
  </si>
  <si>
    <t xml:space="preserve"> AO LADO CEMITERIO</t>
  </si>
  <si>
    <t>ATUBA</t>
  </si>
  <si>
    <t>PINHAIS</t>
  </si>
  <si>
    <t>ANBIOTON IMPORTADORA LTDA</t>
  </si>
  <si>
    <t>ANBIOTON IMPORTADORA</t>
  </si>
  <si>
    <t>PEDRO PASCOAL DOS SANTOS</t>
  </si>
  <si>
    <t>GALPAO2 MODULO 4 PARTE 2</t>
  </si>
  <si>
    <t>RESIDENCIAL REAL PARQUE SUMARE</t>
  </si>
  <si>
    <t>ANCONA CORRETORA DE SEGUROS LTDA</t>
  </si>
  <si>
    <t>Corretores e agentes de seguros, de planos de previdência complementar e de saúde</t>
  </si>
  <si>
    <t>DOM PAULO PEDROSA</t>
  </si>
  <si>
    <t xml:space="preserve"> APTO. 111</t>
  </si>
  <si>
    <t>REAL PARUE</t>
  </si>
  <si>
    <t>ANDARE INDUSTRIA E COMERCIO DE CALCADOS EIRELI</t>
  </si>
  <si>
    <t>Empresa Individual de Responsabilidade Limitada (de Natureza Empresária)</t>
  </si>
  <si>
    <t>Fabricação de calçados de couro</t>
  </si>
  <si>
    <t>PRINCESA ISABEL</t>
  </si>
  <si>
    <t>VILA REAL</t>
  </si>
  <si>
    <t>ARACARIGUAMA</t>
  </si>
  <si>
    <t>ANDRADE COMERCIAL CIRURGICA LTDA</t>
  </si>
  <si>
    <t>BIOVASC</t>
  </si>
  <si>
    <t>ESTADO DE ISRAEL</t>
  </si>
  <si>
    <t xml:space="preserve"> SALA 0108 EDF ESPACO I</t>
  </si>
  <si>
    <t>ILHA DO LEITE</t>
  </si>
  <si>
    <t>RECIFE</t>
  </si>
  <si>
    <t>ANDRADE GUTIERREZ ENGENHARIA S/A</t>
  </si>
  <si>
    <t>DO CONTORNO</t>
  </si>
  <si>
    <t>ANDRAMIX CONCRETO LTDA</t>
  </si>
  <si>
    <t>ANDRAMIX CONCRETO</t>
  </si>
  <si>
    <t>Preparação de massa de concreto e argamassa para construção</t>
  </si>
  <si>
    <t>HERMENEGILDO PASSARELLI</t>
  </si>
  <si>
    <t>ANDRADINA</t>
  </si>
  <si>
    <t>ANDRE LOPES SERVICOS GRAFICOS LTDA</t>
  </si>
  <si>
    <t>ANDRE LOPES SERVICOS GRAFICOS</t>
  </si>
  <si>
    <t>ANHEMBI</t>
  </si>
  <si>
    <t>BLOCO B APTO 75</t>
  </si>
  <si>
    <t>JARDIM CARAVELAS</t>
  </si>
  <si>
    <t>ANDRE LUIZ NETO - LUVAS</t>
  </si>
  <si>
    <t>Confecção de peças de vestuário, exceto roupas íntimas e as confeccionadas sob medida</t>
  </si>
  <si>
    <t>EUZEBIO PICCIN</t>
  </si>
  <si>
    <t>JARDIM XERXES BARTELOTTI</t>
  </si>
  <si>
    <t>ANDRITZ BRASIL LTDA</t>
  </si>
  <si>
    <t>CANDIDO HARTMANN</t>
  </si>
  <si>
    <t>LOJA 01 ANDAR S1 COND CHAMPAGNATA CENTER EBLOCO CHAMPAGNAT CENTER SH</t>
  </si>
  <si>
    <t>BIGORRILHO</t>
  </si>
  <si>
    <t>ANDRITZ HYDRO LTDA.</t>
  </si>
  <si>
    <t>ANDRITZ HYDRO</t>
  </si>
  <si>
    <t>Fabricação de motores e turbinas, peças e acessórios, exceto para aviões e veículos rodoviários</t>
  </si>
  <si>
    <t>TOCANTINS</t>
  </si>
  <si>
    <t>SALA 1201</t>
  </si>
  <si>
    <t>ANELO SURGICAL COMERCIO DE PRODUTOS HOSPITALARES LTDA</t>
  </si>
  <si>
    <t>ANELO SURGICAL</t>
  </si>
  <si>
    <t>BERLIM</t>
  </si>
  <si>
    <t>ANGA ALIMENTACAO E SERVICOS LTDA</t>
  </si>
  <si>
    <t>Fornecimento de alimentos preparados preponderantemente para empresas</t>
  </si>
  <si>
    <t>MARECHAL DEODORO DA FONSECA</t>
  </si>
  <si>
    <t>SAO ROQUE</t>
  </si>
  <si>
    <t>ANGEOMED COMERCIO DE PRODUTOS MEDICO HOSPITALAR LTDA</t>
  </si>
  <si>
    <t>ANGEOMED FARMACEUTICA</t>
  </si>
  <si>
    <t>OCTAVIANO TEIXEIRA DOS SANTOS</t>
  </si>
  <si>
    <t>FRANCISCO BELTRAO</t>
  </si>
  <si>
    <t>ANGLOMED PRODUTOS HOSPITALARES LTDA</t>
  </si>
  <si>
    <t>ANGLOMED</t>
  </si>
  <si>
    <t>ARQUIAS CORDEIRO</t>
  </si>
  <si>
    <t xml:space="preserve"> APT 101 E 102</t>
  </si>
  <si>
    <t>TODOS OS SANTOS</t>
  </si>
  <si>
    <t>ANGOLINI &amp; ANGOLINI LTDA</t>
  </si>
  <si>
    <t>ANGOLINI &amp; ANGOLINI LTDA.</t>
  </si>
  <si>
    <t>Fabricação de válvulas, registros e dispositivos semelhantes, peças e acessórios</t>
  </si>
  <si>
    <t>MARGARIDA DA GRACA MARTINS</t>
  </si>
  <si>
    <t>ANEXO SP-135 KM 4.5</t>
  </si>
  <si>
    <t>CAIUBI</t>
  </si>
  <si>
    <t>ANHANGUERA COMERCIO DE FERRAMENTAS LTDA</t>
  </si>
  <si>
    <t>ANHANGUERA FERRAMENTAS</t>
  </si>
  <si>
    <t>Comércio atacadista de ferragens e ferramentas</t>
  </si>
  <si>
    <t>RONALD CLADSTONE NEGRI</t>
  </si>
  <si>
    <t>POLO I ALTA TECNOLOGIA DE CAMPINAS</t>
  </si>
  <si>
    <t>ANIMA MEDICA COMERCIO, IMPORTACAO E EXPORTACAO DE PRODUTOS MEDICO-HOSPITALARES LTDA</t>
  </si>
  <si>
    <t>ESAOTE HEALTHCARE DO BRASIL</t>
  </si>
  <si>
    <t>Manutenção e reparação de equipamentos e produtos não especificados anteriormente</t>
  </si>
  <si>
    <t>GUARARAPES</t>
  </si>
  <si>
    <t>ANDAR 7 SALA AM</t>
  </si>
  <si>
    <t>BROOKLIN PAULISTA</t>
  </si>
  <si>
    <t>ANIN INDUSTRIA E COMERCIO DE PAPEL LTDA EM RECUPERACAO JUDICIAL</t>
  </si>
  <si>
    <t>Fabricação de produtos de pastas celulósicas, papel, cartolina, papel-cartão e papelão ondulado não especificados anteriormente</t>
  </si>
  <si>
    <t>ANTONIO BARDELLA</t>
  </si>
  <si>
    <t>CIDADE INDUSTRIAL SATELITE DE SAO PAULO</t>
  </si>
  <si>
    <t>ANKARA ENGENHARIA LTDA</t>
  </si>
  <si>
    <t>VASCO DA GAMA</t>
  </si>
  <si>
    <t>EDIF VASCO DA GAMA PLAZA SALA 1201 A 1224</t>
  </si>
  <si>
    <t>ACUPE DE BROTAS</t>
  </si>
  <si>
    <t>ANSELL BRAZIL LTDA.</t>
  </si>
  <si>
    <t>DAS FIGUEIRAS</t>
  </si>
  <si>
    <t>ANDAR 4 EDIF EIFFEL</t>
  </si>
  <si>
    <t>JARDIM</t>
  </si>
  <si>
    <t>SANTO ANDRE</t>
  </si>
  <si>
    <t>ANTARES ACOPLAMENTOS LTDA</t>
  </si>
  <si>
    <t>Fabricação de equipamentos de transmissão para fins industriais, exceto rolamentos</t>
  </si>
  <si>
    <t>VRS-864</t>
  </si>
  <si>
    <t>ANTARES VISION DO BRASIL - INDUSTRIA, COMERCIO E SERVICOS DE SISTEMAS DE VISAO, RASTREABILIDADE E AUTOMACAO LTDA</t>
  </si>
  <si>
    <t>ANTARES VISION DO BRASIL</t>
  </si>
  <si>
    <t>Fabricação de máquinas e equipamentos para uso industrial específico não especificados anteriormente, peças e acessórios</t>
  </si>
  <si>
    <t xml:space="preserve"> P01 B</t>
  </si>
  <si>
    <t>VILA ALMEIDA</t>
  </si>
  <si>
    <t>ANTECIPE FACIL FOMENTO MERCANTIL LTDA</t>
  </si>
  <si>
    <t>ANTECIPE FACIL</t>
  </si>
  <si>
    <t>Sociedades de fomento mercantil - factoring</t>
  </si>
  <si>
    <t>JONIO</t>
  </si>
  <si>
    <t>SALA 14</t>
  </si>
  <si>
    <t>ANTIBIOTICOS DO BRASIL LTDA.</t>
  </si>
  <si>
    <t>Fabricação de produtos farmoquímicos</t>
  </si>
  <si>
    <t>SP-332</t>
  </si>
  <si>
    <t>KM 135</t>
  </si>
  <si>
    <t>ITAPAVUSSU</t>
  </si>
  <si>
    <t>COSMOPOLIS</t>
  </si>
  <si>
    <t>ANTONELLY CONSTRUCOES E SERVICOS LTDA</t>
  </si>
  <si>
    <t>ANTONELLY PRESTACAO DE SERVICOS</t>
  </si>
  <si>
    <t>Obras portuárias, marítimas e fluviais</t>
  </si>
  <si>
    <t>AMAZONAS CAVALCANTE</t>
  </si>
  <si>
    <t>QUADRAG CONJ SHANGRI-LA IV</t>
  </si>
  <si>
    <t>ANTONIO DONIZETE FERRARI BOCAINA</t>
  </si>
  <si>
    <t>FENA LUVAS</t>
  </si>
  <si>
    <t>Fabricação de artefatos de couro não especificados anteriormente</t>
  </si>
  <si>
    <t>DAS HORTENCIAS</t>
  </si>
  <si>
    <t>ANTONIOSI TECNOLOGIA AGROINDUSTRIAL LTDA</t>
  </si>
  <si>
    <t>A.T.A.</t>
  </si>
  <si>
    <t>ANTONIO LOPES</t>
  </si>
  <si>
    <t>TORIBA</t>
  </si>
  <si>
    <t>MATAO</t>
  </si>
  <si>
    <t>ANTTECIPE ASSESSORIA E CONSULTORIA FINANCEIRA S.A.</t>
  </si>
  <si>
    <t>ANTTECIPE.COM</t>
  </si>
  <si>
    <t>AON SERVICOS DE SAUDE LTDA</t>
  </si>
  <si>
    <t>AON</t>
  </si>
  <si>
    <t>DR RUBENS GOMES BUENO</t>
  </si>
  <si>
    <t>ANDAR 17</t>
  </si>
  <si>
    <t>VARZEA DE BAIXO</t>
  </si>
  <si>
    <t>APAE ASSOCIACAO DE PAIS E AMIGOS DOS EXCEPCIONAIS</t>
  </si>
  <si>
    <t>APECE SERVICOS GERAIS LTDA</t>
  </si>
  <si>
    <t>APC FACILITIES</t>
  </si>
  <si>
    <t>SCIA QUADRA 13</t>
  </si>
  <si>
    <t>CONJ 03 LOTE 2 E 9</t>
  </si>
  <si>
    <t>ZONA INDUSTRIAL (GUARA)</t>
  </si>
  <si>
    <t>APERAM INOX AMERICA DO SUL S.A.</t>
  </si>
  <si>
    <t>APERAM SOUTH AMERICA</t>
  </si>
  <si>
    <t>Produção de laminados planos de aços especiais</t>
  </si>
  <si>
    <t>CARANDAI</t>
  </si>
  <si>
    <t>ANDAR 10</t>
  </si>
  <si>
    <t>FUNCIONARIOS</t>
  </si>
  <si>
    <t>APERPHIL VIGILANCIA LTDA</t>
  </si>
  <si>
    <t>NILO APARECIDA PINTO</t>
  </si>
  <si>
    <t>PLANALTO</t>
  </si>
  <si>
    <t>APETECE SISTEMAS DE ALIMENTACAO S.A.</t>
  </si>
  <si>
    <t>GUIDO ALIBERTI</t>
  </si>
  <si>
    <t>APEX TOOL GROUP INDUSTRIA E COMERCIO DE FERRAMENTAS LTDA.</t>
  </si>
  <si>
    <t>Fabricação de ferramentas</t>
  </si>
  <si>
    <t>DA LIBERDADE</t>
  </si>
  <si>
    <t>APIACA IMPORTACAO E EXPORTACAO DE OCULOS E EMBALAGENS LTDA</t>
  </si>
  <si>
    <t>APIACA</t>
  </si>
  <si>
    <t>Comércio varejista de artigos de óptica</t>
  </si>
  <si>
    <t>PADRE MONTOYA</t>
  </si>
  <si>
    <t>JARDIM ELDORADO</t>
  </si>
  <si>
    <t>FOZ DO IGUACU</t>
  </si>
  <si>
    <t>APISUL ADMINISTRADORA E CORRETORA DE SEGUROS LTDA</t>
  </si>
  <si>
    <t>PEREIRA FRANCO</t>
  </si>
  <si>
    <t>SALA 401 E 601</t>
  </si>
  <si>
    <t>SAO JOAO</t>
  </si>
  <si>
    <t>APOIO MATERIAIS DE CONSTRUCAO LTDA</t>
  </si>
  <si>
    <t>APOIO CASA E CONSTRUCAO</t>
  </si>
  <si>
    <t>Comércio varejista de materiais de construção não especificados anteriormente</t>
  </si>
  <si>
    <t>MONSENHOR GERCINO</t>
  </si>
  <si>
    <t>ITAUM</t>
  </si>
  <si>
    <t>APOLLO TYRES DO BRASIL LTDA</t>
  </si>
  <si>
    <t>APOLLO TYRES (BRASIL) LTDA.</t>
  </si>
  <si>
    <t>Comércio a varejo de pneumáticos e câmaras-de-ar</t>
  </si>
  <si>
    <t xml:space="preserve"> UNIDADE 1808</t>
  </si>
  <si>
    <t>APORT SEGURANCA PATRIMONIAL LTDA.</t>
  </si>
  <si>
    <t>HELIODORO EBANO PEREIRA</t>
  </si>
  <si>
    <t>LAPA DE BAIXO</t>
  </si>
  <si>
    <t>APPA SERVICOS TEMPORARIOS E EFETIVOS LTDA</t>
  </si>
  <si>
    <t>APPA FACILITIES</t>
  </si>
  <si>
    <t>AIRI</t>
  </si>
  <si>
    <t>ANDAR 10 SALA 1032</t>
  </si>
  <si>
    <t>APPLUS QUALITEC SERVICOS DE ENGENHARIA LTDA</t>
  </si>
  <si>
    <t>APPLUS</t>
  </si>
  <si>
    <t>SALA 102</t>
  </si>
  <si>
    <t>PARQUE ANTONIO AMABILE</t>
  </si>
  <si>
    <t>APS SOLUCOES LTDA</t>
  </si>
  <si>
    <t>Atividades de cobranças e informações cadastrais</t>
  </si>
  <si>
    <t>CAMPESTRE</t>
  </si>
  <si>
    <t>APSEN FARMACEUTICA S/A</t>
  </si>
  <si>
    <t>LA PAZ</t>
  </si>
  <si>
    <t>APTER CONTABILIDADE LTDA</t>
  </si>
  <si>
    <t>Atividades de contabilidade</t>
  </si>
  <si>
    <t>GISELE CONSTANTINO</t>
  </si>
  <si>
    <t>SALA 603</t>
  </si>
  <si>
    <t>PARQUE BELA VISTA</t>
  </si>
  <si>
    <t>VOTORANTIM</t>
  </si>
  <si>
    <t>AQSEPTENCE GROUP FILTRATION LTDA.</t>
  </si>
  <si>
    <t>JOHNSON SCREENS</t>
  </si>
  <si>
    <t>Fabricação de outras máquinas e equipamentos de uso geral não especificados anteriormente, peças e acessórios</t>
  </si>
  <si>
    <t>DO TABOAO</t>
  </si>
  <si>
    <t xml:space="preserve"> TERREO</t>
  </si>
  <si>
    <t>BAIRRO TABOAO</t>
  </si>
  <si>
    <t>AQUA PLASTIC BRASIL IMPORTACAO E EXPORTACAO LTDA</t>
  </si>
  <si>
    <t>AQUA PLASTIC</t>
  </si>
  <si>
    <t>JEAN KHOURY FARAH</t>
  </si>
  <si>
    <t>GALPAO-A14-A15 E A16</t>
  </si>
  <si>
    <t>VILA CARMOSINA</t>
  </si>
  <si>
    <t>AQUALAV SERVICOS DE HIGIENIZACAO LTDA</t>
  </si>
  <si>
    <t>Lavanderias</t>
  </si>
  <si>
    <t>JOAO DE GODOY</t>
  </si>
  <si>
    <t>BIRITIBA</t>
  </si>
  <si>
    <t>POA</t>
  </si>
  <si>
    <t>AQUAMEC INDUSTRIA E COMERCIO DE EQUIPAMENTOS S/A</t>
  </si>
  <si>
    <t>PARQUE INDUSTRIAL</t>
  </si>
  <si>
    <t>AQUARUM SANEAMENTO E PARTICIPACOES LTDA</t>
  </si>
  <si>
    <t>ANDAR 2 - CONJUNTO 21</t>
  </si>
  <si>
    <t>AQUASTAR INDUSTRIA E COMERCIO LTDA</t>
  </si>
  <si>
    <t>AQUASTAR INDUSTRIA E COMERCIO</t>
  </si>
  <si>
    <t>Fabricação de equipamentos hidráulicos e pneumáticos, peças e acessórios, exceto válvulas</t>
  </si>
  <si>
    <t>BR-277 CURITIBA PONTA GROSSA</t>
  </si>
  <si>
    <t>BRCAO 02</t>
  </si>
  <si>
    <t>RONDINHA</t>
  </si>
  <si>
    <t>CAMPO LARGO</t>
  </si>
  <si>
    <t>AQUESTIA VALVULAS BRASIL LTDA</t>
  </si>
  <si>
    <t>PACIFICO</t>
  </si>
  <si>
    <t>GRANJA VIANA II</t>
  </si>
  <si>
    <t>AR BRASIL COMPRESSORES LTDA</t>
  </si>
  <si>
    <t>Comércio atacadista de bombas e compressores; partes e peças</t>
  </si>
  <si>
    <t>SAO JOAO DO ARAGUAIA</t>
  </si>
  <si>
    <t>JARDIM CALIFORNIA</t>
  </si>
  <si>
    <t>AR FIORENZANO DISTRIBUIDORA DE MEDICAMENTOS LTDA</t>
  </si>
  <si>
    <t>PREFEITO GUIOMAR DE JESUS LOPES</t>
  </si>
  <si>
    <t>SALA B</t>
  </si>
  <si>
    <t>ARANHA FERREIRA SOCIEDADE DE ADVOGADOS</t>
  </si>
  <si>
    <t>Sociedade Simples Pura</t>
  </si>
  <si>
    <t>Serviços advocatícios</t>
  </si>
  <si>
    <t>CONJ 21 E 22 BLOCO TORRE B1 COND PARQUE DA CIDADE</t>
  </si>
  <si>
    <t>ARAQUARELA INDUSTRIA E COMERCIO DE BRINQUEDOS EDUCATIVOS LTDA</t>
  </si>
  <si>
    <t>ARAQUARELA MULTIJOGOS</t>
  </si>
  <si>
    <t>Fabricação de outros brinquedos e jogos recreativos não especificados anteriormente</t>
  </si>
  <si>
    <t>SALA 201 - TORRE D</t>
  </si>
  <si>
    <t>ARAUCARIA AR CONDICIONADO LTDA</t>
  </si>
  <si>
    <t>ARAUCARIA AR CONDICIONADO</t>
  </si>
  <si>
    <t>ANGELO SAES</t>
  </si>
  <si>
    <t>ZONA NORTE</t>
  </si>
  <si>
    <t>MANDAGUACU</t>
  </si>
  <si>
    <t>ARAUJO ABREU ENGENHARIA LTDA</t>
  </si>
  <si>
    <t>Instalações hidráulicas, sanitárias e de gás</t>
  </si>
  <si>
    <t>ITAOCA</t>
  </si>
  <si>
    <t>INHAUMA</t>
  </si>
  <si>
    <t>ARAUJO LOPES &amp; CIA LTDA</t>
  </si>
  <si>
    <t>AMERICAN BURRS</t>
  </si>
  <si>
    <t>Comércio atacadista de produtos odontológicos</t>
  </si>
  <si>
    <t>DAS UNIVERSIDADES</t>
  </si>
  <si>
    <t>LETRA A</t>
  </si>
  <si>
    <t>PEDRA BRANCA</t>
  </si>
  <si>
    <t>PALHOCA</t>
  </si>
  <si>
    <t>ARAXA ENGENHARIA S.A.</t>
  </si>
  <si>
    <t>3045806.8</t>
  </si>
  <si>
    <t>DEMETRIO RIBEIRO</t>
  </si>
  <si>
    <t>EDIF DEMETRIO RIBEIRO SALA 501/502/601/602/701</t>
  </si>
  <si>
    <t>ARBO PLASTICOS ROTOMOLDADOS LTDA</t>
  </si>
  <si>
    <t>REGIS BITTENCOURT</t>
  </si>
  <si>
    <t>KM 2.5 KM AC NORTE DE CURITIBA</t>
  </si>
  <si>
    <t>CICAMP</t>
  </si>
  <si>
    <t>CAMPINA GRANDE DO SUL</t>
  </si>
  <si>
    <t>ARCADIS TETRAPLAN SA.</t>
  </si>
  <si>
    <t>NOVE DE JULHO</t>
  </si>
  <si>
    <t>LOJA SLJ</t>
  </si>
  <si>
    <t>JARDIM PAULISTA</t>
  </si>
  <si>
    <t>ARCELORMITTAL BRASIL S.A.</t>
  </si>
  <si>
    <t>Produção de laminados longos de aço, exceto tubos</t>
  </si>
  <si>
    <t>ANDAR 24</t>
  </si>
  <si>
    <t>ARCOMED COMERCIO DE PRODUTOS MEDICOS E HOSPITALARES LTDA</t>
  </si>
  <si>
    <t>ARCOMED</t>
  </si>
  <si>
    <t>LUIS GIRAO</t>
  </si>
  <si>
    <t>CAMBEBA</t>
  </si>
  <si>
    <t>ARCOS DOURADOS COMERCIO DE ALIMENTOS SA</t>
  </si>
  <si>
    <t>Lanchonetes, casas de chá, de sucos e similares</t>
  </si>
  <si>
    <t>ARDIRI INTERMEDIACAO E AGENCIAMENTO DE NEGOCIOS LTDA</t>
  </si>
  <si>
    <t>ARDIRI SOLUCOES EMPRESARIAIS</t>
  </si>
  <si>
    <t>Atividades de intermediação e agenciamento de serviços e negócios em geral, exceto imobiliários</t>
  </si>
  <si>
    <t>DESCAMPADO</t>
  </si>
  <si>
    <t>APT 165 BLOCO 1</t>
  </si>
  <si>
    <t>VILA VERA</t>
  </si>
  <si>
    <t>ARENA DISTRIBUIDORA E COMERCIO DE ALIMENTOS E SERVICOS LTDA</t>
  </si>
  <si>
    <t>ARENA DISTRIBUIDORA</t>
  </si>
  <si>
    <t>CACOAL</t>
  </si>
  <si>
    <t>RO</t>
  </si>
  <si>
    <t>ARICAN EQUIPAMENTOS DE PROTECAO E MANUTENCAO INDUSTRIAL LTDA.</t>
  </si>
  <si>
    <t>SANTOS DUMONT</t>
  </si>
  <si>
    <t>ARIM COMPONENTES S/A</t>
  </si>
  <si>
    <t>ANA PROCOPIO DE MORAES</t>
  </si>
  <si>
    <t>VARZEA DO SOUZA</t>
  </si>
  <si>
    <t>ARJO BRASIL EQUIPAMENTOS MEDICOS LTDA.</t>
  </si>
  <si>
    <t>PIRAIBA</t>
  </si>
  <si>
    <t>SALA 18</t>
  </si>
  <si>
    <t>CENTRO COMERCIAL JUBRAN</t>
  </si>
  <si>
    <t>ARKMEDS SOLUCOES TECNOLOGICAS LTDA</t>
  </si>
  <si>
    <t>ARKMEDS</t>
  </si>
  <si>
    <t>PROFESSOR JOSE VIEIRA DE MENDONCA</t>
  </si>
  <si>
    <t>LOJA 1E3</t>
  </si>
  <si>
    <t>ENGENHO NOGUEIRA</t>
  </si>
  <si>
    <t>ARMAC LOCACAO, LOGISTICA E SERVICOS S.A.</t>
  </si>
  <si>
    <t>Aluguel de máquinas e equipamentos para construção sem operador, exceto andaimes</t>
  </si>
  <si>
    <t>SALA 602 TORRE 2 EDIF JATOBA</t>
  </si>
  <si>
    <t>ARMAZENS GERAIS FRISOKAR S.A.</t>
  </si>
  <si>
    <t>Armazéns gerais - emissão de warrant</t>
  </si>
  <si>
    <t>PEDRO DE TOLEDO</t>
  </si>
  <si>
    <t>JARDIM SANTA LIDIA</t>
  </si>
  <si>
    <t>ARMAZENS GERAIS MURUNDU LTDA.</t>
  </si>
  <si>
    <t>AGM - LOGISTICA E GUARDA DE DOCUMENTOS.</t>
  </si>
  <si>
    <t>BENJAMIN DA SILVA</t>
  </si>
  <si>
    <t>ARO EXPORTACAO, IMPORTACAO, INDUSTRIA E COMERCIO LTDA EM RECUPERACAO JUDICIAL</t>
  </si>
  <si>
    <t>ARO</t>
  </si>
  <si>
    <t>Fabricação de embalagens metálicas</t>
  </si>
  <si>
    <t>DUQUE BACELAR</t>
  </si>
  <si>
    <t>ARQIA TELECOMUNICACOES S.A.</t>
  </si>
  <si>
    <t>ARQIA</t>
  </si>
  <si>
    <t>Serviços de telecomunicações sem fio não especificados anteriormente</t>
  </si>
  <si>
    <t>OSCAR NIEMEYER</t>
  </si>
  <si>
    <t>SALA 301 A</t>
  </si>
  <si>
    <t>ARSENAL - SEGURANCA PRIVADA LTDA</t>
  </si>
  <si>
    <t>SANTA CRUZ</t>
  </si>
  <si>
    <t>NITEROI</t>
  </si>
  <si>
    <t>ART LIMP BRASIL -DISTRIBUICAO - GESTAO E LOGISTICA LTDA.</t>
  </si>
  <si>
    <t>GUACU EMBALAGENS</t>
  </si>
  <si>
    <t>MANOEL MENDES</t>
  </si>
  <si>
    <t>VILA PINHEIRO</t>
  </si>
  <si>
    <t>MOGI GUACU</t>
  </si>
  <si>
    <t>ARTE CONSTRUCOES E ENGENHARIA LTDA</t>
  </si>
  <si>
    <t>ARTE CONSTRUCOES</t>
  </si>
  <si>
    <t>SAO FRANCISCO</t>
  </si>
  <si>
    <t>UNIVERSIDADE</t>
  </si>
  <si>
    <t>MACAPA</t>
  </si>
  <si>
    <t>AP</t>
  </si>
  <si>
    <t>ARTE EPI SAFETY EQUIPAMENTOS DE SEGURANCA LTDA</t>
  </si>
  <si>
    <t>ARTE EPI SAFETY</t>
  </si>
  <si>
    <t>Fabricação de equipamentos e acessórios para segurança pessoal e profissional</t>
  </si>
  <si>
    <t>RUI BARBOSA</t>
  </si>
  <si>
    <t>VILA SANTA TEREZINHA</t>
  </si>
  <si>
    <t>CARAPICUIBA</t>
  </si>
  <si>
    <t>ARTE LUZ PIRACICABA COMERCIO LTDA</t>
  </si>
  <si>
    <t>Comércio varejista de artigos de iluminação</t>
  </si>
  <si>
    <t>TRINTA E UM DE MARCO</t>
  </si>
  <si>
    <t>PAULICEIA</t>
  </si>
  <si>
    <t>ARTECAD PLOTAGENS E COMUNICACAO VISUAL LTDA</t>
  </si>
  <si>
    <t>DAS ORQUIDEAS</t>
  </si>
  <si>
    <t>CONDOMINIO CENTRO COMERCIAL ALPHAVILLE</t>
  </si>
  <si>
    <t>ARTEK TECNOLOGIA EM AR LTDA</t>
  </si>
  <si>
    <t>ARTEK</t>
  </si>
  <si>
    <t>Fabricação de máquinas e aparelhos de refrigeração e ventilação para uso industrial e comercial, peças e acessórios</t>
  </si>
  <si>
    <t>ARTH WIND TECHNOLOGIES S.A.</t>
  </si>
  <si>
    <t>ARTH WIND SERVICES</t>
  </si>
  <si>
    <t>Manutenção e reparação de máquinas, aparelhos e materiais elétricos não especificados anteriormente</t>
  </si>
  <si>
    <t>ITAVUVU</t>
  </si>
  <si>
    <t>SALA SO-06</t>
  </si>
  <si>
    <t>JARDIM SANTA CECILIA</t>
  </si>
  <si>
    <t>ARTHI COMERCIAL LTDA</t>
  </si>
  <si>
    <t>Fabricação de artigos de metal para uso doméstico e pessoal</t>
  </si>
  <si>
    <t>ARTHI</t>
  </si>
  <si>
    <t>GUAXINDUVA</t>
  </si>
  <si>
    <t>BOM JESUS DOS PERDOES</t>
  </si>
  <si>
    <t>ARTPAV ENGENHARIA LTDA</t>
  </si>
  <si>
    <t>PAV ENGENHARIA</t>
  </si>
  <si>
    <t>DOM PEDRITO</t>
  </si>
  <si>
    <t>CASA;</t>
  </si>
  <si>
    <t>NOVA VISTA</t>
  </si>
  <si>
    <t>ARTPHOTO PRINTING FOTOGRAFIA E ARTE LTDA</t>
  </si>
  <si>
    <t>ARTPHOTO</t>
  </si>
  <si>
    <t>Atividades de produção de fotografias, exceto aérea e submarina</t>
  </si>
  <si>
    <t>DIOGENES RIBEIRO DE LIMA</t>
  </si>
  <si>
    <t>ALTO DE PINHEIROS</t>
  </si>
  <si>
    <t>ARTYCS ASSESSORIA EM INFORMATICA LTDA</t>
  </si>
  <si>
    <t>ARTYCS</t>
  </si>
  <si>
    <t>BLOCO A SALA 123</t>
  </si>
  <si>
    <t>ARUANA SEGURADORA S.A.</t>
  </si>
  <si>
    <t>ARUANA SEGUROS</t>
  </si>
  <si>
    <t>Sociedade seguradora de seguros vida</t>
  </si>
  <si>
    <t>MEXICO</t>
  </si>
  <si>
    <t xml:space="preserve"> APT 601</t>
  </si>
  <si>
    <t>ASA VIAGENS E TURISMO LTDA</t>
  </si>
  <si>
    <t>NEO ALVES MARTINS</t>
  </si>
  <si>
    <t>ASAP COMERCIO DE MAQUINAS E VEICULOS LTDA</t>
  </si>
  <si>
    <t>ASAP</t>
  </si>
  <si>
    <t>CONTAGEM</t>
  </si>
  <si>
    <t>ASCAEL COMERCIAL LTDA</t>
  </si>
  <si>
    <t>Fabricação de equipamentos para sinalização e alarme</t>
  </si>
  <si>
    <t>CHILE</t>
  </si>
  <si>
    <t>VILA SANTA LUZIA</t>
  </si>
  <si>
    <t>ASHLAND INDUSTRIA DE INGREDIENTES DO BRASIL LTDA.</t>
  </si>
  <si>
    <t>ANTONIO ORTEGA</t>
  </si>
  <si>
    <t>PINHAL</t>
  </si>
  <si>
    <t>CABREUVA</t>
  </si>
  <si>
    <t>ASL SERVICOS &amp; EQUIPAMENTOS LTDA</t>
  </si>
  <si>
    <t>SERVICOS E CONSULTORIA EM LICITACOES</t>
  </si>
  <si>
    <t>WALDEMAR FALCAO</t>
  </si>
  <si>
    <t>EDIF FLORESTAL SHOP LOJA 06</t>
  </si>
  <si>
    <t>BROTAS</t>
  </si>
  <si>
    <t>ASMONTEC INDUSTRIA E SERVICOS DE SALAS LIMPAS LTDA</t>
  </si>
  <si>
    <t>Instalação de portas, janelas, tetos, divisórias e armários embutidos de qualquer material</t>
  </si>
  <si>
    <t>ANESIO MARCIANO</t>
  </si>
  <si>
    <t>NOVA VINHEDO</t>
  </si>
  <si>
    <t>ASPERBRAS TUBOS E CONEXOES LTDA</t>
  </si>
  <si>
    <t>ASPERBRAS</t>
  </si>
  <si>
    <t>BR 304</t>
  </si>
  <si>
    <t>LOTE 10 KM 03</t>
  </si>
  <si>
    <t>ZONA DE EXPANSAO URBANA SUL</t>
  </si>
  <si>
    <t>MACAIBA</t>
  </si>
  <si>
    <t>RN</t>
  </si>
  <si>
    <t>ASSA ABLOY BRASIL INDUSTRIA E COMERCIO LTDA</t>
  </si>
  <si>
    <t>DE PIRAJA</t>
  </si>
  <si>
    <t xml:space="preserve"> EDIF PAPAIZ NORDESTE IND E COM SALA 01 BLOCO ADMINISTRATIVO</t>
  </si>
  <si>
    <t>PIRAJA</t>
  </si>
  <si>
    <t>ASSISTEC COMERCIO SERVICOS EM MOTORES ELETRICOS LTDA</t>
  </si>
  <si>
    <t>ASSISTEC</t>
  </si>
  <si>
    <t>Manutenção e reparação de outras máquinas e equipamentos para usos industriais não especificados anteriormente</t>
  </si>
  <si>
    <t>DO COBRE</t>
  </si>
  <si>
    <t>PAVMTOSUPERIOR</t>
  </si>
  <si>
    <t>VILA MOLLON</t>
  </si>
  <si>
    <t>ASSOCIACAO ALLIA HIGIENE E LIMPEZA PROFISSIONAL</t>
  </si>
  <si>
    <t>Atividades de organizações associativas patronais e empresariais</t>
  </si>
  <si>
    <t>CLAUDIO SOARES</t>
  </si>
  <si>
    <t>CONJ 408 E 409</t>
  </si>
  <si>
    <t>PINHEIROS</t>
  </si>
  <si>
    <t>ASSOCIACAO BRASILEIRA DAS EMPRESAS ESTADUAIS DE SANEAMENTO - AESBE</t>
  </si>
  <si>
    <t>AESBE</t>
  </si>
  <si>
    <t>SEP SUL 702 CONJUNTO B BLOCO A 3 ANDAR</t>
  </si>
  <si>
    <t>EDIF GENERAL ALLENCASTRO</t>
  </si>
  <si>
    <t>ASA SUL</t>
  </si>
  <si>
    <t>ASSOCIACAO BRASILEIRA DE CONSCIENTIZACAO PARA OS PERIGOS DA ELETRICIDADE</t>
  </si>
  <si>
    <t>ABRACOPEL</t>
  </si>
  <si>
    <t>EUROPA</t>
  </si>
  <si>
    <t>JARDIM CELANI</t>
  </si>
  <si>
    <t>ASSOCIACAO BRASILEIRA DE NORMAS TECNICAS ABNT</t>
  </si>
  <si>
    <t>CONSELHEIRO NEBIAS</t>
  </si>
  <si>
    <t>CAMPOS ELISEOS</t>
  </si>
  <si>
    <t>ASSOCIACAO BRASILEIRA DE POLITICAS PUBLICAS</t>
  </si>
  <si>
    <t>IBRAPP INSTITUTO BRASILEIRO DE POLITICAS PUBLICAS</t>
  </si>
  <si>
    <t>20 ANDAR</t>
  </si>
  <si>
    <t>ASSOCIACAO COMERCIAL DE SAO PAULO</t>
  </si>
  <si>
    <t>43/ 51</t>
  </si>
  <si>
    <t>ASSOCIACAO COMERCIAL E EMPRESARIAL DE OSASCO</t>
  </si>
  <si>
    <t>DIONYSIA ALVES BARRETO</t>
  </si>
  <si>
    <t>VILA OSASCO</t>
  </si>
  <si>
    <t>ASSOCIACAO DAS EMPRESAS DE ENGENHARIA E LIMPEZA URBANA DO BRASIL</t>
  </si>
  <si>
    <t>ALUBRAS</t>
  </si>
  <si>
    <t>OLINDA</t>
  </si>
  <si>
    <t>SALA 1703 QUADRAH-4 LOTE 01-03</t>
  </si>
  <si>
    <t>LOT PARK LOZANDES</t>
  </si>
  <si>
    <t>ASSOCIACAO DOS CONCESSIONARIOS JAC MOTORS - ACJ</t>
  </si>
  <si>
    <t>REBOUCAS</t>
  </si>
  <si>
    <t>ASSOCIACAO DOS ENGENHEIROS DA SABESP</t>
  </si>
  <si>
    <t>AESABESP</t>
  </si>
  <si>
    <t>Outras atividades associativas profissionais</t>
  </si>
  <si>
    <t>TREZE DE MAIO</t>
  </si>
  <si>
    <t>CASA 1</t>
  </si>
  <si>
    <t>ASSOCIACAO DOS FORNECEDORES DA SAUDE</t>
  </si>
  <si>
    <t>AFS</t>
  </si>
  <si>
    <t>SALA 1105</t>
  </si>
  <si>
    <t>ASSOCIACAO EDUCACIONAL DA JUVENTUDE - ASSEJ</t>
  </si>
  <si>
    <t>MARECHAL DEODORO</t>
  </si>
  <si>
    <t>SANTA RITA DO PASSA QUATRO</t>
  </si>
  <si>
    <t>ASSOCIACAO EDUCACIONAL NOVE DE JULHO</t>
  </si>
  <si>
    <t>UNIVERSIDADE NOVE DE JULHO</t>
  </si>
  <si>
    <t>Educação superior - pós-graduação e extensão</t>
  </si>
  <si>
    <t>DIAMANTINA</t>
  </si>
  <si>
    <t>VILA MARIA</t>
  </si>
  <si>
    <t>ASSOCIACAO ESCOLA SUPERIOR DE PROPAGANDA E MARKETING</t>
  </si>
  <si>
    <t>Educação superior - graduação e pós-graduação</t>
  </si>
  <si>
    <t>DR ALVARO ALVIM</t>
  </si>
  <si>
    <t>ASSOCIACAO FUNDO DE INCENTIVO A PESQUISA</t>
  </si>
  <si>
    <t>AFIP</t>
  </si>
  <si>
    <t>Atividades de serviços de complementação diagnóstica e terapêutica não especificadas anteriormente</t>
  </si>
  <si>
    <t>MARSELHESA</t>
  </si>
  <si>
    <t>ASTER SISTEMAS DE SEGURANCA LTDA</t>
  </si>
  <si>
    <t>ASTRA S A INDUSTRIA E COMERCIO</t>
  </si>
  <si>
    <t>Fabricação de artefatos de material plástico para uso pessoal e doméstico</t>
  </si>
  <si>
    <t>COLEGIO FLORENCE</t>
  </si>
  <si>
    <t>RETIRO</t>
  </si>
  <si>
    <t>ASTRAZENECA DO BRASIL LTDA.</t>
  </si>
  <si>
    <t>RAPOSO TAVARES</t>
  </si>
  <si>
    <t>KM 26.9</t>
  </si>
  <si>
    <t>GRANJA VIANA</t>
  </si>
  <si>
    <t>ASVOTEC TERMOINDUSTRIAL LTDA</t>
  </si>
  <si>
    <t>CONEGO CIRYACO SCARANELLO PIRES</t>
  </si>
  <si>
    <t>S/Nº</t>
  </si>
  <si>
    <t>KM KM 01 PREDIO A</t>
  </si>
  <si>
    <t>JARDIM CHAPADAO</t>
  </si>
  <si>
    <t>MONTE MOR</t>
  </si>
  <si>
    <t>ATACADAO S.A.</t>
  </si>
  <si>
    <t>ATACADAO</t>
  </si>
  <si>
    <t>MOVAN DIAS DE FIGUEIREDO</t>
  </si>
  <si>
    <t>VL MARIA BAIXA</t>
  </si>
  <si>
    <t>ATACADO OURO DISTRIBUIDORA DE PAPEIS LTDA</t>
  </si>
  <si>
    <t>ATACADO OURO</t>
  </si>
  <si>
    <t>EURIDES FERNANDES DO NASCIMENTO</t>
  </si>
  <si>
    <t>JARDIM SILVA TELES</t>
  </si>
  <si>
    <t>ATCO PLASTICOS LTDA</t>
  </si>
  <si>
    <t>ATCO</t>
  </si>
  <si>
    <t>ATD LOCACAO LTDA</t>
  </si>
  <si>
    <t>ATD LOC</t>
  </si>
  <si>
    <t>ALDEOTA</t>
  </si>
  <si>
    <t>ATE XVI TRANSMISSORA DE ENERGIA S/A</t>
  </si>
  <si>
    <t>Transmissão de energia elétrica</t>
  </si>
  <si>
    <t>ATECH - NEGOCIOS EM TECNOLOGIAS S.A.</t>
  </si>
  <si>
    <t>DO ROCIO</t>
  </si>
  <si>
    <t>ANDAR 2 5 6 8 E 10</t>
  </si>
  <si>
    <t>ATEL DO BRASIL TELECOM LTDA</t>
  </si>
  <si>
    <t>ATEL TELECOM</t>
  </si>
  <si>
    <t>CORONEL JERONIMO PIRES</t>
  </si>
  <si>
    <t>BELEM DO SAO FRANCISCO</t>
  </si>
  <si>
    <t>ATHENAS CINTOS INDUSTRIA E COMERCIO DE EQUIPAMENTOS DE PROTECAO INDIVIDUAL LTDA</t>
  </si>
  <si>
    <t>ATHENAS</t>
  </si>
  <si>
    <t>PROF CELESTINO BOURROUL</t>
  </si>
  <si>
    <t>LIMAO</t>
  </si>
  <si>
    <t>ATHON COMERCIAL E DISTRIBUIDORA LTDA</t>
  </si>
  <si>
    <t>Comércio varejista especializado de peças e acessórios para aparelhos eletroeletrônicos para uso doméstico, exceto informática e comunicação</t>
  </si>
  <si>
    <t>LUCIANO DE BONA</t>
  </si>
  <si>
    <t>COND TRES MARIAS LOTE 1 QUADRA5 CASA 90</t>
  </si>
  <si>
    <t>JARDIM TRES MARIAS</t>
  </si>
  <si>
    <t>PERUIBE</t>
  </si>
  <si>
    <t>ATIVA COMERCIAL HOSPITALAR LTDA</t>
  </si>
  <si>
    <t>HUMAITA</t>
  </si>
  <si>
    <t>SANTA CRUZ DO JOSE JACQUES</t>
  </si>
  <si>
    <t>ATIVA SERVICOS GERAIS LTDA</t>
  </si>
  <si>
    <t>ATIVA SERVICOS GERAIS</t>
  </si>
  <si>
    <t>EURICO ACYOLE WANDERLEY</t>
  </si>
  <si>
    <t>SALA 03</t>
  </si>
  <si>
    <t>GRUTA DE LOURDES</t>
  </si>
  <si>
    <t>MACEIO</t>
  </si>
  <si>
    <t>AL</t>
  </si>
  <si>
    <t>ATLANTIDA DISTRIBUIDORA DE PRODUTOS ALIMENTICIOS LTDA</t>
  </si>
  <si>
    <t>ATLANTIDA DISTRIBUIDORA</t>
  </si>
  <si>
    <t>Comércio atacadista de mercadorias em geral, com predominância de produtos alimentícios</t>
  </si>
  <si>
    <t>SMC QUADRA 3</t>
  </si>
  <si>
    <t>LOTE 14</t>
  </si>
  <si>
    <t>SETOR DE MATERIAIS DE CONSTRUCAO (CEILANDIA)</t>
  </si>
  <si>
    <t>ATLANTIS INDUSTRIA E COMERCIO LTDA EPP</t>
  </si>
  <si>
    <t>ATLANTIS</t>
  </si>
  <si>
    <t>IRMA DULCE</t>
  </si>
  <si>
    <t>GALPAO 04</t>
  </si>
  <si>
    <t>CRUZ DAS ALMAS</t>
  </si>
  <si>
    <t>ATLANTIS SANEAMENTO LTDA EM RECUPERACAO JUDICIAL</t>
  </si>
  <si>
    <t>ATLANTIS SERVICOS</t>
  </si>
  <si>
    <t>ATLAS COPCO BRASIL INDUSTRIA E COMERCIO LTDA.</t>
  </si>
  <si>
    <t xml:space="preserve"> PARTE B</t>
  </si>
  <si>
    <t>ATLAS S.A.</t>
  </si>
  <si>
    <t>Fabricação de escovas, pincéis e vassouras</t>
  </si>
  <si>
    <t>INDEPENDENCIA</t>
  </si>
  <si>
    <t xml:space="preserve"> PREDIO 03</t>
  </si>
  <si>
    <t>NOVO ESTEIO ZONA INDUSTRIAL</t>
  </si>
  <si>
    <t>ESTEIO</t>
  </si>
  <si>
    <t>ATLAS VEICULOS E PECAS LTDA</t>
  </si>
  <si>
    <t>Comércio a varejo de automóveis, camionetas e utilitários novos</t>
  </si>
  <si>
    <t>MAJOR HILARIO TAVARES PINHEIRO</t>
  </si>
  <si>
    <t>PARQUE INDUSTRIAL CARLOS TONNANI</t>
  </si>
  <si>
    <t>JABOTICABAL</t>
  </si>
  <si>
    <t>ATMOSFERA GASES ESPECIAIS E EPI'S LTDA</t>
  </si>
  <si>
    <t>ATMOSFERA GASES ESPECIAIS</t>
  </si>
  <si>
    <t>INDALECIO DO ESPIRITO SANTO GONCALVES</t>
  </si>
  <si>
    <t>JARDIM SADIE</t>
  </si>
  <si>
    <t>EMBU DAS ARTES</t>
  </si>
  <si>
    <t>ATMOSFERA GESTAO E HIGIENIZACAO DE UNIFORMES LTDA</t>
  </si>
  <si>
    <t>BR-376</t>
  </si>
  <si>
    <t>ATONS DO BRASIL DISTRIBUIDORA DE PRODUTOS HOSPITALARES LTDA</t>
  </si>
  <si>
    <t>ATONS DO BRASIL</t>
  </si>
  <si>
    <t>ASR SE 85 (812 SUL), ALAMEDA 03</t>
  </si>
  <si>
    <t>LOTE 12 QI 02</t>
  </si>
  <si>
    <t>PLANO DIRETOR SUL</t>
  </si>
  <si>
    <t>PALMAS</t>
  </si>
  <si>
    <t>TO</t>
  </si>
  <si>
    <t>ATOS MEDICAL BRASIL - COMERCIO E DISTRIBUICAO DE PRODUTOS MEDICO-HOSPITALARES LTDA.</t>
  </si>
  <si>
    <t>JOAQUIM NABUCO</t>
  </si>
  <si>
    <t>AUDDAS INTERMEDIACAO DE NEGOCIOS LTDA</t>
  </si>
  <si>
    <t>RIO NEGRO</t>
  </si>
  <si>
    <t>SALA 2318B</t>
  </si>
  <si>
    <t>AUDILINK AUDITORES LTDA</t>
  </si>
  <si>
    <t>AUDILINK</t>
  </si>
  <si>
    <t>CONJ 604 E 605 COND BELAUGUSTA</t>
  </si>
  <si>
    <t>AUDIMEC AUDITORES INDEPENDENTES S/S LTDA</t>
  </si>
  <si>
    <t>A U D I M E C</t>
  </si>
  <si>
    <t>GOVERNADOR AGAMENON MAGALHAES</t>
  </si>
  <si>
    <t>EDIF EMP. BURLEMARX SALA 1503</t>
  </si>
  <si>
    <t>AUDIOVIX EVENTOS LTDA</t>
  </si>
  <si>
    <t>DM ESTRUTURA E AUDIOVISUAL</t>
  </si>
  <si>
    <t>Atividades de sonorização e de iluminação</t>
  </si>
  <si>
    <t>JERONIMO MONTEIRO</t>
  </si>
  <si>
    <t>SALA: 501;</t>
  </si>
  <si>
    <t>AUGEN ENGENHARIA S.A.</t>
  </si>
  <si>
    <t>KM 8</t>
  </si>
  <si>
    <t>CARREIROS</t>
  </si>
  <si>
    <t>AUGUSTO VELLOSO ENGENHARIA S.A.</t>
  </si>
  <si>
    <t>Construção de redes de abastecimento de água, coleta de esgoto e construções correlatas, exceto obras de irrigação</t>
  </si>
  <si>
    <t>MAJOR QUEDINHO</t>
  </si>
  <si>
    <t>CONJ 10 PAVMTO21</t>
  </si>
  <si>
    <t>AUMOVIO BRAZIL LTDA.</t>
  </si>
  <si>
    <t>Fabricação de peças e acessórios para o sistema de freios de veículos automotores</t>
  </si>
  <si>
    <t>JARDIM SANTA LUCIA</t>
  </si>
  <si>
    <t>VARZEA PAULISTA</t>
  </si>
  <si>
    <t>AUREN OPERACOES S.A.</t>
  </si>
  <si>
    <t>Geração de energia elétrica</t>
  </si>
  <si>
    <t>COMANDANTE JOAO RIBEIRO DE BARROS</t>
  </si>
  <si>
    <t>KM KM 343 95 SALA 07</t>
  </si>
  <si>
    <t>DISTRITO INDUSTRIAL MARCUS VINICIUS FELIZ MACHADO</t>
  </si>
  <si>
    <t>AUROTEC INDUSTRIA E COMERCIO DE PECAS LTDA</t>
  </si>
  <si>
    <t>AUROTEC</t>
  </si>
  <si>
    <t>JOAO ANTONIO PAVAO</t>
  </si>
  <si>
    <t>PRESIDENTE PRUDENTE</t>
  </si>
  <si>
    <t>AUTEL BRASIL TECNOLOGIA LTDA</t>
  </si>
  <si>
    <t>AUTEL BRASIL TECNOLOGIA</t>
  </si>
  <si>
    <t>ODILA MAIA ROCHA BRITO</t>
  </si>
  <si>
    <t>CONJ 32</t>
  </si>
  <si>
    <t>AUTO POSTO BRASILIENSE LTDA</t>
  </si>
  <si>
    <t>Comércio varejista de combustíveis para veículos automotores</t>
  </si>
  <si>
    <t>RIBEIRO DE BARROS</t>
  </si>
  <si>
    <t>AMERICO BRASILIENSE</t>
  </si>
  <si>
    <t>AUTOMACAO COMERCIO E INDUSTRIA DE IMPRESSOS LTDA</t>
  </si>
  <si>
    <t>TIBET</t>
  </si>
  <si>
    <t>RINCAO</t>
  </si>
  <si>
    <t>AUTOMACON - ELETRICA E AUTOMACAO LTDA</t>
  </si>
  <si>
    <t>AUTOMACON</t>
  </si>
  <si>
    <t>PADRE JONAS VAZ SANTOS</t>
  </si>
  <si>
    <t>SERTANOPOLIS</t>
  </si>
  <si>
    <t>AUTOMETAL LTDA</t>
  </si>
  <si>
    <t>FAGUNDES DE OLIVEIRA</t>
  </si>
  <si>
    <t>PIRAPORINHA</t>
  </si>
  <si>
    <t>DIADEMA</t>
  </si>
  <si>
    <t>AUTOSTAR COMERCIAL E IMPORTADORA S.A.</t>
  </si>
  <si>
    <t>AUTOSTAR</t>
  </si>
  <si>
    <t>CENTRO AFRICANA</t>
  </si>
  <si>
    <t>AUTOTRAC COMERCIO E TELECOMUNICACOES S/A</t>
  </si>
  <si>
    <t>Telecomunicações por satélite</t>
  </si>
  <si>
    <t>SCIA QUADRA</t>
  </si>
  <si>
    <t>CONJ 2 LOTE 4/5</t>
  </si>
  <si>
    <t>AUVO TECNOLOGIA S.A.</t>
  </si>
  <si>
    <t>AUVO TECNOLOGIA</t>
  </si>
  <si>
    <t>Portais, provedores de conteúdo e outros serviços de informação na internet</t>
  </si>
  <si>
    <t>ITUMBIARA</t>
  </si>
  <si>
    <t>QUADRA148 LOTE 29 ANDAR 1</t>
  </si>
  <si>
    <t>AVALON CORRETORA DE SEGUROS S/C LTDA</t>
  </si>
  <si>
    <t>AVALTEC EXPOSITORES LTDA</t>
  </si>
  <si>
    <t>AVALTEC</t>
  </si>
  <si>
    <t>LARANJEIRAS</t>
  </si>
  <si>
    <t>CAIEIRAS</t>
  </si>
  <si>
    <t>AVANEX INDUSTRIA E COMERCIO LTDA</t>
  </si>
  <si>
    <t>Fabricação de outros produtos químicos inorgânicos não especificados anteriormente</t>
  </si>
  <si>
    <t>SC 114</t>
  </si>
  <si>
    <t>KM: 203;</t>
  </si>
  <si>
    <t>LAGEADINHO</t>
  </si>
  <si>
    <t>PALMEIRA</t>
  </si>
  <si>
    <t>AVANTE BRASIL - INFORMATICA E TREINAMENTOS LTDA</t>
  </si>
  <si>
    <t>AVANTE BRASIL</t>
  </si>
  <si>
    <t>Atividades de produção cinematográfica, de vídeos e de programas de televisão não especificadas anteriormente</t>
  </si>
  <si>
    <t>AVENIDA DAS PAINEIRAS, EQ 09/10</t>
  </si>
  <si>
    <t>BLOCO E SALA 206</t>
  </si>
  <si>
    <t>SETOR HABITACIONAL JARDIM BOTANICO</t>
  </si>
  <si>
    <t>AVANTI INDUSTRIA, COMERCIO, IMPORTACAO E EXPORTACAO LTDA</t>
  </si>
  <si>
    <t>AVANTI INDUSTRIA, COMERCIO, IMPORTACAO E EXPORTACAO LTD</t>
  </si>
  <si>
    <t>Fabricação de outros produtos têxteis não especificados anteriormente</t>
  </si>
  <si>
    <t>JOSE SCARANCE</t>
  </si>
  <si>
    <t>DISTRITO INDUSTRIAL II</t>
  </si>
  <si>
    <t>TRES LAGOAS</t>
  </si>
  <si>
    <t>AVANTT - SELECAO DE TREINAMENTO DE MAO DE OBRA LTDA</t>
  </si>
  <si>
    <t>AVANTT TRAB EFETIVOS TEMPORARIOS CONSULT EMPRESARIAL</t>
  </si>
  <si>
    <t>SETE DE SETEMBRO</t>
  </si>
  <si>
    <t>LOJA 01 ANDAR TR COND NEW ORLEANS RESIDENC</t>
  </si>
  <si>
    <t>AGUA VERDE</t>
  </si>
  <si>
    <t>AVANZI QUIMICA S.A</t>
  </si>
  <si>
    <t>AVANZI QUIMICA</t>
  </si>
  <si>
    <t>FERNANDO DE NORONHA</t>
  </si>
  <si>
    <t>JARDIM MARGARIDA</t>
  </si>
  <si>
    <t>VARGEM GRANDE PAULISTA</t>
  </si>
  <si>
    <t>AVK - VALVULAS DO BRASIL LTDA</t>
  </si>
  <si>
    <t>AVK - VALVULAS DO BRASIL</t>
  </si>
  <si>
    <t>ALOYSIA AMPARO</t>
  </si>
  <si>
    <t>LOTE 5</t>
  </si>
  <si>
    <t>AVLIGHT BRASIL TECNOLOGIA LED LTDA.</t>
  </si>
  <si>
    <t>Fabricação de luminárias e outros equipamentos de iluminação</t>
  </si>
  <si>
    <t>MERCURIO</t>
  </si>
  <si>
    <t>AMERICAN PARK EMPRESARIAL NR</t>
  </si>
  <si>
    <t>AVODA ADMINISTRACAO DE ESTACIONAMENTOS E SERVICOS DE VALLET PARK EIRELI</t>
  </si>
  <si>
    <t>QUALITY PARK</t>
  </si>
  <si>
    <t>GOMES CARDIM</t>
  </si>
  <si>
    <t>GARAGEESTACIONAMENTO</t>
  </si>
  <si>
    <t>AWA PRODUTOS DE PETROLEO LTDA</t>
  </si>
  <si>
    <t>MERCOSUL LUBRIFICANTES</t>
  </si>
  <si>
    <t>Comércio atacadista de lubrificantes</t>
  </si>
  <si>
    <t>SAO VICENTE DE PAULO</t>
  </si>
  <si>
    <t>ARAUCARIA</t>
  </si>
  <si>
    <t>AWM COMERCIO DE BEBIDAS LTDA</t>
  </si>
  <si>
    <t>BIOLEVE</t>
  </si>
  <si>
    <t>Comércio varejista de bebidas</t>
  </si>
  <si>
    <t>SARGENTO DEOLICES FERREIRA DA SILVA</t>
  </si>
  <si>
    <t>PARQUE BOCAINA</t>
  </si>
  <si>
    <t>AXCHEM BRASIL INDUSTRIA QUIMICA LTDA</t>
  </si>
  <si>
    <t>FREDERICO JENSEN</t>
  </si>
  <si>
    <t>GALPAO2</t>
  </si>
  <si>
    <t>ITOUPAVAZINHA</t>
  </si>
  <si>
    <t>BLUMENAU</t>
  </si>
  <si>
    <t>AXES CONSULTING SERVICES LTDA</t>
  </si>
  <si>
    <t>AXES</t>
  </si>
  <si>
    <t>MARIO DE ANDRADE</t>
  </si>
  <si>
    <t>SALA 1501</t>
  </si>
  <si>
    <t>BARRA FUNDA</t>
  </si>
  <si>
    <t>AXION FERRAMENTAS E MATERIAIS LTDA</t>
  </si>
  <si>
    <t>AXION FERRAMENTAS E MATERIAIS</t>
  </si>
  <si>
    <t>JOSE LEMOS</t>
  </si>
  <si>
    <t>THOMAZ COELHO</t>
  </si>
  <si>
    <t>AYRES MAIA COMERCIO LTDA</t>
  </si>
  <si>
    <t>AYRES MAIA COMERCIAL LTDA</t>
  </si>
  <si>
    <t>Comércio atacadista de embalagens</t>
  </si>
  <si>
    <t>BR 122/428</t>
  </si>
  <si>
    <t>SALA A</t>
  </si>
  <si>
    <t>LOTEAMENTO RECIFE</t>
  </si>
  <si>
    <t>PETROLINA</t>
  </si>
  <si>
    <t>AZUD BRASIL SOCIEDADE UNIPESSOAL LTDA</t>
  </si>
  <si>
    <t>Fabricação de laminados planos e tubulares de material plástico</t>
  </si>
  <si>
    <t>TANCREDO NEVES</t>
  </si>
  <si>
    <t xml:space="preserve"> EDIF TORRE EMPRESARIAL MUNDO PLAZA LOJA 3305</t>
  </si>
  <si>
    <t>AZUL ESPORTES COMERCIAL LTDA</t>
  </si>
  <si>
    <t>AZUL ESPORTES</t>
  </si>
  <si>
    <t>Comércio varejista de artigos esportivos</t>
  </si>
  <si>
    <t>ARNALDO BARRETO</t>
  </si>
  <si>
    <t>SLJ</t>
  </si>
  <si>
    <t>SAO BERNARDO</t>
  </si>
  <si>
    <t>AZUL INDUSTRIA DE PLASTICOS E EMBALAGENS LTDA</t>
  </si>
  <si>
    <t>AZUL INDUSTRIA DE PLASTICOS E EMBALAGENS</t>
  </si>
  <si>
    <t>Recuperação de materiais plásticos</t>
  </si>
  <si>
    <t>CAPITAO CRUZ</t>
  </si>
  <si>
    <t>CORDOVIL</t>
  </si>
  <si>
    <t>AZULPHARMA DISTRIBUIDORA DE MEDICAMENTOS LTDA</t>
  </si>
  <si>
    <t>AZUL FARMA</t>
  </si>
  <si>
    <t>OCTAVIO TENDOLO</t>
  </si>
  <si>
    <t>JARDIM MARCIA I</t>
  </si>
  <si>
    <t>AGUDOS</t>
  </si>
  <si>
    <t>B GROB DO BRASIL S A IND COM MAQS OPERAT E FERRAMENTAS</t>
  </si>
  <si>
    <t>Fabricação de máquinas-ferramenta, peças e acessórios</t>
  </si>
  <si>
    <t>CAMINHO DO MAR</t>
  </si>
  <si>
    <t>ANEXO 1805 RUA C.R.CRESPI FUNDOSRUA DUQUE DAOSTA 95</t>
  </si>
  <si>
    <t>RUDGE RAMOS</t>
  </si>
  <si>
    <t>B M DE ALMEIDA LTDA</t>
  </si>
  <si>
    <t>EVOLLUTION SERVICOS</t>
  </si>
  <si>
    <t>Condomínios prediais</t>
  </si>
  <si>
    <t>DOS ABACATEIROS</t>
  </si>
  <si>
    <t>SALA: 109; PAVMTO: 01; QUADRA: 115; : LOTEAMENTO ; : RENASCENCA;</t>
  </si>
  <si>
    <t>JARDIM SAO FRANCISCO</t>
  </si>
  <si>
    <t>SAO LUIS</t>
  </si>
  <si>
    <t>B.A. BANU LTDA</t>
  </si>
  <si>
    <t>BANU TRANSMISSOES</t>
  </si>
  <si>
    <t>ARAGUARI</t>
  </si>
  <si>
    <t>VILA UBERABINHA</t>
  </si>
  <si>
    <t>B.E.S.A. - BANCO DOS ESTADOS S.A.</t>
  </si>
  <si>
    <t>B.E.S.A. DIGITAL BANK S.A.</t>
  </si>
  <si>
    <t>Bancos múltiplos, com carteira comercial</t>
  </si>
  <si>
    <t>DAS AMERICAS</t>
  </si>
  <si>
    <t xml:space="preserve"> BLC 02 SAL 0204</t>
  </si>
  <si>
    <t>B&amp;B COMUNICACAO LTDA</t>
  </si>
  <si>
    <t>LEONCIO DE MAGALHAES</t>
  </si>
  <si>
    <t>JARDIM SAO PAULO(ZONA NORTE)</t>
  </si>
  <si>
    <t>B&amp;F DIAS INDUSTRIA E COMERCIO S.A.</t>
  </si>
  <si>
    <t>B &amp; F DIAS</t>
  </si>
  <si>
    <t>JOSE DE REZENDE MEIRELLES</t>
  </si>
  <si>
    <t>B2BR BUSINESS TO BUSINESS INFORMATICA DO BRASIL S.A.</t>
  </si>
  <si>
    <t>B2BR - BUSINESS TO BUSINESS INTEGRATION BRASIL</t>
  </si>
  <si>
    <t>Consultoria em tecnologia da informação</t>
  </si>
  <si>
    <t>DR GUILHERME BANNITZ</t>
  </si>
  <si>
    <t>CONJ 81 CV 10630 ANDAR 8</t>
  </si>
  <si>
    <t>B2G COMERCIO DE ARTIGOS DE PAPELARIA E LIVRARIA LTDA</t>
  </si>
  <si>
    <t>B2G PAPELARIA E LIVRARIA</t>
  </si>
  <si>
    <t>Comércio varejista de artigos de papelaria</t>
  </si>
  <si>
    <t>WELLINGTON DE FIGUEREDO</t>
  </si>
  <si>
    <t>SAO BENEDITO</t>
  </si>
  <si>
    <t>SANTO ANTONIO DE JESUS</t>
  </si>
  <si>
    <t>B3 S.A. - BRASIL, BOLSA, BALCAO</t>
  </si>
  <si>
    <t>B3 S.A. BRASIL, BOLSA, BALCAO</t>
  </si>
  <si>
    <t>Bolsa de mercadorias e futuros</t>
  </si>
  <si>
    <t>ANTONIO PRADO</t>
  </si>
  <si>
    <t>ANDAR 7</t>
  </si>
  <si>
    <t>B4S - PLANEJAMENTO E GESTAO EMPRESARIAL - LTDA</t>
  </si>
  <si>
    <t>B4S</t>
  </si>
  <si>
    <t>Outras atividades de prestação de serviços de informação não especificadas anteriormente</t>
  </si>
  <si>
    <t>JURUPARI</t>
  </si>
  <si>
    <t>JARDIM ORIENTAL</t>
  </si>
  <si>
    <t>BACE COMERCIO INTERNACIONAL LTDA</t>
  </si>
  <si>
    <t>HARTMANN</t>
  </si>
  <si>
    <t>COPACABANA</t>
  </si>
  <si>
    <t>CONJ 1214-15-16-17-18</t>
  </si>
  <si>
    <t>DEZOITO DO FORTE EMPRESARIAL/ALPHAVILLE.</t>
  </si>
  <si>
    <t>BAKOF PLASTICOS LTDA EM RECUPERACAO JUDICIAL</t>
  </si>
  <si>
    <t>BAKOF TEC</t>
  </si>
  <si>
    <t>Fabricação de artefatos de material plástico para uso na construção, exceto tubos e acessórios</t>
  </si>
  <si>
    <t>BR 386 KM 35</t>
  </si>
  <si>
    <t>APARECIDA</t>
  </si>
  <si>
    <t>FREDERICO WESTPHALEN</t>
  </si>
  <si>
    <t>BALASKA EQUIPAMENTOS INDUSTRIA E COMERCIO LTDA. EM RECUPERACAO JUDICIAL</t>
  </si>
  <si>
    <t>BALASKA EQUIPAMENTOS</t>
  </si>
  <si>
    <t>AGUA CHATA</t>
  </si>
  <si>
    <t>BALDAN IMPLEMENTOS AGRICOLAS S A</t>
  </si>
  <si>
    <t>JOAO CECHETTO</t>
  </si>
  <si>
    <t>JARDIM POPULAR</t>
  </si>
  <si>
    <t>BALDAN MAQUINAS E EQUIPAMENTOS LTDA</t>
  </si>
  <si>
    <t>MAQUINAS BALDAN</t>
  </si>
  <si>
    <t>JOSE CORONA KM 8</t>
  </si>
  <si>
    <t>S/NALD</t>
  </si>
  <si>
    <t>DISTRITO IND FERNANDO BALDAN</t>
  </si>
  <si>
    <t>GUARIBA</t>
  </si>
  <si>
    <t>BALI COMERCIAL LTDA</t>
  </si>
  <si>
    <t>BALI COMERCIAL</t>
  </si>
  <si>
    <t>Comércio varejista de móveis</t>
  </si>
  <si>
    <t>ARISTOTELES COSTA</t>
  </si>
  <si>
    <t>JARDIM FORTALEZA</t>
  </si>
  <si>
    <t>PAULINIA</t>
  </si>
  <si>
    <t>BANCO ABC BRASIL S.A.</t>
  </si>
  <si>
    <t>ANDAR: 2;</t>
  </si>
  <si>
    <t>BANCO C6 S.A.</t>
  </si>
  <si>
    <t>BANCO ORIGINAL S/A</t>
  </si>
  <si>
    <t>PORTO UNIAO</t>
  </si>
  <si>
    <t>BANNER DO BRASIL SERVICOS DE ENGENHARIA LTDA</t>
  </si>
  <si>
    <t>BANNER DO BRASIL</t>
  </si>
  <si>
    <t>MANOEL MARIA SARAIVA FILHO</t>
  </si>
  <si>
    <t>TERREOSALAO COMERCIAL SALA COMERCIAL 01 E 02 ANEXO R EMILIO FEHR 163-65</t>
  </si>
  <si>
    <t>VILA DAS HORTENCIAS</t>
  </si>
  <si>
    <t>BARCELO EVENTOS LTDA</t>
  </si>
  <si>
    <t>BARCELO EVENTOS</t>
  </si>
  <si>
    <t>Serviços de organização de feiras, congressos, exposições e festas</t>
  </si>
  <si>
    <t>SCRN 708/709 BLOCO A ENTRADA 13 SALA</t>
  </si>
  <si>
    <t xml:space="preserve"> PARTE A2</t>
  </si>
  <si>
    <t>BARDELLA INDUSTRIA PLASTICA LTDA</t>
  </si>
  <si>
    <t>VICE-PREFEITO HERMENEGILDO TONOLI</t>
  </si>
  <si>
    <t>ROQUE DA CHAVE</t>
  </si>
  <si>
    <t>BARLOVENTO BRASIL ENERGIAS RENOVAVEIS LTDA</t>
  </si>
  <si>
    <t>BARLOVENTO APPLUS</t>
  </si>
  <si>
    <t>MARECHAL FLORIANO</t>
  </si>
  <si>
    <t xml:space="preserve"> 10 ANDAR PARTE</t>
  </si>
  <si>
    <t>BARRETO E DOLABELLA ADVOGADOS ASSOCIADOS</t>
  </si>
  <si>
    <t>BARRETO DOLABELLA ADVOGADOS</t>
  </si>
  <si>
    <t>SCN QUADRA 02 BLOCO A</t>
  </si>
  <si>
    <t>SALA 303 EDIF CORPORATE FINANCIAL CENTER</t>
  </si>
  <si>
    <t>BARRETOS EVENTOS PRODUCOES &amp; TURISMO LTDA</t>
  </si>
  <si>
    <t>BARRETO'S EVENTOS, PRODUCOES E TURISMO</t>
  </si>
  <si>
    <t>BOQUIM</t>
  </si>
  <si>
    <t>BARRFAB INDUSTRIA COMERCIO IMPORTACAO E EXPORTACAO DE EQUIPAMENTOS HOSPITALARES LTDA</t>
  </si>
  <si>
    <t>Fabricação de mobiliário para uso médico, cirúrgico, odontológico e de laboratório</t>
  </si>
  <si>
    <t>MARIO ELY</t>
  </si>
  <si>
    <t>CINQUENTENARIO</t>
  </si>
  <si>
    <t>BASEQUIMICA S.A.</t>
  </si>
  <si>
    <t>PQ. IND. CEL. QUITO JUNQUEIRA</t>
  </si>
  <si>
    <t>BASF SA</t>
  </si>
  <si>
    <t>ANDAR 2 9 14 AO 17 CONJ 901 E 902 EDIF C - CRYSTAL TOWER COND ROCHAVERA</t>
  </si>
  <si>
    <t>BASIC TECNOLOGIA &amp; SUPRIMENTOS DE INFORMATICA LTDA</t>
  </si>
  <si>
    <t>BASIC SISTEMAS DESENVOLVIMENTO DE SISTEMAS, APP E WEB</t>
  </si>
  <si>
    <t>MODULO B</t>
  </si>
  <si>
    <t>SETOR DE MANSOES MESTRE D'ARMAS (PLANALTINA)</t>
  </si>
  <si>
    <t>BATERIAS PIONEIRO INDUSTRIAL LTDA</t>
  </si>
  <si>
    <t>DOS PIONEIROS SC 465</t>
  </si>
  <si>
    <t>KM 49.5</t>
  </si>
  <si>
    <t>DISTRITO INDUSTRIAL - SEDE</t>
  </si>
  <si>
    <t>TREZE TILIAS</t>
  </si>
  <si>
    <t>BATERIAS PRESTOCAR LTDA</t>
  </si>
  <si>
    <t>Comércio por atacado de peças e acessórios novos para veículos automotores</t>
  </si>
  <si>
    <t>PIRATININGA</t>
  </si>
  <si>
    <t>BATYSTAKA PORTARIA E LIMPEZA LTDA</t>
  </si>
  <si>
    <t>BATYSTAKA PORTARIA</t>
  </si>
  <si>
    <t>BRIG GAVIAO PEIXOTO</t>
  </si>
  <si>
    <t>LAPA</t>
  </si>
  <si>
    <t>BAUER DO BRASIL SISTEMAS DE IRRIGACAO E DE TRATAMENTO RESIDUAL LTDA</t>
  </si>
  <si>
    <t>BAUER DO BRASIL IRRIGACAO</t>
  </si>
  <si>
    <t>Fabricação de equipamentos para irrigação agrícola, peças e acessórios</t>
  </si>
  <si>
    <t>EISLEBEN CEREJA CORREA FONSECA</t>
  </si>
  <si>
    <t>ANDAR 2 SALA MATRIZ</t>
  </si>
  <si>
    <t>SAO JOAO DA BOA VISTA</t>
  </si>
  <si>
    <t>BAUHAUS DO BRASIL LTDA</t>
  </si>
  <si>
    <t>AUGUSTO SEVERO 13</t>
  </si>
  <si>
    <t>CONJ 34 SALA 02</t>
  </si>
  <si>
    <t>BAUMAC ENGENHARIA GUTIERREZ SPE LTDA</t>
  </si>
  <si>
    <t>BAUMAC ENGENHARIA</t>
  </si>
  <si>
    <t>SALA 1004</t>
  </si>
  <si>
    <t>BAUMER S A</t>
  </si>
  <si>
    <t>Fabricação de instrumentos não-eletrônicos e utensílios para uso médico, cirúrgico, odontológico e de laboratório</t>
  </si>
  <si>
    <t>PREFEITO ANTONIO TAVARES LEITE</t>
  </si>
  <si>
    <t>DISTRITO INDUSTRIAL I JOSE MARANGONI</t>
  </si>
  <si>
    <t>MOGI MIRIM</t>
  </si>
  <si>
    <t>BAUMINAS QUIMICA N/NE LTDA</t>
  </si>
  <si>
    <t>BAUMINAS AGUAS</t>
  </si>
  <si>
    <t>INDIO TIBIRICA</t>
  </si>
  <si>
    <t>VILA SOL NASCENTE</t>
  </si>
  <si>
    <t>SUZANO</t>
  </si>
  <si>
    <t>BAVINI FERREIRA CORRETORA DE SEGUROS LTDA</t>
  </si>
  <si>
    <t>DR. CESAR</t>
  </si>
  <si>
    <t>CASA 04</t>
  </si>
  <si>
    <t>SANTANA</t>
  </si>
  <si>
    <t>BAXTER HOSPITALAR LTDA</t>
  </si>
  <si>
    <t>DR CHUCRI ZAIDAN</t>
  </si>
  <si>
    <t>ANDAR 18 - TORRE A CONJ 1801 A 1804</t>
  </si>
  <si>
    <t>VILA SAO FRANCISCO (ZONA SUL)</t>
  </si>
  <si>
    <t>BAYER S.A.</t>
  </si>
  <si>
    <t>DOMINGOS JORGE</t>
  </si>
  <si>
    <t>SOCORRO</t>
  </si>
  <si>
    <t>BCS COMERCIO E SERVICOS LTDA</t>
  </si>
  <si>
    <t>BCS COMERCIO E SERVICOS</t>
  </si>
  <si>
    <t>PORTUGAL</t>
  </si>
  <si>
    <t>QUADRAL 29 LOTE 1E SALA 2501 C COND ORION BUSINES</t>
  </si>
  <si>
    <t>SET MARISTA</t>
  </si>
  <si>
    <t>BDO RCS AUDITORES E CONSULTORES LTDA.</t>
  </si>
  <si>
    <t>ANDAR 4</t>
  </si>
  <si>
    <t>BEAUFOUR IPSEN FARMACEUTICA LTDA.</t>
  </si>
  <si>
    <t>PROF JOSE LANNES</t>
  </si>
  <si>
    <t>ANDAR 10 CONJ 101</t>
  </si>
  <si>
    <t>BEBEDOUROS CANOVAS INDUSTRIA E COMERCIO LTDA</t>
  </si>
  <si>
    <t>VICINAL JOAO PARISE</t>
  </si>
  <si>
    <t>MORADA CAMPESTRE</t>
  </si>
  <si>
    <t>BECTON DICKINSON INDUSTRIAS CIRURGICAS LTDA</t>
  </si>
  <si>
    <t>TERREO 1, 2 , 3 ANDAR</t>
  </si>
  <si>
    <t>CHAC. SANTO ANTONIO</t>
  </si>
  <si>
    <t>BEE ENERGY LTDA</t>
  </si>
  <si>
    <t>BEE ENERGY</t>
  </si>
  <si>
    <t>ROQUE PETRONI JUNIOR</t>
  </si>
  <si>
    <t>CONJ 1010</t>
  </si>
  <si>
    <t>JARDIM DAS ACACIAS</t>
  </si>
  <si>
    <t>BEECORP BEM ESTAR CORPORATIVO LTDA</t>
  </si>
  <si>
    <t>Atividades de condicionamento físico</t>
  </si>
  <si>
    <t>CONJ 62</t>
  </si>
  <si>
    <t>BELABRU COMERCIO E REPRESENTACOES LTDA</t>
  </si>
  <si>
    <t>BELABRU REPRESENTACOES E COMERCIO</t>
  </si>
  <si>
    <t>Fabricação de automóveis, camionetas e utilitários</t>
  </si>
  <si>
    <t>JOAO PILON</t>
  </si>
  <si>
    <t>ANEXO B</t>
  </si>
  <si>
    <t>CERQUILHO</t>
  </si>
  <si>
    <t>BELFORT SEGURANCA DE BENS E VALORES LTDA</t>
  </si>
  <si>
    <t>BELFORT.</t>
  </si>
  <si>
    <t>DOS TRES IRMAOS</t>
  </si>
  <si>
    <t>VILA PROGREDIOR</t>
  </si>
  <si>
    <t>BELGO BEKAERT ARAMES LTDA</t>
  </si>
  <si>
    <t>BELGO ARAMES</t>
  </si>
  <si>
    <t>Produção de arames de aço</t>
  </si>
  <si>
    <t>GENERAL DAVID SARNOFF</t>
  </si>
  <si>
    <t>A</t>
  </si>
  <si>
    <t>CIDADE INDUSTRIAL</t>
  </si>
  <si>
    <t>BELPARA COMERCIAL LTDA</t>
  </si>
  <si>
    <t>BELPARA ARTIGOS MILITARES &amp; EPI S</t>
  </si>
  <si>
    <t>Comércio atacadista de equipamentos elétricos de uso pessoal e doméstico</t>
  </si>
  <si>
    <t>MARCO</t>
  </si>
  <si>
    <t>BELTIS SERVICE BRASIL LTDA</t>
  </si>
  <si>
    <t>COELHO LISBOA</t>
  </si>
  <si>
    <t>CIDADE MAE DO CEU</t>
  </si>
  <si>
    <t>BELTRAME COMERCIO DE MATERIAIS DE CONSTRUCAO LTDA</t>
  </si>
  <si>
    <t>RST-509</t>
  </si>
  <si>
    <t>KM 06</t>
  </si>
  <si>
    <t>PE DE PLATANO</t>
  </si>
  <si>
    <t>BEMOBI MOBILE TECH S.A.</t>
  </si>
  <si>
    <t>BEMOBI</t>
  </si>
  <si>
    <t>Desenvolvimento e licenciamento de programas de computador não-customizáveis</t>
  </si>
  <si>
    <t>BARAO DE TEFE</t>
  </si>
  <si>
    <t xml:space="preserve"> SAL 1201 SUP AV VEN 154</t>
  </si>
  <si>
    <t>SAUDE</t>
  </si>
  <si>
    <t>BENASSI SAO PAULO - IMPORTACAO E EXPORTACAO LTDA</t>
  </si>
  <si>
    <t>DR GASTAO VIDIGAL CEAGESP MFEB 508/13</t>
  </si>
  <si>
    <t>684/89,163/178</t>
  </si>
  <si>
    <t>V ILA LEOPOLDINA</t>
  </si>
  <si>
    <t>BENEFICIO CERTO LTDA</t>
  </si>
  <si>
    <t>ARCTURO (CENTRO DE APOIO II)</t>
  </si>
  <si>
    <t>SALA 21</t>
  </si>
  <si>
    <t>ALPHAVILLE</t>
  </si>
  <si>
    <t>BENEFICIO FACIL SERVICOS LTDA</t>
  </si>
  <si>
    <t>DRA RUTH CARDOSO</t>
  </si>
  <si>
    <t>CONJ 801 BLOCO A ANDAR 8 SALA FOCO</t>
  </si>
  <si>
    <t>BENER COMERCIAL IMPORTADORA EXPORTADORA LTDA</t>
  </si>
  <si>
    <t>BENER</t>
  </si>
  <si>
    <t>IRACEMA LUCAS</t>
  </si>
  <si>
    <t>BENNER SISTEMAS S/A</t>
  </si>
  <si>
    <t>ITAJAI</t>
  </si>
  <si>
    <t>VORSTADT</t>
  </si>
  <si>
    <t>BENNER TECNOLOGIA E SISTEMAS DE SAUDE LTDA</t>
  </si>
  <si>
    <t>ALZIRO ZARUR</t>
  </si>
  <si>
    <t>LETRA LADO A</t>
  </si>
  <si>
    <t>VILA VARDELINA</t>
  </si>
  <si>
    <t>BERMAD BRASIL INDUSTRIA DE VALVULAS LTDA.</t>
  </si>
  <si>
    <t>BERMAD BRASIL</t>
  </si>
  <si>
    <t>PAULO REBESSI</t>
  </si>
  <si>
    <t>BERNARDES COMERCIO E INDUSTRIA GRAFICA LTDA</t>
  </si>
  <si>
    <t>Edição integrada à impressão de cadastros, listas e de outros produtos gráficos</t>
  </si>
  <si>
    <t>BENJAMIN CONSTANT</t>
  </si>
  <si>
    <t>APT 22</t>
  </si>
  <si>
    <t>BERTOLINI S/A</t>
  </si>
  <si>
    <t>Fabricação de móveis com predominância de metal</t>
  </si>
  <si>
    <t>PEDRO DALLA COSTA</t>
  </si>
  <si>
    <t>ANEXO PREDIO I</t>
  </si>
  <si>
    <t>PRADEL</t>
  </si>
  <si>
    <t>BENTO GONCALVES</t>
  </si>
  <si>
    <t>BESTMIDIA INTERNET LTDA</t>
  </si>
  <si>
    <t>BESTMIDIA</t>
  </si>
  <si>
    <t>Educação profissional de nível técnico</t>
  </si>
  <si>
    <t>GASPAR RICARDO JUNIOR</t>
  </si>
  <si>
    <t>BETA MOLDES FERRAMENTAS DE PRECISAO LTDA</t>
  </si>
  <si>
    <t>DOS IMIGRANTES</t>
  </si>
  <si>
    <t>JARDIM MORUMBI</t>
  </si>
  <si>
    <t>BRAGANCA PAULISTA</t>
  </si>
  <si>
    <t>BETA SOLUTION COMERCIO ELETRO ELETRONICOS LTDA</t>
  </si>
  <si>
    <t>ATACADAO BETA</t>
  </si>
  <si>
    <t>QUE L G G VIA S SALGADO</t>
  </si>
  <si>
    <t>SITIO SALGADO</t>
  </si>
  <si>
    <t>GLORIA DO GOITA</t>
  </si>
  <si>
    <t>BETHA SISTEMAS LTDA</t>
  </si>
  <si>
    <t>JULIO GAIDZINSKI</t>
  </si>
  <si>
    <t>PAVMTO1</t>
  </si>
  <si>
    <t>PIO CORREA</t>
  </si>
  <si>
    <t>BETOMAQ INDUSTRIAL LTDA</t>
  </si>
  <si>
    <t>Comércio atacadista de máquinas, equipamentos para terraplenagem, mineração e construção; partes e peças</t>
  </si>
  <si>
    <t>BERNA</t>
  </si>
  <si>
    <t>VELEIROS</t>
  </si>
  <si>
    <t>BETRON TECNOLOGIA EM SEGURANCA LTDA</t>
  </si>
  <si>
    <t>MARECHAL HERMES</t>
  </si>
  <si>
    <t>AHU</t>
  </si>
  <si>
    <t>BETTA HIDROTURBINAS INDUSTRIA E COMERCIO LTDA</t>
  </si>
  <si>
    <t>BETTA HIDROTURBINAS</t>
  </si>
  <si>
    <t>ALFREDO TOSI</t>
  </si>
  <si>
    <t>ANEXO 1600</t>
  </si>
  <si>
    <t>NUCLEO AGRICOLA ALPHA</t>
  </si>
  <si>
    <t>BETTANIN S.A.</t>
  </si>
  <si>
    <t>BR 116</t>
  </si>
  <si>
    <t>KM 258</t>
  </si>
  <si>
    <t>NOVO ESTEIO</t>
  </si>
  <si>
    <t>BF CAPITAL ASSESSORIA EM OPERACOES FINANCEIRAS LTDA.</t>
  </si>
  <si>
    <t>BRIG FARIA LIMA</t>
  </si>
  <si>
    <t>CONJ 132</t>
  </si>
  <si>
    <t>BH FARMA COMERCIO LTDA</t>
  </si>
  <si>
    <t>BH FARMA</t>
  </si>
  <si>
    <t>SIMAO TAMM</t>
  </si>
  <si>
    <t>CACHOEIRINHA</t>
  </si>
  <si>
    <t>BHC COMERCIO DE GASES MEDICINAL E INDUSTRIAL LTDA</t>
  </si>
  <si>
    <t>GOLD GAS</t>
  </si>
  <si>
    <t>DF 001 KM 58,8 CHAC 06 LOTE</t>
  </si>
  <si>
    <t xml:space="preserve"> NORTE PONTE ALTA</t>
  </si>
  <si>
    <t>GAMA</t>
  </si>
  <si>
    <t>BIANNA BRASIL LTDA</t>
  </si>
  <si>
    <t>BIANNA BRASIL</t>
  </si>
  <si>
    <t>Fabricação de máquinas e equipamentos para as indústrias de celulose, papel e papelão e artefatos, peças e acessórios</t>
  </si>
  <si>
    <t>SC 112</t>
  </si>
  <si>
    <t>BARRA DO TIGRE</t>
  </si>
  <si>
    <t>AGROLANDIA</t>
  </si>
  <si>
    <t>BIBLIOTHECA SISTEMAS DO BRASIL LTDA</t>
  </si>
  <si>
    <t>DONA EGLANTINA BOTACCINI DUARTE</t>
  </si>
  <si>
    <t>JARDIM MYRIAN MOREIRA DA COSTA</t>
  </si>
  <si>
    <t>BIC GRAPHIC BRASIL LTDA. - EM LIQUIDACAO</t>
  </si>
  <si>
    <t>BIC GRAPHIC</t>
  </si>
  <si>
    <t>Impressão de material para outros usos</t>
  </si>
  <si>
    <t>GALPAO A - SETOR I E II</t>
  </si>
  <si>
    <t>CONDOMINIO PARQUE EMPRESARIAL ANHANGUERA</t>
  </si>
  <si>
    <t>CAJAMAR</t>
  </si>
  <si>
    <t>BIGNARDI - INDUSTRIA E COMERCIO DE PAPEIS E ARTEFATOS LTDA.</t>
  </si>
  <si>
    <t>BIGNARDI PAPEIS</t>
  </si>
  <si>
    <t>ANTONIO PINCINATO,</t>
  </si>
  <si>
    <t>ERMIDA</t>
  </si>
  <si>
    <t>BINOTTO INDUSTRIA DE COMPONENTES HIDRAULICOS LTDA</t>
  </si>
  <si>
    <t>RS 122</t>
  </si>
  <si>
    <t xml:space="preserve"> KM 101,85</t>
  </si>
  <si>
    <t>TRAVESSAO RONDELLI</t>
  </si>
  <si>
    <t>FLORES DA CUNHA</t>
  </si>
  <si>
    <t>BINZEL DO BRASIL INDUSTRIAL LTDA</t>
  </si>
  <si>
    <t>UNIAO INDUSTRIA</t>
  </si>
  <si>
    <t xml:space="preserve"> N 17</t>
  </si>
  <si>
    <t>PEDRO DO RIO</t>
  </si>
  <si>
    <t>BIO BRASIL BIOTECNOLOGIA LTDA</t>
  </si>
  <si>
    <t>BIO BRASIL</t>
  </si>
  <si>
    <t>VP 1D</t>
  </si>
  <si>
    <t>QUADRA02 LOTE M1E MODULO 1.DAIA</t>
  </si>
  <si>
    <t>DISTRITO AGROINDUSTRIAL DE ANAPOLIS</t>
  </si>
  <si>
    <t>ANAPOLIS</t>
  </si>
  <si>
    <t>BIO G SISTEMAS DE SANEAMENTO LTDA</t>
  </si>
  <si>
    <t>SC 150</t>
  </si>
  <si>
    <t xml:space="preserve"> P. 08 E 09</t>
  </si>
  <si>
    <t>CAPINZAL</t>
  </si>
  <si>
    <t>BIO IMAGEM COMERCIO DE EQUIPAMENTOS MEDICOS E HOSPITALARES LTDA</t>
  </si>
  <si>
    <t>VERGUEIRO</t>
  </si>
  <si>
    <t>SALA 707 E 708</t>
  </si>
  <si>
    <t>LIBERDADE</t>
  </si>
  <si>
    <t>BIO INFINITY TECNOLOGIA HOSPITALAR LTDA</t>
  </si>
  <si>
    <t>BIO INFINITY TECNOLOGIA HOSPITALAR</t>
  </si>
  <si>
    <t>BENEDITO PEREIRA LEITE</t>
  </si>
  <si>
    <t>ANDAR 1 SALA 4</t>
  </si>
  <si>
    <t>BIO LOGICA DISTRIBUIDORA LTDA</t>
  </si>
  <si>
    <t>BIO LOGICA DISTRIBUIDORA</t>
  </si>
  <si>
    <t>PROFESSORA ZELDA C CURSI MASTRIANI</t>
  </si>
  <si>
    <t>265/A</t>
  </si>
  <si>
    <t>JARDIM DAVILA</t>
  </si>
  <si>
    <t>CAMBE</t>
  </si>
  <si>
    <t>BIO-ART EQUIPAMENTOS ODONTOLOGICOS LTDA</t>
  </si>
  <si>
    <t>TEOTONIO VILELA</t>
  </si>
  <si>
    <t>JARDIM TANGARA</t>
  </si>
  <si>
    <t>SAO CARLOS</t>
  </si>
  <si>
    <t>BIO-CHEM CLEANTEC SOLUCOES AMBIENTAIS LTDA.</t>
  </si>
  <si>
    <t>BIO-CHEM CLEANTEC</t>
  </si>
  <si>
    <t>LOTE 08/09 QUADRA10</t>
  </si>
  <si>
    <t>MARACANDUVA</t>
  </si>
  <si>
    <t>BIO-RAD LABORATORIOS BRASIL LTDA.</t>
  </si>
  <si>
    <t>Fabricação de preparações farmacêuticas</t>
  </si>
  <si>
    <t>ALFREDO ALBANO DA COSTA</t>
  </si>
  <si>
    <t>BIOCAM - EQUIPAMENTO MEDICO HOSPITALAR LTDA</t>
  </si>
  <si>
    <t>BIOCAM</t>
  </si>
  <si>
    <t>DOUTOR ALVES DO BANHO</t>
  </si>
  <si>
    <t>ANEXO 890</t>
  </si>
  <si>
    <t>BIODINAMICA QUIMICA E FARMACEUTICA LTDA</t>
  </si>
  <si>
    <t>BIODINAMICA</t>
  </si>
  <si>
    <t>Fabricação de materiais para medicina e odontologia</t>
  </si>
  <si>
    <t>RONAT WALTER SODRE</t>
  </si>
  <si>
    <t>SETOR 3</t>
  </si>
  <si>
    <t>IBIPORA</t>
  </si>
  <si>
    <t>BIOFACI ENGENHARIA LTDA</t>
  </si>
  <si>
    <t>Gestão de redes de esgoto</t>
  </si>
  <si>
    <t>CAMPOS SALLES</t>
  </si>
  <si>
    <t>BEBEDOURO</t>
  </si>
  <si>
    <t>BIOGEN BRASIL PRODUTOS FARMACEUTICOS LTDA</t>
  </si>
  <si>
    <t>FUNCHAL</t>
  </si>
  <si>
    <t>ANDAR 7 CONJ 701 E 702</t>
  </si>
  <si>
    <t>BIOHOSP PRODUTOS HOSPITALARES SA</t>
  </si>
  <si>
    <t>BIOHOSP</t>
  </si>
  <si>
    <t>SOCRATES MARIANI BITTENCOURT</t>
  </si>
  <si>
    <t>CINCO</t>
  </si>
  <si>
    <t>BIOIMPORTS COMERCIO IMPORTACAO, EXPORTACAO DE PRODUTOS MEDICOS LTDA</t>
  </si>
  <si>
    <t>TERRACOTA</t>
  </si>
  <si>
    <t>SALA 122 E 123</t>
  </si>
  <si>
    <t>CERAMICA</t>
  </si>
  <si>
    <t>BIOLAB SANUS FARMACEUTICA LTDA</t>
  </si>
  <si>
    <t>PAULO AYRES</t>
  </si>
  <si>
    <t>VL IASI</t>
  </si>
  <si>
    <t>BIOLINE FIOS CIRURGICOS LTDA</t>
  </si>
  <si>
    <t>BIOLINE FIOS CIRURGICOS</t>
  </si>
  <si>
    <t>MARANHAO</t>
  </si>
  <si>
    <t>QUADRA64 LOTE 10</t>
  </si>
  <si>
    <t>BIOMA CIENTIFICA LTDA</t>
  </si>
  <si>
    <t>ERNESTO AUSTIN</t>
  </si>
  <si>
    <t>BIOMEDICA BELEM DISTRIBUIDORA DE PRODUTOS BIOMEDICOS LTDA</t>
  </si>
  <si>
    <t>BIOMEDICA BELEM</t>
  </si>
  <si>
    <t>JOSE BONIFACIO</t>
  </si>
  <si>
    <t>GUAMA</t>
  </si>
  <si>
    <t>BIOMERIEUX BRASIL INDUSTRIA E COMERCIO DE PRODUTOS LABORATORIAIS LTDA</t>
  </si>
  <si>
    <t>BIOMERIEUX BRASIL</t>
  </si>
  <si>
    <t>MAPUA (TAQUARA)</t>
  </si>
  <si>
    <t>LOTE 1</t>
  </si>
  <si>
    <t>BIOMM S/A</t>
  </si>
  <si>
    <t>REGENT</t>
  </si>
  <si>
    <t>LOTE 15 AO 21 PARTE GLEBA 28</t>
  </si>
  <si>
    <t>ALPHAVILLE - LAGOA DOS INGLESES</t>
  </si>
  <si>
    <t>BIONEXO S.A.</t>
  </si>
  <si>
    <t>CONJ 71 E 72</t>
  </si>
  <si>
    <t>BIONNOVATION BIOMEDICAL LTDA</t>
  </si>
  <si>
    <t>BIO-BIOMEDICAL</t>
  </si>
  <si>
    <t>CATARINA SCHNEIDER</t>
  </si>
  <si>
    <t>1-30</t>
  </si>
  <si>
    <t>LOTEAMENTO EMPRESARIAL BAURU</t>
  </si>
  <si>
    <t>BIONOVIS S.A. - COMPANHIA BRASILEIRA DE BIOTECNOLOGIA FARMACEUTICA</t>
  </si>
  <si>
    <t>JOAPIRANGA</t>
  </si>
  <si>
    <t>BIOPEL INDUSTRIA E COMERCIO DE PAPEIS E ARTEFATOS LTDA</t>
  </si>
  <si>
    <t>GERALDO LIESSI</t>
  </si>
  <si>
    <t>2° DISTRITO INDUSTRIAL ARMANDO PENTERICH</t>
  </si>
  <si>
    <t>BIRIGUI</t>
  </si>
  <si>
    <t>BIOPLENNA DISTRIBUIDORA DE PRODUTOS E EQUIPAMENTOS PARA DIAGNOSTICO LTDA</t>
  </si>
  <si>
    <t>BIOPLENNA DISTRIBUIDORA</t>
  </si>
  <si>
    <t>JAGUARARI</t>
  </si>
  <si>
    <t>BARRO VERMELHO</t>
  </si>
  <si>
    <t>NATAL</t>
  </si>
  <si>
    <t>BIOSIS SANEAMENTO AMBIENTAL LTDA.</t>
  </si>
  <si>
    <t>Instalação de máquinas e equipamentos industriais</t>
  </si>
  <si>
    <t>TAMOIOS</t>
  </si>
  <si>
    <t>QUADRA34 LOTE 12</t>
  </si>
  <si>
    <t>CONCEICAO</t>
  </si>
  <si>
    <t>BIOSOLVIT SOLUCOES EM BIOTECNOLOGIA S/A</t>
  </si>
  <si>
    <t>Fabricação de produtos diversos não especificados anteriormente</t>
  </si>
  <si>
    <t>IRACI DE SOUZA VIEIRA</t>
  </si>
  <si>
    <t>ASSUNCAO</t>
  </si>
  <si>
    <t>BARRA MANSA</t>
  </si>
  <si>
    <t>BIOSYN TECNOLOGIA E NUTRICAO ANIMAL LTDA SCP</t>
  </si>
  <si>
    <t>Sociedade em Conta de Participação</t>
  </si>
  <si>
    <t>JOAO JAIME FARIAS</t>
  </si>
  <si>
    <t>CORVETA</t>
  </si>
  <si>
    <t>ARAQUARI</t>
  </si>
  <si>
    <t>BIOTEC PRODUTOS HOSPITALARES LTDA.</t>
  </si>
  <si>
    <t>VITOR ODORICO BUENO</t>
  </si>
  <si>
    <t>GALPAOF G H</t>
  </si>
  <si>
    <t>TERRA PRETA</t>
  </si>
  <si>
    <t>MAIRIPORA</t>
  </si>
  <si>
    <t>BIOTECNAL LTDA</t>
  </si>
  <si>
    <t>BIOTECNAL</t>
  </si>
  <si>
    <t>Fabricação de produtos de limpeza e polimento</t>
  </si>
  <si>
    <t>JOAQUIM PIAZZA</t>
  </si>
  <si>
    <t>TOLEDO</t>
  </si>
  <si>
    <t>BIOTRONIK COMERCIAL MEDICA LTDA.</t>
  </si>
  <si>
    <t>DOS INOCENTES</t>
  </si>
  <si>
    <t>BK COMERCIAL DE EQUIPAMENTOS TECNOLOGICOS LTDA.</t>
  </si>
  <si>
    <t>CASTRO</t>
  </si>
  <si>
    <t>CRUZEIRO</t>
  </si>
  <si>
    <t>BK CONSULTORIA E SERVICOS LTDA</t>
  </si>
  <si>
    <t>CONJ 42 EDIF DEMINI</t>
  </si>
  <si>
    <t>BK INSTITUICAO DE PAGAMENTO S A</t>
  </si>
  <si>
    <t>BK INSTITUICAO DE PAGAMENTO</t>
  </si>
  <si>
    <t>ANDAR 8 TORRE 1 EDIF JACARANDA</t>
  </si>
  <si>
    <t>BK PORTARIA SERVICOS E FACILITIES LTDA</t>
  </si>
  <si>
    <t>BK FACILITIES</t>
  </si>
  <si>
    <t>MELCHERT</t>
  </si>
  <si>
    <t>CHACARA SEIS DE OUTUBRO</t>
  </si>
  <si>
    <t>BL INDUSTRIA OTICA LTDA</t>
  </si>
  <si>
    <t>BAUSCH LOMB</t>
  </si>
  <si>
    <t>Fabricação de artigos ópticos</t>
  </si>
  <si>
    <t>DONA ALZIRA</t>
  </si>
  <si>
    <t>SARANDI</t>
  </si>
  <si>
    <t>BLA SERVICOS HOSPITALARES LTDA</t>
  </si>
  <si>
    <t>Atividades de atendimento hospitalar, exceto pronto-socorro e unidades para atendimento a urgências</t>
  </si>
  <si>
    <t>BRIG LUIS ANTONIO</t>
  </si>
  <si>
    <t>ANEXO N 3779</t>
  </si>
  <si>
    <t>BLACK &amp; DECKER DO BRASIL LTDA</t>
  </si>
  <si>
    <t>Fabricação de outros aparelhos eletrodomésticos não especificados anteriormente, peças e acessórios</t>
  </si>
  <si>
    <t>BR 050</t>
  </si>
  <si>
    <t xml:space="preserve"> KM 167,LO 05 PARTE Q1</t>
  </si>
  <si>
    <t>DISTR.INDUSTRIAL II</t>
  </si>
  <si>
    <t>BLACKBOARD DO BRASIL SERVICOS DE TECNOLOGIA EM EDUCACAO LTDA.</t>
  </si>
  <si>
    <t>BLACKBOARD BRASIL</t>
  </si>
  <si>
    <t>CONJ 1.218 SALA F</t>
  </si>
  <si>
    <t>BLANVER FARMOQUIMICA E FARMACEUTICA S.A.</t>
  </si>
  <si>
    <t>BLANVER S.A.</t>
  </si>
  <si>
    <t>ANDAR 11 SALA 1102 E 1104</t>
  </si>
  <si>
    <t>BLAU FARMACEUTICA S.A.</t>
  </si>
  <si>
    <t>BLAU</t>
  </si>
  <si>
    <t>KM 30.5 EDIF 100/110</t>
  </si>
  <si>
    <t>JARDIM DO RIO COTIA</t>
  </si>
  <si>
    <t>BLUE ANGELS SEGURANCA PRIVADA E TRANSPORTE DE VALORES LTDA</t>
  </si>
  <si>
    <t>BLUE ANGELS</t>
  </si>
  <si>
    <t>Atividades de transporte de valores</t>
  </si>
  <si>
    <t>CENNO SBRIGHI</t>
  </si>
  <si>
    <t>BLUE DENT DENTAL INDUSTRIA, COMERCIO, IMPORTACAO E EXPORTACAO LTDA</t>
  </si>
  <si>
    <t>BLUE DENT DENTAL</t>
  </si>
  <si>
    <t>GERALDO GOZE</t>
  </si>
  <si>
    <t>PIRASSUNUNGA</t>
  </si>
  <si>
    <t>BLUE HEALTH PARTICIPACOES S.A</t>
  </si>
  <si>
    <t>BLOCO 4 ANDAR 2 CONJ 24</t>
  </si>
  <si>
    <t>BLUESEA IMPORTACAO E EXPORTACAO DE ALIMENTOS LTDA</t>
  </si>
  <si>
    <t>BLUESEA IMPORTACAO E EXPORTACAO DE ALIMENTOS</t>
  </si>
  <si>
    <t>Fabricação de conservas de peixes, crustáceos e moluscos</t>
  </si>
  <si>
    <t>WILLY CONRADO BOHLEN (BARRANCO)</t>
  </si>
  <si>
    <t>PARQUE AEROPORTO</t>
  </si>
  <si>
    <t>TAUBATE</t>
  </si>
  <si>
    <t>BLUM DO BRASIL INDUSTRIA E COMERCIO DE FERRAGENS LTDA.</t>
  </si>
  <si>
    <t>BLUM DO BRASIL</t>
  </si>
  <si>
    <t>Fabricação de artigos de serralheria, exceto esquadrias</t>
  </si>
  <si>
    <t>JOAO PAULO I</t>
  </si>
  <si>
    <t>JARDIM SANTA BARBARA</t>
  </si>
  <si>
    <t>BLUVAL COMERCIO E AUTOMACAO INDUSTRIAL LTDA</t>
  </si>
  <si>
    <t>BLUVAL AUTOMACAO INDUSTRIAL</t>
  </si>
  <si>
    <t>JOAO DE ALMEIDA SILVA</t>
  </si>
  <si>
    <t>JARDIM LIBANO</t>
  </si>
  <si>
    <t>BMB MATERIAL DE CONSTRUCAO S.A.</t>
  </si>
  <si>
    <t>OBRAMAX ATACADO DE CONSTRUCAO</t>
  </si>
  <si>
    <t>ANDAR 5 7 8 E 9 CONJ 51/52 E 71 A 94</t>
  </si>
  <si>
    <t>BMC MAQUINAS, EQUIPAMENTOS PESADOS, ENGENHARIA E LOCACOES LTDA</t>
  </si>
  <si>
    <t>KM 315</t>
  </si>
  <si>
    <t>ITATIAIA</t>
  </si>
  <si>
    <t>BOEHRINGER INGELHEIM DO BRASIL QUIMICA E FARMACEUTICA LTDA.</t>
  </si>
  <si>
    <t>EDIF B ANDAR 18 CONJ 1801,1802,1803,1804</t>
  </si>
  <si>
    <t>BOLD PLASTICOS S/A</t>
  </si>
  <si>
    <t>ALTO CAICARAS</t>
  </si>
  <si>
    <t>BOMBAS GRUNDFOS DO BRASIL LTDA</t>
  </si>
  <si>
    <t>GRUNDFOS</t>
  </si>
  <si>
    <t>HUMBERTO DE ALENCAR CASTELO BRANCO</t>
  </si>
  <si>
    <t>VILA ROSA</t>
  </si>
  <si>
    <t>BOMBAS HIDRAULICAS WDM PUMPS BRASIL LTDA.</t>
  </si>
  <si>
    <t>WDM PUMPS BRASIL</t>
  </si>
  <si>
    <t>CHACARAS RIO-PETROPOLIS</t>
  </si>
  <si>
    <t>BOMBAS LEAO S/A</t>
  </si>
  <si>
    <t>BOMBAS LEAO</t>
  </si>
  <si>
    <t>SEBASTIAO FIOREZE</t>
  </si>
  <si>
    <t>MONTE AZUL PAULISTA</t>
  </si>
  <si>
    <t>BOMBRIL S/A - EM RECUPERACAO JUDICIAL</t>
  </si>
  <si>
    <t>DA VIA ANCHIETA</t>
  </si>
  <si>
    <t>KM 14</t>
  </si>
  <si>
    <t>BOMPEL INDUSTRIA DE CALCADOS LTDA</t>
  </si>
  <si>
    <t>BOMPEL</t>
  </si>
  <si>
    <t>LUIZ SEGUNDO ROSSONI</t>
  </si>
  <si>
    <t>BOMTRATO-DDM INVESTIMENTOS E PARTICIPACOES LTDA.</t>
  </si>
  <si>
    <t>BT CREDITOS</t>
  </si>
  <si>
    <t>GUMERCINDO SARAIVA</t>
  </si>
  <si>
    <t>JARDIM EUROPA</t>
  </si>
  <si>
    <t>BONGAS BRASIL LTDA</t>
  </si>
  <si>
    <t>TURISTICA DO MORRO DO SABOO</t>
  </si>
  <si>
    <t>GALPAO05</t>
  </si>
  <si>
    <t>SABOO</t>
  </si>
  <si>
    <t>BORDIGNON AGRONEGOCIOS LTDA</t>
  </si>
  <si>
    <t>CULTIVAR AGRONEGOCIOS</t>
  </si>
  <si>
    <t>Transporte rodoviário de carga, exceto produtos perigosos e mudanças, intermunicipal, interestadual e internacional</t>
  </si>
  <si>
    <t>SERTAO</t>
  </si>
  <si>
    <t>BOREAL ENGENHARIA LTDA</t>
  </si>
  <si>
    <t>LUIZ ALBERTO ZANONI</t>
  </si>
  <si>
    <t>CING</t>
  </si>
  <si>
    <t>GUARUJA</t>
  </si>
  <si>
    <t>BORGWARNER BRASIL LTDA</t>
  </si>
  <si>
    <t>Fabricação de peças e acessórios para o sistema motor de veículos automotores</t>
  </si>
  <si>
    <t>FIORAVANTE PIOVANI</t>
  </si>
  <si>
    <t xml:space="preserve"> PRED. ADMINISTRATIVO CAIXA POSTAL 261</t>
  </si>
  <si>
    <t>JARDIM DAS LARANJEIRAS</t>
  </si>
  <si>
    <t>ITATIBA</t>
  </si>
  <si>
    <t>BORJA E FUNARI - ADVOGADOS ASSOCIADOS</t>
  </si>
  <si>
    <t>ALVES DA COSTA E CAFAGNI BORJA - ADVOGADOS ASSOCIADOS</t>
  </si>
  <si>
    <t>VICENTE SEWAYBRICKER</t>
  </si>
  <si>
    <t>JARDIM MARIA ROSA</t>
  </si>
  <si>
    <t>BORMAX CORREIAS E MANGUEIRAS INDUSTRIAIS LTDA.</t>
  </si>
  <si>
    <t>PDE RAPOSO</t>
  </si>
  <si>
    <t>ANEXO 1272</t>
  </si>
  <si>
    <t>BORRACHAS VIPAL S.A.</t>
  </si>
  <si>
    <t>VIPAL</t>
  </si>
  <si>
    <t>BUARQUE DE MACEDO</t>
  </si>
  <si>
    <t>NOVA PRATA</t>
  </si>
  <si>
    <t>BOSCH REXROTH LTDA</t>
  </si>
  <si>
    <t>BOSCH REXROTH</t>
  </si>
  <si>
    <t>D. PEDRO I SP65</t>
  </si>
  <si>
    <t>KM 97</t>
  </si>
  <si>
    <t>PONTE NOVA</t>
  </si>
  <si>
    <t>BOSTON SCIENTIFIC DO BRASIL LTDA</t>
  </si>
  <si>
    <t>EDIF PREDIOS P8/P9/P10</t>
  </si>
  <si>
    <t>BOSTON SCIENTIFIC INTL.B V</t>
  </si>
  <si>
    <t>Empresa Domiciliada no Exterior</t>
  </si>
  <si>
    <t>VESTASTRAAT 6, 6468 EX</t>
  </si>
  <si>
    <t>KERKRADE</t>
  </si>
  <si>
    <t>EX</t>
  </si>
  <si>
    <t>BOTICARIO PRODUTOS DE BELEZA LTDA</t>
  </si>
  <si>
    <t>Comércio varejista de cosméticos, produtos de perfumaria e de higiene pessoal</t>
  </si>
  <si>
    <t>DOUTOR DARIO LOPES DOS SANTOS</t>
  </si>
  <si>
    <t>CONJ 401 ANDAR 04 COND CORPORATE JARDIM BOTBLOCO CORPORATE JD BOTANIC</t>
  </si>
  <si>
    <t>JARDIM BOTANICO</t>
  </si>
  <si>
    <t>BP BRASIL LTDA</t>
  </si>
  <si>
    <t>Extração de petróleo e gás natural</t>
  </si>
  <si>
    <t>BLOCO 7 SALA 301 A 308 PARTE</t>
  </si>
  <si>
    <t>BP ENERGY DO BRASIL LTDA</t>
  </si>
  <si>
    <t>BLOCO 07 SALA 301 A 308</t>
  </si>
  <si>
    <t>BR COMERCIO &amp; SERVICOS LTDA</t>
  </si>
  <si>
    <t>BR EQUIPAMENTOS INDUSTRIAS</t>
  </si>
  <si>
    <t>MIGUEL BADRA</t>
  </si>
  <si>
    <t>CIDADE MIGUEL BADRA</t>
  </si>
  <si>
    <t>BR DISPLAYS LTDA</t>
  </si>
  <si>
    <t>BR DISPLAYS</t>
  </si>
  <si>
    <t>Fabricação de letras, letreiros e placas de qualquer material, exceto luminosos</t>
  </si>
  <si>
    <t>ESTORIL</t>
  </si>
  <si>
    <t>BR INFRA CONSTRUCOES LTDA</t>
  </si>
  <si>
    <t>VEREADOR MARIO MARCOLONGO (COND PENTEADO)</t>
  </si>
  <si>
    <t>CONJ 05</t>
  </si>
  <si>
    <t>JORDANESIA (JORDANESIA)</t>
  </si>
  <si>
    <t>BR LINK COMERCIO DE PRODUTOS E SERVICOS DE INFORMATICA LTDA</t>
  </si>
  <si>
    <t>PIRACEMA</t>
  </si>
  <si>
    <t>GALPAO3 ANDAR 2 PARTE</t>
  </si>
  <si>
    <t>BR ONLINE COMERCIO VAREJISTA E VENDA DE PRODUTOS LTDA</t>
  </si>
  <si>
    <t>BH ONLINE</t>
  </si>
  <si>
    <t>URUTU</t>
  </si>
  <si>
    <t>DOM JOAQUIM</t>
  </si>
  <si>
    <t>BR SUL DISTRIBUIDORA DE MEDICAMENTOS LTDA</t>
  </si>
  <si>
    <t>BR SUL MEDICAMENTOS</t>
  </si>
  <si>
    <t>SEVERINO AUGUSTO PRETTO</t>
  </si>
  <si>
    <t>SANTO ANTAO</t>
  </si>
  <si>
    <t>ENCANTADO</t>
  </si>
  <si>
    <t>BR3 EVENTOS LTDA</t>
  </si>
  <si>
    <t>ITAPOLIS</t>
  </si>
  <si>
    <t>BR4 LICITACOES E CONSULTORIA LTDA</t>
  </si>
  <si>
    <t>BR4 LICITACOES</t>
  </si>
  <si>
    <t>ANDAR 2</t>
  </si>
  <si>
    <t>JARDIM BEBEDOURO</t>
  </si>
  <si>
    <t>BRA CLIMA SERVICOS E COMERCIO EM AR CONDICIONADO E REFRIGERACAO LTDA</t>
  </si>
  <si>
    <t>BRA CLIMA</t>
  </si>
  <si>
    <t>OSVALDO CRUZ</t>
  </si>
  <si>
    <t>SANTA PAULA</t>
  </si>
  <si>
    <t>BRACELL SP CELULOSE LTDA</t>
  </si>
  <si>
    <t>Fabricação de celulose e outras pastas para a fabricação de papel</t>
  </si>
  <si>
    <t>JULIANO LORENZETTI LEP060</t>
  </si>
  <si>
    <t>KM 6 MAIS 400 MTS</t>
  </si>
  <si>
    <t>DISTRITO EMPRESARIAL LUIZ TRECENTI</t>
  </si>
  <si>
    <t>LENCOIS PAULISTA</t>
  </si>
  <si>
    <t>BRADOK SOLUCOES CORPORATIVAS LTDA</t>
  </si>
  <si>
    <t>BRADOK COMERCIO E SERVICOS</t>
  </si>
  <si>
    <t>Aluguel de máquinas e equipamentos para escritórios</t>
  </si>
  <si>
    <t>JOSE FIGUEIREDO</t>
  </si>
  <si>
    <t>BRAINLAB LTDA</t>
  </si>
  <si>
    <t>Outros representantes comerciais e agentes do comércio especializado em produtos não especificados anteriormente</t>
  </si>
  <si>
    <t>ANGELICA</t>
  </si>
  <si>
    <t>SALA 41 42 47 E 48</t>
  </si>
  <si>
    <t>BRAKKO COMERCIO E IMPORTACAO LTDA</t>
  </si>
  <si>
    <t>BRAKKO</t>
  </si>
  <si>
    <t>SAA QUADRA 03</t>
  </si>
  <si>
    <t>ZONA INDUSTRIAL</t>
  </si>
  <si>
    <t>BRALIMPIA INDUSTRIA E COMERCIO DE EQUIPAMENTOS PARA LIMPEZA LTDA</t>
  </si>
  <si>
    <t>BRALIMPIA</t>
  </si>
  <si>
    <t>MALMEQUER DO CAMPO</t>
  </si>
  <si>
    <t>ITAQUERA</t>
  </si>
  <si>
    <t>BRANCO MOTORES LTDA</t>
  </si>
  <si>
    <t>TENENTE BENEDITO NEPOMUCENO</t>
  </si>
  <si>
    <t>PAVLH: 1 A 5;</t>
  </si>
  <si>
    <t>ESTACAO</t>
  </si>
  <si>
    <t>BRANDASSI ARTEFATOS DE BORRACHA LTDA</t>
  </si>
  <si>
    <t>CLELIA</t>
  </si>
  <si>
    <t>BRASANITAS EMPRESA BRASILEIRA DE SANEAMENTO E COM LTDA</t>
  </si>
  <si>
    <t>EMILIO GOELDI</t>
  </si>
  <si>
    <t>ARMZ 9</t>
  </si>
  <si>
    <t>BRASC SHOPPING CENTERS S A</t>
  </si>
  <si>
    <t>Aluguel de imóveis próprios</t>
  </si>
  <si>
    <t>ANGELINA MAFFEI VITA</t>
  </si>
  <si>
    <t>ANDAR 9</t>
  </si>
  <si>
    <t>BRASCABOS COMPONENTES ELETRICOS E ELETRONICOS LTDA</t>
  </si>
  <si>
    <t>BRASCABOS</t>
  </si>
  <si>
    <t>Fabricação de fios, cabos e condutores elétricos isolados</t>
  </si>
  <si>
    <t>SETOR INDUSTRIAL</t>
  </si>
  <si>
    <t>RIO CLARO</t>
  </si>
  <si>
    <t>BRASCAMP EQUIPAMENTOS DE PROTECAO DO TRABALHO LTDA</t>
  </si>
  <si>
    <t>FRANCISCO ANDRADE RIBEIRO</t>
  </si>
  <si>
    <t>BLOCO 17</t>
  </si>
  <si>
    <t>FAMILIA ANDRADE</t>
  </si>
  <si>
    <t>SANTA RITA DO SAPUCAI</t>
  </si>
  <si>
    <t>BRASDIESEL SA COMERCIAL E IMPORTADORA</t>
  </si>
  <si>
    <t>Comércio por atacado de caminhões novos e usados</t>
  </si>
  <si>
    <t>RSC-453</t>
  </si>
  <si>
    <t>KM 78</t>
  </si>
  <si>
    <t>NOSSA SENHORA DA SAUDE</t>
  </si>
  <si>
    <t>BRASEAL VEDACOES INDUSTRIAIS LTDA</t>
  </si>
  <si>
    <t>BRASEAL</t>
  </si>
  <si>
    <t>ALEXANDRE GUSMAO</t>
  </si>
  <si>
    <t>VILA SOCORRO</t>
  </si>
  <si>
    <t>BRASFORMA INDUSTRIA E COMERCIO LTDA</t>
  </si>
  <si>
    <t>HENRY FORD</t>
  </si>
  <si>
    <t>GALPAO706 718 750 758 784 ARMZ 796</t>
  </si>
  <si>
    <t>PARQUE DA MOOCA</t>
  </si>
  <si>
    <t>BRASFORT ADMINISTRACAO E SERVICOS LTDA</t>
  </si>
  <si>
    <t>Atividades de teleatendimento</t>
  </si>
  <si>
    <t>SAAN QUADRA 1</t>
  </si>
  <si>
    <t xml:space="preserve"> PARTE A</t>
  </si>
  <si>
    <t>BRASIF S/A EXPORTACAO IMPORTACAO</t>
  </si>
  <si>
    <t>BRASIF</t>
  </si>
  <si>
    <t>MARGARIDA ASSIS FONSECA</t>
  </si>
  <si>
    <t>PREDIO</t>
  </si>
  <si>
    <t>CALIFORNIA</t>
  </si>
  <si>
    <t>BRASIL DEVICES EQUIPAMENTOS HOSPITALARES LTDA</t>
  </si>
  <si>
    <t>BRASIL DEVICES EQUIPAMENTOS HOSPITALARES</t>
  </si>
  <si>
    <t>GRACA ARANHA</t>
  </si>
  <si>
    <t>BRCAO 1 SALA B</t>
  </si>
  <si>
    <t>VARGEM GRANDE</t>
  </si>
  <si>
    <t>BRASIL DIGITAL TELECOMUNICACOES LTDA</t>
  </si>
  <si>
    <t>BR.DIGITAL, BRDIGITAL E COMMCORP</t>
  </si>
  <si>
    <t>COMENDADOR AZEVEDO</t>
  </si>
  <si>
    <t>FLORESTA</t>
  </si>
  <si>
    <t>BRASIL FORTE - VIGILANCIA E SEGURANCA LTDA</t>
  </si>
  <si>
    <t>CLEMENTE FALCAO</t>
  </si>
  <si>
    <t>TIJUCA</t>
  </si>
  <si>
    <t>BRASIL LOCACOES LTDA</t>
  </si>
  <si>
    <t>BRASIL LOCACOES</t>
  </si>
  <si>
    <t>Locação de automóveis sem condutor</t>
  </si>
  <si>
    <t>DOUTOR GILBERTO STUDART</t>
  </si>
  <si>
    <t>SALA 510 EDIF SUL</t>
  </si>
  <si>
    <t>COCO</t>
  </si>
  <si>
    <t>BRASIL TOOLS SERVICOS E COMERCIO DE PECAS PARA INDUSTRIA DO PLASTICO LTDA</t>
  </si>
  <si>
    <t>BRASIL TOOLS.COM</t>
  </si>
  <si>
    <t>Manutenção e reparação de máquinas e aparelhos para a indústria do plástico</t>
  </si>
  <si>
    <t>LUDOVICO LORENCON</t>
  </si>
  <si>
    <t>ECO PARK EMPRESARIAL</t>
  </si>
  <si>
    <t>BRASILSEG COMPANHIA DE SEGUROS</t>
  </si>
  <si>
    <t>BRASILSEG</t>
  </si>
  <si>
    <t>ANDAR 29 ALA A</t>
  </si>
  <si>
    <t>BRASKEM S.A</t>
  </si>
  <si>
    <t>BRASKEM</t>
  </si>
  <si>
    <t>Fabricação de produtos petroquímicos básicos</t>
  </si>
  <si>
    <t>ETENO</t>
  </si>
  <si>
    <t>POLO INDUSTRIAL DE CAMACARI</t>
  </si>
  <si>
    <t>CAMACARI</t>
  </si>
  <si>
    <t>BRASOFTWARE INFORMATICA LTDA</t>
  </si>
  <si>
    <t>MARINA LA REGINA</t>
  </si>
  <si>
    <t>BRASOX OXIGENIO INDUSTRIA E COMERCIO LTDA</t>
  </si>
  <si>
    <t>ALMIRANTE BARROSO</t>
  </si>
  <si>
    <t>SAO JOAO BATISTA</t>
  </si>
  <si>
    <t>BRASPRAY INDUSTRIA E COMERCIO LTDA</t>
  </si>
  <si>
    <t>FIDALGA</t>
  </si>
  <si>
    <t>CASA 5</t>
  </si>
  <si>
    <t>BRASQUIMICA - PRODUTOS QUIMICOS LTDA</t>
  </si>
  <si>
    <t>BRASQUIMICA</t>
  </si>
  <si>
    <t>Fabricação de sabões e detergentes sintéticos</t>
  </si>
  <si>
    <t>SAO CAETANO</t>
  </si>
  <si>
    <t>ANEXO 83</t>
  </si>
  <si>
    <t>BRASQUIMICA PRODUTOS ASFALTICOS LTDA</t>
  </si>
  <si>
    <t>SOL NASCENTE</t>
  </si>
  <si>
    <t xml:space="preserve"> SALAS 3101 A 3204 CENTRO MEDICO EMPRESARIAL VITRAUX</t>
  </si>
  <si>
    <t>FEDERACAO</t>
  </si>
  <si>
    <t>BRASS - SERVICE ASSISTENCIA TECNICA LTDA</t>
  </si>
  <si>
    <t>BRASS - SERVICE</t>
  </si>
  <si>
    <t>Reparação e manutenção de outros objetos e equipamentos pessoais e domésticos não especificados anteriormente</t>
  </si>
  <si>
    <t>PADRE FAUSTINO CONSONI</t>
  </si>
  <si>
    <t>JARDIM SELMA</t>
  </si>
  <si>
    <t>BRASSUCO INDUSTRIA DE PRODUTOS ALIMENTICIOS LTDA</t>
  </si>
  <si>
    <t>Fabricação de sucos de frutas, hortaliças e legumes, exceto concentrados</t>
  </si>
  <si>
    <t>DOUTOR ERMELINDO MAFFEI</t>
  </si>
  <si>
    <t>BRASTRAFO DO BRASIL LTDA</t>
  </si>
  <si>
    <t>Testes e análises técnicas</t>
  </si>
  <si>
    <t>JORNALISTA FRANCISCO AGUIRRE PROENCA</t>
  </si>
  <si>
    <t>LOTE AREA 3</t>
  </si>
  <si>
    <t>BAIRRO REZENDE</t>
  </si>
  <si>
    <t>BRASTUBO INDUSTRIA E COMERCIO DE PRODUTOS PLASTICOS E SIDERURGICOS S/A</t>
  </si>
  <si>
    <t>BRASTUBO QUIMICA</t>
  </si>
  <si>
    <t>ANDAR 13 CONJ 132</t>
  </si>
  <si>
    <t>BRAVA SERVICOS DE APOIO ADMINISTRATIVO LTDA</t>
  </si>
  <si>
    <t>BRAVA SERVICE</t>
  </si>
  <si>
    <t>MENINO MARCELO</t>
  </si>
  <si>
    <t>BARRO DURO</t>
  </si>
  <si>
    <t>BRAVO 3 SERVICOS DE APOIO ADMINISTRATIVO LTDA</t>
  </si>
  <si>
    <t>BRAVO 3 SERVICOS ADMINISTRATIVOS</t>
  </si>
  <si>
    <t>JOAO STENER</t>
  </si>
  <si>
    <t>URBANOVA I</t>
  </si>
  <si>
    <t>SAO JOSE DOS CAMPOS</t>
  </si>
  <si>
    <t>BRAY CONTROLS INDUSTRIA DE VALVULAS LTDA.</t>
  </si>
  <si>
    <t>JOAO VIEIRA</t>
  </si>
  <si>
    <t>CASCATA</t>
  </si>
  <si>
    <t>BRAZILCOM SERVICOS SOCIEDADE UNIPESSOAL LTDA</t>
  </si>
  <si>
    <t>BRAZILCOM</t>
  </si>
  <si>
    <t>BLOCO A . SALA 121</t>
  </si>
  <si>
    <t>BRAZPEL COMERCIO DE PRODUTOS DE HIGIENE E LIMPEZA LTDA</t>
  </si>
  <si>
    <t>BRAZPEL</t>
  </si>
  <si>
    <t>Comércio varejista de produtos saneantes domissanitários</t>
  </si>
  <si>
    <t>CENTRAL BLOCOS (LADO PAR) 1124/1226</t>
  </si>
  <si>
    <t>LOTE: 1130; LOJA: 01;</t>
  </si>
  <si>
    <t>NUCLEO BANDEIRANTE</t>
  </si>
  <si>
    <t>BRB ADMINISTRADORA E CORRETORA DE SEGUROS S/A</t>
  </si>
  <si>
    <t>CORRETORA SEGUROS BRB</t>
  </si>
  <si>
    <t>SAUN QUADRA 05 BLOCO C TORRE III SALA 501</t>
  </si>
  <si>
    <t>TERREOIII</t>
  </si>
  <si>
    <t>BRF S.A.</t>
  </si>
  <si>
    <t>Abate de aves</t>
  </si>
  <si>
    <t>JORGE TZACHEL</t>
  </si>
  <si>
    <t>FAZENDA</t>
  </si>
  <si>
    <t>BRIDGESTONE DO BRASIL INDUSTRIA E COMERCIO LTDA.</t>
  </si>
  <si>
    <t>BRIDGESTONE</t>
  </si>
  <si>
    <t>Fabricação de pneumáticos e de câmaras-de-ar</t>
  </si>
  <si>
    <t>QUEIROS DOS SANTOS 1717</t>
  </si>
  <si>
    <t>CASA BRANCA</t>
  </si>
  <si>
    <t>BRIGADEIRO - ASSESSORIA E GESTAO DE NEGOCIOS LTDA</t>
  </si>
  <si>
    <t>BRIGADEIRO LUIS ANTONIO</t>
  </si>
  <si>
    <t>APT: 6B;</t>
  </si>
  <si>
    <t>BRILHAR SERVICOS TERCEIRIZADOS LTDA</t>
  </si>
  <si>
    <t>BRILHAR</t>
  </si>
  <si>
    <t>DO HIMALAIA</t>
  </si>
  <si>
    <t>SALA 103</t>
  </si>
  <si>
    <t>VILA MARCOS ROBERTO</t>
  </si>
  <si>
    <t>BRINGEL MEDICAL DISTRIBUIDORA DE MEDICAMENTOS LTDA</t>
  </si>
  <si>
    <t>BRINGEL MEDICAL LTDA</t>
  </si>
  <si>
    <t>Comércio atacadista de próteses e artigos de ortopedia</t>
  </si>
  <si>
    <t>COSME FERREIRA</t>
  </si>
  <si>
    <t>GALPAOD</t>
  </si>
  <si>
    <t>ALEIXO</t>
  </si>
  <si>
    <t>BRISENO SUPERMERCADO LTDA</t>
  </si>
  <si>
    <t>BRISENO SM</t>
  </si>
  <si>
    <t>Comércio varejista de produtos alimentícios em geral ou especializado em produtos alimentícios não especificados anteriormente</t>
  </si>
  <si>
    <t>SILVA JARDIM</t>
  </si>
  <si>
    <t>ALAGOINHAS</t>
  </si>
  <si>
    <t>BRISTOL INDUSTRIA DE MAQUINAS COMERCIO, IMPORTACAO E EXPORTACAO LTDA</t>
  </si>
  <si>
    <t>RS 401</t>
  </si>
  <si>
    <t>VILA PADRE REUS</t>
  </si>
  <si>
    <t>SAO JERONIMO</t>
  </si>
  <si>
    <t>BRISTOL-MYERS SQUIBB FARMACEUTICA LTDA.</t>
  </si>
  <si>
    <t>VERBO DIVINO</t>
  </si>
  <si>
    <t>EDIF: JATOBA; : BIRMANN 22;</t>
  </si>
  <si>
    <t>BRITANIA ELETRODOMESTICOS SA</t>
  </si>
  <si>
    <t>Fabricação de outros equipamentos e aparelhos elétricos não especificados anteriormente</t>
  </si>
  <si>
    <t>NOVA INDEPENDENCIA</t>
  </si>
  <si>
    <t>ANDAR 1 / 2 / 4</t>
  </si>
  <si>
    <t>BRITECH S.A.</t>
  </si>
  <si>
    <t>BRITECH</t>
  </si>
  <si>
    <t>ANDAR 5 SALA 501A</t>
  </si>
  <si>
    <t>BRK AMBIENTAL PARTICIPACOES S.A.</t>
  </si>
  <si>
    <t>ANDAR 7 BLOCO B2 SETOR B</t>
  </si>
  <si>
    <t>BRK GERENCIAMENTO DE RISCOS LTDA.</t>
  </si>
  <si>
    <t>WERNER VON SIEMENS</t>
  </si>
  <si>
    <t>BLOCO C ANDAR 1 COND EMPRESARIAL E-BUSINE</t>
  </si>
  <si>
    <t>BRLINETECH LTDA</t>
  </si>
  <si>
    <t>BRLINETECH</t>
  </si>
  <si>
    <t>CARROLTON</t>
  </si>
  <si>
    <t>BLOCO 4 GALPAOA</t>
  </si>
  <si>
    <t>LORENA</t>
  </si>
  <si>
    <t>BROTHERS PRODUTOS E SERVICOS LTDA</t>
  </si>
  <si>
    <t>BROTHERS PRODUTOS E SERVICOS</t>
  </si>
  <si>
    <t>U82</t>
  </si>
  <si>
    <t>QUADRA35 LOTE 04 SALA 101</t>
  </si>
  <si>
    <t>SET UNIAO</t>
  </si>
  <si>
    <t>BRUDOVAN PNEUS LTDA</t>
  </si>
  <si>
    <t>TONINHO AUTO CENTER</t>
  </si>
  <si>
    <t>Comércio por atacado de pneumáticos e câmaras-de-ar</t>
  </si>
  <si>
    <t>BENJAMIM CONSTANT</t>
  </si>
  <si>
    <t>BRUMA COMERCIO DE PNEUS LTDA</t>
  </si>
  <si>
    <t>Reforma de pneumáticos usados</t>
  </si>
  <si>
    <t>DON PEDRO I</t>
  </si>
  <si>
    <t>KM 86,3</t>
  </si>
  <si>
    <t>RIO ABAIXO</t>
  </si>
  <si>
    <t>ATIBAIA</t>
  </si>
  <si>
    <t>BRUTHI'S COMERCIAL LTDA.</t>
  </si>
  <si>
    <t>Comércio varejista de artigos do vestuário e acessórios</t>
  </si>
  <si>
    <t>JARDIM DA SAUDE</t>
  </si>
  <si>
    <t>BS SANEAMENTO AMBIENTAL LTDA</t>
  </si>
  <si>
    <t>Imunização e controle de pragas urbanas</t>
  </si>
  <si>
    <t>MARIA QUITERIA</t>
  </si>
  <si>
    <t>VILA DOM PEDRO I</t>
  </si>
  <si>
    <t>BSB PRODUTORA DE EQUIPAMENTOS DE PROTECAO INDIVIDUAL S.A.</t>
  </si>
  <si>
    <t>BSB</t>
  </si>
  <si>
    <t>DR CARDOSO DE MELO</t>
  </si>
  <si>
    <t>CONJ 82</t>
  </si>
  <si>
    <t>BSG SERVICOS E SOLUCOES UNIPESSOAL LTDA</t>
  </si>
  <si>
    <t>BSG SERVICOS</t>
  </si>
  <si>
    <t>Administração de obras</t>
  </si>
  <si>
    <t>CASTANHEIRO DO BREJO</t>
  </si>
  <si>
    <t>JARDIM DOS IPES</t>
  </si>
  <si>
    <t>BSM COMERCIO DE BORRACHAS LTDA</t>
  </si>
  <si>
    <t>BSM</t>
  </si>
  <si>
    <t>FREI FIDEIS MOTA</t>
  </si>
  <si>
    <t>SAO MIGUEL PAULISTA</t>
  </si>
  <si>
    <t>BSN MEDICAL GMBH</t>
  </si>
  <si>
    <t>BSN HOLDING</t>
  </si>
  <si>
    <t>SCHUTZENSTRASSE 1-3, 22297, HAMBURG, GERMANY</t>
  </si>
  <si>
    <t>HAMBURG</t>
  </si>
  <si>
    <t>BT CONSTRUCOES LTDA.</t>
  </si>
  <si>
    <t>BT CONSTRUCOES</t>
  </si>
  <si>
    <t>CASSIANO ALVES DE ALMEIDA</t>
  </si>
  <si>
    <t>SETOR DE USINAS</t>
  </si>
  <si>
    <t>BTF METALURGICA LTDA - EM RECUPERACAO JUDICIAL</t>
  </si>
  <si>
    <t>RJ 127</t>
  </si>
  <si>
    <t>LOTE 08 PARTE 02 LOT INDUSTRIAL</t>
  </si>
  <si>
    <t>LAGES</t>
  </si>
  <si>
    <t>PARACAMBI</t>
  </si>
  <si>
    <t>BTL INDUSTRIA E COMERCIO DE ACO LTDA</t>
  </si>
  <si>
    <t>BTL STEEL WORKS</t>
  </si>
  <si>
    <t>Produção de outros tubos de ferro e aço</t>
  </si>
  <si>
    <t>DO ACUCAR</t>
  </si>
  <si>
    <t>KM 130</t>
  </si>
  <si>
    <t>CARACA</t>
  </si>
  <si>
    <t>BTV PLASTICOS LTDA</t>
  </si>
  <si>
    <t>COND STADIUM ESCRIT 2304</t>
  </si>
  <si>
    <t>BUCKMAN LABORATORIOS LTDA</t>
  </si>
  <si>
    <t>VIA ANHANGUERA</t>
  </si>
  <si>
    <t>KM 107 5</t>
  </si>
  <si>
    <t>BUENO MOTA ENGENHARIA E CONSULTORIA LTDA</t>
  </si>
  <si>
    <t>BUENO MOTA ENGENHARIA</t>
  </si>
  <si>
    <t>JOAO BATISTA</t>
  </si>
  <si>
    <t>SALA 305 ANDAR 3</t>
  </si>
  <si>
    <t>BUFFALO COMERCIO E SERVICOS LTDA</t>
  </si>
  <si>
    <t>VINTE E QUATRO DE MAIO</t>
  </si>
  <si>
    <t>LOJA 04</t>
  </si>
  <si>
    <t>PAROLIN</t>
  </si>
  <si>
    <t>BUFFALO MOTORES &amp; ACOPLADOS LTDA</t>
  </si>
  <si>
    <t>MARIA FONTES MACHADO</t>
  </si>
  <si>
    <t>COSTEIRA</t>
  </si>
  <si>
    <t>BULLLA INSTITUICAO DE PAGAMENTO S.A.</t>
  </si>
  <si>
    <t>Administração de cartões de crédito</t>
  </si>
  <si>
    <t>ANDAR 6 CONJ 61 E 62</t>
  </si>
  <si>
    <t>BUNGE ALIMENTOS S/A</t>
  </si>
  <si>
    <t>Fabricação de óleos vegetais em bruto, exceto óleo de milho</t>
  </si>
  <si>
    <t>JORGE LACERDA</t>
  </si>
  <si>
    <t>KM 20</t>
  </si>
  <si>
    <t>POCO GRANDE</t>
  </si>
  <si>
    <t>GASPAR</t>
  </si>
  <si>
    <t>BUNZL EQUIPAMENTOS PARA PROTECAO INDIVIDUAL LTDA</t>
  </si>
  <si>
    <t>VELHA GUARULHOS-SAO MIGUEL</t>
  </si>
  <si>
    <t>BOX 301</t>
  </si>
  <si>
    <t>JARDIM ARAPONGAS</t>
  </si>
  <si>
    <t>BUSCARIOLI INDUSTRIA E COMERCIO DE MOTORES ELETRICOS LTDA</t>
  </si>
  <si>
    <t>BUSCARIOLI</t>
  </si>
  <si>
    <t>MAJOR ANGELO SANCHES VERA</t>
  </si>
  <si>
    <t>LANIFICIO</t>
  </si>
  <si>
    <t>SANTA ISABEL</t>
  </si>
  <si>
    <t>BVQI DO BRASIL SOCIEDADE CERTIFICADORA LTDA</t>
  </si>
  <si>
    <t>EVARISTO DA VEIGA</t>
  </si>
  <si>
    <t xml:space="preserve"> SALA 201</t>
  </si>
  <si>
    <t>BYD DO BRASIL LTDA.</t>
  </si>
  <si>
    <t>Comércio por atacado de ônibus e microônibus novos e usados</t>
  </si>
  <si>
    <t>CONJ 1601 ANDAR 16</t>
  </si>
  <si>
    <t>C &amp; R LICITACOES LTDA</t>
  </si>
  <si>
    <t>CR LICITAR</t>
  </si>
  <si>
    <t>CONJ 12</t>
  </si>
  <si>
    <t>C M COUTO SISTEMAS CONTRA INCENDIO LTDA</t>
  </si>
  <si>
    <t>Instalações de sistema de prevenção contra incêndio</t>
  </si>
  <si>
    <t>VILA SAO LUIZ</t>
  </si>
  <si>
    <t>C R DISTRIBUIDORA - COMERCIO ATACADISTA DE LUBRIFICANTES AUTOMOTIVOS LTDA</t>
  </si>
  <si>
    <t>C R DISTRIBUIDORA DE LUBRIFICANTES</t>
  </si>
  <si>
    <t>ROGERIO MAGALHAES (NUCLEO 14)</t>
  </si>
  <si>
    <t>CIDADE NOVA</t>
  </si>
  <si>
    <t>C R OXIGENIO GASES E EQUIPAMENTOS LTDA</t>
  </si>
  <si>
    <t>CR MEDICAL &amp; INDUSTRY</t>
  </si>
  <si>
    <t>SALGADO</t>
  </si>
  <si>
    <t>GALPAO03</t>
  </si>
  <si>
    <t>GETULIO VARGAS</t>
  </si>
  <si>
    <t>C. A. L. VICENTE NUTRICAO ANIMAL LTDA</t>
  </si>
  <si>
    <t>AGROCAL FERTILIZANTES E INSUMOS</t>
  </si>
  <si>
    <t>Comércio atacadista de defensivos agrícolas, adubos, fertilizantes e corretivos do solo</t>
  </si>
  <si>
    <t>RANCHO ALEGRE</t>
  </si>
  <si>
    <t>GUAPIRAMA</t>
  </si>
  <si>
    <t>C.B.S COMERCIO DE PRODUTOS DE HIGIENE E LIMPEZA LTDA</t>
  </si>
  <si>
    <t>HERMANN HUSCHER</t>
  </si>
  <si>
    <t>GALPAO</t>
  </si>
  <si>
    <t>C.B.S. MEDICO CIENTIFICA LTDA</t>
  </si>
  <si>
    <t>PALMORINO MONACO</t>
  </si>
  <si>
    <t>ANEXO 520 534 550 600 614</t>
  </si>
  <si>
    <t>C.C.I CENTRO CONTROLE E INSPECAO LTDA</t>
  </si>
  <si>
    <t>C.C.I</t>
  </si>
  <si>
    <t>DAS PRIMAVERAS</t>
  </si>
  <si>
    <t>SALA 2</t>
  </si>
  <si>
    <t>C.D.S. ARTEFATOS DE PLASTICOS E METALICOS LTDA</t>
  </si>
  <si>
    <t>CDS CADEIRAS DE RODAS</t>
  </si>
  <si>
    <t>Fabricação de bicicletas e triciclos não-motorizados, peças e acessórios</t>
  </si>
  <si>
    <t>SAO JOAO DO CARIRI</t>
  </si>
  <si>
    <t xml:space="preserve"> ANTIGO NUMERO 381</t>
  </si>
  <si>
    <t>JARDIM NORMA</t>
  </si>
  <si>
    <t>C.L.N. SOLUCOES EM ALIMENTACAO LTDA</t>
  </si>
  <si>
    <t>QUALITY SOLUCOES EM ALIMENTACAO</t>
  </si>
  <si>
    <t>VIGARIO ALBERNAZ</t>
  </si>
  <si>
    <t xml:space="preserve"> E 21</t>
  </si>
  <si>
    <t>VILA GUMERCINDO</t>
  </si>
  <si>
    <t>C.M.DIAS CONSTRUCOES, COMERCIO E SERVICOS LTDA</t>
  </si>
  <si>
    <t>GRUPO JEP</t>
  </si>
  <si>
    <t>MANOEL JUSTINIANO QUINTAO</t>
  </si>
  <si>
    <t>VILA PALMEIRAS</t>
  </si>
  <si>
    <t>C.R.I. BOMBAS HIDRAULICAS LTDA.</t>
  </si>
  <si>
    <t>BOMBAS C.R.I.</t>
  </si>
  <si>
    <t>RODRIGO FERNANDO GRILLO</t>
  </si>
  <si>
    <t>JD. DOS MANACAS</t>
  </si>
  <si>
    <t>ARARAQUARA</t>
  </si>
  <si>
    <t>C.S. CONSULTORIA E SERVICOS LTDA</t>
  </si>
  <si>
    <t>C.S. CONSULTORIA E SERVICOS</t>
  </si>
  <si>
    <t>XV DE NOVEMBRO</t>
  </si>
  <si>
    <t>BALSA NOVA</t>
  </si>
  <si>
    <t>CABINE RIO COMERCIAL ELETRICA LTDA</t>
  </si>
  <si>
    <t>CABINE RIO</t>
  </si>
  <si>
    <t>LONDRES</t>
  </si>
  <si>
    <t xml:space="preserve"> E 361</t>
  </si>
  <si>
    <t>BONSUCESSO</t>
  </si>
  <si>
    <t>CAF BRASIL INDUSTRIA E COMERCIO SA</t>
  </si>
  <si>
    <t>Fabricação de locomotivas, vagões e outros materiais rodantes</t>
  </si>
  <si>
    <t>TABAPUA</t>
  </si>
  <si>
    <t>ANDAR 7 CONJ 71</t>
  </si>
  <si>
    <t>CAICARA COMERCIO DE SEMENTES LTDA</t>
  </si>
  <si>
    <t>Comércio varejista de plantas e flores naturais</t>
  </si>
  <si>
    <t>COROADOS</t>
  </si>
  <si>
    <t>BREJO ALEGRE</t>
  </si>
  <si>
    <t>CAIO - INDUSCAR INDUSTRIA E COMERCIO DE CARROCERIAS LTDA</t>
  </si>
  <si>
    <t>Fabricação de carrocerias para ônibus</t>
  </si>
  <si>
    <t>MARECHAL RONDOM</t>
  </si>
  <si>
    <t>KM 252,2</t>
  </si>
  <si>
    <t>BOTUCATU</t>
  </si>
  <si>
    <t>CAIXA DE ASSISTENCIA DOS ADVOGADOS DE SAO PAULO</t>
  </si>
  <si>
    <t>CAASP SEDE</t>
  </si>
  <si>
    <t>CAIXA ECONOMICA FEDERAL</t>
  </si>
  <si>
    <t>CEF MATRIZ</t>
  </si>
  <si>
    <t>Empresa Pública</t>
  </si>
  <si>
    <t>Caixas econômicas</t>
  </si>
  <si>
    <t>SETOR SBS</t>
  </si>
  <si>
    <t>QUADRA4 BLOCO A ANDAR TODOS</t>
  </si>
  <si>
    <t>CALBRAS EQUIPAMENTOS DE PROTECAO LTDA.</t>
  </si>
  <si>
    <t>DOS MUNICIPIOS</t>
  </si>
  <si>
    <t>ZONA INDUSTRIAL SUL</t>
  </si>
  <si>
    <t>CAMPO BOM</t>
  </si>
  <si>
    <t>CALCADOS CARTOM LTDA</t>
  </si>
  <si>
    <t>JOAO STRAPASSONI</t>
  </si>
  <si>
    <t>IMBITUVA</t>
  </si>
  <si>
    <t>CALI AMBIENTAL LIMPEZA E CONSERVACAO S.A</t>
  </si>
  <si>
    <t>CALI AMBIENTAL</t>
  </si>
  <si>
    <t>CONJ 7 BLOCO II</t>
  </si>
  <si>
    <t>CALIA/ Y2 PROPAGANDA E MARKETING LTDA.</t>
  </si>
  <si>
    <t>MARIA COELHO AGUIAR</t>
  </si>
  <si>
    <t>BLOCO E ANDAR 8</t>
  </si>
  <si>
    <t>JARDIM SAO LUIS</t>
  </si>
  <si>
    <t>CALIBR SERVICOS TECNICOS LTDA</t>
  </si>
  <si>
    <t>CALIBR SERVICOS TECNICOS</t>
  </si>
  <si>
    <t>ANDAR 13 SALA 1303</t>
  </si>
  <si>
    <t>JARDIM DAS COLINAS</t>
  </si>
  <si>
    <t>CALIBRE SCIENTIFIC BRASIL LTDA.</t>
  </si>
  <si>
    <t>PRESIDENTE GETULIO VARGAS</t>
  </si>
  <si>
    <t>CALSENG SERVICOS LTDA</t>
  </si>
  <si>
    <t>GRUPO CALSENG</t>
  </si>
  <si>
    <t>SUSPENSA</t>
  </si>
  <si>
    <t>ALDO PICCIGHELLI</t>
  </si>
  <si>
    <t>PATRICIA I</t>
  </si>
  <si>
    <t>CAMARA BRASILEIRA DA INDUSTRIA DA CONSTRUCAO</t>
  </si>
  <si>
    <t>SBN QUADRA 1 BLOCO I</t>
  </si>
  <si>
    <t>EDIF ARMANDO MONTEIRO NETPAVMTO3 E 4 ANDARES</t>
  </si>
  <si>
    <t>CAMARA DE COMERCIO BRASIL CANADA</t>
  </si>
  <si>
    <t>CONJ 31 32 51 52 121 122 CONJ 132</t>
  </si>
  <si>
    <t>CAMARGO DISTRIBUIDORA DE PRODUTOS QUIMICOS LTDA</t>
  </si>
  <si>
    <t>ALFONSO KOCH</t>
  </si>
  <si>
    <t>TESTO CENTRAL</t>
  </si>
  <si>
    <t>POMERODE</t>
  </si>
  <si>
    <t>CAMIL ALIMENTOS S.A.</t>
  </si>
  <si>
    <t>Beneficiamento de arroz</t>
  </si>
  <si>
    <t>ANDAR 12 SALA CAMIL</t>
  </si>
  <si>
    <t>CAMPER EQUIPAMENTOS DE PROTECAO LTDA</t>
  </si>
  <si>
    <t>JOSE RAIMUNDO RAMOS</t>
  </si>
  <si>
    <t>BARRA VELHA</t>
  </si>
  <si>
    <t>CAMPSONDAS COMERCIO, PERFURACOES E MANUTENCAO EM POCOS ARTESIANOS LTDA</t>
  </si>
  <si>
    <t>ANTONIO NUNES DOS SANTOS</t>
  </si>
  <si>
    <t>JARDIM PACAEMBU</t>
  </si>
  <si>
    <t>CANADA CALCADOS LTDA</t>
  </si>
  <si>
    <t>CANADA EPI</t>
  </si>
  <si>
    <t>PIRATINI</t>
  </si>
  <si>
    <t>UNIAO</t>
  </si>
  <si>
    <t>ESTANCIA VELHA</t>
  </si>
  <si>
    <t>CANAL REPRESENTACOES LTDA</t>
  </si>
  <si>
    <t>Representantes comerciais e agentes do comércio de instrumentos e materiais odonto-médico-hospitalares</t>
  </si>
  <si>
    <t>PORTO DE DOM RODRIGO</t>
  </si>
  <si>
    <t>VILA SAO FRANCISCO</t>
  </si>
  <si>
    <t>CANON MEDICAL SYSTEMS DO BRASIL LTDA</t>
  </si>
  <si>
    <t>TAMBORE I</t>
  </si>
  <si>
    <t>CANTU STORE S.A.</t>
  </si>
  <si>
    <t>CANTU INC</t>
  </si>
  <si>
    <t>GOMES DE CARVALHO</t>
  </si>
  <si>
    <t>CONJ 144 ANDAR 14</t>
  </si>
  <si>
    <t>CAOA MONTADORA DE VEICULOS LTDA</t>
  </si>
  <si>
    <t>CAOA</t>
  </si>
  <si>
    <t>FAZ BARREIRO DO MEIO</t>
  </si>
  <si>
    <t>DAIA</t>
  </si>
  <si>
    <t>CAPGEMINI BRASIL LTDA.</t>
  </si>
  <si>
    <t>CAPGEMINI</t>
  </si>
  <si>
    <t>GRAJAU</t>
  </si>
  <si>
    <t>ANDAR 14</t>
  </si>
  <si>
    <t>CAPGEMINI BUSINESS SERVICES BRASIL - ASSESSORIA EMPRESARIAL LTDA</t>
  </si>
  <si>
    <t>Tratamento de dados, provedores de serviços de aplicação e serviços de hospedagem na internet</t>
  </si>
  <si>
    <t>JOHN DALTON</t>
  </si>
  <si>
    <t>CONJ 11B A 16B PAVMTOTERREO BLOCO B EDIF 1</t>
  </si>
  <si>
    <t>CAPIM DOURADO RENT A CAR LTDA</t>
  </si>
  <si>
    <t>CAPIM DOURADO RENT A CAR</t>
  </si>
  <si>
    <t>ACSO 90 ALAMEDA 13</t>
  </si>
  <si>
    <t>QUADRA04 LOTE 02</t>
  </si>
  <si>
    <t>CAPIM TECNOLOGIA E SERVICOS LTDA</t>
  </si>
  <si>
    <t>CAPIM TECNOLOGIA</t>
  </si>
  <si>
    <t>ANDAR 13</t>
  </si>
  <si>
    <t>CAPOBIANCO CONSULTORIA E INTERMEDIACAO DE NEGOCIOS LTDA</t>
  </si>
  <si>
    <t>CAPOBIANCO GRUPO</t>
  </si>
  <si>
    <t>ITAPECURU</t>
  </si>
  <si>
    <t>APT 507</t>
  </si>
  <si>
    <t>CAPROMED APOIO ADMINISTRATIVO LTDA</t>
  </si>
  <si>
    <t>*****</t>
  </si>
  <si>
    <t>DOUTOR MARIO DE ASSIS MOURA</t>
  </si>
  <si>
    <t>EDIF RIVERSIDE APT 222</t>
  </si>
  <si>
    <t>NOVA ALIANCA</t>
  </si>
  <si>
    <t>CAPUTTI COMERCIO DE UTILIDADES DOMESTICAS LTDA</t>
  </si>
  <si>
    <t>MARILAR</t>
  </si>
  <si>
    <t>Lojas de variedades, exceto lojas de departamentos ou magazines</t>
  </si>
  <si>
    <t>FRANCISCO CHAVES PINHEIRO</t>
  </si>
  <si>
    <t>VILA GUEDES</t>
  </si>
  <si>
    <t>CARBOGRAFITE EQUIPAMENTOS INDUSTRIAIS LTDA</t>
  </si>
  <si>
    <t>UNIAO E INDUSTRIA</t>
  </si>
  <si>
    <t xml:space="preserve"> LT.03 05 06 E 07 COND. INDUSTRIAL OSWALDO CRUZ</t>
  </si>
  <si>
    <t>CARBONO ZERO COURIER E LOGISTICA S A</t>
  </si>
  <si>
    <t>CARBONO ZERO COURIER</t>
  </si>
  <si>
    <t>Transporte rodoviário de carga, exceto produtos perigosos e mudanças, municipal.</t>
  </si>
  <si>
    <t>ENGENHEIRO SA ROCHA</t>
  </si>
  <si>
    <t>VILA IDA</t>
  </si>
  <si>
    <t>CARDINAL HEALTH DO BRASIL LTDA.</t>
  </si>
  <si>
    <t>ANDAR 15 SALA CARDINAL HEALTH</t>
  </si>
  <si>
    <t>CARESTREAM DENTAL BRASIL LTDA</t>
  </si>
  <si>
    <t>ROMUALDO DAVOLI</t>
  </si>
  <si>
    <t>ANDAR 1 SALA COMERCIAL 01</t>
  </si>
  <si>
    <t>ELDORADO</t>
  </si>
  <si>
    <t>CARGILL AGRICOLA S A</t>
  </si>
  <si>
    <t>SEDE ADMINISTRATIVA DA EMPRESA</t>
  </si>
  <si>
    <t>Fabricação de óleos vegetais refinados, exceto óleo de milho</t>
  </si>
  <si>
    <t>DOUTOR CHUCRI ZAIDAN</t>
  </si>
  <si>
    <t>ANDAR 6 AO 9</t>
  </si>
  <si>
    <t>CARIOCA SOLUTION LTDA</t>
  </si>
  <si>
    <t>NICARAGUA</t>
  </si>
  <si>
    <t xml:space="preserve"> SALA 103</t>
  </si>
  <si>
    <t>CARISA INFORMACOES E VENDAS LTDA</t>
  </si>
  <si>
    <t>INSUMOS BRASIL</t>
  </si>
  <si>
    <t>ALICE MANHOLER PITERI</t>
  </si>
  <si>
    <t xml:space="preserve"> PL 10 Q 79</t>
  </si>
  <si>
    <t>CARL ZEISS DO BRASIL LTDA</t>
  </si>
  <si>
    <t>CARL ZEISS</t>
  </si>
  <si>
    <t>Manutenção e reparação de aparelhos e instrumentos de medida, teste e controle</t>
  </si>
  <si>
    <t>ANDAR 9 CONJ 91 SUBSL 1 SALA SS1 E SS6</t>
  </si>
  <si>
    <t>CARLOS RODRIGO DA SILVA</t>
  </si>
  <si>
    <t>MAPPER SOLUCOES</t>
  </si>
  <si>
    <t>PEDRO RIBEIRO</t>
  </si>
  <si>
    <t>TIMBURI</t>
  </si>
  <si>
    <t>CARMEL COMERCIO VAREJISTA LTDA</t>
  </si>
  <si>
    <t>RITSUJI KAYASIMA</t>
  </si>
  <si>
    <t>COCUERA</t>
  </si>
  <si>
    <t>MOGI DAS CRUZES</t>
  </si>
  <si>
    <t>CARPE DENT INSTRUMENTOS CIRURGICOS IMPORTACAO E EXPORTACAO LTDA</t>
  </si>
  <si>
    <t>NARCISO VIEIRA</t>
  </si>
  <si>
    <t>JARDIM ALPINO</t>
  </si>
  <si>
    <t>CARPLAC COMERCIO E SERVICOS LTDA</t>
  </si>
  <si>
    <t>SIA TRECHO 17 RUA 01</t>
  </si>
  <si>
    <t>CARVALHO &amp; CARVALHO ENGENHARIA LTDA</t>
  </si>
  <si>
    <t>CONJ 17</t>
  </si>
  <si>
    <t>CERRO ENGENHARIA</t>
  </si>
  <si>
    <t>O BRASIL PARA CRISTO</t>
  </si>
  <si>
    <t>BOQUEIRAO</t>
  </si>
  <si>
    <t>CARVALHO HOSKEN S A ENGENHARIA E CONSTRUCOES</t>
  </si>
  <si>
    <t>GRUPOS 201 E 202</t>
  </si>
  <si>
    <t>CASA DA MOEDA DO BRASIL CMB</t>
  </si>
  <si>
    <t>Impressão de material de segurança</t>
  </si>
  <si>
    <t>SETOR BANCARIO SUL, QUADRA 2, BLOCO Q</t>
  </si>
  <si>
    <t>EDIF JOAO CARLOS SAAD ANDAR 9 SALA 909,910 E 911</t>
  </si>
  <si>
    <t>BRASLIA</t>
  </si>
  <si>
    <t>CASA DAS EMBALAGENS ARAGUARI LTDA</t>
  </si>
  <si>
    <t>CORONEL TEODOLINO PEREIRA ARAUJO</t>
  </si>
  <si>
    <t>CASA DO PAO DE QUEIJO LTDA</t>
  </si>
  <si>
    <t>CASA DO PAO DE QUEIJO</t>
  </si>
  <si>
    <t>HEITOR DE MORAES</t>
  </si>
  <si>
    <t>CASA MILITAR DO GABINETE DO GOVERNADOR</t>
  </si>
  <si>
    <t>CASA MILITAR GAB GOV</t>
  </si>
  <si>
    <t>Órgão Público do Poder Executivo Estadual ou do Distrito Federal</t>
  </si>
  <si>
    <t>2 ANDAR</t>
  </si>
  <si>
    <t>CASA NASSER COMERCIO E REPRESENTACOES S/A</t>
  </si>
  <si>
    <t>TRANSAMAZONICA</t>
  </si>
  <si>
    <t>JARDIM GATOLANDIA</t>
  </si>
  <si>
    <t>MOCOCA</t>
  </si>
  <si>
    <t>CASALE EQUIPAMENTOS LTDA</t>
  </si>
  <si>
    <t>KM 237</t>
  </si>
  <si>
    <t>CASE ENGENHARIA E ARQUITETURA LTDA</t>
  </si>
  <si>
    <t>CASE ENGENHARIA E ARQUITETURA</t>
  </si>
  <si>
    <t>T10</t>
  </si>
  <si>
    <t>LOJA 07 E 08 QUADRA105 A LOTE 73</t>
  </si>
  <si>
    <t>SET BUENO</t>
  </si>
  <si>
    <t>CASEX IND DE PLASTICOS E PROD MEDICOS HOSPITALARES LTDA</t>
  </si>
  <si>
    <t>GENTELL</t>
  </si>
  <si>
    <t>FREDOLIN WOLF</t>
  </si>
  <si>
    <t>SANTA FELICIDADE</t>
  </si>
  <si>
    <t>CASSOL MATERIAIS DE CONSTRUCAO LTDA</t>
  </si>
  <si>
    <t>CASSOL CENTERLAR</t>
  </si>
  <si>
    <t>BR 101 KM 206</t>
  </si>
  <si>
    <t>ACESSO VIA EXPRESSA</t>
  </si>
  <si>
    <t>KOBRASOL</t>
  </si>
  <si>
    <t>CASTELO ALIMENTOS S/A</t>
  </si>
  <si>
    <t>CASTELO</t>
  </si>
  <si>
    <t>Fabricação de vinagres</t>
  </si>
  <si>
    <t>PROFESSORA MARIA DO CARMO GUIMARAES PELLEGRINI</t>
  </si>
  <si>
    <t>CASTROL BRASIL LTDA</t>
  </si>
  <si>
    <t>CASTROL</t>
  </si>
  <si>
    <t>Fabricação de outros produtos derivados do petróleo, exceto produtos do refino</t>
  </si>
  <si>
    <t>BLOCO 07 SALA 301 A 308 PARTE</t>
  </si>
  <si>
    <t>CATERPILLAR BRASIL LTDA</t>
  </si>
  <si>
    <t>Fabricação de tratores, peças e acessórios, exceto agrícolas</t>
  </si>
  <si>
    <t>LUIZ DE QUEIROZ KM 157</t>
  </si>
  <si>
    <t>KM 157</t>
  </si>
  <si>
    <t>UNILESTE</t>
  </si>
  <si>
    <t>CATTER ENGENHARIA LTDA.</t>
  </si>
  <si>
    <t>ANDAR 11 CONJ 1104 A 1111</t>
  </si>
  <si>
    <t>CAUANA COMERCIO DE PRODUTOS ALIMENTICIOS LTDA</t>
  </si>
  <si>
    <t>CAUANA PRODUTOS ALIMENTICIOS</t>
  </si>
  <si>
    <t>BENEDITO BENTO</t>
  </si>
  <si>
    <t>CIDADE MORUMBI</t>
  </si>
  <si>
    <t>CAURE INFORMATICA E SUPRIMENTOS LTDA</t>
  </si>
  <si>
    <t>CAURE INFORMATICA</t>
  </si>
  <si>
    <t>JOHN LENNON</t>
  </si>
  <si>
    <t>PARQUE DA FONTE</t>
  </si>
  <si>
    <t>CAVALCA &amp; CAVALCA LTDA</t>
  </si>
  <si>
    <t>Comércio varejista de mercadorias em geral, com predominância de produtos alimentícios - minimercados, mercearias e armazéns</t>
  </si>
  <si>
    <t>JOAO DE CASTRO COELHO</t>
  </si>
  <si>
    <t>GUARATINGUETA</t>
  </si>
  <si>
    <t>CAVAN PRE-MOLDADO S/A</t>
  </si>
  <si>
    <t>CAVAN PRE MOLDADO S/A</t>
  </si>
  <si>
    <t>Fabricação de outros artefatos e produtos de concreto, cimento, fibrocimento, gesso e materiais semelhantes</t>
  </si>
  <si>
    <t>CONJ 126</t>
  </si>
  <si>
    <t>CBB INDUSTRIA E COMERCIO DE ASFALTOS E ENGENHARIA LTDA</t>
  </si>
  <si>
    <t>Fabricação de outros produtos de minerais não-metálicos não especificados anteriormente</t>
  </si>
  <si>
    <t>PARIS</t>
  </si>
  <si>
    <t>CCN CONSTRUTORA E INCORPORADORA LTDA</t>
  </si>
  <si>
    <t>LUIS VIANA FILHO</t>
  </si>
  <si>
    <t xml:space="preserve"> EDIF HANGAR BUSINESS PARK HANGAR 2 SALA 526</t>
  </si>
  <si>
    <t>CDD CONSULTORIA EM GESTAO EMPRESARIAL LTDA</t>
  </si>
  <si>
    <t>CDD CONSULTING &amp; OUTSOURCING</t>
  </si>
  <si>
    <t>TUTOIA</t>
  </si>
  <si>
    <t>CONJ 22 CONJ 24</t>
  </si>
  <si>
    <t>CEAGESP - COMPANHIA DE ENTREPOSTOS E ARMAZENS GERAIS DE SAO PAULO</t>
  </si>
  <si>
    <t>CEAGESP</t>
  </si>
  <si>
    <t>ENTREPOSTO DO CEASA</t>
  </si>
  <si>
    <t>CECCATO ITALIA INDUSTRIA E COMERCIO DE SISTEMAS DE LAVAGEM LTDA - EM RECUPERACAO JUDICIAL</t>
  </si>
  <si>
    <t>SEBASTIANA GUIDOTTI CAMPOS</t>
  </si>
  <si>
    <t>PARQUE CAMPOS ELISEOS</t>
  </si>
  <si>
    <t>CEDO CORRETORA DE SEGUROS LTDA</t>
  </si>
  <si>
    <t>CEDO</t>
  </si>
  <si>
    <t>ENXOVIA</t>
  </si>
  <si>
    <t>CONJ 814</t>
  </si>
  <si>
    <t>CEJEN ENGENHARIA LTDA</t>
  </si>
  <si>
    <t>CEJEN</t>
  </si>
  <si>
    <t>ANGELO MARQUETO</t>
  </si>
  <si>
    <t>CELERE GESTAO EMPRESARIAL LTDA</t>
  </si>
  <si>
    <t>MOFARREJ</t>
  </si>
  <si>
    <t>CONJ 1308/1309</t>
  </si>
  <si>
    <t>CELIBERTO LOGISTICA INTERNACIONAL LTDA</t>
  </si>
  <si>
    <t>CELIBERTO</t>
  </si>
  <si>
    <t>Comissaria de despachos</t>
  </si>
  <si>
    <t>CONJUNTO 302</t>
  </si>
  <si>
    <t>CELLENT TEC SERVICOS DE REPARACAO EM COMPUTADORES LTDA</t>
  </si>
  <si>
    <t>CELLENT TEC</t>
  </si>
  <si>
    <t>DOS MUNDURUCUS</t>
  </si>
  <si>
    <t>ANDAR 27 EDIF METROPOLITAN TOWER</t>
  </si>
  <si>
    <t>CREMACAO</t>
  </si>
  <si>
    <t>CELLIER ALIMENTOS DO BRASIL LTDA</t>
  </si>
  <si>
    <t>Fabricação de outros produtos alimentícios não especificados anteriormente</t>
  </si>
  <si>
    <t>ANTONIO ROSSI</t>
  </si>
  <si>
    <t>KM 04</t>
  </si>
  <si>
    <t>TIBURCIO</t>
  </si>
  <si>
    <t>ELIAS FAUSTO</t>
  </si>
  <si>
    <t>CELMAR COMERCIAL E IMPORTADORA LIMITADA</t>
  </si>
  <si>
    <t>CONDESSA ELIZABETH DE ROBIANO</t>
  </si>
  <si>
    <t>TATUAPE</t>
  </si>
  <si>
    <t>CELULOSE NIPO-BRASILEIRA S.A. - CENIBRA</t>
  </si>
  <si>
    <t>BR 381, KM 172</t>
  </si>
  <si>
    <t>-</t>
  </si>
  <si>
    <t>D. PERPETUO SOCORRO</t>
  </si>
  <si>
    <t>BELO ORIENTE</t>
  </si>
  <si>
    <t>CEMAQ ASSESSORIA TECNICA A PREVENCAO E COMBATE A INCENDIOS LTDA</t>
  </si>
  <si>
    <t>CEMAQ</t>
  </si>
  <si>
    <t>CONJ 713</t>
  </si>
  <si>
    <t>CEMATEL COMERCIAL ELETRICA LTDA</t>
  </si>
  <si>
    <t>CEMATEL</t>
  </si>
  <si>
    <t>JULIO BUONO</t>
  </si>
  <si>
    <t>VILA GUSTAVO</t>
  </si>
  <si>
    <t>CEMIG DISTRIBUICAO S.A</t>
  </si>
  <si>
    <t>CEMIG D</t>
  </si>
  <si>
    <t>Distribuição de energia elétrica</t>
  </si>
  <si>
    <t>ANDAR 17 ALA A1</t>
  </si>
  <si>
    <t>CENEGED - COMPANHIA ELETROMECANICA E GERENCIAMENTO DE DADOS S/A</t>
  </si>
  <si>
    <t>Medição de consumo de energia elétrica, gás e água</t>
  </si>
  <si>
    <t>RAIMUNDO MATIAS</t>
  </si>
  <si>
    <t>PEDRAS</t>
  </si>
  <si>
    <t>ITAITINGA</t>
  </si>
  <si>
    <t>CENOFISCO CENTRO DE CAPACITACAO PROFISSIONAL LTDA</t>
  </si>
  <si>
    <t>DA CONSOLACAO</t>
  </si>
  <si>
    <t>ANDAR 9 SALA 91</t>
  </si>
  <si>
    <t>CENTERMEDI-COMERCIO DE PRODUTOS HOSPITALARES LTDA</t>
  </si>
  <si>
    <t>CENTERMEDI HOSPITALAR</t>
  </si>
  <si>
    <t>BR-480</t>
  </si>
  <si>
    <t>BARAO DE COTEGIPE</t>
  </si>
  <si>
    <t>CENTERVAL COMERCIAL LTDA</t>
  </si>
  <si>
    <t>MAURO ALBERANI</t>
  </si>
  <si>
    <t>CINEP - CIDADE INDUSTRIAL E EMPRESARIAL</t>
  </si>
  <si>
    <t>SERTAOZINHO</t>
  </si>
  <si>
    <t>CENTERVAL COMERCIO IMPORTACAO E EXPORTACAO DE PECAS E EQUIPAMENTOS INDUSTRIAIS LTDA</t>
  </si>
  <si>
    <t>ABEL MENDES</t>
  </si>
  <si>
    <t>RESIDENCIAL JARDIM CENTENARIO</t>
  </si>
  <si>
    <t>ARACATUBA</t>
  </si>
  <si>
    <t>CENTRAIS ELETRICAS BRASILEIRAS SA ELETROBRAS</t>
  </si>
  <si>
    <t>ELETROBRAS</t>
  </si>
  <si>
    <t xml:space="preserve"> LOJ A</t>
  </si>
  <si>
    <t>CENTRAL DE VENDAS EM INFORMATICA LTDA</t>
  </si>
  <si>
    <t>Serviços de microfilmagem</t>
  </si>
  <si>
    <t>ARMAZEM 01</t>
  </si>
  <si>
    <t>CENTRAL UNICA DAS PERIFERIAS A VOZ. DO POVO NAO SE CALA CUPE</t>
  </si>
  <si>
    <t>CUPE</t>
  </si>
  <si>
    <t>Regulação das atividades de saúde, educação, serviços culturais e outros serviços sociais</t>
  </si>
  <si>
    <t>FRANCISCO BANELLI</t>
  </si>
  <si>
    <t>JARDIM MABEL</t>
  </si>
  <si>
    <t>CENTRALINF DIGITALIZACAO E SOLUCOES EM GED LTDA</t>
  </si>
  <si>
    <t>JARDIM BOA VISTA</t>
  </si>
  <si>
    <t>CENTRO AUTO KN LTDA</t>
  </si>
  <si>
    <t>ACUCENA</t>
  </si>
  <si>
    <t>CENTRO DAS INDUSTRIAS DO ESTADO DE SAO PAULO</t>
  </si>
  <si>
    <t>PADRE CAMARGO LACERDA</t>
  </si>
  <si>
    <t>CENTRO DE BIOLOGIA EXPERIMENTAL OCEANUS LTDA</t>
  </si>
  <si>
    <t>OCEANUS</t>
  </si>
  <si>
    <t>ARISTIDES LOBO</t>
  </si>
  <si>
    <t xml:space="preserve"> . NUM 00048</t>
  </si>
  <si>
    <t>RIO COMPRIDO</t>
  </si>
  <si>
    <t>CENTRO DE ESTAGIOS - PPM HUMAN RESOURCES LTDA</t>
  </si>
  <si>
    <t>CIA DE ESTAGIOS</t>
  </si>
  <si>
    <t>Seleção e agenciamento de mão-de-obra</t>
  </si>
  <si>
    <t>ESTELA</t>
  </si>
  <si>
    <t>CONJ 61</t>
  </si>
  <si>
    <t>CENTRO DE INTEGRACAO DE ESTUDANTES -ESTAGIOS CIN</t>
  </si>
  <si>
    <t>Atividades de apoio à educação, exceto caixas escolares</t>
  </si>
  <si>
    <t>AZEVEDO PORTUGAL</t>
  </si>
  <si>
    <t>CENTRO DE INTEGRACAO EMPRESA ESCOLA CIE E</t>
  </si>
  <si>
    <t>CENTRO DE INTEGRACAO EMPRESA-ESCOLA DO PARANA</t>
  </si>
  <si>
    <t>CIEE PR</t>
  </si>
  <si>
    <t>IVO LEAO</t>
  </si>
  <si>
    <t>ALTO DA GLORIA</t>
  </si>
  <si>
    <t>CENTRO DE MEDICINA NUCLEAR DA GUANABARA LTDA</t>
  </si>
  <si>
    <t>BUENOS AIRES</t>
  </si>
  <si>
    <t>SALA 201, 301, 701, 1501 COB. 01</t>
  </si>
  <si>
    <t>CENTRO EMPRESARIAL PROSPERAR LTDA</t>
  </si>
  <si>
    <t>INSTITUTO PROSPERAR</t>
  </si>
  <si>
    <t>PRESIDENTE VARGAS</t>
  </si>
  <si>
    <t>QUADRA44 LOTE 09 SALA 01</t>
  </si>
  <si>
    <t>JARDIM GOIAS</t>
  </si>
  <si>
    <t>RIO VERDE</t>
  </si>
  <si>
    <t>CENTRO ESTADUAL DE EDUCACAO TECNOLOGICA PAULA SOUZA</t>
  </si>
  <si>
    <t>FATEC DEPUTADO ARY FOSSEN</t>
  </si>
  <si>
    <t>Educação profissional de nível tecnológico</t>
  </si>
  <si>
    <t>UNIAO DOS FERROVIARIOS</t>
  </si>
  <si>
    <t>CENTURIAO SEGURANCA PATRIMONIAL LTDA</t>
  </si>
  <si>
    <t>CENTURION SEGURANCA E VIGILANCIA LTDA - EM RECUPERACAO JUDICIAL</t>
  </si>
  <si>
    <t>ALVARENGA</t>
  </si>
  <si>
    <t>BUTANTA</t>
  </si>
  <si>
    <t>CENTURY TECNOLOGIA DA INFORMACAO E SERVICOS LTDA</t>
  </si>
  <si>
    <t>CENTURY TECH</t>
  </si>
  <si>
    <t>Provedores de acesso às redes de comunicações</t>
  </si>
  <si>
    <t>JOSE PERMINIO DA SILVA</t>
  </si>
  <si>
    <t>GALPAO07 E 08</t>
  </si>
  <si>
    <t>CENUT DISTRIBUIDORA DE PRODUTOS ALIMENTICIOS DE SAUDE LTDA</t>
  </si>
  <si>
    <t>Comércio atacadista especializado em outros produtos alimentícios não especificados anteriormente</t>
  </si>
  <si>
    <t>BA 526</t>
  </si>
  <si>
    <t xml:space="preserve"> 1 ANDAR GALPAO09</t>
  </si>
  <si>
    <t>CASSANGE</t>
  </si>
  <si>
    <t>CEP SERVICOS E PROJETOS LTDA</t>
  </si>
  <si>
    <t>ADALBERTO SIMAO NADER</t>
  </si>
  <si>
    <t>SALA: 201; EDIF: CONCORDE;</t>
  </si>
  <si>
    <t>MATA DA PRAIA</t>
  </si>
  <si>
    <t>CEPALAB LABORATORIOS S.A</t>
  </si>
  <si>
    <t>CEPALAB</t>
  </si>
  <si>
    <t>CHACARAS R.SAO VICENTE</t>
  </si>
  <si>
    <t>SAO JOSE DA LAPA</t>
  </si>
  <si>
    <t>CERTA MEDICAMENTOS COMERCIAL LTDA</t>
  </si>
  <si>
    <t>CERTA MEDICAMENTOS</t>
  </si>
  <si>
    <t>GROSSOS</t>
  </si>
  <si>
    <t>LOTE LOTE 06 QUADRA K</t>
  </si>
  <si>
    <t>LAGOA NOVA</t>
  </si>
  <si>
    <t>CERVEJARIAS KAISER BRASIL LTDA</t>
  </si>
  <si>
    <t>CERVEJARIAS KAISER BRASIL</t>
  </si>
  <si>
    <t>PRESIDENTE HUMBERTO DE ALENCAR CASTELO BRANCO</t>
  </si>
  <si>
    <t>ANEXO PARTE</t>
  </si>
  <si>
    <t>CESAR &amp; ROCHA COMERCIO DE PRODUTOS AGROPECUARIOS LTDA</t>
  </si>
  <si>
    <t>Comércio varejista de medicamentos veterinários</t>
  </si>
  <si>
    <t>DR. RICARDO JAFET</t>
  </si>
  <si>
    <t>CESP - COMPANHIA ENERGETICA DE SAO PAULO</t>
  </si>
  <si>
    <t>ANDAR 2 SALA 5</t>
  </si>
  <si>
    <t>CETENCO ENGENHARIA S A</t>
  </si>
  <si>
    <t>CETENCO</t>
  </si>
  <si>
    <t>MARIA PAULA</t>
  </si>
  <si>
    <t>8 ANDAR</t>
  </si>
  <si>
    <t>CETESB COMPANHIA AMBIENTAL DO ESTADO DE SAO PAULO</t>
  </si>
  <si>
    <t>PROF FREDERICO HERMA JR</t>
  </si>
  <si>
    <t>CETIL INFORMATICA S/A</t>
  </si>
  <si>
    <t>PASTOR STUTZER</t>
  </si>
  <si>
    <t>SALA 1301 EDIF CONNECT OFFICE</t>
  </si>
  <si>
    <t>JARDIM BLUMENAU</t>
  </si>
  <si>
    <t>CETREL S.A.</t>
  </si>
  <si>
    <t>CETREL</t>
  </si>
  <si>
    <t>Atividades relacionadas a esgoto, exceto a gestão de redes</t>
  </si>
  <si>
    <t>BA 530 VIA CETREL VIA ATLANTICA</t>
  </si>
  <si>
    <t>CF &amp; CO LTDA</t>
  </si>
  <si>
    <t>CF &amp; CO</t>
  </si>
  <si>
    <t>AVENIDA GOVERNADOR ADOLFO KONDER</t>
  </si>
  <si>
    <t>BLOCO 01 ARMZ 01 02 03 E 04 PREDIO ADMINISTRATIVO</t>
  </si>
  <si>
    <t>CG RIO SERVICOS DE INFORMATICA LTDA</t>
  </si>
  <si>
    <t>DOUTORA JOSEFINA GASPARIAN</t>
  </si>
  <si>
    <t>SALA 15</t>
  </si>
  <si>
    <t>COMENDADOR LEVY GASPARIAN</t>
  </si>
  <si>
    <t>CHAMAS COMERCIO DE EQUIPAMENTOS DE COMBATE A INCENDIO LTDA</t>
  </si>
  <si>
    <t>CHAMAS</t>
  </si>
  <si>
    <t>HENRIQUE MOSCOSO</t>
  </si>
  <si>
    <t>CENTRO DE VILA VELHA</t>
  </si>
  <si>
    <t>VILA VELHA</t>
  </si>
  <si>
    <t>CHAMIX CONCRETOS LTDA</t>
  </si>
  <si>
    <t>CHAMIX CONCRETOS</t>
  </si>
  <si>
    <t>DAGOBERTO NOGUEIRA</t>
  </si>
  <si>
    <t xml:space="preserve"> SALA 503</t>
  </si>
  <si>
    <t>CHAMPION FARMOQUIMICO LTDA</t>
  </si>
  <si>
    <t>CHAMPION SAUDE ANIMAL</t>
  </si>
  <si>
    <t>DIOMICIO DE FREITAS</t>
  </si>
  <si>
    <t>LOTE 12</t>
  </si>
  <si>
    <t>CHB LOCACOES, SERVICOS E COMERCIO LTDA</t>
  </si>
  <si>
    <t>CERTA</t>
  </si>
  <si>
    <t>JARDIM DORALY</t>
  </si>
  <si>
    <t>CHESTERTON DO BRASIL LTDA</t>
  </si>
  <si>
    <t>MOINHO FABRINI</t>
  </si>
  <si>
    <t>CHIESI FARMACEUTICA LTDA</t>
  </si>
  <si>
    <t>DOUTOR GIACOMO CHIESI</t>
  </si>
  <si>
    <t>KM 39 2 ESTR. ROMEIROS</t>
  </si>
  <si>
    <t>VOTUPARIM</t>
  </si>
  <si>
    <t>CHIM MATERIAIS DE CONSTRUCAO LTDA</t>
  </si>
  <si>
    <t>INACIO MOTA</t>
  </si>
  <si>
    <t>SEGUNDO DISTRITO</t>
  </si>
  <si>
    <t>PELOTAS</t>
  </si>
  <si>
    <t>CHINT (BRASIL) LTDA</t>
  </si>
  <si>
    <t>Representantes comerciais e agentes do comércio de mercadorias em geral não especializado</t>
  </si>
  <si>
    <t>CONJ 1004</t>
  </si>
  <si>
    <t>CHLORUM SOLUTIONS BRASIL LTDA.</t>
  </si>
  <si>
    <t>MOURATO COELHO</t>
  </si>
  <si>
    <t>CONJ 33</t>
  </si>
  <si>
    <t>CHROME TECNOLOGIA INDUSTRIA COMERCIO IMPORTACAO EXPORTACAO LTDA</t>
  </si>
  <si>
    <t>CHROME TECNOLOGIA</t>
  </si>
  <si>
    <t>ARACRUZ</t>
  </si>
  <si>
    <t>PARQUE DOS NOVOS ESTADOS</t>
  </si>
  <si>
    <t>CHT BRASIL QUIMICA LTDA</t>
  </si>
  <si>
    <t>JORDANO MENDES</t>
  </si>
  <si>
    <t>CIA DE FIACAO E TECIDOS CEDRO E CACHOEIRA</t>
  </si>
  <si>
    <t>PARAIBA</t>
  </si>
  <si>
    <t>CIA DE INVESTIMENTOS SLAVIERO</t>
  </si>
  <si>
    <t>PRESIDENTE KENNEDY</t>
  </si>
  <si>
    <t>PORTAO</t>
  </si>
  <si>
    <t>CIA. SANEAMENTO DE JUNDIAI</t>
  </si>
  <si>
    <t>MUNICIPAL DO VARJAO</t>
  </si>
  <si>
    <t>JARDIM NOVO HORIZONTE</t>
  </si>
  <si>
    <t>CIAGRAF INDUSTRIA GRAFICA LTDA</t>
  </si>
  <si>
    <t>Serviços de pré-impressão</t>
  </si>
  <si>
    <t>CIAMED - DISTRIBUIDORA DE MEDICAMENTOS LTDA.</t>
  </si>
  <si>
    <t>CIASAUDE COMERCIO, REPRESENTACOES E SERVICOS LTDA</t>
  </si>
  <si>
    <t>CIA SAUDE PRODUTOS DIAGNOSTICOS E HOSPITALARES</t>
  </si>
  <si>
    <t>PRINCIPAL (VAL PARAISO)</t>
  </si>
  <si>
    <t>CALHAU</t>
  </si>
  <si>
    <t>CIASERV VIGILANCIA LTDA</t>
  </si>
  <si>
    <t>JARDIM ITAMARATY</t>
  </si>
  <si>
    <t>CIBAM ENGENHARIA LTDA</t>
  </si>
  <si>
    <t>CIBAM</t>
  </si>
  <si>
    <t>MARTINS PENA</t>
  </si>
  <si>
    <t>GARAGER DR ELOY CHAVES 503</t>
  </si>
  <si>
    <t>PONTE DE SAO JOAO</t>
  </si>
  <si>
    <t>CIDADE VERDE TRANSPORTE RODOVIARIO LTDA</t>
  </si>
  <si>
    <t>CIDADE VERDE TRANSPORTE</t>
  </si>
  <si>
    <t>Transporte rodoviário coletivo de passageiros, com itinerário fixo, intermunicipal em região metropolitana</t>
  </si>
  <si>
    <t>CARACAS</t>
  </si>
  <si>
    <t>JD CASTELO</t>
  </si>
  <si>
    <t>CIDE- CENTRO DE INCUBACAO E DESENVOLVIMENTO EMPRESARIAL</t>
  </si>
  <si>
    <t>CIDE</t>
  </si>
  <si>
    <t>RODRIGO OTAVIO</t>
  </si>
  <si>
    <t>CRESPO</t>
  </si>
  <si>
    <t>CIELO S.A - INSTITUICAO DE PAGAMENTO</t>
  </si>
  <si>
    <t>ANDAR 21 AO 25</t>
  </si>
  <si>
    <t>CIMED INDUSTRIA S.A.</t>
  </si>
  <si>
    <t>ANDAR 6 CONJ 61</t>
  </si>
  <si>
    <t>CIMEMPRIMO DISTRIBUIDORA DE MATERIAIS DE CONSTRUCAO LTDA</t>
  </si>
  <si>
    <t>Comércio atacadista de cimento</t>
  </si>
  <si>
    <t>AFONSO DE SAMPAIO E SOUSA</t>
  </si>
  <si>
    <t>CIMFLEX-INDUSTRIA E COMERCIO DE PLASTICOS LTDA</t>
  </si>
  <si>
    <t>CIMFLEX</t>
  </si>
  <si>
    <t>CINTIA PINHEIRO DE LIMA CALDEIRA</t>
  </si>
  <si>
    <t>A. R. SANEAMENTO E MATERIAIS HIDRAULICOS</t>
  </si>
  <si>
    <t>DO RIO ACIMA</t>
  </si>
  <si>
    <t>CONJ CH. J. STA. FILOMENA</t>
  </si>
  <si>
    <t>CIPA-INDUSTRIAL DE PRODUTOS ALIMENTARES LTDA</t>
  </si>
  <si>
    <t>BOLACHAS MABEL</t>
  </si>
  <si>
    <t>Fabricação de biscoitos e bolachas</t>
  </si>
  <si>
    <t>BR-153</t>
  </si>
  <si>
    <t>QUADRAAREA LOTE 00B4</t>
  </si>
  <si>
    <t>JARDIM PARAISO</t>
  </si>
  <si>
    <t>CIRION TECHNOLOGIES DO BRASIL LTDA</t>
  </si>
  <si>
    <t>EID MANSUR</t>
  </si>
  <si>
    <t>TERREO.</t>
  </si>
  <si>
    <t>PARQUE SAO GEORGE</t>
  </si>
  <si>
    <t>CIRURGICA CERON IMPORTADORA E EXPORTADORA DE EQUIPAMENTOS HOSPITALARES E VETERINARIOS LTDA</t>
  </si>
  <si>
    <t>CIRURGICAS CERON</t>
  </si>
  <si>
    <t>ALBERTO LAUREANO HENRICH</t>
  </si>
  <si>
    <t xml:space="preserve"> FRENTE</t>
  </si>
  <si>
    <t>PASSA VINTE</t>
  </si>
  <si>
    <t>CIRURGICA CURITIBA COMERCIO DE PRODUTOS MEDICOS LTDA</t>
  </si>
  <si>
    <t>CIRURGICA CURITIBA</t>
  </si>
  <si>
    <t>JERONIMO ALBERTI</t>
  </si>
  <si>
    <t>ROCA GRANDE</t>
  </si>
  <si>
    <t>COLOMBO</t>
  </si>
  <si>
    <t>CIRURGICA FERNANDES - COMERCIO DE MATERIAIS CIRURGICOS E HOSPITALARES - SOCIEDADE LIMITADA</t>
  </si>
  <si>
    <t>CIRURGICA FERNANDES</t>
  </si>
  <si>
    <t>AFRICA</t>
  </si>
  <si>
    <t>LOTE Y</t>
  </si>
  <si>
    <t>CIRURGICA GERVASIO LTDA</t>
  </si>
  <si>
    <t>PAULO PAPINI</t>
  </si>
  <si>
    <t>PARAISO</t>
  </si>
  <si>
    <t>CIRURGICA JARDIM PRODUTOS HOSPITALARES LTDA</t>
  </si>
  <si>
    <t>CIRURGICA MEDICAL JARDIM</t>
  </si>
  <si>
    <t>DOM PEDRO II</t>
  </si>
  <si>
    <t>CIRURGICA LAJEADENSE LTDA</t>
  </si>
  <si>
    <t>CIRURGICA LAJEADENSE</t>
  </si>
  <si>
    <t>GENERAL FLORES DA CUNHA</t>
  </si>
  <si>
    <t xml:space="preserve"> DEPOSITO</t>
  </si>
  <si>
    <t>FLORESTAL</t>
  </si>
  <si>
    <t>LAJEADO</t>
  </si>
  <si>
    <t>CIRURGICA ONIX LTDA</t>
  </si>
  <si>
    <t>TOVACU</t>
  </si>
  <si>
    <t>LOTE 54</t>
  </si>
  <si>
    <t>VILA TRIANGULO</t>
  </si>
  <si>
    <t>ARAPONGAS</t>
  </si>
  <si>
    <t>CIRURGICA PIRASSUNUNGA LTDA</t>
  </si>
  <si>
    <t>CIRURGICA PIRASSUNUNGA</t>
  </si>
  <si>
    <t>PADRE FELIPE</t>
  </si>
  <si>
    <t>CIRURGICA UNIAO LTDA</t>
  </si>
  <si>
    <t>JARDIM SAO PAULO</t>
  </si>
  <si>
    <t>CISABRASILE LTDA.</t>
  </si>
  <si>
    <t>DONA FRANCISCA</t>
  </si>
  <si>
    <t>BLOCO I MODULOS 1,2 E 3</t>
  </si>
  <si>
    <t>CISCO DO BRASIL LTDA</t>
  </si>
  <si>
    <t>ANDAR 18 EDIF TORRE OESTE</t>
  </si>
  <si>
    <t>CITOL INDUSTRIA DE TRATAMENTO DE OLEO S.A.</t>
  </si>
  <si>
    <t>CITOL</t>
  </si>
  <si>
    <t>SP 340 PISTA NORTE</t>
  </si>
  <si>
    <t>KM 142 E 200M</t>
  </si>
  <si>
    <t>SANTO ANTONIO DE POSSE</t>
  </si>
  <si>
    <t>CITOPHARMA MANIPULACAO DE MEDICAMENTOS ESPECIAIS LTDA</t>
  </si>
  <si>
    <t>CITOPHARMA MANIPULACAO DE MEDICAMENTOS ESPECIAIS</t>
  </si>
  <si>
    <t>Atividades de profissionais da área de saúde não especificadas anteriormente</t>
  </si>
  <si>
    <t>PADRE ROLIM</t>
  </si>
  <si>
    <t>SANTA EFIGENIA</t>
  </si>
  <si>
    <t>CITROSUCO S/A AGROINDUSTRIA</t>
  </si>
  <si>
    <t>FABRICA MATAO MATRIZ</t>
  </si>
  <si>
    <t>Fabricação de sucos concentrados de frutas, hortaliças e legumes</t>
  </si>
  <si>
    <t>RUA JOAO PESSOA</t>
  </si>
  <si>
    <t>CITY SERVICE SEGURANCA LTDA EM RECUPERACAO JUDICIAL</t>
  </si>
  <si>
    <t>SCIA QD 08 CONJUNTO 12 LOTE</t>
  </si>
  <si>
    <t>SCIA</t>
  </si>
  <si>
    <t>CJF DE VIGILANCIA LTDA</t>
  </si>
  <si>
    <t>AIROSA GALVAO</t>
  </si>
  <si>
    <t>CL COMERCIO DE MATERIAIS MEDICOS HOSPITALARES LTDA</t>
  </si>
  <si>
    <t>CL SAUDE</t>
  </si>
  <si>
    <t>Comércio atacadista de produtos alimentícios em geral</t>
  </si>
  <si>
    <t>SILVEIRA LOBO</t>
  </si>
  <si>
    <t>POCO</t>
  </si>
  <si>
    <t>CLARIANT BRASIL LTDA.</t>
  </si>
  <si>
    <t>Fabricação de produtos químicos orgânicos não especificados anteriormente</t>
  </si>
  <si>
    <t>CONJ 231 232 233 234 ANDAR 23 E 24 BLOCO B COND 17007 NACOES</t>
  </si>
  <si>
    <t>CLARKE MODET PROPRIEDADE INTELECTUAL LTDA</t>
  </si>
  <si>
    <t>Gestão de ativos intangíveis não-financeiros</t>
  </si>
  <si>
    <t xml:space="preserve"> SAL 1SAL 1401 SET 1 SAL 1402 SET 1 ENTRADA SUPLEMENTAR RUA DO PASSEIO 38/40</t>
  </si>
  <si>
    <t>CLARO S.A.</t>
  </si>
  <si>
    <t>CLARO</t>
  </si>
  <si>
    <t>Telefonia móvel celular</t>
  </si>
  <si>
    <t>HENRI DUNANT</t>
  </si>
  <si>
    <t xml:space="preserve"> TORRE A E TORRE B</t>
  </si>
  <si>
    <t>CLAUDINEI LIMA 17185908817</t>
  </si>
  <si>
    <t>Atividades de limpeza não especificadas anteriormente</t>
  </si>
  <si>
    <t>GILDO BONATTO</t>
  </si>
  <si>
    <t>JARDIM PLANALTO</t>
  </si>
  <si>
    <t>CLAW COMERCIAL IMPORTADORA E EXPORTADORA LTDA</t>
  </si>
  <si>
    <t>LENO NICOLUZZI</t>
  </si>
  <si>
    <t>CLD CONSTRUTORA, LACOS DETETORES E ELETRONICA LTDA.</t>
  </si>
  <si>
    <t>IMPERATRIZ LEOPOLDINA</t>
  </si>
  <si>
    <t>ANEXO UTILIZACAO TOTAL</t>
  </si>
  <si>
    <t>NOVA PETROPOLIS</t>
  </si>
  <si>
    <t>CLEAN MATIC LIMPEZA INDUSTRIAL LTDA</t>
  </si>
  <si>
    <t>LOURENCO DE SOUZA FRANCO</t>
  </si>
  <si>
    <t>JUNDIAPEBA</t>
  </si>
  <si>
    <t>CLEAN MEDICAL COMERCIO E LOCACAO DE EQUIPAMENTOS HOSPITALARES S.A.</t>
  </si>
  <si>
    <t>Aluguel de equipamentos científicos, médicos e hospitalares, sem operador</t>
  </si>
  <si>
    <t>ADELINO DA FONTOURA</t>
  </si>
  <si>
    <t>ANEXO 551</t>
  </si>
  <si>
    <t>JARDIM JABAQUARA</t>
  </si>
  <si>
    <t>CLEAN4 SERVICOS GERAIS E ADMINISTRATIVOS LTDA</t>
  </si>
  <si>
    <t>IPANEMA</t>
  </si>
  <si>
    <t>CLEAR CLEAN FRANCHISING E SERVICOS LTDA</t>
  </si>
  <si>
    <t>CLEAR CLEAN</t>
  </si>
  <si>
    <t>SLJ 0</t>
  </si>
  <si>
    <t>VILA SAO JOSE</t>
  </si>
  <si>
    <t>CLEAR SALE S.A.</t>
  </si>
  <si>
    <t>ANDAR 3 TORRE JACARANDA CONJ 301 E 302</t>
  </si>
  <si>
    <t>CLELIA COUTINHO DE CARVALHO 68818696734</t>
  </si>
  <si>
    <t>CLENEX COMERCIO E SERVICOS LTDA</t>
  </si>
  <si>
    <t>CLENEX COMERCIO E SERVICOS</t>
  </si>
  <si>
    <t>DOUTORA ANNEYDE DA ROCHA ESTEVES</t>
  </si>
  <si>
    <t>VILA ELIAS NIGRI</t>
  </si>
  <si>
    <t>CLEVER TECNOLOGIA EM ELASTOMEROS LTDA</t>
  </si>
  <si>
    <t>10 DE SETEMBRO</t>
  </si>
  <si>
    <t>CHARQUEADA</t>
  </si>
  <si>
    <t>CLICK DATA BRASIL INFORMATICA EIRELI</t>
  </si>
  <si>
    <t>CLICK DATA BRASIL</t>
  </si>
  <si>
    <t>PAES LEME</t>
  </si>
  <si>
    <t>JORDANOPOLIS</t>
  </si>
  <si>
    <t>CLINICA RADIOLOGICA CARIDADE LTDA</t>
  </si>
  <si>
    <t>DIX DIAGNOSTICO POR IMAGEM</t>
  </si>
  <si>
    <t>CLM CONTROLLER GESTAO CONTABIL LTDA</t>
  </si>
  <si>
    <t>CLM CONTROLLER</t>
  </si>
  <si>
    <t>JOAO ANES</t>
  </si>
  <si>
    <t>ALTO DA LAPA</t>
  </si>
  <si>
    <t>CLUBE ATLETICO MINEIRO</t>
  </si>
  <si>
    <t>GALO</t>
  </si>
  <si>
    <t>Clubes sociais, esportivos e similares</t>
  </si>
  <si>
    <t>OLEGARIO MACIEL</t>
  </si>
  <si>
    <t>LOURDES</t>
  </si>
  <si>
    <t>CM PFS HOSPITALAR S.A.</t>
  </si>
  <si>
    <t>JOSE GUERRA</t>
  </si>
  <si>
    <t>ANDAR 1 SALA B</t>
  </si>
  <si>
    <t>CMA FERREIRA ARTE E CULTURA</t>
  </si>
  <si>
    <t>NUCLEO DE ARTES E CULTURA ANJOS AO RESGATE</t>
  </si>
  <si>
    <t>Gestão de espaços para artes cênicas, espetáculos e outras atividades artísticas</t>
  </si>
  <si>
    <t>JOSE DIAS DE CASTRO</t>
  </si>
  <si>
    <t>TERREOTERREO</t>
  </si>
  <si>
    <t>CME COMERCIAL MATERIAL ELETRICO LTDA</t>
  </si>
  <si>
    <t>CME ELETRICA</t>
  </si>
  <si>
    <t>SILVA ALVARENGA</t>
  </si>
  <si>
    <t>LOJA 02</t>
  </si>
  <si>
    <t>CMOS DRAKE S.A</t>
  </si>
  <si>
    <t>CMOS DRAKE</t>
  </si>
  <si>
    <t>CNH INDUSTRIAL BRASIL LTDA.</t>
  </si>
  <si>
    <t>FAB CURITIBA</t>
  </si>
  <si>
    <t>JUSCELINO KUBITSCHEK DE OLIVEIRA</t>
  </si>
  <si>
    <t>SALA CNH</t>
  </si>
  <si>
    <t>COBRA ROLAMENTOS E AUTOPECAS S.A.</t>
  </si>
  <si>
    <t>JUPI</t>
  </si>
  <si>
    <t>COCA COLA INDUSTRIAS LTDA</t>
  </si>
  <si>
    <t>DE BOTAFOGO</t>
  </si>
  <si>
    <t>ANDAR 12 PARTE</t>
  </si>
  <si>
    <t>BOTAFOGO</t>
  </si>
  <si>
    <t>COCAMAR COOPERATIVA AGROINDUSTRIAL</t>
  </si>
  <si>
    <t>COCAMAR SEDE</t>
  </si>
  <si>
    <t>Cooperativa</t>
  </si>
  <si>
    <t>OSWALDO DE MORAES CORREA</t>
  </si>
  <si>
    <t>COFEL MAQUINAS E EQUIPAMENTOS LTDA</t>
  </si>
  <si>
    <t>ANTONIO DE BARROS</t>
  </si>
  <si>
    <t>COFEMA ATACADISTA LTDA.</t>
  </si>
  <si>
    <t>COFEMA ATACADISTA</t>
  </si>
  <si>
    <t>ARICANDUVA</t>
  </si>
  <si>
    <t>VILA ARICANDUVA</t>
  </si>
  <si>
    <t>COIMMA COM IND DE MAD MET SAO CRISTOVAO LTDA</t>
  </si>
  <si>
    <t>COIMMA</t>
  </si>
  <si>
    <t>JOSE DANCIERI</t>
  </si>
  <si>
    <t>BAIRRO DAS PALMEIRAS</t>
  </si>
  <si>
    <t>DRACENA</t>
  </si>
  <si>
    <t>COLABORE - SERVICOS DE VIGILANCIA ARMADA LTDA</t>
  </si>
  <si>
    <t>COLABORE VIGILANCIA</t>
  </si>
  <si>
    <t>PAMPLONA</t>
  </si>
  <si>
    <t>CONJUNTO LAGOA</t>
  </si>
  <si>
    <t>COLABORE ADMINISTRACAO &amp; SERVICOS LTDA</t>
  </si>
  <si>
    <t>COLD CHAIN TECHNOLOGIES, LLC</t>
  </si>
  <si>
    <t>COLD CHAIN TECH</t>
  </si>
  <si>
    <t>CONSTITUITION BLVS FRANKLIN</t>
  </si>
  <si>
    <t>FRANKLIN</t>
  </si>
  <si>
    <t>COLGATE-PALMOLIVE COMERCIAL LTDA.</t>
  </si>
  <si>
    <t>COLLABMO DIGITAL INNOVATION HUB LTDA</t>
  </si>
  <si>
    <t>COLOPLAST DO BRASIL LTDA</t>
  </si>
  <si>
    <t>LUIS CORREIA DE MELO</t>
  </si>
  <si>
    <t>CONJ 142</t>
  </si>
  <si>
    <t>COLOR QUIMICA DO BRASIL IMPORTACAO E EXPORTACAO S.A</t>
  </si>
  <si>
    <t>COLOR QUIMICA DO BRASIL</t>
  </si>
  <si>
    <t>VIDAL FLAVIO DIAS</t>
  </si>
  <si>
    <t>GALPAO02 GALPAO03 GALPAO04 GALPAO05 GALPAO06</t>
  </si>
  <si>
    <t>BELCHIOR BAIXO</t>
  </si>
  <si>
    <t>COLOR-DAQUE DO BRASIL REPRESENTACOES COMERCIAIS, CONSULTORIA E COMERCIO DE PAPELARIA LTDA</t>
  </si>
  <si>
    <t>ANTONIO GONCALVES DA CRUZ</t>
  </si>
  <si>
    <t>APT 94 BLOCO B</t>
  </si>
  <si>
    <t>VILA ANGLO BRASILEIRA</t>
  </si>
  <si>
    <t>COLUMBIA COMERCIAL DE EQUIPAMENTOS LTDA</t>
  </si>
  <si>
    <t>COLUMBIA EQUIPAMENTOS</t>
  </si>
  <si>
    <t>GOVERNADOR JORGE LACERDA</t>
  </si>
  <si>
    <t>SLJ 01 BLOCO MIKAMI VIII CJ RES</t>
  </si>
  <si>
    <t>GUABIROTUBA</t>
  </si>
  <si>
    <t>COMAGRAN CORUMBA MAQUINAS E EQUIPAMENTOS IND LTDA</t>
  </si>
  <si>
    <t>PORTO CARREIRO</t>
  </si>
  <si>
    <t>AEROPORTO</t>
  </si>
  <si>
    <t>CORUMBA</t>
  </si>
  <si>
    <t>COMALTA COMERCIO DE ALIMENTOS LTDA</t>
  </si>
  <si>
    <t>COMALTA</t>
  </si>
  <si>
    <t>COMANDANTE VERGUEIRO DA CRUZ</t>
  </si>
  <si>
    <t>OLARIA</t>
  </si>
  <si>
    <t>COMANDO DA MARINHA</t>
  </si>
  <si>
    <t>GABINETE DO COMANDANTE DA MARINHA</t>
  </si>
  <si>
    <t>Órgão Público do Poder Executivo Federal</t>
  </si>
  <si>
    <t>Defesa</t>
  </si>
  <si>
    <t>DOS MINISTERIOS BLOCO N</t>
  </si>
  <si>
    <t xml:space="preserve"> 2 E 3 ANDAR</t>
  </si>
  <si>
    <t>ZONA CIVICO- ADMINISTRATIVA</t>
  </si>
  <si>
    <t>COMAP CONSULTORIA, MARKETING E PLANEJAMENTO LTDA</t>
  </si>
  <si>
    <t>SALA 111</t>
  </si>
  <si>
    <t>COMDADOS COMERCIO E SERVICOS ELETRONICOS LTDA.</t>
  </si>
  <si>
    <t>GALPAO0011</t>
  </si>
  <si>
    <t>COMERC ENERGIA LTDA.</t>
  </si>
  <si>
    <t>PRESIDENTE JUSCELINO KUBITSCHEK 1909</t>
  </si>
  <si>
    <t>ANDAR 21 CONJ 211 SALA 01 TORRE NORTE</t>
  </si>
  <si>
    <t>COMERCIAL 2JM COMERCIO DE PRODUTOS ALIMENTICIOS, ESCRITORIO E VARIEDADES LTDA</t>
  </si>
  <si>
    <t>2JM COMERCIO VAREJISTA LTDA</t>
  </si>
  <si>
    <t>B</t>
  </si>
  <si>
    <t>QUADRAB LOTE 10</t>
  </si>
  <si>
    <t>ANTARES</t>
  </si>
  <si>
    <t>COMERCIAL 3 ALBE LTDA</t>
  </si>
  <si>
    <t>JACOBUS BALDI</t>
  </si>
  <si>
    <t>ANEXO 707 711</t>
  </si>
  <si>
    <t>JARDIM IRACEMA</t>
  </si>
  <si>
    <t>COMERCIAL AMERICO LTDA</t>
  </si>
  <si>
    <t>CASA AMERICO</t>
  </si>
  <si>
    <t>Comércio varejista de tecidos</t>
  </si>
  <si>
    <t>SILVIANO BRANDAO</t>
  </si>
  <si>
    <t>FORMIGA</t>
  </si>
  <si>
    <t>COMERCIAL ARAUJO DISTRIBUICAO DE PRODUTOS E EQUIPAMENTOS LTDA</t>
  </si>
  <si>
    <t>COMERCIAL ARAUJO</t>
  </si>
  <si>
    <t>CENTRAL</t>
  </si>
  <si>
    <t>BLOCO 1645 LOTE 08 LOJA 01</t>
  </si>
  <si>
    <t>COMERCIAL AUTOMOTIVA S.A.</t>
  </si>
  <si>
    <t>DPASCHOAL</t>
  </si>
  <si>
    <t>ANTON VON ZUBEN</t>
  </si>
  <si>
    <t>COMERCIAL BARROS GV LTDA</t>
  </si>
  <si>
    <t>COMERCIAL BARROS</t>
  </si>
  <si>
    <t>MONTE BRANCO</t>
  </si>
  <si>
    <t>GALPAOGALPAO</t>
  </si>
  <si>
    <t>VILA DOS MONTES</t>
  </si>
  <si>
    <t>COMERCIAL BRASIL DISTRIBUIDORA DE EQUIPAMENTOS DE INFORMATICA LTDA</t>
  </si>
  <si>
    <t>COMERCIAL BRASIL</t>
  </si>
  <si>
    <t>RIO GRANDE DO SUL</t>
  </si>
  <si>
    <t>GALPAOC</t>
  </si>
  <si>
    <t>JOQUEI CLUBE</t>
  </si>
  <si>
    <t>COMERCIAL CAMPOS COMERCIO DE UNIFORMES EM GERAL LTDA</t>
  </si>
  <si>
    <t>COMERCIAL CAMPOS</t>
  </si>
  <si>
    <t>Comércio atacadista de tecidos</t>
  </si>
  <si>
    <t>PARADA PINTO</t>
  </si>
  <si>
    <t>VILA NOVA CACHOEIRINHA</t>
  </si>
  <si>
    <t>COMERCIAL DE BEBIDAS GRANDE MIX LTDA</t>
  </si>
  <si>
    <t>BEBIDAS MORELLI</t>
  </si>
  <si>
    <t>Comércio atacadista de cerveja, chope e refrigerante</t>
  </si>
  <si>
    <t>PAPA JOAO XXIII</t>
  </si>
  <si>
    <t>VILA NOEMIA</t>
  </si>
  <si>
    <t>COMERCIAL DENK LTDA</t>
  </si>
  <si>
    <t>VILA ASSIS BRASIL</t>
  </si>
  <si>
    <t>COMERCIAL E CONSTRUTORA FENIX LTDA</t>
  </si>
  <si>
    <t>CONSTRUFENIX</t>
  </si>
  <si>
    <t>Obras de terraplenagem</t>
  </si>
  <si>
    <t>GUADALAJARA</t>
  </si>
  <si>
    <t>SALA 07</t>
  </si>
  <si>
    <t>REGIAO CENTRAL</t>
  </si>
  <si>
    <t>COMERCIAL ELETRICA P.J.LTDA</t>
  </si>
  <si>
    <t>MERGENTHALER</t>
  </si>
  <si>
    <t>COMERCIAL LUX CLEAN LTDA</t>
  </si>
  <si>
    <t>ANEZIO RUIVO</t>
  </si>
  <si>
    <t>ANEXO 599</t>
  </si>
  <si>
    <t>JARDIM BONSUCESSO</t>
  </si>
  <si>
    <t>COMERCIAL MARINHO E DISTRIBUIDORA LTDA</t>
  </si>
  <si>
    <t>COMERCIAL MARINHO</t>
  </si>
  <si>
    <t>COMERCIAL SANTO ANTONIO LTDA</t>
  </si>
  <si>
    <t>SANTANTONIO MATERIAL DE CONSTRUCAO</t>
  </si>
  <si>
    <t>MARECHAL CASTELO BRANCO</t>
  </si>
  <si>
    <t>SCHROEDER</t>
  </si>
  <si>
    <t>COMERCIAL SIMPAL LTDA</t>
  </si>
  <si>
    <t>ALM DIAS FERNANDES</t>
  </si>
  <si>
    <t>C</t>
  </si>
  <si>
    <t>PRAZERES</t>
  </si>
  <si>
    <t>COMERCIAL TAQUARUSSU LTDA</t>
  </si>
  <si>
    <t>COMERCIAL TAQUARUSSU</t>
  </si>
  <si>
    <t>SOTERO JOSE DO BONFIM</t>
  </si>
  <si>
    <t>JARDIM MARIA EUGENIA</t>
  </si>
  <si>
    <t>COMERCIAL TOP MIX LTDA</t>
  </si>
  <si>
    <t>TOP MIX</t>
  </si>
  <si>
    <t>Restaurantes e similares</t>
  </si>
  <si>
    <t>SALVIANO JOSE DA SILVA</t>
  </si>
  <si>
    <t>COMERCIAL UNIVERSO TOTAL IMPORTACAO E EXPORTACAO LTDA</t>
  </si>
  <si>
    <t>PRATES - COREIA</t>
  </si>
  <si>
    <t>BOM RETIRO</t>
  </si>
  <si>
    <t>COMERCIAL VALFARMA LTDA</t>
  </si>
  <si>
    <t>HERBENE</t>
  </si>
  <si>
    <t>LOTE 1216 A Q 40-A</t>
  </si>
  <si>
    <t>MESSEJANA</t>
  </si>
  <si>
    <t>COMERCIO DE COMBUSTIVEL A. F. C. LTDA</t>
  </si>
  <si>
    <t>REDE ESTORIL</t>
  </si>
  <si>
    <t>ANHANGUERA, KM 437 + 880,75 METROS</t>
  </si>
  <si>
    <t>VILA ELZA</t>
  </si>
  <si>
    <t>ARAMINA</t>
  </si>
  <si>
    <t>COMERCIO DE MATERIAIS MEDICOS HOSPITALARES MACROSUL LTDA</t>
  </si>
  <si>
    <t>JULIO BARTOLOMEU TABORDA LUIZ</t>
  </si>
  <si>
    <t>COMERCIO DE MEDICAMENTOS BRAIR LTDA</t>
  </si>
  <si>
    <t>SAO JOAO FARMACIAS</t>
  </si>
  <si>
    <t>Comércio varejista de produtos farmacêuticos, com manipulação de fórmulas</t>
  </si>
  <si>
    <t>BRASIL OESTE</t>
  </si>
  <si>
    <t>PASSO FUNDO</t>
  </si>
  <si>
    <t>COMERCIO DE PESCADOS VILLA IMPORTACAO E EXPORTACAO LTDA</t>
  </si>
  <si>
    <t>Preservação de peixes, crustáceos e moluscos</t>
  </si>
  <si>
    <t>JOAO EBOLI</t>
  </si>
  <si>
    <t>VILA NOVA</t>
  </si>
  <si>
    <t>COMERCIO, MANUTENCAO E LOCACAO DE MAQUINAS SCHIMIDT LTDA</t>
  </si>
  <si>
    <t>PROFESSOR JOSE BARRETO</t>
  </si>
  <si>
    <t>JARDIM DINORAH</t>
  </si>
  <si>
    <t>COMIL ONIBUS S.A.</t>
  </si>
  <si>
    <t>COMIL</t>
  </si>
  <si>
    <t>ALBERTO PARENTI</t>
  </si>
  <si>
    <t>ERECHIM</t>
  </si>
  <si>
    <t>COMLINK S.A.</t>
  </si>
  <si>
    <t>MARCOS MARKARIAN</t>
  </si>
  <si>
    <t>COMMBOX TECNOLOGIA LTDA</t>
  </si>
  <si>
    <t>CORONEL ARMANDO ASSIS</t>
  </si>
  <si>
    <t xml:space="preserve"> FUNDOS</t>
  </si>
  <si>
    <t>TRES FIGUEIRAS</t>
  </si>
  <si>
    <t>COMPAC - MAQUINAS E EQUIPAMENTOS LTDA.</t>
  </si>
  <si>
    <t>COMPAC</t>
  </si>
  <si>
    <t>DOUTOR ADOLPHO MIRAGLIA</t>
  </si>
  <si>
    <t>4-80</t>
  </si>
  <si>
    <t>VILA REGINA</t>
  </si>
  <si>
    <t>COMPANHIA AGUAS DE JOINVILLE</t>
  </si>
  <si>
    <t>GLORIA</t>
  </si>
  <si>
    <t>COMPANHIA CATARINENSE DE AGUAS E SANEAMENTO CASAN</t>
  </si>
  <si>
    <t>CASAN</t>
  </si>
  <si>
    <t>Sociedade de Economia Mista</t>
  </si>
  <si>
    <t>EMILIO BLUM</t>
  </si>
  <si>
    <t>COMPANHIA DE AGUA E ESGOTO DO CEARA CAGECE</t>
  </si>
  <si>
    <t>CAGECE</t>
  </si>
  <si>
    <t>LAURO VIEIRA CHAVES</t>
  </si>
  <si>
    <t>COMPANHIA DE AGUA E ESGOTOS DO AMAPA</t>
  </si>
  <si>
    <t>ERNESTINO BORGES</t>
  </si>
  <si>
    <t>JULIAO RAMOS</t>
  </si>
  <si>
    <t>COMPANHIA DE AGUAS E ESGOTOS DO RIO GRANDE DO NORTE</t>
  </si>
  <si>
    <t>CAERN</t>
  </si>
  <si>
    <t>HENRIQUE CASTRICIANO</t>
  </si>
  <si>
    <t>RIBEIRA</t>
  </si>
  <si>
    <t>COMPANHIA DE CANETAS COMPACTOR</t>
  </si>
  <si>
    <t>COMPACTOR</t>
  </si>
  <si>
    <t>Fabricação de canetas, lápis e outros artigos para escritório</t>
  </si>
  <si>
    <t>KM 181</t>
  </si>
  <si>
    <t>JARDIM IGUACU</t>
  </si>
  <si>
    <t>COMPANHIA DE DESENVOLVIMENTO DE NOVA IGUACU CODENI</t>
  </si>
  <si>
    <t>GOVERNADOR PORTELA</t>
  </si>
  <si>
    <t>COMPANHIA DE DESENVOLVIMENTO DOS VALES DO SAO FRANCISCO E DO PARNAIBA</t>
  </si>
  <si>
    <t>CODEVASF</t>
  </si>
  <si>
    <t>SGAN QUADRA 601 CONJUNTO I</t>
  </si>
  <si>
    <t>EDIFICIO SEDE</t>
  </si>
  <si>
    <t>COMPANHIA DE DESENVOLVIMENTO HABITACIONAL E URBANO DO ESTADO DE SAO PAULO - CDHU</t>
  </si>
  <si>
    <t>CDHU-EST.UNIF.</t>
  </si>
  <si>
    <t>DO 4 AO 13 ANDAR</t>
  </si>
  <si>
    <t>COMPANHIA DE ENGENHARIA DE TRAFEGO</t>
  </si>
  <si>
    <t>CET</t>
  </si>
  <si>
    <t>11 ANDAR</t>
  </si>
  <si>
    <t>REPUBLICA</t>
  </si>
  <si>
    <t>COMPANHIA DE GAS DE SANTA CATARINA</t>
  </si>
  <si>
    <t>SC GAS</t>
  </si>
  <si>
    <t>Produção de gás; processamento de gás natural</t>
  </si>
  <si>
    <t>ANTONIO LUZ</t>
  </si>
  <si>
    <t>CENTRO EMPR. HOEPCKE</t>
  </si>
  <si>
    <t>COMPANHIA DE GAS DE SAO PAULO COMGAS</t>
  </si>
  <si>
    <t>Distribuição de combustíveis gasosos por redes urbanas</t>
  </si>
  <si>
    <t>ANDAR 27 SALA 01</t>
  </si>
  <si>
    <t>COMPANHIA DE NAVEGACAO NORSUL</t>
  </si>
  <si>
    <t>Transporte marítimo de cabotagem - Carga</t>
  </si>
  <si>
    <t xml:space="preserve"> SAL 301</t>
  </si>
  <si>
    <t>COMPANHIA DE PROCESSAMENTO DE DADOS DO ESTADO DE SAO PAULO - PRODESP</t>
  </si>
  <si>
    <t>PRODESP</t>
  </si>
  <si>
    <t>AGUEDA GONCALVES</t>
  </si>
  <si>
    <t>JD PEDRO GONCALVES</t>
  </si>
  <si>
    <t>COMPANHIA DE SANEAMENTO AMBIENTAL DO DISTRITO FEDERAL</t>
  </si>
  <si>
    <t>CAESB</t>
  </si>
  <si>
    <t>SIBIPIRUNA</t>
  </si>
  <si>
    <t>LOTES 13,15,17,19 E 21</t>
  </si>
  <si>
    <t>AGUAS CLARAS</t>
  </si>
  <si>
    <t>COMPANHIA DE SANEAMENTO AMBIENTAL DO MARANHAO-CAEMA</t>
  </si>
  <si>
    <t>CAEMA</t>
  </si>
  <si>
    <t>COMPANHIA DE SANEAMENTO BASICO DO ESTADO DE SAO PAULO - SABESP</t>
  </si>
  <si>
    <t>DO ANASTACIO</t>
  </si>
  <si>
    <t>PIRITUBA</t>
  </si>
  <si>
    <t>SABESP</t>
  </si>
  <si>
    <t>DAVID GEIA</t>
  </si>
  <si>
    <t>LOT PADRE CURSINO</t>
  </si>
  <si>
    <t>STA LUZIA</t>
  </si>
  <si>
    <t>NOSSA SRA. DE FATIMA</t>
  </si>
  <si>
    <t>TATUI</t>
  </si>
  <si>
    <t>ELIZEU AUGUSTO TEIXEIRA</t>
  </si>
  <si>
    <t>SAO MANUEL</t>
  </si>
  <si>
    <t>HEITOR VILA LOBOS</t>
  </si>
  <si>
    <t>VILA EMA</t>
  </si>
  <si>
    <t>ITAMARATI</t>
  </si>
  <si>
    <t>VILA CURUCA</t>
  </si>
  <si>
    <t>PREFEITO JOSE RAIMUNDO LOBO,</t>
  </si>
  <si>
    <t>VARADOURO</t>
  </si>
  <si>
    <t>MINAS GERAIS</t>
  </si>
  <si>
    <t>JARDIM ROCHDALE</t>
  </si>
  <si>
    <t>EST UNIF</t>
  </si>
  <si>
    <t>PIRARUCU</t>
  </si>
  <si>
    <t>NOVA ALDEINHA</t>
  </si>
  <si>
    <t>ANTONIO EMERICK</t>
  </si>
  <si>
    <t>PEDRO CELESTINO LEITE PENTEADO</t>
  </si>
  <si>
    <t>JORDANESIA</t>
  </si>
  <si>
    <t>AMLETTO RICCIARELLI</t>
  </si>
  <si>
    <t>CRESCIUMA</t>
  </si>
  <si>
    <t>VEREADOR DURVAL AMIRAT</t>
  </si>
  <si>
    <t>NOVA CABREUVA</t>
  </si>
  <si>
    <t>DOUTOR TANCREDO DE ALMEIDA NEVES</t>
  </si>
  <si>
    <t>JARDIM SEVILHA</t>
  </si>
  <si>
    <t>DR COSTA LEITE</t>
  </si>
  <si>
    <t>JOSE BASILIO DE ALVARENGA</t>
  </si>
  <si>
    <t>ARUJA</t>
  </si>
  <si>
    <t>ABEL SOUTO</t>
  </si>
  <si>
    <t>ALUMINIO</t>
  </si>
  <si>
    <t>ALM DELAMARE</t>
  </si>
  <si>
    <t>IPIRANGA</t>
  </si>
  <si>
    <t>NICOLAU GAGLIARDI</t>
  </si>
  <si>
    <t>SEBASTIAO PRETO</t>
  </si>
  <si>
    <t>PEDRO DE SOUZA LOPES</t>
  </si>
  <si>
    <t>VILA GALVAO</t>
  </si>
  <si>
    <t>MUNICIPAL</t>
  </si>
  <si>
    <t>PEDERNEIRAS</t>
  </si>
  <si>
    <t>CONS SARAIVA</t>
  </si>
  <si>
    <t>MAL DEODORO DA FONSECA</t>
  </si>
  <si>
    <t>ALFRED KRUPP</t>
  </si>
  <si>
    <t>JARDIM MARQUETE</t>
  </si>
  <si>
    <t>CAMPO LIMPO PAULISTA</t>
  </si>
  <si>
    <t>EMILIO DE MENEZES</t>
  </si>
  <si>
    <t>VILA ALICE</t>
  </si>
  <si>
    <t>DO AGUASSAI</t>
  </si>
  <si>
    <t>JARDIM JAPAO</t>
  </si>
  <si>
    <t>MAJ PALADINO</t>
  </si>
  <si>
    <t>COSTA CARVALHO</t>
  </si>
  <si>
    <t>SAO FRANCISCO XAVIER</t>
  </si>
  <si>
    <t>ANACLETO PIRES</t>
  </si>
  <si>
    <t>AVARE</t>
  </si>
  <si>
    <t>JOSE RAFAELI</t>
  </si>
  <si>
    <t>SAO SEBASTIAO</t>
  </si>
  <si>
    <t>IBIUNA</t>
  </si>
  <si>
    <t>WALDEMAR CUSMA</t>
  </si>
  <si>
    <t>JARDIM AERODROMO INTERNACIONAL</t>
  </si>
  <si>
    <t>EDUCADOR PAULO FREIRE</t>
  </si>
  <si>
    <t>PARQUE NOVO MUNDO</t>
  </si>
  <si>
    <t>NOVA LONDRINA</t>
  </si>
  <si>
    <t>C GERTRUDES</t>
  </si>
  <si>
    <t>E</t>
  </si>
  <si>
    <t>JARDIM ITAPORA</t>
  </si>
  <si>
    <t>UBATUBA</t>
  </si>
  <si>
    <t>OSVALDO GOELDI</t>
  </si>
  <si>
    <t>COLINAS DO ANHANGUERA</t>
  </si>
  <si>
    <t>DOUTOR JOSE BARBOSA DE BARROS</t>
  </si>
  <si>
    <t>BORACEIA</t>
  </si>
  <si>
    <t>GOVERNADOR MARIO COVAS JUNIOR</t>
  </si>
  <si>
    <t>MACUCO</t>
  </si>
  <si>
    <t>COMPANHIA DE SANEAMENTO DE ALAGOAS - CASAL</t>
  </si>
  <si>
    <t>CASAL</t>
  </si>
  <si>
    <t>BARAO DE ATALAIA</t>
  </si>
  <si>
    <t>COMPANHIA DE SANEAMENTO DE MINAS GERAIS COPASA MG</t>
  </si>
  <si>
    <t>COPASA MG</t>
  </si>
  <si>
    <t>MAR DE ESPANHA</t>
  </si>
  <si>
    <t>SANTO ANTONIO</t>
  </si>
  <si>
    <t>COMPANHIA DE SANEAMENTO DE SERGIPE DESO</t>
  </si>
  <si>
    <t>CAMPO DO BRITO</t>
  </si>
  <si>
    <t>PRAIA 13 DE JULHO</t>
  </si>
  <si>
    <t>COMPANHIA DE SANEAMENTO DO PARANA SANEPAR</t>
  </si>
  <si>
    <t>SANEPAR</t>
  </si>
  <si>
    <t>ENGENHEIROS REBOUCAS</t>
  </si>
  <si>
    <t>COMPANHIA DE SANEAMENTO DO TOCANTINS - SANEATINS</t>
  </si>
  <si>
    <t>BRK AMBIENTAL / SANEATINS</t>
  </si>
  <si>
    <t>ASR SE 35 B, AV. LO 05, , LOTE 01</t>
  </si>
  <si>
    <t>COMPANHIA DE SERVICO DE AGUA, ESGOTO E RESIDUOS DE GUARATINGUETA - SAEG</t>
  </si>
  <si>
    <t>SAEG</t>
  </si>
  <si>
    <t>XAVANTES</t>
  </si>
  <si>
    <t>JARDIM AEROPORTO</t>
  </si>
  <si>
    <t>COMPANHIA DO METROPOLITANO DO DISTRITO FEDERAL METRO DF</t>
  </si>
  <si>
    <t>METRO DF</t>
  </si>
  <si>
    <t>Transporte metroviário</t>
  </si>
  <si>
    <t>JEQUITIBA LOTE</t>
  </si>
  <si>
    <t>COMPANHIA DOCAS DE SAO SEBASTIAO</t>
  </si>
  <si>
    <t>Administração da infra-estrutura portuária</t>
  </si>
  <si>
    <t>DOUTOR ALTINO ARANTES</t>
  </si>
  <si>
    <t>COMPANHIA ENERGETICA DE MINAS GERAIS-CEMIG</t>
  </si>
  <si>
    <t>ANDAR 18</t>
  </si>
  <si>
    <t>COMPANHIA ENERGETICA DE PERNAMBUCO</t>
  </si>
  <si>
    <t>NEOENERGIA PERNAMBUCO</t>
  </si>
  <si>
    <t>JOAO DE BARROS</t>
  </si>
  <si>
    <t>COMPANHIA ENERGETICA DO CEARA</t>
  </si>
  <si>
    <t>ENEL DISTRIBUICAO CEARA</t>
  </si>
  <si>
    <t>PADRE VALDEVINO</t>
  </si>
  <si>
    <t>COMPANHIA ESPIRITO SANTENSE DE SANEAMENTO CESAN</t>
  </si>
  <si>
    <t>CESAN</t>
  </si>
  <si>
    <t>GOVERNADOR BLEY</t>
  </si>
  <si>
    <t>EDIF ED. BEMGE LOJA 14 ANDAR 2 ANDAR 3</t>
  </si>
  <si>
    <t>COMPANHIA ESTADUAL DE DISTRIBUICAO DE ENERGIA ELETRICA - CEEE-D</t>
  </si>
  <si>
    <t>CEEE DISTRIBUICAO</t>
  </si>
  <si>
    <t>CLOVIS PAIM GRIVOT</t>
  </si>
  <si>
    <t>COMPANHIA HIDROELETRICA SAO PATRICIO - CHESP</t>
  </si>
  <si>
    <t>CERES</t>
  </si>
  <si>
    <t>COMPANHIA ITABIRANA DE TELECOMUNICACOES LTDA</t>
  </si>
  <si>
    <t>VALENET</t>
  </si>
  <si>
    <t>AGUA SANTA</t>
  </si>
  <si>
    <t>SUBSL; SALA: 01;</t>
  </si>
  <si>
    <t>ITABIRA</t>
  </si>
  <si>
    <t>COMPANHIA ITUANA DE SANEAMENTO - CIS</t>
  </si>
  <si>
    <t>CIS</t>
  </si>
  <si>
    <t>BARTIRA</t>
  </si>
  <si>
    <t>300 A</t>
  </si>
  <si>
    <t>VILA LEIS</t>
  </si>
  <si>
    <t>COMPANHIA MELHORAMENTOS DE SAO PAULO</t>
  </si>
  <si>
    <t>MELHORAMENTOS</t>
  </si>
  <si>
    <t>TITO</t>
  </si>
  <si>
    <t>VILA ROMANA</t>
  </si>
  <si>
    <t>COMPANHIA NITRO QUIMICA BRASILEIRA</t>
  </si>
  <si>
    <t>DOUTOR JOSE ARTUR NOVA</t>
  </si>
  <si>
    <t>COMPANHIA PARANAENSE DE ENERGIA - COPEL</t>
  </si>
  <si>
    <t>COPEL</t>
  </si>
  <si>
    <t>JOSE IZIDORO BIAZETTO</t>
  </si>
  <si>
    <t>ORLEANS</t>
  </si>
  <si>
    <t>COMPANHIA PARANAENSE DE GAS COMPAGAS</t>
  </si>
  <si>
    <t>JOAO GUALBERTO</t>
  </si>
  <si>
    <t>SALA 601 ANDAR 6 COND SERRA JUVEVE ED</t>
  </si>
  <si>
    <t>JUVEVE</t>
  </si>
  <si>
    <t>COMPANHIA PAULISTA DE SECURITIZACAO</t>
  </si>
  <si>
    <t>Securitização de créditos</t>
  </si>
  <si>
    <t>RANGEL PESTANA</t>
  </si>
  <si>
    <t>COMPANHIA PAULISTA DE TRENS METROPOLITANOS - CPTM</t>
  </si>
  <si>
    <t>Transporte ferroviário de passageiros municipal e em região metropolitana</t>
  </si>
  <si>
    <t>COMPANHIA PERNAMBUCANA DE SANEAMENTO</t>
  </si>
  <si>
    <t>COMPESA</t>
  </si>
  <si>
    <t>CRUZ CABUGA</t>
  </si>
  <si>
    <t>COMPANHIA RIOGRANDENSE DE SANEAMENTO - CORSAN</t>
  </si>
  <si>
    <t>CORSAN EST UNIF</t>
  </si>
  <si>
    <t>CALDAS JUNIOR</t>
  </si>
  <si>
    <t>ANDARES 17/18/19</t>
  </si>
  <si>
    <t>COMPANHIA SIDERURGICA NACIONAL</t>
  </si>
  <si>
    <t>Produção de laminados planos de aço ao carbono, revestidos ou não</t>
  </si>
  <si>
    <t>ANDAR 19 E 20</t>
  </si>
  <si>
    <t>COMPANHIA TECIDOS SANTANENSE EM RECUPERACAO JUDICIAL</t>
  </si>
  <si>
    <t>1891-10-23</t>
  </si>
  <si>
    <t>Tecelagem de fios de algodão</t>
  </si>
  <si>
    <t>DOUTOR ALCIDES GONCALVES</t>
  </si>
  <si>
    <t>SANTANENSE</t>
  </si>
  <si>
    <t>ITAUNA</t>
  </si>
  <si>
    <t>COMPANHIA ULTRAGAZ S A</t>
  </si>
  <si>
    <t>ESCRITORIO MATRIZ</t>
  </si>
  <si>
    <t>BRIGADEIRO LUIS ANTONIO 1343</t>
  </si>
  <si>
    <t>COMPONENT INDUSTRIA E COMERCIO LTDA</t>
  </si>
  <si>
    <t>FERRAZ ALVIM</t>
  </si>
  <si>
    <t>GALPAO1 E 4</t>
  </si>
  <si>
    <t>CASA GRANDE</t>
  </si>
  <si>
    <t>COMPREHENSE DO BRASIL ENGENHARIA LTDA</t>
  </si>
  <si>
    <t>JOAO OSWALDO CARDOSO (AREA INDUSTRIAL VALE DO PIRA</t>
  </si>
  <si>
    <t>SALA 1 AO 15</t>
  </si>
  <si>
    <t>PIRACANGAGUA</t>
  </si>
  <si>
    <t>CONAGUA AMBIENTAL LTDA</t>
  </si>
  <si>
    <t>CONAGUA</t>
  </si>
  <si>
    <t>Pesquisa e desenvolvimento experimental em ciências físicas e naturais</t>
  </si>
  <si>
    <t>QUADRAIV LOTE 1/3</t>
  </si>
  <si>
    <t>SENADOR CANEDO</t>
  </si>
  <si>
    <t>CONCEITO ESCRITORIO, COMERCIO E SERVICOS LTDA</t>
  </si>
  <si>
    <t>CONCEITO ESCRITORIO</t>
  </si>
  <si>
    <t>GOIAS</t>
  </si>
  <si>
    <t>QUADRA78 LOTE 19 SALA 02</t>
  </si>
  <si>
    <t>SETOR CENTRAL</t>
  </si>
  <si>
    <t>FAZENDA NOVA</t>
  </si>
  <si>
    <t>CONCESSIONARIA DO SISTEMA ANHANGUERA-BANDEIRANTES S/A</t>
  </si>
  <si>
    <t>Concessionárias de rodovias, pontes, túneis e serviços relacionados</t>
  </si>
  <si>
    <t>CONCESSIONARIA ECOVIAS DOS IMIGRANTES S.A.</t>
  </si>
  <si>
    <t>ECOVIAS IMIGRANTES</t>
  </si>
  <si>
    <t>DOS IMIGRANTES - SP 160</t>
  </si>
  <si>
    <t>KM 28,5</t>
  </si>
  <si>
    <t>JARDIM REPRESA</t>
  </si>
  <si>
    <t>CONCREMAX CONCRETO DE OURINHOS LTDA.</t>
  </si>
  <si>
    <t>PROF FRANCISCO D NEGRAO</t>
  </si>
  <si>
    <t>VL SANDANO</t>
  </si>
  <si>
    <t>OURINHOS</t>
  </si>
  <si>
    <t>CONCRETIZA CONSTRUTORA E INCORPORADORA LTDA</t>
  </si>
  <si>
    <t>CONCRETIZA CONSTRUTORA E INCORPORADORA</t>
  </si>
  <si>
    <t>Incorporação de empreendimentos imobiliários</t>
  </si>
  <si>
    <t>BRIGADEIRO FARIA LIMA 1572</t>
  </si>
  <si>
    <t>CONJ 702</t>
  </si>
  <si>
    <t>CONDOR S.A</t>
  </si>
  <si>
    <t>CONDOR</t>
  </si>
  <si>
    <t>AUGUSTO KLIMMEK 325</t>
  </si>
  <si>
    <t>SAO BENTO DO SUL</t>
  </si>
  <si>
    <t>CONDUMAX - ELETRO METALURGICA CIAFUNDI LTDA</t>
  </si>
  <si>
    <t>CIAFUNDI</t>
  </si>
  <si>
    <t>DURVAL BRITTO</t>
  </si>
  <si>
    <t>JARDIM GLORIA</t>
  </si>
  <si>
    <t>OLIMPIA</t>
  </si>
  <si>
    <t>CONDUTA GESTAO EM RECURSOS HUMANOS LTDA</t>
  </si>
  <si>
    <t>CONDUTARH</t>
  </si>
  <si>
    <t>JOAO PEREIRA</t>
  </si>
  <si>
    <t>CONECT PROVEDOR DE ACESSO A INTERNET LTDA</t>
  </si>
  <si>
    <t>CONECT</t>
  </si>
  <si>
    <t>ANTONIO CARLOS DE SOUZA GUADELUPE</t>
  </si>
  <si>
    <t>LOTE 07 QUADRAV COND INDUSTRIAL</t>
  </si>
  <si>
    <t>BASILIO</t>
  </si>
  <si>
    <t>RIO BONITO</t>
  </si>
  <si>
    <t>CONECTA EDUCACAO E TECNOLOGIA LTDA</t>
  </si>
  <si>
    <t>CONECTA EDUCACAO E TECNOLOGIA</t>
  </si>
  <si>
    <t>DR CANDIDO ESPINHEIRA</t>
  </si>
  <si>
    <t>PERDIZES</t>
  </si>
  <si>
    <t>CONECTCAR INSTITUICAO DE PAGAMENTO E SOLUCOES DE MOBILIDADE ELETRONICA S.A</t>
  </si>
  <si>
    <t>CONECTCAR</t>
  </si>
  <si>
    <t>Outras atividades auxiliares dos serviços financeiros não especificadas anteriormente</t>
  </si>
  <si>
    <t>CONEXA SAUDE SERVICOS MEDICOS S.A.</t>
  </si>
  <si>
    <t>CONEXA SAUDE</t>
  </si>
  <si>
    <t xml:space="preserve"> BLC I SAL 701</t>
  </si>
  <si>
    <t>CONEXO INDUSTRIA E COMERCIO LTDA</t>
  </si>
  <si>
    <t>CONEXO</t>
  </si>
  <si>
    <t>BR SMITH DE VASCONCELOS</t>
  </si>
  <si>
    <t>JD PLANALTO</t>
  </si>
  <si>
    <t>CONFAB INDUSTRIAL SOCIEDADE ANONIMA</t>
  </si>
  <si>
    <t>GASTAO VIDIGAL NETO 475</t>
  </si>
  <si>
    <t xml:space="preserve"> PREDIO ADM SALA 3</t>
  </si>
  <si>
    <t>CONFEDERAL RIO VIGILANCIA LTDA</t>
  </si>
  <si>
    <t>BELA</t>
  </si>
  <si>
    <t xml:space="preserve"> X.X.X.X.X.X.X.X.</t>
  </si>
  <si>
    <t>CONFIANCA CONTABILIDADE LTDA</t>
  </si>
  <si>
    <t>CONFIANCA CONTABILIDADE</t>
  </si>
  <si>
    <t>ARMINHO MIOTTO</t>
  </si>
  <si>
    <t>ANTA GORDA</t>
  </si>
  <si>
    <t>CONFORLAB ENGENHARIA AMBIENTAL LTDA</t>
  </si>
  <si>
    <t>BARONESA DE BELA VISTA</t>
  </si>
  <si>
    <t>CONNECT ESTAGIOS LTDA</t>
  </si>
  <si>
    <t>SUPER ESTAGIOS</t>
  </si>
  <si>
    <t>NOSSA SENHORA DOS NAVEGANTES</t>
  </si>
  <si>
    <t>EDIF: GLOBAL TOWER; SALA: 609;</t>
  </si>
  <si>
    <t>CONNECTA TELECOM INTERNET LTDA</t>
  </si>
  <si>
    <t>PRESIDENTE ROOSEVELT</t>
  </si>
  <si>
    <t>CONSEG MONITORAMENTO DE IMAGENS LTDA</t>
  </si>
  <si>
    <t>MIGUEL FELIPE GATTAZ</t>
  </si>
  <si>
    <t>CONSERMA - SERVICOS, MANUTENCAO E TRANSPORTES LTDA</t>
  </si>
  <si>
    <t>FERNANDO ANTONIO</t>
  </si>
  <si>
    <t>DOM BOSCO</t>
  </si>
  <si>
    <t>CONSERP MANUTENCAO DE ELEVADORES LTDA</t>
  </si>
  <si>
    <t>CONSERP MANUTENCAO DE ELEVADORES</t>
  </si>
  <si>
    <t>Instalação, manutenção e reparação de elevadores, escadas e esteiras rolantes</t>
  </si>
  <si>
    <t>MAURITI</t>
  </si>
  <si>
    <t>CONSERVADORA CAMPOS E SERVICOS GERAIS LTDA</t>
  </si>
  <si>
    <t>DOUTOR MARIO PIRES</t>
  </si>
  <si>
    <t>SAO BENTO</t>
  </si>
  <si>
    <t>CONSIGAZ-DISTRIBUIDORA DE GAS LTDA</t>
  </si>
  <si>
    <t>CONSIGAZ</t>
  </si>
  <si>
    <t>WAGNER SAMARA</t>
  </si>
  <si>
    <t>CONSOLIDEZ SERVICOS DE LIMPEZA LTDA</t>
  </si>
  <si>
    <t>CONSOLIDEZ</t>
  </si>
  <si>
    <t>ORENSE (PRQ JABOTICABEIRAS)</t>
  </si>
  <si>
    <t>SALA 509</t>
  </si>
  <si>
    <t>CONSORCIO NACIONAL DE LICITACAO HQZ LTDA</t>
  </si>
  <si>
    <t>CONLICITACAO</t>
  </si>
  <si>
    <t>DO JAGUARE</t>
  </si>
  <si>
    <t>CONSORTI LTDA</t>
  </si>
  <si>
    <t>CONSORTI BRASIL</t>
  </si>
  <si>
    <t>PIUM I</t>
  </si>
  <si>
    <t>LOJA</t>
  </si>
  <si>
    <t>CARMO</t>
  </si>
  <si>
    <t>CONSTRU FORT MATERIAIS DE CONSTRUCAO LTDA</t>
  </si>
  <si>
    <t>LINEA-RJ</t>
  </si>
  <si>
    <t>ANTONIO PEREIRA MAGALHAES</t>
  </si>
  <si>
    <t>DOM RODRIGO</t>
  </si>
  <si>
    <t>CONSTRUCAP CCPS ENGENHARIA E COMERCIO SA</t>
  </si>
  <si>
    <t>DOUTORA RUTH CARDOSO</t>
  </si>
  <si>
    <t>ANDAR 32</t>
  </si>
  <si>
    <t>CONSTRUCOES E COMERCIO CAMARGO CORREA S/A</t>
  </si>
  <si>
    <t>CHEDID JAFET</t>
  </si>
  <si>
    <t>ANDAR 4 CONJ 41 E 42B SALA 6 COND MILLENIUM OFF. PARK</t>
  </si>
  <si>
    <t>CONSTRUGEL - CONSTRUCOES E EMPREENDIMENTOS LTDA</t>
  </si>
  <si>
    <t>CONSTRUGEL CONSTRUCOES</t>
  </si>
  <si>
    <t>IPSEP</t>
  </si>
  <si>
    <t>CONSTRUTEC MS CONSTRUTORA LTDA</t>
  </si>
  <si>
    <t>DESEMBARGADOR DANTAS</t>
  </si>
  <si>
    <t>SALA 01/02 2ANDAR ESQUINA</t>
  </si>
  <si>
    <t>SAPUCAIA DO SUL</t>
  </si>
  <si>
    <t>CONSTRUTORA ALCER LTDA</t>
  </si>
  <si>
    <t>PADRE JOSE DIAS</t>
  </si>
  <si>
    <t>CONSTRUTORA APIA S/A.</t>
  </si>
  <si>
    <t>TITO SIMOES</t>
  </si>
  <si>
    <t>PILAR</t>
  </si>
  <si>
    <t>CONSTRUTORA E INCORPORADORA RIO GRANDENSE LTDA</t>
  </si>
  <si>
    <t>LOTE 10 QUADRA 14</t>
  </si>
  <si>
    <t>SOROCAMIRIM</t>
  </si>
  <si>
    <t>CONSTRUTORA E PAVIMENTADORA JR LTDA</t>
  </si>
  <si>
    <t>CONSTRUTORA JR</t>
  </si>
  <si>
    <t>ANTONIO ALVES FILGUEIRA</t>
  </si>
  <si>
    <t>SALA 002</t>
  </si>
  <si>
    <t>MIGUELOPOLIS</t>
  </si>
  <si>
    <t>CONSTRUTORA EDIL LTDA</t>
  </si>
  <si>
    <t>CONSELHEIRO FERRAZ</t>
  </si>
  <si>
    <t xml:space="preserve"> CAS 24</t>
  </si>
  <si>
    <t>LINS DE VASCONCELOS</t>
  </si>
  <si>
    <t>CONSTRUTORA ELEVACAO LTDA</t>
  </si>
  <si>
    <t>MUNHOZ DA ROCHA</t>
  </si>
  <si>
    <t>CONSTRUTORA FERREIRA MARQUES LTDA</t>
  </si>
  <si>
    <t>VISCONDE DE EMBARE</t>
  </si>
  <si>
    <t>SALA 1901</t>
  </si>
  <si>
    <t>VALONGO</t>
  </si>
  <si>
    <t>CONSTRUTORA FRANCA LTDA</t>
  </si>
  <si>
    <t>CONSTRUTORA FRANCA.</t>
  </si>
  <si>
    <t>CONSTRUTORA GUERCIO MARTINI LTDA</t>
  </si>
  <si>
    <t>PAVMTO25 SALA 2518</t>
  </si>
  <si>
    <t>CONSTRUTORA LOCKS LTDA</t>
  </si>
  <si>
    <t>FRANCISCO MARTINHAGO</t>
  </si>
  <si>
    <t>MINA DO MATO</t>
  </si>
  <si>
    <t>CONSTRUTORA METROPOLITANA S A</t>
  </si>
  <si>
    <t>Obras de urbanização - ruas, praças e calçadas</t>
  </si>
  <si>
    <t>DO PEDREGOSO</t>
  </si>
  <si>
    <t>CONSTRUTORA NEWCO LTDA</t>
  </si>
  <si>
    <t>SANHARO</t>
  </si>
  <si>
    <t>JARDIM GUEDALA</t>
  </si>
  <si>
    <t>CONSTRUTORA REZENDE LTDA</t>
  </si>
  <si>
    <t>EDSON BONA</t>
  </si>
  <si>
    <t>JARDIM PERI-PERI</t>
  </si>
  <si>
    <t>CONSTRUTORA SOLARES LTDA</t>
  </si>
  <si>
    <t>CONSTRUTORA SOLARES</t>
  </si>
  <si>
    <t>ALCIDES JERONIMO FREIRE</t>
  </si>
  <si>
    <t>GALPAOA GL02</t>
  </si>
  <si>
    <t>PARQUE DE EXPOSICOES</t>
  </si>
  <si>
    <t>PARNAMIRIM</t>
  </si>
  <si>
    <t>CONSTRUTORA TENDA S/A</t>
  </si>
  <si>
    <t>PAVMTO8 E 9</t>
  </si>
  <si>
    <t>CONSUMA GASTRONOMIA LTDA</t>
  </si>
  <si>
    <t>BLOCO 1 ANDAR 17 SALA 1701 A 1714</t>
  </si>
  <si>
    <t>CONTABILIZEI CONTABILIDADE LTDA</t>
  </si>
  <si>
    <t>DOUTOR PEDROSA</t>
  </si>
  <si>
    <t>CONJ 1501 ANDAR 15 COND THE FIVE - EAST BATEBLOCO THE FIVE - EAST BATE</t>
  </si>
  <si>
    <t>CONTATO ELETRONICA E INFORMATICA LTDA</t>
  </si>
  <si>
    <t>C 2</t>
  </si>
  <si>
    <t>LOTE 03 LOJA 01</t>
  </si>
  <si>
    <t>TAGUATINGA CENTRO (TAGUATINGA)</t>
  </si>
  <si>
    <t>CONTATTI COMERCIO E REPRESENTACOES LTDA</t>
  </si>
  <si>
    <t>CONTATTI MEDICAL</t>
  </si>
  <si>
    <t>CONTECH PRODUTOS BIODEGRADAVEIS LTDA</t>
  </si>
  <si>
    <t>CATHARINA FARSARELLA GALLEGO</t>
  </si>
  <si>
    <t>CHACARAS SAO BENTO</t>
  </si>
  <si>
    <t>CONTELURB SOLUCOES AMBIENTAIS LTDA</t>
  </si>
  <si>
    <t>DONA LUISA MACUCO 42</t>
  </si>
  <si>
    <t>CONTEMAR AMBIENTAL COMERCIO DE CONTAINERS LTDA</t>
  </si>
  <si>
    <t>GEORG SCHAEFFLER</t>
  </si>
  <si>
    <t>SALA 01 E 02</t>
  </si>
  <si>
    <t>CONTIGO SOLUCOES PARA GESTAO PUBLICA LTDA</t>
  </si>
  <si>
    <t>CONTIGO SOLUCOES PARA GESTAO PUBLICA</t>
  </si>
  <si>
    <t>SALA 211</t>
  </si>
  <si>
    <t>SAPIRANGA</t>
  </si>
  <si>
    <t>CONTROL ENERGIA SOLAR SOLUCOES EM ENERGIAS RENOVAVEIS LTDA</t>
  </si>
  <si>
    <t>CONTROLENERGIASOLAR</t>
  </si>
  <si>
    <t>PENHA DE FRANCA</t>
  </si>
  <si>
    <t>CONTROLE ANALITICO ANALISES TECNICAS LTDA</t>
  </si>
  <si>
    <t>LEAO XIII</t>
  </si>
  <si>
    <t>VL DOS REMEDIOS</t>
  </si>
  <si>
    <t>CONTROLID INDUSTRIA, COMERCIO DE HARDWARE E SERVICOS DE TECNOLOGIA LTDA</t>
  </si>
  <si>
    <t>CONTROL ID</t>
  </si>
  <si>
    <t>HUNGRIA</t>
  </si>
  <si>
    <t>CONJ 81 E 82</t>
  </si>
  <si>
    <t>CONVATEC BRASIL LTDA</t>
  </si>
  <si>
    <t>CONVATEC BRASIL</t>
  </si>
  <si>
    <t>ANDAR 2 CONJ 21/22</t>
  </si>
  <si>
    <t>CONVERGINT COMERCIO E SERVICOS DE TECNOLOGIA LTDA</t>
  </si>
  <si>
    <t>CONVERGINT TECHNOLOGIES</t>
  </si>
  <si>
    <t>ANDAR 18 CONJ 182 EDIF LOS ANGELES COND CTO EMPR.AGUA BRANCA</t>
  </si>
  <si>
    <t>CONVICTA INDUSTRIA E COMERCIO LTDA</t>
  </si>
  <si>
    <t>Fabricação de máquinas, equipamentos e aparelhos para transporte e elevação de cargas, peças e acessórios</t>
  </si>
  <si>
    <t>GUATUPE</t>
  </si>
  <si>
    <t xml:space="preserve"> BARRACAO A</t>
  </si>
  <si>
    <t>COOPERATIVA CENTRAL DE CREDITO UNICRED DO BRASIL - UNICRED DO BRASIL</t>
  </si>
  <si>
    <t>UNICRED DO BRASIL</t>
  </si>
  <si>
    <t>Cooperativas centrais de crédito</t>
  </si>
  <si>
    <t>CONJ 192 ANDAR 19</t>
  </si>
  <si>
    <t>COOPERATIVA DA AGRICULTURA FAMILIAR E ECONOMIA SOLIDARIA DO ESTADO DO CEARA</t>
  </si>
  <si>
    <t>COOPAFESP</t>
  </si>
  <si>
    <t>CE 040</t>
  </si>
  <si>
    <t>CAJUEIRO DO MINISTRO</t>
  </si>
  <si>
    <t>AQUIRAZ</t>
  </si>
  <si>
    <t>COOPERATIVA DE TRABALHO DOS PROFISSIONAIS DA EDUCACAO DO ESTADO DO RN - COOPEDU</t>
  </si>
  <si>
    <t>Educação infantil - pré-escola</t>
  </si>
  <si>
    <t>PROJETADA</t>
  </si>
  <si>
    <t>LOTE 01 LOTE 02 LOTE 03</t>
  </si>
  <si>
    <t>LOTEAMENTO MIRANTE DO TRAIRI - CENTRO</t>
  </si>
  <si>
    <t>MONTE ALEGRE</t>
  </si>
  <si>
    <t>COOPERATIVA DOS PLANTADORES DE CANA DO OESTE DO ESTADO DE SAO PAULO</t>
  </si>
  <si>
    <t>COPERCANA</t>
  </si>
  <si>
    <t>DOUTOR PIO DUFLES</t>
  </si>
  <si>
    <t>COOPERATIVA VINICOLA AURORA LTDA</t>
  </si>
  <si>
    <t>Fabricação de vinho</t>
  </si>
  <si>
    <t>OLAVO BILAC</t>
  </si>
  <si>
    <t>CIDADE ALTA</t>
  </si>
  <si>
    <t>COOPERCITRUS COOPERATIVA DE PRODUTORES RURAIS</t>
  </si>
  <si>
    <t>COOPERCITRUS</t>
  </si>
  <si>
    <t>Comércio atacadista de café em grão</t>
  </si>
  <si>
    <t>NOSSA SENHORA DA PENHA</t>
  </si>
  <si>
    <t>BOM JESUS DA PENHA</t>
  </si>
  <si>
    <t>COPA ENERGIA S.A.</t>
  </si>
  <si>
    <t>COPA ENERGIA</t>
  </si>
  <si>
    <t>ANDAR 29 TORRE C CONJ 2901 2902 2903 2904 COND ROCHAVERA COR TOWER</t>
  </si>
  <si>
    <t>COPABO INDUSTRIA E COMERCIO DE PRODUTOS TECNICOS LTDA</t>
  </si>
  <si>
    <t>KAIKO</t>
  </si>
  <si>
    <t>GALPAO03-B COND INDUSTRIAL AFAM</t>
  </si>
  <si>
    <t>CAPIM GUACU</t>
  </si>
  <si>
    <t>COPERSUCAR S.A.</t>
  </si>
  <si>
    <t>Comércio atacadista de açúcar</t>
  </si>
  <si>
    <t>ANDAR 12 - ALA A-1 SALA 01</t>
  </si>
  <si>
    <t>CORPO DE BOMBEIROS DA POLICIA MILITAR DO ESTADO DE SAO PAULO</t>
  </si>
  <si>
    <t>6 GRUPAMENTO DE BOMBEIROS</t>
  </si>
  <si>
    <t>Segurança e ordem pública</t>
  </si>
  <si>
    <t>CORPO DE BOMBEIROS - P M E S P</t>
  </si>
  <si>
    <t>CLOVIS BEVILACQUA</t>
  </si>
  <si>
    <t>CORPU'S LINE COMERCIO E SERVICOS LTDA</t>
  </si>
  <si>
    <t>CLIC SERVICOS</t>
  </si>
  <si>
    <t>PRESIDENTE CASTELO BRANCO</t>
  </si>
  <si>
    <t xml:space="preserve"> B SALA 6,7 E 8</t>
  </si>
  <si>
    <t>AREAL</t>
  </si>
  <si>
    <t>CORPUS SANEAMENTO E OBRAS LTDA</t>
  </si>
  <si>
    <t>ITALIA GIUSTI</t>
  </si>
  <si>
    <t>JARDIM HELIAN</t>
  </si>
  <si>
    <t>CORR PLASTIK INDUSTRIAL LIMITADA</t>
  </si>
  <si>
    <t>CORR PLASTIK</t>
  </si>
  <si>
    <t>JOAQUIM MONTEIRO</t>
  </si>
  <si>
    <t>CECOM (JACARE)</t>
  </si>
  <si>
    <t>CORRETRA METALURGICA LTDA</t>
  </si>
  <si>
    <t>CORRETRANS</t>
  </si>
  <si>
    <t>Fabricação de máquinas para a indústria metalúrgica, peças e acessórios, exceto máquinas-ferramenta</t>
  </si>
  <si>
    <t>SC 444</t>
  </si>
  <si>
    <t>KM 11</t>
  </si>
  <si>
    <t>ICARA</t>
  </si>
  <si>
    <t>COSAFE BRASIL SOFTWARE LTDA</t>
  </si>
  <si>
    <t>SALA 2020</t>
  </si>
  <si>
    <t>COSAN LUBRIFICANTES E ESPECIALIDADES S.A.</t>
  </si>
  <si>
    <t>MOOVE</t>
  </si>
  <si>
    <t>DA RIBEIRA</t>
  </si>
  <si>
    <t>FUNDOS: ESCRITORIO;</t>
  </si>
  <si>
    <t>COSAN S.A.</t>
  </si>
  <si>
    <t>ANDAR 16 SALA 01</t>
  </si>
  <si>
    <t>COSMEWALE INDUSTRIA E COMERCIO DE COSMETICOS LTDA</t>
  </si>
  <si>
    <t>SR COSMET &amp; CO</t>
  </si>
  <si>
    <t>Fabricação de cosméticos, produtos de perfumaria e de higiene pessoal</t>
  </si>
  <si>
    <t>VILA NOVA SAO ROQUE</t>
  </si>
  <si>
    <t>COTEMINAS S.A. EM RECUPERACAO JUDICIAL</t>
  </si>
  <si>
    <t>COTEMINAS</t>
  </si>
  <si>
    <t>Fabricação de artefatos têxteis para uso doméstico</t>
  </si>
  <si>
    <t>LINCOLN ALVES DOS SANTOS</t>
  </si>
  <si>
    <t>MONTES CLAROS</t>
  </si>
  <si>
    <t>COUROSNIL COMERCIO, IMPORTACAO E EXPORTACAO LTDA</t>
  </si>
  <si>
    <t>COUROSNILO</t>
  </si>
  <si>
    <t>CARNEIRO LEAO</t>
  </si>
  <si>
    <t>COUTOFLEX INDUSTRIA DE MANGUEIRAS LTDA</t>
  </si>
  <si>
    <t>COUTOFLEX</t>
  </si>
  <si>
    <t>COZIL EQUIPAMENTOS INDUSTRIAIS LTDA</t>
  </si>
  <si>
    <t>JARDIM NOSSA SENHORA D'AJUDA</t>
  </si>
  <si>
    <t>ITAQUAQUECETUBA</t>
  </si>
  <si>
    <t>CPFL ENERGIA S.A.</t>
  </si>
  <si>
    <t>JORGE DE FIGUEIREDO CORREA</t>
  </si>
  <si>
    <t>JARDIM PROFESSORA TARCILIA</t>
  </si>
  <si>
    <t>CPGAS COMPONENTES PARA GAS LTDA</t>
  </si>
  <si>
    <t>CPGAS</t>
  </si>
  <si>
    <t>LUIS FERREIRA</t>
  </si>
  <si>
    <t>CPTECNICAS LTDA</t>
  </si>
  <si>
    <t>HENRIQUE SCHAUMANN</t>
  </si>
  <si>
    <t>CREDIFARMA - COMERCIO DE PRODUTOS FARMACEUTICOS E DE COSMETICOS LTDA</t>
  </si>
  <si>
    <t>CREDIFARMA</t>
  </si>
  <si>
    <t>Comércio varejista de produtos farmacêuticos, sem manipulação de fórmulas</t>
  </si>
  <si>
    <t>13 DE MAIO</t>
  </si>
  <si>
    <t>ITABAIANA</t>
  </si>
  <si>
    <t>CREDIT CASH ASSESSORIA FINANCEIRA LTDA</t>
  </si>
  <si>
    <t>CREDIT CASH</t>
  </si>
  <si>
    <t>CESARIO ALVIM</t>
  </si>
  <si>
    <t>BELENZINHO</t>
  </si>
  <si>
    <t>CREMER S.A.</t>
  </si>
  <si>
    <t>IGUACU</t>
  </si>
  <si>
    <t>ITOUPAVA SECA</t>
  </si>
  <si>
    <t>CRIART SERVICOS DE TERCEIRIZACAO DE MAO DE OBRA LTDA</t>
  </si>
  <si>
    <t>CRIART SERVICOS</t>
  </si>
  <si>
    <t>TIBURCIO CAVALCANTE</t>
  </si>
  <si>
    <t>DIONISIO TORRES</t>
  </si>
  <si>
    <t>CRISTAL PHARMA LTDA</t>
  </si>
  <si>
    <t>DOS AIMORES</t>
  </si>
  <si>
    <t>SALA 808 E 809 PARTE A</t>
  </si>
  <si>
    <t>CRISTALIA PRODUTOS QUIMICOS FARMACEUTICOS LTDA</t>
  </si>
  <si>
    <t>LABORATORIO CRISTALIA</t>
  </si>
  <si>
    <t>ITAPIRA-LINDOIA</t>
  </si>
  <si>
    <t>FAZ ESTANCIA CRISTALIA</t>
  </si>
  <si>
    <t>ITAPIRA</t>
  </si>
  <si>
    <t>CRISTOFOLI EQUIPAMENTOS DE BIOSSEGURANCA LTDA</t>
  </si>
  <si>
    <t>CRISTOFOLI</t>
  </si>
  <si>
    <t>AREA URBANIZADA II</t>
  </si>
  <si>
    <t>CAMPO MOURAO</t>
  </si>
  <si>
    <t>CROCOLI-INDUSTRIA METALURGICA LTDA</t>
  </si>
  <si>
    <t>Fabricação de cabines, carrocerias e reboques para outros veículos automotores, exceto caminhões e ônibus</t>
  </si>
  <si>
    <t>FLAVIO FRANCISCO BELLINI</t>
  </si>
  <si>
    <t>SALGADO FILHO</t>
  </si>
  <si>
    <t>CRODA DO BRASIL LTDA</t>
  </si>
  <si>
    <t>ANTONIO AMSTALDEN</t>
  </si>
  <si>
    <t>SALA 1 ARMZ 4 GALPAOLOGISTICO</t>
  </si>
  <si>
    <t>CAPELA</t>
  </si>
  <si>
    <t>CROMODURO PIRACICABA LTDA</t>
  </si>
  <si>
    <t>MARIA STENICO</t>
  </si>
  <si>
    <t>VILA ALGODOAL</t>
  </si>
  <si>
    <t>CRS BRANDS INDUSTRIA E COMERCIO S.A</t>
  </si>
  <si>
    <t>CRS BRANDS</t>
  </si>
  <si>
    <t>HUMBERTO CERESER</t>
  </si>
  <si>
    <t>JARDIM CAXAMBU</t>
  </si>
  <si>
    <t>CRT AGENCIA DE CRIATIVIDADE E INOVACAO LTDA</t>
  </si>
  <si>
    <t>CRT COMUNICACAO</t>
  </si>
  <si>
    <t>SALA 1010/1011 EDIF GRU OFFICE TOWER</t>
  </si>
  <si>
    <t>CS BRASIL TRANSPORTES DE PASSAGEIROS E SERVICOS AMBIENTAIS LTDA.</t>
  </si>
  <si>
    <t>CS BRASIL</t>
  </si>
  <si>
    <t>Transporte rodoviário coletivo de passageiros, com itinerário fixo, interestadual</t>
  </si>
  <si>
    <t>SARAIVA</t>
  </si>
  <si>
    <t>VILA CINTRA</t>
  </si>
  <si>
    <t>CS INFRA S.A.</t>
  </si>
  <si>
    <t>SALA 132</t>
  </si>
  <si>
    <t>CSA COM.SUPRIM.E ASSISTENCIA TEC.DE MAQ.COPIADORAS LTDA</t>
  </si>
  <si>
    <t>CSA PRINTERS</t>
  </si>
  <si>
    <t>BRASIL LESTE</t>
  </si>
  <si>
    <t>SALA C - TERREA</t>
  </si>
  <si>
    <t>CSJ CONSULTORIA LTDA</t>
  </si>
  <si>
    <t>SALA 1202</t>
  </si>
  <si>
    <t>CTF TECHNOLOGIES DO BRASIL LTDA</t>
  </si>
  <si>
    <t>CTF</t>
  </si>
  <si>
    <t>VL HAMBURGUESA</t>
  </si>
  <si>
    <t>CTG BRASIL NEGOCIOS DE ENERGIA LTDA</t>
  </si>
  <si>
    <t>ANDAR 2 SALA 03</t>
  </si>
  <si>
    <t>CTIS TECNOLOGIA LTDA</t>
  </si>
  <si>
    <t>SCS QD 8, BLOCO B</t>
  </si>
  <si>
    <t>LOJA 14 SUBSL 2</t>
  </si>
  <si>
    <t>CTR - COMERCIO E TRANSPORTE DE RECICLAVEIS LTDA</t>
  </si>
  <si>
    <t>Comércio atacadista de combustíveis de origem vegetal, exceto álcool carburante</t>
  </si>
  <si>
    <t>BR 494 - KM 18,1</t>
  </si>
  <si>
    <t>CTU - CENTRO DE TECNOLOGIA E USINAGEM LTDA</t>
  </si>
  <si>
    <t>WIRECUT FERRAMENTARIA</t>
  </si>
  <si>
    <t>DOM AGUIRRE</t>
  </si>
  <si>
    <t>SALA 5</t>
  </si>
  <si>
    <t>CUMMINS BRASIL LIMITADA</t>
  </si>
  <si>
    <t>Fabricação de motores para caminhões e ônibus</t>
  </si>
  <si>
    <t>JATI</t>
  </si>
  <si>
    <t>CURADEN SWISS DO BRASIL - IMPORTACAO E EXPORTACAO LTDA.</t>
  </si>
  <si>
    <t>DAS LAGRIMAS</t>
  </si>
  <si>
    <t>CURY CONSTRUTORA E INCORPORADORA S.A.</t>
  </si>
  <si>
    <t>ANDAR 13 CONJ 132 D</t>
  </si>
  <si>
    <t>CVC BRASIL OPERADORA E AGENCIA DE VIAGENS S.A.</t>
  </si>
  <si>
    <t>CATEQUESE</t>
  </si>
  <si>
    <t>ANDAR 11 SALA 111</t>
  </si>
  <si>
    <t>CVI REFRIGERANTES LTDA</t>
  </si>
  <si>
    <t>Fabricação de refrigerantes</t>
  </si>
  <si>
    <t>BR-287</t>
  </si>
  <si>
    <t>KM 250</t>
  </si>
  <si>
    <t>AGRO-INDUSTRIAL</t>
  </si>
  <si>
    <t>CWBCARE PRODUTOS MEDICO HOSPITALARES LTDA</t>
  </si>
  <si>
    <t>CWBCARE</t>
  </si>
  <si>
    <t>GOUBER PINTO DIONISIO</t>
  </si>
  <si>
    <t>CYBERGLASS INDUSTRIA E COMERCIO DE VIDROS LTDA.</t>
  </si>
  <si>
    <t>Fabricação de artigos de vidro</t>
  </si>
  <si>
    <t>ANEXO 1268</t>
  </si>
  <si>
    <t>CYLINDER COMERCIO E SERVICOS LTDA</t>
  </si>
  <si>
    <t>GUIOMAR DA ROCHA</t>
  </si>
  <si>
    <t>CASA VERDE MEDIA</t>
  </si>
  <si>
    <t>CYRELA BRAZIL REALTY S.A. EMPREENDIMENTOS E PARTICIPACOES</t>
  </si>
  <si>
    <t>ANDAR 2 SALA 01 - PARTE</t>
  </si>
  <si>
    <t>D AQUINO INDUSTRIA E COMERCIO DE MOVEIS HOSPITALARES LTDA</t>
  </si>
  <si>
    <t>MARIA DA GRACA BOTINI TAVARES</t>
  </si>
  <si>
    <t>DISTRITO INDUSTRIAL E COMERCIAL ARIOSTO BRUSCHETTA</t>
  </si>
  <si>
    <t>BILAC</t>
  </si>
  <si>
    <t>D BERLATO &amp; CIA LTDA</t>
  </si>
  <si>
    <t>DGB PRODUTOS PARA SAUDE</t>
  </si>
  <si>
    <t>CEL NIEDERAUER</t>
  </si>
  <si>
    <t>D C S VASCONCELOS</t>
  </si>
  <si>
    <t>VILA OLIMPIA DISTRIBUIDORA</t>
  </si>
  <si>
    <t>LUIZ BARBOSA</t>
  </si>
  <si>
    <t>CARANAZAL</t>
  </si>
  <si>
    <t>SANTAREM</t>
  </si>
  <si>
    <t>D.N. COMERCIO E SERVICOS EM SEGURANCA E INTELIGENCIA LTDA</t>
  </si>
  <si>
    <t>MONTE EBAL</t>
  </si>
  <si>
    <t>COLINA DE LARANJEIRAS</t>
  </si>
  <si>
    <t>SERRA</t>
  </si>
  <si>
    <t>D'AGOSTINI INDUSTRIA DE CONCRETO LTDA</t>
  </si>
  <si>
    <t>D'AGOSTINI INDUSTRIA DE CONCRETO</t>
  </si>
  <si>
    <t>Fabricação de artefatos de cimento para uso na construção</t>
  </si>
  <si>
    <t>MARTIM FELIX BERTA</t>
  </si>
  <si>
    <t>MARIO QUINTANA</t>
  </si>
  <si>
    <t>D&amp;I COMERCIO DE EQUIPAMENTOS MEDICOS LTDA</t>
  </si>
  <si>
    <t>D &amp; I DISPOSITIVOS E INOVACAO HOSPITALAR</t>
  </si>
  <si>
    <t>ANDROMEDA</t>
  </si>
  <si>
    <t>SALA 2416 E 2417 BCO</t>
  </si>
  <si>
    <t>GREEN VALLEY ALPHAVILLE</t>
  </si>
  <si>
    <t>DABASONS IMPORTACAO EXPORTACAO E COMERCIO LTDA</t>
  </si>
  <si>
    <t>PEIXOTO GOMIDE</t>
  </si>
  <si>
    <t>CONJ 21 A 26 34 A 36 E 74</t>
  </si>
  <si>
    <t>DACOR SPORTS LTDA</t>
  </si>
  <si>
    <t>DACOR SPORTS</t>
  </si>
  <si>
    <t>DAE SA - AGUA E ESGOTO</t>
  </si>
  <si>
    <t>DAE</t>
  </si>
  <si>
    <t>ALEXANDRE LUDKE</t>
  </si>
  <si>
    <t>VILA BANDEIRANTES</t>
  </si>
  <si>
    <t>DAEV S.A.</t>
  </si>
  <si>
    <t>OROZIMBO MAIA</t>
  </si>
  <si>
    <t>VILA SONIA</t>
  </si>
  <si>
    <t>DAF CAMINHOES BRASIL INDUSTRIA LTDA.</t>
  </si>
  <si>
    <t>DAF BRASIL</t>
  </si>
  <si>
    <t>Fabricação de caminhões e ônibus</t>
  </si>
  <si>
    <t>SENADOR FLAVIO CARVALHO GUIMARAES</t>
  </si>
  <si>
    <t>PONTA GROSSA</t>
  </si>
  <si>
    <t>DAG APARELHOS CIENTIFICOS LTDA</t>
  </si>
  <si>
    <t>PETRODIDATICA</t>
  </si>
  <si>
    <t>SANTA RITA</t>
  </si>
  <si>
    <t>VILA NOVA BONSUCESSO</t>
  </si>
  <si>
    <t>DAGAN INDUSTRIA E COMERCIO DE PRODUTOS SIDERURGICOS LTDA</t>
  </si>
  <si>
    <t>JULIA GAIOLLI</t>
  </si>
  <si>
    <t>ANEXO OFICIAL 1440</t>
  </si>
  <si>
    <t>DAIKIN AR CONDICIONADO BRASIL LTDA.</t>
  </si>
  <si>
    <t>VITAL BRASIL</t>
  </si>
  <si>
    <t>BLOCO 02 TORRE EUROPA</t>
  </si>
  <si>
    <t>DAMAEQ DAVILLA INDUSTRIA MECANICA DE MAQUINAS LTDA</t>
  </si>
  <si>
    <t>DAMAEQ</t>
  </si>
  <si>
    <t>DAMATA SOLAR COMERCIAL E SERVICOS LTDA</t>
  </si>
  <si>
    <t>BRASILIA MARCONDES BUARQUE</t>
  </si>
  <si>
    <t>LOJA SALA 03</t>
  </si>
  <si>
    <t>JAGUARE</t>
  </si>
  <si>
    <t>DANCOR S A INDUSTRIA MECANICA</t>
  </si>
  <si>
    <t>BOMBAS DANCOR</t>
  </si>
  <si>
    <t>DANFOSS DO BRASIL INDUSTRIA E COMERCIO LTDA</t>
  </si>
  <si>
    <t>AMERICO VESPUCIO</t>
  </si>
  <si>
    <t>JARDIM PLATINA</t>
  </si>
  <si>
    <t>DANG CONSTRUTORA DE OBRAS LTDA</t>
  </si>
  <si>
    <t>HEITOR STOCKLER DE FRANCA</t>
  </si>
  <si>
    <t>CONJ 2107 ANDAR 21 COND NEO SUPER QUADRA ED BLOCO NEO SUPER QUADRA TOR</t>
  </si>
  <si>
    <t>DANIEL BALEIRO CAMPOS</t>
  </si>
  <si>
    <t>DJ SOLUCOES E SERVICOS</t>
  </si>
  <si>
    <t>JOVIANIA</t>
  </si>
  <si>
    <t>CASA F</t>
  </si>
  <si>
    <t>DANMERO COMERCIO DE APARELHOS E MAQUINAS LTDA</t>
  </si>
  <si>
    <t>Comércio atacadista de máquinas e equipamentos para uso comercial; partes e peças</t>
  </si>
  <si>
    <t>COMENDADOR PINTO</t>
  </si>
  <si>
    <t>CAMPINHO</t>
  </si>
  <si>
    <t>DANONE LTDA</t>
  </si>
  <si>
    <t>Fabricação de laticínios</t>
  </si>
  <si>
    <t>ANDAR 21 CONJ 211 EDIF SAO LUIS GONZAGA</t>
  </si>
  <si>
    <t>DANTAS COMERCIO, REPRESENTACOES E SERVICOS LTDA</t>
  </si>
  <si>
    <t>DANTAS COMERCIO</t>
  </si>
  <si>
    <t>Representantes comerciais e agentes do comércio de produtos alimentícios, bebidas e fumo</t>
  </si>
  <si>
    <t>DO MURUTUCUM, KM 04, GP ADMINISTRATIVO, TERREO</t>
  </si>
  <si>
    <t>CURIO-UTINGA</t>
  </si>
  <si>
    <t>DAOMING BRASIL TECIDOS E FILMES REFLETIVOS LTDA</t>
  </si>
  <si>
    <t>DM IMPRESSOES</t>
  </si>
  <si>
    <t>AFONSO ERNESTO PAULO TANNERT</t>
  </si>
  <si>
    <t>DARPEX IMPORT HOME OFFICE SOLUTION LTDA</t>
  </si>
  <si>
    <t>DARPEX IMPORT HOME OFFICE SOLUTION EIRELI</t>
  </si>
  <si>
    <t>Comércio varejista de equipamentos para escritório</t>
  </si>
  <si>
    <t>LEOLINCE</t>
  </si>
  <si>
    <t>QUADRA28 LOTE 8 CASA 1</t>
  </si>
  <si>
    <t>PARQUE ESTRELA DALVA I</t>
  </si>
  <si>
    <t>LUZIANIA</t>
  </si>
  <si>
    <t>DASSAULT SYSTEMES DO BRASIL LTDA</t>
  </si>
  <si>
    <t>JORNALISTA ROBERTO MARINHO</t>
  </si>
  <si>
    <t>ANDAR 13 CONJ 131 TOWER BRIDGE CORP.</t>
  </si>
  <si>
    <t>DATA ENGENHARIA LTDA</t>
  </si>
  <si>
    <t>Manutenção e reparação de geradores, transformadores e motores elétricos</t>
  </si>
  <si>
    <t>SAO JUDAS TADEU</t>
  </si>
  <si>
    <t>SARZEDO</t>
  </si>
  <si>
    <t>DATAINFO SOLUCOES EM TECNOLOGIA DA INFORMACAO LTDA</t>
  </si>
  <si>
    <t>REPUBLICA ARGENTINA</t>
  </si>
  <si>
    <t>PONTA AGUDA</t>
  </si>
  <si>
    <t>DATAMED LTDA</t>
  </si>
  <si>
    <t>JOSE CLAUDIO SANCHES</t>
  </si>
  <si>
    <t>DATASONIC INDUSTRIA E DISTRIBUICAO DE ELETRONICOS LTDA</t>
  </si>
  <si>
    <t>DATASONIC</t>
  </si>
  <si>
    <t>Fabricação de equipamentos de informática</t>
  </si>
  <si>
    <t>QUINTINO BOCAIUVA</t>
  </si>
  <si>
    <t>CAMPINA GRANDE</t>
  </si>
  <si>
    <t>PB</t>
  </si>
  <si>
    <t>DATEN TECNOLOGIA LTDA</t>
  </si>
  <si>
    <t>DATEN TECNOLOGIA</t>
  </si>
  <si>
    <t>ILHEUS-URUCUCA</t>
  </si>
  <si>
    <t>BA 262</t>
  </si>
  <si>
    <t>KM 3.5</t>
  </si>
  <si>
    <t>IGUAPE</t>
  </si>
  <si>
    <t>ILHEUS</t>
  </si>
  <si>
    <t>DAUS INDUSTRIA DE ALIMENTOS S.A.</t>
  </si>
  <si>
    <t>DAUS</t>
  </si>
  <si>
    <t>CONTORNO</t>
  </si>
  <si>
    <t>QUADRA35 LOTE 10/11</t>
  </si>
  <si>
    <t>SETOR CENTRAL, DISTRITO OUROANA</t>
  </si>
  <si>
    <t>DAVITA BRASIL PARTICIPACOES E SERVICOS DE NEFROLOGIA LTDA.</t>
  </si>
  <si>
    <t xml:space="preserve"> LOT 1 PAL 46742 SAL 501 504 601 602 603 E 604</t>
  </si>
  <si>
    <t>DAVOP COMERCIAL LTDA</t>
  </si>
  <si>
    <t>COMERCIAL PEDROSO</t>
  </si>
  <si>
    <t>MARSELHA</t>
  </si>
  <si>
    <t>DAX ENERGY EQUIPAMENTOS E SISTEMAS LTDA</t>
  </si>
  <si>
    <t>DAX ENERGY</t>
  </si>
  <si>
    <t>RUA JOAO MALAQUIAS</t>
  </si>
  <si>
    <t>LAGOINHA</t>
  </si>
  <si>
    <t>MANDIRITUBA</t>
  </si>
  <si>
    <t>DBA INDUSTRIA E COMERCIO DE EQUIPAMENTOS RODOVIARIOS LTDA</t>
  </si>
  <si>
    <t>DBA INDUSTRIA E COMERCIO</t>
  </si>
  <si>
    <t>Comércio atacadista especializado de materiais de construção não especificados anteriormente</t>
  </si>
  <si>
    <t>PASTOR WILLIAN RICHARD SCHISLER FILHO</t>
  </si>
  <si>
    <t>LOJA 05</t>
  </si>
  <si>
    <t>ITACORUBI</t>
  </si>
  <si>
    <t>DC MELO PRESTACAO DE SERVICOS LTDA</t>
  </si>
  <si>
    <t>DC SERVICE</t>
  </si>
  <si>
    <t>PAN AMERICANA</t>
  </si>
  <si>
    <t xml:space="preserve"> LOJ F</t>
  </si>
  <si>
    <t>DDA CONSTRUTORA LTDA</t>
  </si>
  <si>
    <t>DDA CONSTRUTORA</t>
  </si>
  <si>
    <t>BUQUIRA</t>
  </si>
  <si>
    <t>VILA BARUEL</t>
  </si>
  <si>
    <t>DDC SERVICOS E PRODUTOS HOSPITALARES LTDA</t>
  </si>
  <si>
    <t>DDC HOSPITALAR</t>
  </si>
  <si>
    <t>P17</t>
  </si>
  <si>
    <t>QUADRAP72 LOTE 03</t>
  </si>
  <si>
    <t>SET DOS FUNCIONARIOS</t>
  </si>
  <si>
    <t>DE NIGRIS DISTRIBUIDORA DE VEICULOS LTDA</t>
  </si>
  <si>
    <t>OTAVIANO ALVES DE LIMA</t>
  </si>
  <si>
    <t>DEAL ASSESSORIA E CONSULTORIA LTDA</t>
  </si>
  <si>
    <t>DEAL ASSESSORIA E CONSULTORIA</t>
  </si>
  <si>
    <t>ESTEVES JUNIOR</t>
  </si>
  <si>
    <t>CRUZEIRO DO SUL</t>
  </si>
  <si>
    <t>DEALER SERVICOS INDUSTRIAIS LTDA</t>
  </si>
  <si>
    <t>DEALER GROUP BRASIL</t>
  </si>
  <si>
    <t>ANDAR 7 SALA 71 E 72</t>
  </si>
  <si>
    <t>DECA INDUSTRIA E COMERCIO DE MATERIAIS SANITARIOS LTDA</t>
  </si>
  <si>
    <t>Fabricação de material sanitário de cerâmica</t>
  </si>
  <si>
    <t>HONORATO SPIANDORIN</t>
  </si>
  <si>
    <t>COLONIA</t>
  </si>
  <si>
    <t>DECATRON AUTOMACAO E TECNOLOGIA DE INFORMACAO LTDA</t>
  </si>
  <si>
    <t>2666327.2</t>
  </si>
  <si>
    <t>DOS BANDEIRANTES</t>
  </si>
  <si>
    <t xml:space="preserve"> SAL 0301 SAL 0312 SA L 0313</t>
  </si>
  <si>
    <t>DED SERVICE LTDA</t>
  </si>
  <si>
    <t>DED SERVICE</t>
  </si>
  <si>
    <t>FIDELIS FERRARI</t>
  </si>
  <si>
    <t>GALPAOAV. JONAS SIMONASSI ANEXO VILA TREVISO SALA 1</t>
  </si>
  <si>
    <t>CASTELO BRANCO</t>
  </si>
  <si>
    <t>COLATINA</t>
  </si>
  <si>
    <t>DEFFENZA SEGURANCA ELETRONICA LTDA</t>
  </si>
  <si>
    <t>DEFFENZA SEGURANCA ELETRONICA</t>
  </si>
  <si>
    <t>BANDEIRANTES</t>
  </si>
  <si>
    <t>NOVA BANDEIRANTES</t>
  </si>
  <si>
    <t>DELFAR DIAGNOSTICOS LTDA</t>
  </si>
  <si>
    <t>DELFAR</t>
  </si>
  <si>
    <t>Manutenção e reparação de aparelhos eletromédicos e eletroterapêuticos e equipamentos de irradiação</t>
  </si>
  <si>
    <t>MORADA NOVA (JANGURUSSU)</t>
  </si>
  <si>
    <t xml:space="preserve"> B</t>
  </si>
  <si>
    <t>JANGURUSSU</t>
  </si>
  <si>
    <t>DELGA INDUSTRIA E COMERCIO S/A</t>
  </si>
  <si>
    <t>ALVARES CABRAL</t>
  </si>
  <si>
    <t>SERRARIA</t>
  </si>
  <si>
    <t>DELL COMPUTADORES DO BRASIL LTDA</t>
  </si>
  <si>
    <t>INDUSTRIAL BELGRAF</t>
  </si>
  <si>
    <t>ELDORADO DO SUL</t>
  </si>
  <si>
    <t>DELL COSMETICOS LTDA</t>
  </si>
  <si>
    <t>JACOB JORGE ABI RACHED</t>
  </si>
  <si>
    <t>3O DISTRITO INDUSTRIAL (VIRGILIO OMETTO PAVAN)</t>
  </si>
  <si>
    <t>DELLAMED S.A.</t>
  </si>
  <si>
    <t>HENRIQUE RECH (LOT SANVITTO II)</t>
  </si>
  <si>
    <t>DELOITTE TOUCHE TOHMATSU CONSULTORES LTDA.</t>
  </si>
  <si>
    <t>DELOITTE CONSULTING</t>
  </si>
  <si>
    <t>ANDAR 12 EDIF MORUMBI CORPORATE BLOCO GOLDEN TOWER TORRE A</t>
  </si>
  <si>
    <t>DELTA PLUS BRASIL PARTICIPACOES LTDA.</t>
  </si>
  <si>
    <t>BARAO DO PIRAI</t>
  </si>
  <si>
    <t>VILA LUCIA</t>
  </si>
  <si>
    <t>DELTRONIX EQUIPAMENTOS LTDA</t>
  </si>
  <si>
    <t>DELTRONIX MEDICAL DEVICES</t>
  </si>
  <si>
    <t>VILA TIBERIO</t>
  </si>
  <si>
    <t>DENSO DO BRASIL LTDA</t>
  </si>
  <si>
    <t>DENSO</t>
  </si>
  <si>
    <t>JOAO CHEDE</t>
  </si>
  <si>
    <t>DENTAL BELIA LTDA</t>
  </si>
  <si>
    <t>DENTAL BELIA</t>
  </si>
  <si>
    <t>MANOEL CESARIO</t>
  </si>
  <si>
    <t>CAPOEIRA</t>
  </si>
  <si>
    <t>AC</t>
  </si>
  <si>
    <t>DENTAL CLEAN LTDA</t>
  </si>
  <si>
    <t>DENTAL CLEAN</t>
  </si>
  <si>
    <t>Atividade odontológica</t>
  </si>
  <si>
    <t>ESPERIDIAO RODRIGUES</t>
  </si>
  <si>
    <t>ARAPIRACA</t>
  </si>
  <si>
    <t>DENTAL COMERCIO DE PRODUTOS ODONTO-MEDICOS LTDA</t>
  </si>
  <si>
    <t>ISMAEL ALONSO Y ALONSO - DR</t>
  </si>
  <si>
    <t>DENTAL MARIA LTDA</t>
  </si>
  <si>
    <t>ERE</t>
  </si>
  <si>
    <t>SALA: 304;</t>
  </si>
  <si>
    <t>PRADO</t>
  </si>
  <si>
    <t>DENTAL MED SUL ARTIGOS ODONTOLOGICOS LTDA</t>
  </si>
  <si>
    <t>TAVARES DE LYRA</t>
  </si>
  <si>
    <t>BRCAO 01</t>
  </si>
  <si>
    <t>INA</t>
  </si>
  <si>
    <t>DENTAL PRIME - PRODUTOS ODONTOLOGICOS MEDICOS HOSPITALARES LTDA</t>
  </si>
  <si>
    <t>DENTAL PRIME</t>
  </si>
  <si>
    <t>OSORIO DUQUE-ESTRADA</t>
  </si>
  <si>
    <t>DENTAL SORRIA LTDA</t>
  </si>
  <si>
    <t>EXPRESSA DE CONTAGEM</t>
  </si>
  <si>
    <t>GALPAO01 MODULO E</t>
  </si>
  <si>
    <t>DENTARIA E CIRURGICA MERCOSUL LTDA</t>
  </si>
  <si>
    <t>DENTARIA E CIRURGICA MERCOSUL</t>
  </si>
  <si>
    <t>DENTEMED EQUIPAMENTOS ODONTOLOGICOS LTDA</t>
  </si>
  <si>
    <t>DENTEMED EQUIPAMENTOS ODONTOLOGICOS</t>
  </si>
  <si>
    <t>ANTONIO GRAVATA</t>
  </si>
  <si>
    <t>BETANIA</t>
  </si>
  <si>
    <t>DENTSCLER INDUSTRIA DE APARELHOS ODONTOLOGICOS LTDA</t>
  </si>
  <si>
    <t>BASILIO DA GAMA</t>
  </si>
  <si>
    <t>VILA ALBERTINA</t>
  </si>
  <si>
    <t>DEPARTAMENTO AUTONOMO DE AGUA E ESGOTO</t>
  </si>
  <si>
    <t>DAAE</t>
  </si>
  <si>
    <t>Órgão Público do Poder Executivo Municipal</t>
  </si>
  <si>
    <t xml:space="preserve"> 0IT0 A</t>
  </si>
  <si>
    <t>DOMINGOS BARBIERI</t>
  </si>
  <si>
    <t>FONTE</t>
  </si>
  <si>
    <t>DEPARTAMENTO DE AGUA E ESGOTO</t>
  </si>
  <si>
    <t>D A E</t>
  </si>
  <si>
    <t>DOS ESTUDANTES</t>
  </si>
  <si>
    <t>VILA CORDENOONSI</t>
  </si>
  <si>
    <t>PADRE JOAO</t>
  </si>
  <si>
    <t>11-25</t>
  </si>
  <si>
    <t>VILA SANTA TEREZA</t>
  </si>
  <si>
    <t>DEPARTAMENTO DE AGUA E ESGOTOS DE RIBEIRAO PRETO</t>
  </si>
  <si>
    <t>DAERP</t>
  </si>
  <si>
    <t>AMADOR BUENO</t>
  </si>
  <si>
    <t>DEPARTAMENTO ESTADUAL DE TRANSITO - DETRAN - TO</t>
  </si>
  <si>
    <t>DETRAN</t>
  </si>
  <si>
    <t>QDR ACSU NO 50, CONJ. 02</t>
  </si>
  <si>
    <t>SETOR NORTE</t>
  </si>
  <si>
    <t>DEPARTAMENTO MUNICIPAL DE AGUA E ESGOTO</t>
  </si>
  <si>
    <t>DESCARPACK DESCARTAVEIS DO BRASIL LTDA</t>
  </si>
  <si>
    <t>QUADRA1649 TORRE A CONJ 82 EDIF EZ TOWERS</t>
  </si>
  <si>
    <t>DESCARTEE - INDUSTRIA E COMERCIO DE ROUPAS DESCARTAVEIS LTDA</t>
  </si>
  <si>
    <t>ALTO BELO</t>
  </si>
  <si>
    <t>VILA ANTONIETA</t>
  </si>
  <si>
    <t>DESEMATEC MOVEIS HOSPITALARES LTDA</t>
  </si>
  <si>
    <t>DESEMATEC MOVEIS HOSPITALARES</t>
  </si>
  <si>
    <t>VALE DO SELKE GRANDE</t>
  </si>
  <si>
    <t>GALPAO01 AO 05</t>
  </si>
  <si>
    <t>DESENTUPIDORA AQUARELLA LTDA</t>
  </si>
  <si>
    <t>JAVAES</t>
  </si>
  <si>
    <t>DESENTUPIDORA JUPITER CG LTDA</t>
  </si>
  <si>
    <t>VILA PENTEADO</t>
  </si>
  <si>
    <t>DESENVOLVE TECNOLOGIA, TREINAMENTO E GESTAO POR RESULTADO PARA ADMINISTRACAO PUBLICA LTDA</t>
  </si>
  <si>
    <t>DESENVOLVE - TRIBUTACAO MUNICIPAL SUSTENTAVEL</t>
  </si>
  <si>
    <t>EQUADOR</t>
  </si>
  <si>
    <t xml:space="preserve"> BLC 003 SAL 0913</t>
  </si>
  <si>
    <t>SANTO CRISTO</t>
  </si>
  <si>
    <t>DESINTEC - SERVICOS TECNICOS LTDA</t>
  </si>
  <si>
    <t>DOS COMERCIARIOS</t>
  </si>
  <si>
    <t>CIDADE VARGAS</t>
  </si>
  <si>
    <t>DESKTOP S.A.</t>
  </si>
  <si>
    <t>DESKTOP</t>
  </si>
  <si>
    <t>AMPELIO GAZZETTA</t>
  </si>
  <si>
    <t>ENGENHO NOVO</t>
  </si>
  <si>
    <t>NOVA ODESSA</t>
  </si>
  <si>
    <t>DESTRA BRASIL LTDA</t>
  </si>
  <si>
    <t>DESTRA BRASIL</t>
  </si>
  <si>
    <t>DA INDEPENDENCIA</t>
  </si>
  <si>
    <t>CAMBUCI</t>
  </si>
  <si>
    <t>DEVANT CARE COMERCIAL LTDA</t>
  </si>
  <si>
    <t>OSWALDO COLLINO</t>
  </si>
  <si>
    <t>908-B</t>
  </si>
  <si>
    <t>ANDAR 1 SALA 01 E 02</t>
  </si>
  <si>
    <t>PRESIDENTE ALTINO</t>
  </si>
  <si>
    <t>DEVECK CONSTRUTORA E INCORPORADORA LTDA</t>
  </si>
  <si>
    <t>ANA PEREIRA MELO</t>
  </si>
  <si>
    <t>ANDAR 14 CONJ 1403</t>
  </si>
  <si>
    <t>VILA CAMPESINA</t>
  </si>
  <si>
    <t>DEXCO S.A</t>
  </si>
  <si>
    <t>Fabricação de madeira laminada e de chapas de madeira compensada, prensada e aglomerada</t>
  </si>
  <si>
    <t>ANDAR 5</t>
  </si>
  <si>
    <t>ANTONIO FREDERICO OZANAN</t>
  </si>
  <si>
    <t>DF IMPORTACAO E EXPORTACAO DE PRODUTOS PARA SAUDE LTDA</t>
  </si>
  <si>
    <t>DENTAL DF</t>
  </si>
  <si>
    <t>CONJ 04 LOTE 12 CIDADE DO AUTOMOVEL</t>
  </si>
  <si>
    <t>DF TURISMO E EVENTOS LTDA</t>
  </si>
  <si>
    <t>DF TURISMO E EVENTOS</t>
  </si>
  <si>
    <t>SRTVS QD 701 CENTRO EMPRESARIAL ASSIS CHATEAUBRIAND CJ L BL</t>
  </si>
  <si>
    <t>SALA 615 E 617</t>
  </si>
  <si>
    <t>DFL IMPORTACAO &amp; EXPORTACAO LTDA</t>
  </si>
  <si>
    <t>RACING GERMAN PARTS</t>
  </si>
  <si>
    <t>OCTAVIANO ALVES DE LIMA</t>
  </si>
  <si>
    <t>DFTEK COMERCIO E SERVICOS LTDA</t>
  </si>
  <si>
    <t>DFTEK ENGENHARIA</t>
  </si>
  <si>
    <t>SPLM CONJUNTO 7 LOTE 4</t>
  </si>
  <si>
    <t>LOJA LOJA</t>
  </si>
  <si>
    <t>SETOR PLACA DA MERCEDES (NUCLEO BANDEIRANTE)</t>
  </si>
  <si>
    <t>DGS INDUSTRIAL LTDA</t>
  </si>
  <si>
    <t>Construção de embarcações para uso comercial e para usos especiais, exceto de grande porte</t>
  </si>
  <si>
    <t>BENEDITO OTTONI</t>
  </si>
  <si>
    <t>62/64</t>
  </si>
  <si>
    <t>GALPAO4 - PARTE</t>
  </si>
  <si>
    <t>DHMED PRODUTOS E SERVICOS HOSPITALARES LTDA</t>
  </si>
  <si>
    <t>DHMED PRO</t>
  </si>
  <si>
    <t>SENADOR SALGADO FILHO</t>
  </si>
  <si>
    <t>SALA 379</t>
  </si>
  <si>
    <t>QUERENCIA</t>
  </si>
  <si>
    <t>VIAMAO</t>
  </si>
  <si>
    <t>DI BARTOLOMEO SERVICOS LTDA</t>
  </si>
  <si>
    <t>DI BARTOLOMEO</t>
  </si>
  <si>
    <t>CONJ 43</t>
  </si>
  <si>
    <t>DIAG SUL COMERCIAL LTDA</t>
  </si>
  <si>
    <t>DIAG SUL PRODUTOS PARA LABORATORIOS</t>
  </si>
  <si>
    <t>ORLANDO BRANDAO</t>
  </si>
  <si>
    <t>ANO BOM</t>
  </si>
  <si>
    <t>DIAL COMERCIO E SERVICOS EMPRESARIAIS LTDA</t>
  </si>
  <si>
    <t>DIAL NETWORK</t>
  </si>
  <si>
    <t>BARAO DO RIO BRANCO</t>
  </si>
  <si>
    <t xml:space="preserve"> SOBRELOJA</t>
  </si>
  <si>
    <t>DIAMIX COMERCIAL LTDA</t>
  </si>
  <si>
    <t>JOAO CABRAL DE MELLO NETO</t>
  </si>
  <si>
    <t>BLOCO 02 SALA 919 920 921</t>
  </si>
  <si>
    <t>DIAS &amp; CARRILLO SERVICOS LTDA</t>
  </si>
  <si>
    <t>LR MANUTENO PREDIAL</t>
  </si>
  <si>
    <t>JOSE GENIOLLI</t>
  </si>
  <si>
    <t>JARDIM CASABLANCA</t>
  </si>
  <si>
    <t>DIASORIN LTDA.</t>
  </si>
  <si>
    <t>ANDAR 13 CONJ 131 EDIF LOS ANGELES</t>
  </si>
  <si>
    <t>DICAPEL PAPEIS E EMBALAGENS LTDA</t>
  </si>
  <si>
    <t>DICAPEL</t>
  </si>
  <si>
    <t>Comércio atacadista de papel e papelão em bruto</t>
  </si>
  <si>
    <t>TREVO OESTE BR 282</t>
  </si>
  <si>
    <t>TABOAO</t>
  </si>
  <si>
    <t>CAMPOS NOVOS</t>
  </si>
  <si>
    <t>DIFAP - DISTRIBUIDORA DE PECAS AUTOMOTIVAS LTDA</t>
  </si>
  <si>
    <t>DIFAP AUTOMOTIVA</t>
  </si>
  <si>
    <t>CARMINDO DE CAMPOS</t>
  </si>
  <si>
    <t>DOM AQUINO</t>
  </si>
  <si>
    <t>DIGCAP INTERMEDIACAO DE CREDITOS JUDICIAIS LTDA</t>
  </si>
  <si>
    <t>DIGCAP INTERMEDIACAO DE CREDITOS JUDICIAIS</t>
  </si>
  <si>
    <t>CARLOS GOMES</t>
  </si>
  <si>
    <t>SALA 902</t>
  </si>
  <si>
    <t>DIGICON S A CONTROLE ELETRONICO PARA MECANICA</t>
  </si>
  <si>
    <t>NISSIN CASTIEL</t>
  </si>
  <si>
    <t>DIGICROM ANALITICA LTDA</t>
  </si>
  <si>
    <t>DIGIMED</t>
  </si>
  <si>
    <t>DOS MARIANOS</t>
  </si>
  <si>
    <t>DIGISAT TECNOLOGIA LTDA</t>
  </si>
  <si>
    <t>29 DE JULHO</t>
  </si>
  <si>
    <t>SALA 301 401 E 501 EDIF DIGISAT CENTER</t>
  </si>
  <si>
    <t>CONCORDIA</t>
  </si>
  <si>
    <t>DIGITADOC SERVICOS DE INFORMATICA LTDA</t>
  </si>
  <si>
    <t>JAMARIS</t>
  </si>
  <si>
    <t>ANDAR 7 SALA 72</t>
  </si>
  <si>
    <t>PLANALTO PAULISTA</t>
  </si>
  <si>
    <t>DIGITROL INDUSTRIA E COMERCIO LTDA</t>
  </si>
  <si>
    <t>VILA SOFIA</t>
  </si>
  <si>
    <t>DIMASTER - COMERCIO DE PRODUTOS HOSPITALARES LTDA.</t>
  </si>
  <si>
    <t>DIMASTER</t>
  </si>
  <si>
    <t>BR 480</t>
  </si>
  <si>
    <t>DIMED S/A - DISTRIBUIDORA DE MEDICAMENTOS</t>
  </si>
  <si>
    <t>PANVEL FARMACIAS</t>
  </si>
  <si>
    <t>INDUSTRIAL BELGRAFF</t>
  </si>
  <si>
    <t>DIMENSIONAL BRASIL SOLUCOES LTDA</t>
  </si>
  <si>
    <t>DIMENSIONAL</t>
  </si>
  <si>
    <t>ARMANDO RAGONHA</t>
  </si>
  <si>
    <t>VILLAGE LIMEIRA</t>
  </si>
  <si>
    <t>DIMORVAN DAVI MENEGUSSO LTDA</t>
  </si>
  <si>
    <t>MENEGUSSO MAQUINAS</t>
  </si>
  <si>
    <t>ORVALINA OLIVEIRA MELLO</t>
  </si>
  <si>
    <t>DIVINO</t>
  </si>
  <si>
    <t>DINIZ TECNOLOGIA E SOLUCOES LTDA</t>
  </si>
  <si>
    <t>DINIZ TECNOLOGIA E SOLUCOES</t>
  </si>
  <si>
    <t>Construção de estações e redes de telecomunicações</t>
  </si>
  <si>
    <t>MARCOS TOMAZINI</t>
  </si>
  <si>
    <t>COLUMBIA</t>
  </si>
  <si>
    <t>LONDRINA</t>
  </si>
  <si>
    <t>DIONEIA A. MINUZZI LTDA</t>
  </si>
  <si>
    <t>ERNESTO BERGHER</t>
  </si>
  <si>
    <t>SANTA ROSA</t>
  </si>
  <si>
    <t>JAGUARI</t>
  </si>
  <si>
    <t>DIPROM - DISTRIBUIDORA DE PRODUTOS ODONTOLOGICOS E MATERIAIS LTDA</t>
  </si>
  <si>
    <t>DIPROM FARMA</t>
  </si>
  <si>
    <t>LUIZ BARBATO</t>
  </si>
  <si>
    <t>ARISTEU DA COSTA RIOS</t>
  </si>
  <si>
    <t>POUSO ALEGRE</t>
  </si>
  <si>
    <t>DIPROMED COMERCIO E IMPORTACAO LTDA</t>
  </si>
  <si>
    <t>BARTOLOMEU PAES</t>
  </si>
  <si>
    <t>VILA ANASTACIO</t>
  </si>
  <si>
    <t>DIRECAO CONSULTORIA E ENGENHARIA LTDA</t>
  </si>
  <si>
    <t>DESEMBARGADOR JORGE FONTANA</t>
  </si>
  <si>
    <t>SALA 1410</t>
  </si>
  <si>
    <t>BELVEDERE</t>
  </si>
  <si>
    <t>DIRECIONAL ENGENHARIA S/A</t>
  </si>
  <si>
    <t>DOS OTONI</t>
  </si>
  <si>
    <t>DIRETORIO ACADEMICO MARIE CURIE</t>
  </si>
  <si>
    <t>DAMC</t>
  </si>
  <si>
    <t>PROFESSOR ALFREDO BALENA</t>
  </si>
  <si>
    <t>DIRK BERTLEIN 00943623782</t>
  </si>
  <si>
    <t>ABEL PEREIRA MARTINS</t>
  </si>
  <si>
    <t>JOAO PAULO II</t>
  </si>
  <si>
    <t>MATEUS LEME</t>
  </si>
  <si>
    <t>DISAN DISTRIBUIDORA E ATACADISTA NORDESTE LTDA</t>
  </si>
  <si>
    <t>DISAN DISTRIBUIDORA</t>
  </si>
  <si>
    <t>FEIRA DE SANTANA</t>
  </si>
  <si>
    <t>IBIRAPUERA</t>
  </si>
  <si>
    <t>VITORIA DA CONQUISTA</t>
  </si>
  <si>
    <t>DISBRAL DISTRIBUIDORA BRASILEIRA LTDA</t>
  </si>
  <si>
    <t>DISBRAL</t>
  </si>
  <si>
    <t>Comércio atacadista de artigos de escritório e de papelaria</t>
  </si>
  <si>
    <t>LEOVEGILDO COELHO</t>
  </si>
  <si>
    <t>DISMOTOR COMERCIO DE MOTORES ELETRICOS LTDA</t>
  </si>
  <si>
    <t>DR. ALBERTO FRANCO LAMUNIER</t>
  </si>
  <si>
    <t>PARQUE VIA NORTE</t>
  </si>
  <si>
    <t>DIST CENTRO OESTE DE MEDICAMENTOS LTDA</t>
  </si>
  <si>
    <t>DISTRIMED</t>
  </si>
  <si>
    <t>MG 050 KM 241</t>
  </si>
  <si>
    <t>AREA DESCARACTERIZADA</t>
  </si>
  <si>
    <t>PIMENTA</t>
  </si>
  <si>
    <t>DISTRIBUIDORA CAETANO LTDA</t>
  </si>
  <si>
    <t>DISTRIBUIDORA CAETANO</t>
  </si>
  <si>
    <t>CAETANO PASSARO FILHO</t>
  </si>
  <si>
    <t>LETRA: A;</t>
  </si>
  <si>
    <t>JARDIM CIDADE NOVA</t>
  </si>
  <si>
    <t>VARGINHA</t>
  </si>
  <si>
    <t>DISTRIBUIDORA CURITIBA DE PAPEIS E LIVROS S/A</t>
  </si>
  <si>
    <t>LIVRARIAS CURITIBA</t>
  </si>
  <si>
    <t>Comércio varejista de livros</t>
  </si>
  <si>
    <t>GENERAL ARNALDO DOS SANTOS</t>
  </si>
  <si>
    <t>DISTRIBUIDORA DE BEBIDAS PASSARELA LTDA</t>
  </si>
  <si>
    <t>OTHON DOS SANTOS MERCADANTE</t>
  </si>
  <si>
    <t>VILA SINHA</t>
  </si>
  <si>
    <t>DISTRIBUIDORA DE PRODUTOS ODONTENOVENSE LTDA</t>
  </si>
  <si>
    <t>DENTAL</t>
  </si>
  <si>
    <t>NOSSA SENHORA DAS GRACAS</t>
  </si>
  <si>
    <t>GUARAPIRANGA</t>
  </si>
  <si>
    <t>DISTRIBUIDORA NANCY LTDA</t>
  </si>
  <si>
    <t>Comércio atacadista de aves abatidas e derivados</t>
  </si>
  <si>
    <t>MARCOS FREIRE</t>
  </si>
  <si>
    <t>PARQUE DAS ARVORES</t>
  </si>
  <si>
    <t>ARARAS</t>
  </si>
  <si>
    <t>DISTRILABOR COMERCIO E SERVICOS PARA LABORATORIO LTDA</t>
  </si>
  <si>
    <t>CARDOSO DE MORAIS</t>
  </si>
  <si>
    <t xml:space="preserve"> APT 201</t>
  </si>
  <si>
    <t>RAMOS</t>
  </si>
  <si>
    <t>DISTRILAF DISTRIBUIDORA DE MEDICAMENTOS LTDA</t>
  </si>
  <si>
    <t>DISTRILAF MEDICAMENTOS</t>
  </si>
  <si>
    <t>ALZIRA FERNANDES DE SOUZA</t>
  </si>
  <si>
    <t>SION</t>
  </si>
  <si>
    <t>CONSELHEIRO LAFAIETE</t>
  </si>
  <si>
    <t>DISTRISUPRI DISTRIBUIDORA E COMERCIO LTDA</t>
  </si>
  <si>
    <t>MAJOR EMIDIO DE CASTRO</t>
  </si>
  <si>
    <t>VILA SANTO ANTONIO</t>
  </si>
  <si>
    <t>DIVENA LITORAL VEICULOS LTDA.</t>
  </si>
  <si>
    <t>MARGINAL DA VIA ANCHIETA</t>
  </si>
  <si>
    <t>ALEMOA</t>
  </si>
  <si>
    <t>DIVERSEY BRASIL INDUSTRIA QUIMICA LTDA</t>
  </si>
  <si>
    <t>DISTRIBUIDORA DE PRODUTOS DE TOILETTE LTDA.</t>
  </si>
  <si>
    <t>NOSSA SENHORA DO SOCORRO</t>
  </si>
  <si>
    <t>DIXMEDICAL PRODUTOS PARA A SAUDE LTDA</t>
  </si>
  <si>
    <t>DIXMEDICAL</t>
  </si>
  <si>
    <t>JOSE RAMON URTIZA</t>
  </si>
  <si>
    <t>VILA ANDRADE</t>
  </si>
  <si>
    <t>DKS PROMOCOES E EVENTOS LTDA</t>
  </si>
  <si>
    <t>DKS EVENTOS</t>
  </si>
  <si>
    <t>ANDAR 7 CONJ 74 EDIF HELBOR OFFICES SP2</t>
  </si>
  <si>
    <t>DKT DO BRASIL PRODUTOS DE USO PESSOAL LTDA</t>
  </si>
  <si>
    <t>ANDAR 13 CONJ 13I - 13J - 13M</t>
  </si>
  <si>
    <t>DLM CONSULTORIA E INFORMATICA LTDA</t>
  </si>
  <si>
    <t>DLM SOLUCOES EM TECNOLOGIA E ARQUIVOS</t>
  </si>
  <si>
    <t>CACHOEIRA</t>
  </si>
  <si>
    <t>VILA INDUSTRIAL</t>
  </si>
  <si>
    <t>DM LICITA ASSESSORIA E CONSULTORIA LTDA</t>
  </si>
  <si>
    <t>DM LICITA</t>
  </si>
  <si>
    <t>SENADOR VIRGILIO TAVORA</t>
  </si>
  <si>
    <t xml:space="preserve"> LOJA 01</t>
  </si>
  <si>
    <t>DMC IMPORTACAO E EXPORTACAO DE EQUIPAMENTOS LTDA.</t>
  </si>
  <si>
    <t>DR. SEBASTIAO DE MORAES</t>
  </si>
  <si>
    <t>PQ.SANTA FELICIA JD.</t>
  </si>
  <si>
    <t>DMDL LTDA</t>
  </si>
  <si>
    <t>VICENTE DE CARVALHO</t>
  </si>
  <si>
    <t>MELVILLE EMPRESARIAL I E II</t>
  </si>
  <si>
    <t>DMX INTERMEDIARY LTDA</t>
  </si>
  <si>
    <t>DMX INTERMEDIARY</t>
  </si>
  <si>
    <t>MITRA, QDA 21 SALA 104</t>
  </si>
  <si>
    <t>RENASCENCA</t>
  </si>
  <si>
    <t>DNA COMERCIO E REPRESENTACOES LTDA</t>
  </si>
  <si>
    <t>DNA ALIMENTOS</t>
  </si>
  <si>
    <t>AGRESTINA</t>
  </si>
  <si>
    <t>VILA JAGUARA</t>
  </si>
  <si>
    <t>DOAL PLASTIC INDUSTRIA E COMERCIO LTDA</t>
  </si>
  <si>
    <t>DOAL PLASTIC</t>
  </si>
  <si>
    <t>DIRCEU DIAS CARNEIRO,</t>
  </si>
  <si>
    <t>DOC MED COMERCIO IMPORTACAO E EXPORTACAO LTDA</t>
  </si>
  <si>
    <t>MERIL DO BRASIL</t>
  </si>
  <si>
    <t>DOS AUTONOMISTAS</t>
  </si>
  <si>
    <t>GALPAOC7</t>
  </si>
  <si>
    <t>KM 18</t>
  </si>
  <si>
    <t>DOHLER AMERICA LATINA LTDA.</t>
  </si>
  <si>
    <t>MIGUEL GUIDOTTI</t>
  </si>
  <si>
    <t>CHACARA BAIANA</t>
  </si>
  <si>
    <t>DOPP SISTEMAS CONSTRUTIVOS DE TANQUES E SILOS S.A.</t>
  </si>
  <si>
    <t>Fabricação de tanques, reservatórios metálicos e caldeiras para aquecimento central</t>
  </si>
  <si>
    <t>TARUMA</t>
  </si>
  <si>
    <t>SALA 02 FUNDOSFUNDOS</t>
  </si>
  <si>
    <t>JARDIM CLAUDIO</t>
  </si>
  <si>
    <t>DORF KETAL BRASIL LTDA.</t>
  </si>
  <si>
    <t>RUA DA PEDREIRA</t>
  </si>
  <si>
    <t>PEDREIRA</t>
  </si>
  <si>
    <t>NOVA SANTA RITA</t>
  </si>
  <si>
    <t>DOTZ S.A.</t>
  </si>
  <si>
    <t>CONJ 161</t>
  </si>
  <si>
    <t>DOW BRASIL INDUSTRIA E COMERCIO DE PRODUTOS QUIMICOS LTDA</t>
  </si>
  <si>
    <t>ANDAR 8 E 9 TORRE B3 CONJ 81 AO84PARTE 91AO94</t>
  </si>
  <si>
    <t>DPSCTECH - RHSCBPO LTDA</t>
  </si>
  <si>
    <t>FERNAO DIAS</t>
  </si>
  <si>
    <t>DRAGER DO BRASIL LTDA</t>
  </si>
  <si>
    <t>PUCURUI</t>
  </si>
  <si>
    <t>CENTRO INDL TAMBORE</t>
  </si>
  <si>
    <t>DRAGER INDUSTRIA E COMERCIO LTDA.</t>
  </si>
  <si>
    <t>CT INDL TAMBORE</t>
  </si>
  <si>
    <t>DRAGER SAFETY DO BRASIL EQUIPAMENTOS DE SEGURANCA LTDA.</t>
  </si>
  <si>
    <t>DRAGER SAFETY DO BRASIL LTDA.</t>
  </si>
  <si>
    <t>CONJ CENTRO EMPRESARIAL</t>
  </si>
  <si>
    <t>DRAGO ESPECIALIDADE PRODUTOS QUIMICOS LTDA</t>
  </si>
  <si>
    <t>DRAGO</t>
  </si>
  <si>
    <t>DE ITU</t>
  </si>
  <si>
    <t>JARDIM ALVORADA</t>
  </si>
  <si>
    <t>DREIFUS AUGUSTUS BOTTURE DE OLIVEIRA</t>
  </si>
  <si>
    <t>GO TWO</t>
  </si>
  <si>
    <t>AGUIA DE HAIA</t>
  </si>
  <si>
    <t>PARQUE PAINEIRAS</t>
  </si>
  <si>
    <t>DRIVE A INFORMATICA LTDA</t>
  </si>
  <si>
    <t>DRIVE A INFORMATICA</t>
  </si>
  <si>
    <t>MATO GROSSO</t>
  </si>
  <si>
    <t>DROGARIA ARAUJO S A</t>
  </si>
  <si>
    <t>DROGARIA BRASIL LTDA</t>
  </si>
  <si>
    <t>DROGARIA BRASIL FILIAL IV</t>
  </si>
  <si>
    <t>SHC/SUL CL QUADRA 302-B BLOCO B LOJA 10</t>
  </si>
  <si>
    <t>DROGARIA SAO PAULO S.A.</t>
  </si>
  <si>
    <t>DROGARIA SAO PAULO</t>
  </si>
  <si>
    <t>DSL BRASIL INCORPORADORA LTDA</t>
  </si>
  <si>
    <t>QUADRA03 LOTE 13 CASA 13 C</t>
  </si>
  <si>
    <t>RESIDENCIAL ATHENAS</t>
  </si>
  <si>
    <t>DSL COMERCIAL LTDA</t>
  </si>
  <si>
    <t>EPPOWER</t>
  </si>
  <si>
    <t>Comércio varejista de bicicletas e triciclos; peças e acessórios</t>
  </si>
  <si>
    <t>COMEN SOUSA</t>
  </si>
  <si>
    <t>DSP - SERVICOS DE VIGILANCIA LTDA</t>
  </si>
  <si>
    <t>DPS SERVCOS DE SEGURANCA LTDA</t>
  </si>
  <si>
    <t>AILTON SIMAS</t>
  </si>
  <si>
    <t>LAURO DE FREITAS</t>
  </si>
  <si>
    <t>DT LEITE CONTADORES, AUDITORES E PERITOS</t>
  </si>
  <si>
    <t>RUA ALMIRANTE BARROSO</t>
  </si>
  <si>
    <t>SANTA ISABEL DO IVAI</t>
  </si>
  <si>
    <t>DT OFFICE - DISTRIBUIDOR DE ELETRONICOS LTDA</t>
  </si>
  <si>
    <t>DT OFFICE</t>
  </si>
  <si>
    <t>DARCI BITENCOURT</t>
  </si>
  <si>
    <t>DTA ENGENHARIA LTDA</t>
  </si>
  <si>
    <t>JERONIMO DA VEIGA</t>
  </si>
  <si>
    <t>ANDAR 16 CONJ 161</t>
  </si>
  <si>
    <t>DUC GAS GASES MEDICINAIS E INDUSTRIAIS LTDA</t>
  </si>
  <si>
    <t>OTACILIO CAMARA</t>
  </si>
  <si>
    <t>LOTE 1032</t>
  </si>
  <si>
    <t>JARDIM PRIMAVERA</t>
  </si>
  <si>
    <t>DUQUE CACHACAS E ENGARRAFADORA LTDA</t>
  </si>
  <si>
    <t>DUQUE CACHACARIA LTDA</t>
  </si>
  <si>
    <t>Fabricação de aguardente de cana-de-açúcar</t>
  </si>
  <si>
    <t>SYLVIA DA SILVA BRAGA</t>
  </si>
  <si>
    <t>JARDIM SANTA MONICA</t>
  </si>
  <si>
    <t>DURAZZO &amp; CIA LTDA</t>
  </si>
  <si>
    <t>ENERPAC DURAZZO</t>
  </si>
  <si>
    <t>QUINTA DE SANTA LUZIA</t>
  </si>
  <si>
    <t>VILA BABY</t>
  </si>
  <si>
    <t>DURO PVC LTDA</t>
  </si>
  <si>
    <t>DURO PVC</t>
  </si>
  <si>
    <t xml:space="preserve"> COM GUAICURUS QUADRA07-A LOTE 01-E LOTES 01/28</t>
  </si>
  <si>
    <t>DVT COMERCIO, IMPORTACAO E EXPORTACAO LTDA</t>
  </si>
  <si>
    <t>DANNY</t>
  </si>
  <si>
    <t>CARMELA DUTRA</t>
  </si>
  <si>
    <t xml:space="preserve"> UNIDADE 02-B CLG</t>
  </si>
  <si>
    <t>JARDIM PRESIDENTE DUTRA</t>
  </si>
  <si>
    <t>LUZIA BALZANI</t>
  </si>
  <si>
    <t>CONJ 1501</t>
  </si>
  <si>
    <t>VILA MOREIRA</t>
  </si>
  <si>
    <t>DYNAPAC DO BRASIL INDUSTRIA E COMERCIO DE MAQUINAS LTDA</t>
  </si>
  <si>
    <t>Fabricação de máquinas e equipamentos para terraplenagem, pavimentação e construção, peças e acessórios, exceto tratores</t>
  </si>
  <si>
    <t>E B CARDOSO LTDA</t>
  </si>
  <si>
    <t>E B SERVICOS GERAIS</t>
  </si>
  <si>
    <t>5376038.5</t>
  </si>
  <si>
    <t>COHAB - GLEBA I, RUA WE 4</t>
  </si>
  <si>
    <t>NOVA MARAMBAIA</t>
  </si>
  <si>
    <t>E TAMUSSINO E CIA LTDA</t>
  </si>
  <si>
    <t xml:space="preserve"> EDIFICIO LIZ EMPRESARIAL SALA 1702</t>
  </si>
  <si>
    <t>DO SENADO</t>
  </si>
  <si>
    <t>E. AZZI AUTOMACAO LTDA</t>
  </si>
  <si>
    <t>JENN ENGENHARIA ELETRICA E AUTOMACAO</t>
  </si>
  <si>
    <t>BENEDICTO CASTILHO DE ANDRADE</t>
  </si>
  <si>
    <t>BLOCO 8 APT 62</t>
  </si>
  <si>
    <t>PARQUE RESIDENCIAL ELOY CHAVES</t>
  </si>
  <si>
    <t>E. R. MARCHIORO LTDA</t>
  </si>
  <si>
    <t>E.B.J. BIO PRAGAS</t>
  </si>
  <si>
    <t>BIO PRAGAS GESTAO AMBIENTAL</t>
  </si>
  <si>
    <t>ARTUR BERNARDES</t>
  </si>
  <si>
    <t>SALA 4</t>
  </si>
  <si>
    <t>JARDIM PRESIDENTE KENNEDY</t>
  </si>
  <si>
    <t>E.E.A. EMPRESA DE ENGENHARIA AMBIENTAL LTDA</t>
  </si>
  <si>
    <t>E E A ENGENHARIA AMBIENTAL</t>
  </si>
  <si>
    <t>15-B</t>
  </si>
  <si>
    <t>VILA BELA VISTA</t>
  </si>
  <si>
    <t>E.R.B. DISTRIBUIDORA E COMERCIAL DE PRODUTOS ALIMENTICIOS LTDA</t>
  </si>
  <si>
    <t>SUPERGYPE</t>
  </si>
  <si>
    <t>Comércio varejista de mercadorias em geral, com predominância de produtos alimentícios - supermercados</t>
  </si>
  <si>
    <t>JOSE CARLOS RODRIGUES</t>
  </si>
  <si>
    <t>UVARANAS</t>
  </si>
  <si>
    <t>E.S.S.A. EMPRESA DE SANEAMENTO E SOLUCOES AMBIENTAIS LTDA</t>
  </si>
  <si>
    <t>ESSA</t>
  </si>
  <si>
    <t>619/49</t>
  </si>
  <si>
    <t>LOTE INDL GRANJA VIANA QUADRAF LT 01/02</t>
  </si>
  <si>
    <t>EAGLEBURGMANN DO BRASIL VEDACOES INDUSTRIAIS LTDA</t>
  </si>
  <si>
    <t>ANTONIO FELAMINGO</t>
  </si>
  <si>
    <t>SALA HOUSTON</t>
  </si>
  <si>
    <t>EASY VOLT BRASIL LTDA</t>
  </si>
  <si>
    <t>EZVOLT BRASIL</t>
  </si>
  <si>
    <t>Serviços de manutenção e reparação elétrica de veículos automotores</t>
  </si>
  <si>
    <t>JOSE DE FIGUEIREDO</t>
  </si>
  <si>
    <t xml:space="preserve"> LOJ 104 BLC 1</t>
  </si>
  <si>
    <t>EATON LTDA</t>
  </si>
  <si>
    <t>ESCRITORIO CENTRAL</t>
  </si>
  <si>
    <t>CLARK</t>
  </si>
  <si>
    <t xml:space="preserve"> PREDIO 54</t>
  </si>
  <si>
    <t>EB BOMBAS E EQUIPAMENTOS INDUSTRIAIS LTDA</t>
  </si>
  <si>
    <t>DOUTOR PLINIO CAMILLO</t>
  </si>
  <si>
    <t>LOTEAMENTO DISTRITO INDUSTRIAL UNINORTE</t>
  </si>
  <si>
    <t>EBARA BOMBAS AMERICA DO SUL LTDA</t>
  </si>
  <si>
    <t>JOAQUIM M DE FIGUEIREDO</t>
  </si>
  <si>
    <t>2 31</t>
  </si>
  <si>
    <t>EBAZAR.COM.BR. LTDA</t>
  </si>
  <si>
    <t>EBAZAR.COM.BR</t>
  </si>
  <si>
    <t>DAS NACOES UNIDAS, 3000</t>
  </si>
  <si>
    <t>LETRA PARTE A</t>
  </si>
  <si>
    <t>EBLOC ENGENHARIA E COMERCIO LTDA</t>
  </si>
  <si>
    <t>HEITOR CHIARELLO</t>
  </si>
  <si>
    <t>JARDIM IRAJA</t>
  </si>
  <si>
    <t>EBP BRASIL CONSULTORIA E ENGENHARIA AMBIENTAL LTDA</t>
  </si>
  <si>
    <t>Atividades técnicas relacionadas à engenharia e arquitetura não especificadas anteriormente</t>
  </si>
  <si>
    <t>ANDAR 16 - ALA A</t>
  </si>
  <si>
    <t>EBS BRASIL SERVICOS LTDA</t>
  </si>
  <si>
    <t>RIBEIRO DE BRITO</t>
  </si>
  <si>
    <t xml:space="preserve"> SALA 1101 CTR EMP IBERBRAS SALA 1102 E 1103</t>
  </si>
  <si>
    <t>BOA VIAGEM</t>
  </si>
  <si>
    <t>EBSX2 COMERCIO E REPRESENTACOES LTDA</t>
  </si>
  <si>
    <t>EBSX2 CONSULTORIA E NEGOCIOS GOVERNAMENTAIS</t>
  </si>
  <si>
    <t>SILVIA BUENO</t>
  </si>
  <si>
    <t>ECCOPOWER SISTEMAS DE ENERGIA IMPORTACAO, EXPORTACAO LTDA</t>
  </si>
  <si>
    <t>ECCOPOWER</t>
  </si>
  <si>
    <t>Fabricação de transformadores, indutores, conversores, sincronizadores e semelhantes, peças e acessórios</t>
  </si>
  <si>
    <t>ONEDA</t>
  </si>
  <si>
    <t>ECEL INDUSTRIA E COMERCIO LTDA</t>
  </si>
  <si>
    <t>ECEL</t>
  </si>
  <si>
    <t>MOGIANA</t>
  </si>
  <si>
    <t>JD. INDEPENDENCIA</t>
  </si>
  <si>
    <t>ECO PRESS LTDA</t>
  </si>
  <si>
    <t>ECO PRESS</t>
  </si>
  <si>
    <t>Impressão de livros, revistas e outras publicações periódicas</t>
  </si>
  <si>
    <t>ALONSO DE VASCONCELOS PACHECO</t>
  </si>
  <si>
    <t>VILA BOCAINA</t>
  </si>
  <si>
    <t>ECOBULK INDUSTRIA E SERVICOS DE PROTECAO AMBIENTAL LTDA</t>
  </si>
  <si>
    <t>LUIZ GIUBBINA</t>
  </si>
  <si>
    <t>LOTEAMENTO INDUSTRIAL NOSSA SENHORA DE FATIMA</t>
  </si>
  <si>
    <t>ECODRIVER SOLUCOES TECNOLOGICAS LTDA</t>
  </si>
  <si>
    <t>ECODRIVER</t>
  </si>
  <si>
    <t>FAGUNDES FILHO</t>
  </si>
  <si>
    <t>VILA MONTE ALEGRE</t>
  </si>
  <si>
    <t>ECOLAB QUIMICA LTDA</t>
  </si>
  <si>
    <t>GUPE</t>
  </si>
  <si>
    <t>GALPAO10.837</t>
  </si>
  <si>
    <t>JARDIM BELVAL</t>
  </si>
  <si>
    <t>ECOLOGICA OXIGENIO LTDA</t>
  </si>
  <si>
    <t>FRANCISCO SCHELLE</t>
  </si>
  <si>
    <t>PARQUE SAO PAULO</t>
  </si>
  <si>
    <t>ECOMASTER COMERCIO IMPORTACAO E EXPORTACAO LTDA - EM RECUPERACAO JUDICIAL</t>
  </si>
  <si>
    <t>ECOMASTER</t>
  </si>
  <si>
    <t>Comércio atacadista de resinas e elastômeros</t>
  </si>
  <si>
    <t>ESTRELA DO OESTE</t>
  </si>
  <si>
    <t>ARMZ A15 SALA 13 A</t>
  </si>
  <si>
    <t>JARDIM SAO GERALDO</t>
  </si>
  <si>
    <t>ECOMED COMERCIO DE PRODUTOS MEDICOS LTDA</t>
  </si>
  <si>
    <t>AUGUSTO SEVERO</t>
  </si>
  <si>
    <t>LOJA A LOJA B APT 105</t>
  </si>
  <si>
    <t>ECONOLAB PRODUTOS PARA LABORATORIO LTDA</t>
  </si>
  <si>
    <t>ECONOLAB COMERCIAL LTDA</t>
  </si>
  <si>
    <t>DONA BRIGIDA</t>
  </si>
  <si>
    <t>ECORODOVIAS INFRAESTRUTURA E LOGISTICA S/A</t>
  </si>
  <si>
    <t>CONJ 31/32</t>
  </si>
  <si>
    <t>ECOSAN TRATAMENTO EM SANEAMENTO LTDA</t>
  </si>
  <si>
    <t>ECOSAN SISTEMAS EM SANEAMENTO</t>
  </si>
  <si>
    <t>DAS MONCOES</t>
  </si>
  <si>
    <t>SALA 94</t>
  </si>
  <si>
    <t>ECOSS AMBIENTAL SERVICOS DE LIMPEZA URBANA - SPE LTDA</t>
  </si>
  <si>
    <t>ECOSS AMBIENTAL</t>
  </si>
  <si>
    <t>ENG ROBERTO ZUCCOLO</t>
  </si>
  <si>
    <t>JARDIM HUMAITA</t>
  </si>
  <si>
    <t>ECOURBIS AMBIENTAL S.A.</t>
  </si>
  <si>
    <t>JOAO FRANCISCO DELMAS</t>
  </si>
  <si>
    <t>ANEXO PREDIO ADMINISTRATIV</t>
  </si>
  <si>
    <t>JARDIM ATLANTICO</t>
  </si>
  <si>
    <t>ECTAS SANEAMENTO S.A.</t>
  </si>
  <si>
    <t>HANS DIETER SCHMIDT</t>
  </si>
  <si>
    <t>ZONA INDUSTRIAL NORTE</t>
  </si>
  <si>
    <t>EDASA ATACADO LTDA</t>
  </si>
  <si>
    <t>PEDRO RODRIGUES DA SILVA</t>
  </si>
  <si>
    <t xml:space="preserve"> P/ CHC 38</t>
  </si>
  <si>
    <t>ESTRELA</t>
  </si>
  <si>
    <t>EDC CONSULTORIA EM ENGENHARIA E RECURSOS HUMANOS S.A.</t>
  </si>
  <si>
    <t>EDC ENGENHARIA</t>
  </si>
  <si>
    <t>ANDAR 11 CONJ SALA 114B</t>
  </si>
  <si>
    <t>EDEL &amp; WHITE BRASIL COSMETICOS LTDA</t>
  </si>
  <si>
    <t>EDEL &amp; WHITE</t>
  </si>
  <si>
    <t>Comércio atacadista de cosméticos e produtos de perfumaria</t>
  </si>
  <si>
    <t>DOS MARACATINS</t>
  </si>
  <si>
    <t>CONJ 1012 SALA B</t>
  </si>
  <si>
    <t>INDIANOPOLIS</t>
  </si>
  <si>
    <t>EDEL CRISTIANI MARTINS FERREIRA</t>
  </si>
  <si>
    <t>MARTIFER COMERCIO ATACADISTA</t>
  </si>
  <si>
    <t>C 11</t>
  </si>
  <si>
    <t>LOTE 08 SALA 202 EDIF COMERCIAL ROYALLE SALA ESCRIT. ADMINISTRATI</t>
  </si>
  <si>
    <t>EDENRED BRASIL PARTICIPACOES S.A.</t>
  </si>
  <si>
    <t>ANDAR 6 PARTE BLOCO TORRE II</t>
  </si>
  <si>
    <t>EDITHAL LOCACAO DE MAO DE OBRA LTDA</t>
  </si>
  <si>
    <t>EDITHAL TECNOLOGIA E SERVICOS</t>
  </si>
  <si>
    <t>SHTQ TRECHO 1 Q 2 CJ 3 LT 20</t>
  </si>
  <si>
    <t>LAGO NORTE</t>
  </si>
  <si>
    <t>EDITORA SCHWARCZ S.A.</t>
  </si>
  <si>
    <t>Edição de livros</t>
  </si>
  <si>
    <t>BANDEIRA PAULISTA</t>
  </si>
  <si>
    <t>CONJ: 11/31/32/41/42;</t>
  </si>
  <si>
    <t>EDMILSON FERREIRA DIAS DA SILVA</t>
  </si>
  <si>
    <t>D.D.DIAS CONTROLE DE PRAGAS URBANAS E DESENTUPIDORA</t>
  </si>
  <si>
    <t>ANTONIO FRANCISCO DE AZEVEDO FILHO</t>
  </si>
  <si>
    <t>CIDADE INTERCAP</t>
  </si>
  <si>
    <t>EDP - ENERGIAS DO BRASIL S.A.</t>
  </si>
  <si>
    <t>EDP</t>
  </si>
  <si>
    <t>CXPST 44191-0 EDIF EBPARRK CONJ 22 BLOCO A MZNINOMEZANINO</t>
  </si>
  <si>
    <t>EDP ESPIRITO SANTO DISTRIBUICAO DE ENERGIA S.A.</t>
  </si>
  <si>
    <t>EDP ESPIRITO SANTO</t>
  </si>
  <si>
    <t>FLORENTINO FALLER</t>
  </si>
  <si>
    <t>EDP SAO PAULO DISTRIBUICAO DE ENERGIA S.A.</t>
  </si>
  <si>
    <t>EDP SP</t>
  </si>
  <si>
    <t>EDIF PREDIO 22</t>
  </si>
  <si>
    <t>EDUARDO VIEIRA DE CARVALHO</t>
  </si>
  <si>
    <t>DISTRIBUIDORA DE CIMENTO NASSAU</t>
  </si>
  <si>
    <t>HUMBRETO DE CAMPOS</t>
  </si>
  <si>
    <t>QD 22 LT 08 SALA 01</t>
  </si>
  <si>
    <t>BABACULANDIA</t>
  </si>
  <si>
    <t>EDUCACIONAL GENESIS EDITORA LTDA.</t>
  </si>
  <si>
    <t>SAO MIGUEL</t>
  </si>
  <si>
    <t>4884A</t>
  </si>
  <si>
    <t>JARDIM COTINHA</t>
  </si>
  <si>
    <t>EDUCALIBRAS TREINAMENTO E DESENVOLVIMENTO DO IDIOMA DE LIBRAS LTDA</t>
  </si>
  <si>
    <t>EDUCALIBRAS</t>
  </si>
  <si>
    <t>Ensino de idiomas</t>
  </si>
  <si>
    <t>TOGO</t>
  </si>
  <si>
    <t>EDWARDS LIFESCIENCES COMERCIO DE PRODUTOS MEDICO-CIRURGICOS LTDA.</t>
  </si>
  <si>
    <t>EDWARDS LIFESCIENCES</t>
  </si>
  <si>
    <t>ANDAR 17 TORRE C1 CONJ 171 E 172</t>
  </si>
  <si>
    <t>EFI S.A. - INSTITUICAO DE PAGAMENTO</t>
  </si>
  <si>
    <t>EFI</t>
  </si>
  <si>
    <t>PRESIDENTE JUSCELINO KUBITSCHEK</t>
  </si>
  <si>
    <t>CONJ A PAVMTO2 E 3</t>
  </si>
  <si>
    <t>BAUXITA</t>
  </si>
  <si>
    <t>EFICAZ GESTAO EM SAUDE LTDA</t>
  </si>
  <si>
    <t>EFICAZ GESTAO EM SAUDE</t>
  </si>
  <si>
    <t>Atividades de apoio à gestão de saúde</t>
  </si>
  <si>
    <t>DA CONCEICAO</t>
  </si>
  <si>
    <t>SALA 303</t>
  </si>
  <si>
    <t>EFICAZ TERCEIRIZACAO DE SERVICOS LTDA</t>
  </si>
  <si>
    <t>SANTOS PACHECO</t>
  </si>
  <si>
    <t>SALA 101</t>
  </si>
  <si>
    <t>EG MARTINS COMERCIO DE PRODUTOS ALIMENTICIOS E SERVICOS LTDA</t>
  </si>
  <si>
    <t>EG MARTINS ATACADISTA</t>
  </si>
  <si>
    <t>CAPITAO FELIX</t>
  </si>
  <si>
    <t xml:space="preserve"> BLOCO NOBRE SAL 411</t>
  </si>
  <si>
    <t>BENFICA</t>
  </si>
  <si>
    <t>EGS COMERCIAL ELETRICA LTDA</t>
  </si>
  <si>
    <t>HYDROSYSTEM</t>
  </si>
  <si>
    <t>PROTASIO WIPPEL</t>
  </si>
  <si>
    <t>GALPAO04 SALA 01</t>
  </si>
  <si>
    <t>ITAIPAVA</t>
  </si>
  <si>
    <t>ELBER INDUSTRIA DE REFRIGERACAO LTDA</t>
  </si>
  <si>
    <t>ELBER REFRIGERACAO</t>
  </si>
  <si>
    <t>PROGRESSO</t>
  </si>
  <si>
    <t>AGRONOMICA</t>
  </si>
  <si>
    <t>ELEBBRE S/A</t>
  </si>
  <si>
    <t>4950783.5</t>
  </si>
  <si>
    <t>ENG LUIZ CARLOS BERRINI</t>
  </si>
  <si>
    <t>SALA 142 ANDAR 14</t>
  </si>
  <si>
    <t>ELEC INDUSTRIA E COMERCIO DE EQUIPAMENTOS DE MEDICAO LTDA</t>
  </si>
  <si>
    <t>ELEC</t>
  </si>
  <si>
    <t>26 DE NOVEMBRO</t>
  </si>
  <si>
    <t>ELECTRA COMERCIALIZADORA DE ENERGIA S.A.</t>
  </si>
  <si>
    <t>DOUTOR BRASILIO VICENTE DE CASTRO</t>
  </si>
  <si>
    <t>ANDAR 06 SALA 602</t>
  </si>
  <si>
    <t>CAMPO COMPRIDO</t>
  </si>
  <si>
    <t>ELEKEIROZ S/A</t>
  </si>
  <si>
    <t>ELEKEIROZ</t>
  </si>
  <si>
    <t>Fabricação de intermediários para plastificantes, resinas e fibras</t>
  </si>
  <si>
    <t>DR. EDGARDO DE AZEVEDO SOARES</t>
  </si>
  <si>
    <t>VILA BELA CINTRA</t>
  </si>
  <si>
    <t>ELEKTRO REDES S.A.</t>
  </si>
  <si>
    <t>NEOENERGIA ELEKTRO</t>
  </si>
  <si>
    <t>ARY ANTENOR DE SOUZA</t>
  </si>
  <si>
    <t>JD NOVA AMERICA</t>
  </si>
  <si>
    <t>ELETRA INDUSTRIAL LTDA</t>
  </si>
  <si>
    <t>GARCIA LORCA</t>
  </si>
  <si>
    <t>ELETRICA DANUBIO INDUSTRIA E COMERCIO DE MATERIAIS ELETRICOS LTDA.</t>
  </si>
  <si>
    <t>SIL FIOS E CABOS</t>
  </si>
  <si>
    <t>BARAO DE PENEDO</t>
  </si>
  <si>
    <t>ELETRO TERRIVEL LTDA</t>
  </si>
  <si>
    <t>DAS MACIEIRAS</t>
  </si>
  <si>
    <t>ELETROBRAS PARTICIPACOES S/A</t>
  </si>
  <si>
    <t>ELETROPAR</t>
  </si>
  <si>
    <t xml:space="preserve"> SAL 0902</t>
  </si>
  <si>
    <t>ELETROLESTE COM. E IMPORTACAO DE MATS ELETRICOS LTDA</t>
  </si>
  <si>
    <t>JDM ARICANDUVA</t>
  </si>
  <si>
    <t>ELETROMAIA MATERIAIS ELETRICOS LTDA</t>
  </si>
  <si>
    <t>TELEGRAFO</t>
  </si>
  <si>
    <t>ELETROMIDIA S.A.</t>
  </si>
  <si>
    <t>Agenciamento de espaços para publicidade, exceto em veículos de comunicação</t>
  </si>
  <si>
    <t>LEOPOLDO COUTO MAGALHAES JR.</t>
  </si>
  <si>
    <t>ANDAR 9 PARTE</t>
  </si>
  <si>
    <t>ELETROPORT COMERCIAL E INSTALADORA LTDA</t>
  </si>
  <si>
    <t>ELETROPORT</t>
  </si>
  <si>
    <t>FILIPO AMADEI</t>
  </si>
  <si>
    <t>VILA DIVA (ZONA LESTE)</t>
  </si>
  <si>
    <t>ELETROSUL DISTRIBUIDORA LTDA</t>
  </si>
  <si>
    <t>ELETROSUL DISTRIBUIDORA</t>
  </si>
  <si>
    <t>ELEVADORES ATLAS SCHINDLER LTDA.</t>
  </si>
  <si>
    <t>DO ESTADO</t>
  </si>
  <si>
    <t>ELEVADORES SUPER LTDA</t>
  </si>
  <si>
    <t>ELEVADORES SUPER</t>
  </si>
  <si>
    <t>JARDIM BRASILIA</t>
  </si>
  <si>
    <t>NOSSA SENHORA DE NAZARE</t>
  </si>
  <si>
    <t>ELG PEDESTAIS LTDA</t>
  </si>
  <si>
    <t>ELG SOLUCOES INTELIGENTES</t>
  </si>
  <si>
    <t>BLOCO E GALPAO5</t>
  </si>
  <si>
    <t>ELGIN SA</t>
  </si>
  <si>
    <t>VER DANTE JORDAO STOPA</t>
  </si>
  <si>
    <t>JD CINTIA</t>
  </si>
  <si>
    <t>ELI GOMES HORTIFRUTIGRANJEIROS LTDA</t>
  </si>
  <si>
    <t>ELI GOMES ATACADISTA</t>
  </si>
  <si>
    <t>DOUTOR PLAUTO GUIMARAES REIFF</t>
  </si>
  <si>
    <t>JARDIM SAO CARLOS</t>
  </si>
  <si>
    <t>ELI LILLY DO BRASIL LTDA</t>
  </si>
  <si>
    <t>ELIANA GALDINO SOARES COMPONENTES</t>
  </si>
  <si>
    <t>EGS COMPONENTES</t>
  </si>
  <si>
    <t>76/22</t>
  </si>
  <si>
    <t>ANDAR 2 SALA 8</t>
  </si>
  <si>
    <t>ELIAS ALVES DE OLIVEIRA LICITACOES</t>
  </si>
  <si>
    <t>PARQUE DO HORTO</t>
  </si>
  <si>
    <t>HORTOLANDIA</t>
  </si>
  <si>
    <t>ELIS BRASIL, SERVICOS E HIGIENIZACAO DE TEXTEIS LTDA.</t>
  </si>
  <si>
    <t>ELIS BRASIL</t>
  </si>
  <si>
    <t>Aluguel de objetos do vestuário, jóias e acessórios</t>
  </si>
  <si>
    <t>ANTONIETA PIVA BARRANQUEIROS</t>
  </si>
  <si>
    <t>GALPAO: B;</t>
  </si>
  <si>
    <t>ELITE PAINEIS E SISTEMAS ELETRICOS LTDA</t>
  </si>
  <si>
    <t>ELITE ENGENHARIA ELETRICA</t>
  </si>
  <si>
    <t>DA REPUBLICA</t>
  </si>
  <si>
    <t>GUAIRA</t>
  </si>
  <si>
    <t>ELITECH AMERICA LATINA IMPORTACAO E COMERCIO DE ELETRO CONTROLES LTDA</t>
  </si>
  <si>
    <t>ELITEK COMPONENTES ELETRICOS EIRELI</t>
  </si>
  <si>
    <t>ELITEK COMPONENTES ELETRICOS</t>
  </si>
  <si>
    <t>COPARA</t>
  </si>
  <si>
    <t>VILA SANTO HENRIQUE</t>
  </si>
  <si>
    <t>ELLO ATACADAO DE PRODUTOS LTDA</t>
  </si>
  <si>
    <t>SANTOS TITARA</t>
  </si>
  <si>
    <t>28-A</t>
  </si>
  <si>
    <t>MASSARANDUBA</t>
  </si>
  <si>
    <t>ELO SOLUCAO COMERCIO DE PRODUTOS LTDA</t>
  </si>
  <si>
    <t>ELO SOLUCAO</t>
  </si>
  <si>
    <t>BENEDITO CAMPOS MORAIS</t>
  </si>
  <si>
    <t>ELO SOLUCOES LOGISTICAS INTEGRADAS LTDA</t>
  </si>
  <si>
    <t>ELO LOGISTICA</t>
  </si>
  <si>
    <t>DR. PEDRO FERREIRA</t>
  </si>
  <si>
    <t xml:space="preserve"> SALA 703 SALA 702 SALA 701</t>
  </si>
  <si>
    <t>ELOF HANSSON LTDA.</t>
  </si>
  <si>
    <t>LIBERO BADARO</t>
  </si>
  <si>
    <t>ANDAR 10 CONJ 10-B</t>
  </si>
  <si>
    <t>ELTON FABIO CAMARELI 30839496850</t>
  </si>
  <si>
    <t>HOLDEN COMERCIO DE BEBIDAS EM GERAL.</t>
  </si>
  <si>
    <t>PAULISTA 37</t>
  </si>
  <si>
    <t>ELYON SOLUCOES GRAFICAS LTDA</t>
  </si>
  <si>
    <t>MARIO REGALLO PEREIRA</t>
  </si>
  <si>
    <t>JARDIM GILDA MARIA</t>
  </si>
  <si>
    <t>EMAE - EMPRESA METROPOLITANA DE AGUAS E ENERGIA SA</t>
  </si>
  <si>
    <t>JORN ROBERTO MARINHO</t>
  </si>
  <si>
    <t>ANDAR 16 E 17</t>
  </si>
  <si>
    <t>EMAM - EMULSOES E TRANSPORTES LTDA</t>
  </si>
  <si>
    <t>EMAM ASFALTOS LTDA.</t>
  </si>
  <si>
    <t>NELSON RODRIGUES</t>
  </si>
  <si>
    <t>COMPENSA</t>
  </si>
  <si>
    <t>EMAQ INDUSTRIA E COMERCIO DE MAQUINAS LTDA</t>
  </si>
  <si>
    <t>EMAQ INDUSTRIA E COMERCIO DE MAQUINAS E EQUIPAMENTOS</t>
  </si>
  <si>
    <t>AIMORES</t>
  </si>
  <si>
    <t>QUADRA22 LOTE 19 AO 25</t>
  </si>
  <si>
    <t>EMBALAGENS BANDEIRANTES LTDA</t>
  </si>
  <si>
    <t>Fabricação de chapas e de embalagens de papelão ondulado</t>
  </si>
  <si>
    <t>EMIR MACEDO NOGUEIRA</t>
  </si>
  <si>
    <t>JARDIM RUYCE</t>
  </si>
  <si>
    <t>EMBALAR DISTRIBUIDORA DE EMBALAGENS LTDA</t>
  </si>
  <si>
    <t>DISTRIBUIDOR EMBALAR</t>
  </si>
  <si>
    <t>LOTE 44 E 45 ROD BR 104AL</t>
  </si>
  <si>
    <t>PREFEITO ANTONIO L DE SOUZA</t>
  </si>
  <si>
    <t>RIO LARGO</t>
  </si>
  <si>
    <t>EMDIA SERVICOS ESPECIALIZADOS EM COBRANCAS LTDA</t>
  </si>
  <si>
    <t>EMDIA</t>
  </si>
  <si>
    <t>SETE DE ABRIL</t>
  </si>
  <si>
    <t>BLOCO A ANDAR 2 E 12</t>
  </si>
  <si>
    <t>EME FORROCRYL COMERCIO E INDUSTRIA DE PLASTICOS LTDA</t>
  </si>
  <si>
    <t>EME COMERCIAL</t>
  </si>
  <si>
    <t>GALPAO1A</t>
  </si>
  <si>
    <t>JARDIM CRISPIM</t>
  </si>
  <si>
    <t>ITAPECERICA DA SERRA</t>
  </si>
  <si>
    <t>EMEC BRASIL SISTEMAS DE TRATAMENTO DE AGUA LTDA</t>
  </si>
  <si>
    <t>WADIA JAFET ASSAD</t>
  </si>
  <si>
    <t>SALA 1 ANDAR 2</t>
  </si>
  <si>
    <t>DOS CASAS</t>
  </si>
  <si>
    <t>EMEC ENGENHARIA E CONSTRUCAO LTDA</t>
  </si>
  <si>
    <t>LOTE 08 QUADRA 16</t>
  </si>
  <si>
    <t>JARDIM VERDE VIDA</t>
  </si>
  <si>
    <t>MONTE NEGRO</t>
  </si>
  <si>
    <t>EMEDF - COMERCIO DE PRODUTOS ODONTOLOGICOS LTDA</t>
  </si>
  <si>
    <t>DENTAL EME</t>
  </si>
  <si>
    <t>QNA 15 LOTE 08</t>
  </si>
  <si>
    <t>TAGUATINGA NORTE</t>
  </si>
  <si>
    <t>EMEQUE EMPRESA MINEIRA DE EQUIPAMENTOS LTDA</t>
  </si>
  <si>
    <t>ITAPETINGA</t>
  </si>
  <si>
    <t>EMERENCIANO BAGGIO E ASSOCIADOS ADVOGADOS</t>
  </si>
  <si>
    <t>EMERENCIANO E BAGGIO</t>
  </si>
  <si>
    <t>BARAO DE JAGUARA</t>
  </si>
  <si>
    <t>EMERSON PROCESS MANAGEMENT LTDA</t>
  </si>
  <si>
    <t>HOLLINGSWORTH</t>
  </si>
  <si>
    <t>EMIBM ENGENHARIA E INOVACAO LTDA.</t>
  </si>
  <si>
    <t>EMIBM ENGENHARIA</t>
  </si>
  <si>
    <t>SIG QUADRA 3 BLOCO C, LOTE</t>
  </si>
  <si>
    <t>LOJA 74 E 75</t>
  </si>
  <si>
    <t>EMICOL ELETRO ELETRONICA S.A.</t>
  </si>
  <si>
    <t>MARGINAL EMICOL</t>
  </si>
  <si>
    <t>KM ALT. KM 22 5</t>
  </si>
  <si>
    <t>TAPERINHA</t>
  </si>
  <si>
    <t>EMIGE MATERIAIS ODONTOLOGICOS LTDA</t>
  </si>
  <si>
    <t>EMIVE - PATRULHA 24 HORAS LTDA</t>
  </si>
  <si>
    <t>EMIVE</t>
  </si>
  <si>
    <t>RAJA GABAGLIA</t>
  </si>
  <si>
    <t>: 2 E 3 ANDARES;</t>
  </si>
  <si>
    <t>EMMO SERVICOS LTDA</t>
  </si>
  <si>
    <t>SALA 2006 PAVMTO20 SANTORINI</t>
  </si>
  <si>
    <t>VILA YARA</t>
  </si>
  <si>
    <t>EMPAC-EMPRESA DE ARTEFATOS DE CONCRETO LTDA</t>
  </si>
  <si>
    <t>Fabricação de estruturas pré-moldadas de concreto armado, em série e sob encomenda</t>
  </si>
  <si>
    <t>CACHOEIRA DOS MACACOS</t>
  </si>
  <si>
    <t>KM 1,5 LADO DIREITO</t>
  </si>
  <si>
    <t>EMPORIO HOSPITALAR COMERCIO DE PRODUTOS CIRURGICOS HOSPITALARES LTDA.</t>
  </si>
  <si>
    <t>CARMELINO GONCALVES CONDESSA</t>
  </si>
  <si>
    <t>BLOCO A SALA 2</t>
  </si>
  <si>
    <t>EMPREENDIMENTOS PAGUE MENOS S/A</t>
  </si>
  <si>
    <t>FARMACIA PAGUE MENOS</t>
  </si>
  <si>
    <t>SENADOR POMPEU</t>
  </si>
  <si>
    <t>EMPREITEC CONSTRUCOES ELETRICAS LTDA</t>
  </si>
  <si>
    <t>CAPETINGA</t>
  </si>
  <si>
    <t>BOM CLIMA</t>
  </si>
  <si>
    <t>EMPRESA BAIANA DE AGUAS E SANEAMENTO SA</t>
  </si>
  <si>
    <t>EMBASA</t>
  </si>
  <si>
    <t>LUIS VIANA</t>
  </si>
  <si>
    <t>EDIF SEDUR</t>
  </si>
  <si>
    <t>CENTRO ADMINISTRATIVO DA BAHIA</t>
  </si>
  <si>
    <t>EMPRESA BRASILEIRA DE BENEFICIOS E PAGAMENTOS INSTITUICAO DE PAGAMENTO LTDA</t>
  </si>
  <si>
    <t>CAJU</t>
  </si>
  <si>
    <t>EMPRESA BRASILEIRA DE CORREIOS E TELEGRAFOS</t>
  </si>
  <si>
    <t>CORREIOS SEDE</t>
  </si>
  <si>
    <t>Atividades do Correio Nacional</t>
  </si>
  <si>
    <t>SBN QUADRA 1 BLOCO A</t>
  </si>
  <si>
    <t>EMPRESA BRASILEIRA DE HEMODERIVADOS E BIOTECNOLOGIA - HEMOBRAS</t>
  </si>
  <si>
    <t>HEMOBRAS</t>
  </si>
  <si>
    <t>SRTVS</t>
  </si>
  <si>
    <t>QUADRA701 BLOCO O SALA 140-142-144 SALA 146 E 148</t>
  </si>
  <si>
    <t>EMPRESA BRASILEIRA DE LOGISTICA EM MOBILIDADE E GESTAO LTDA.</t>
  </si>
  <si>
    <t>INTERO BRASIL</t>
  </si>
  <si>
    <t>JOAQUIM EUGENIO DE LIMA</t>
  </si>
  <si>
    <t>ANDAR 5 CONJ 5</t>
  </si>
  <si>
    <t>EMPRESA BRASILEIRA DE PESQUISA AGROPECUARIA</t>
  </si>
  <si>
    <t>EMBRAPA</t>
  </si>
  <si>
    <t>ESTACAO BIOLOGICA-PQEB</t>
  </si>
  <si>
    <t>PLANO PILOTO</t>
  </si>
  <si>
    <t>EMPRESA BRASILEIRA DE TELECOMUNICACOES S A EMBRATEL</t>
  </si>
  <si>
    <t>Serviços de telecomunicações por fio não especificados anteriormente</t>
  </si>
  <si>
    <t>EMPRESA DE SANEAMENTO DE MATO GROSSO DO SUL S.A.SANESUL</t>
  </si>
  <si>
    <t>SANESUL</t>
  </si>
  <si>
    <t>DR. ZERBINI</t>
  </si>
  <si>
    <t>CHACARA CACHOEIRA</t>
  </si>
  <si>
    <t>EMPRESA GERENCIAL DE PROJETOS NAVAIS</t>
  </si>
  <si>
    <t>EMGEPRON</t>
  </si>
  <si>
    <t>PARTE</t>
  </si>
  <si>
    <t>EMPRESA GOIANA DE INDUSTRIA E COMERCIO SA</t>
  </si>
  <si>
    <t>EMPRESA METROPOLITANA DE TRANSPORTES URBANOS DE SAO PAULO S.A. - EMTU/SP - EM LIQUIDACAO</t>
  </si>
  <si>
    <t>EMTU/SP</t>
  </si>
  <si>
    <t>EMPRESA MINERADORA SANTO ANTONIO DO ENGENHO D' AGUA LTDA</t>
  </si>
  <si>
    <t>AGUA MINERAL ARCO IRIS</t>
  </si>
  <si>
    <t>Extração de outros minerais não-metálicos não especificados anteriormente</t>
  </si>
  <si>
    <t>NITEROI -FRIBURGO</t>
  </si>
  <si>
    <t>RJ 116</t>
  </si>
  <si>
    <t>KM 4.5</t>
  </si>
  <si>
    <t>SAMBAETIBA</t>
  </si>
  <si>
    <t>ITABORAI</t>
  </si>
  <si>
    <t>EMPRESA NACIONAL DE SEGURANCA LTDA</t>
  </si>
  <si>
    <t>ANDAR 6 CONJ 63</t>
  </si>
  <si>
    <t>EMPRESA TEJOFRAN DE SANEAMENTO E SERVICOS LTDA</t>
  </si>
  <si>
    <t>CONJ 102 ANDAR 10 EDIF PADAUIRI</t>
  </si>
  <si>
    <t>EMPRESSERV EMPRESA DE SERVICOS DE VIGILANCIA LTDA</t>
  </si>
  <si>
    <t>EMPRESSERV</t>
  </si>
  <si>
    <t>TRES AMERICAS</t>
  </si>
  <si>
    <t>LAGOA AZUL</t>
  </si>
  <si>
    <t>EMS S/A</t>
  </si>
  <si>
    <t>GRUPO EMS SIGMA PHARMA</t>
  </si>
  <si>
    <t>COM CARLO MARIO GARDANO</t>
  </si>
  <si>
    <t>ENCALSO CONSTRUCOES LTDA</t>
  </si>
  <si>
    <t>ENCALSO</t>
  </si>
  <si>
    <t>ANDAR 7 CONJ 714B</t>
  </si>
  <si>
    <t>ENDEAVOR SOLUCOES AMBIENTAIS LTDA</t>
  </si>
  <si>
    <t>ENDEAVOR AMBIENTAL</t>
  </si>
  <si>
    <t>DOMINGOS RODRIGUES</t>
  </si>
  <si>
    <t>CONJ 99</t>
  </si>
  <si>
    <t>ENDO SUL - COMERCIO E REPRESENTACOES DE MATERIAL CIRURGICO LTDA</t>
  </si>
  <si>
    <t>ENDO-SUL</t>
  </si>
  <si>
    <t>128855.3</t>
  </si>
  <si>
    <t>CONDE DE PORTO ALEGRE</t>
  </si>
  <si>
    <t>SALA 202</t>
  </si>
  <si>
    <t>ENDOASSISTANCE MANUTENCAO DE EQUIPAMENTOS CIRURGICOS LTDA</t>
  </si>
  <si>
    <t>ENDOASSISTANCE</t>
  </si>
  <si>
    <t>SENADOR FELICIO DOS SANTOS</t>
  </si>
  <si>
    <t>ENDOCIRURGICA - COMERCIO DE PRODUTOS MEDICOS LTDA.</t>
  </si>
  <si>
    <t>SANTA CECILIA</t>
  </si>
  <si>
    <t>PILARZINHO</t>
  </si>
  <si>
    <t>ENDOFIX - PRODUTOS MEDICOS E HOSPITALARES LTDA</t>
  </si>
  <si>
    <t>DOUTOR MANOEL PEDRO</t>
  </si>
  <si>
    <t>CONJ 1902 ANDAR 19 COND OPUS ONE CABRAL ED</t>
  </si>
  <si>
    <t>CABRAL</t>
  </si>
  <si>
    <t>ENDRESS+HAUSER (BRASIL) INSTRUMENTACAO E AUTOMACAO LTDA.</t>
  </si>
  <si>
    <t>ENDRESS+HAUSER (BRASIL) INSTRUMENTACAO E AUTOMACAO</t>
  </si>
  <si>
    <t>MUNICIPAL ANTONIO SESTI</t>
  </si>
  <si>
    <t>RECREIO COSTA VERDE</t>
  </si>
  <si>
    <t>ENERBRAS MATERIAIS ELETRICOS LTDA</t>
  </si>
  <si>
    <t>AGOSTINHO MOCELIN</t>
  </si>
  <si>
    <t>VL FERRARI</t>
  </si>
  <si>
    <t>ENERGIA MATERIAIS ELETRICOS E DE CONSTRUCAO LTDA</t>
  </si>
  <si>
    <t>PREFEITO GERALDO PINHO ALVES</t>
  </si>
  <si>
    <t>JARDIM MARANGUAPE</t>
  </si>
  <si>
    <t>ENERGISA MATO GROSSO - DISTRIBUIDORA DE ENERGIA S.A.</t>
  </si>
  <si>
    <t>ENERGISA MT</t>
  </si>
  <si>
    <t>VEREADOR JOAO BARBOSA CARAMURU 184</t>
  </si>
  <si>
    <t>ENERGISA S/A</t>
  </si>
  <si>
    <t>CATAGUASES</t>
  </si>
  <si>
    <t>ENERGY SUBSTATION SERVICES LTDA</t>
  </si>
  <si>
    <t>ENERGY SUBSTATION SERVICES</t>
  </si>
  <si>
    <t>APARECIDA DE LOURDES ALMEIDA ASSUN</t>
  </si>
  <si>
    <t>PARQUE DAS VINHAS</t>
  </si>
  <si>
    <t>ENESENS SISTEMAS DE DETECCAO LTDA</t>
  </si>
  <si>
    <t>DOUTOR FRANCISCO DE PAULA VICENTE DE AZEVEDO</t>
  </si>
  <si>
    <t>PARQUE CONTINENTAL</t>
  </si>
  <si>
    <t>ENEVA S.A.</t>
  </si>
  <si>
    <t xml:space="preserve"> BLC I 2 E 4 ANDARES</t>
  </si>
  <si>
    <t>ENGEB-BOTELHO ENGENHARIA LTDA</t>
  </si>
  <si>
    <t>ENGEB</t>
  </si>
  <si>
    <t>MANOEL ANDRADE</t>
  </si>
  <si>
    <t>COROA DO MEIO</t>
  </si>
  <si>
    <t>ENGECARDIO TECNOLOGIAS MEDICAS LTDA</t>
  </si>
  <si>
    <t>ENGECARDIO-TECNOLOGIAS MEDICAS</t>
  </si>
  <si>
    <t>QUADRA102 LOTE 9/12 SALA 1402 EDIF NEW TIMES SQUARE</t>
  </si>
  <si>
    <t>ENGECLINIC SERVICOS LTDA</t>
  </si>
  <si>
    <t>ENGECLINIC</t>
  </si>
  <si>
    <t>VIEIRA FERREIRA</t>
  </si>
  <si>
    <t>ENGECONS LTDA</t>
  </si>
  <si>
    <t>ENGECONS</t>
  </si>
  <si>
    <t>QUADRA 402 CONJUNTO 2</t>
  </si>
  <si>
    <t>RECANTO DAS EMAS</t>
  </si>
  <si>
    <t>ENGEFORM ENGENHARIA LTDA.</t>
  </si>
  <si>
    <t>ENGELINHAS SERVICOS E ENGENHARIA LTDA</t>
  </si>
  <si>
    <t>Manutenção de redes de distribuição de energia elétrica</t>
  </si>
  <si>
    <t>NICOMEDES ALVES DOS SANTOS</t>
  </si>
  <si>
    <t>SHOPPING PARK</t>
  </si>
  <si>
    <t>ENGEMAQ COMPONENTES PARA TRATORES LTDA</t>
  </si>
  <si>
    <t>SANDRA MARIA</t>
  </si>
  <si>
    <t>JARDIM DAS BELEZAS</t>
  </si>
  <si>
    <t>ENGEMIX CONSTRUTORA LTDA</t>
  </si>
  <si>
    <t>ENGEMIX CONSTRUTORA</t>
  </si>
  <si>
    <t>PREFEITO OSMAR CUNHA</t>
  </si>
  <si>
    <t>ENGENHARIA E CONSTRUTORA TORRE FORTE LTDA</t>
  </si>
  <si>
    <t>CONJ 817</t>
  </si>
  <si>
    <t>ENGEPECAS EQUIPAMENTOS LTDA.</t>
  </si>
  <si>
    <t>ENGEPECAS</t>
  </si>
  <si>
    <t>JOSE SEMES</t>
  </si>
  <si>
    <t>BRCAO 1</t>
  </si>
  <si>
    <t>ENGEPER ENGENHARIA E PERFURACOES LTDA</t>
  </si>
  <si>
    <t>Perfuração e construção de poços de água</t>
  </si>
  <si>
    <t>LOTE CHACARA LORENA</t>
  </si>
  <si>
    <t>LABIENOPOLIS</t>
  </si>
  <si>
    <t>GARCA</t>
  </si>
  <si>
    <t>ENGEPLY ENGENHARIA SERVICOS E SUPRIMENTOS LTDA</t>
  </si>
  <si>
    <t>ENGEPLY ENGENHARIA</t>
  </si>
  <si>
    <t>SAFIRA</t>
  </si>
  <si>
    <t>ENGEPROM ENGENHARIA LTDA</t>
  </si>
  <si>
    <t>ENGEPROM ENGENHARIA</t>
  </si>
  <si>
    <t>Instalação e manutenção de sistemas centrais de ar condicionado, de ventilação e refrigeração</t>
  </si>
  <si>
    <t>SIA TRECHO 3</t>
  </si>
  <si>
    <t>LOTE 990 SALA 106 E 107</t>
  </si>
  <si>
    <t>ENGESEG SEGURANCA LTDA</t>
  </si>
  <si>
    <t>DR JOAO BATISTA DE QUEIROZ JUNIOR</t>
  </si>
  <si>
    <t>JARDIM DAS INDUSTRIAS</t>
  </si>
  <si>
    <t>ENGETEC - ENGENHARIA ELETRICA LTDA</t>
  </si>
  <si>
    <t>ENGETEC</t>
  </si>
  <si>
    <t>HENRIQUE ZUGMANN</t>
  </si>
  <si>
    <t>SALA SALA</t>
  </si>
  <si>
    <t>CAMPO DA AGUA VERDE</t>
  </si>
  <si>
    <t>CANOINHAS</t>
  </si>
  <si>
    <t>ENGIE BRASIL ENERGIA S.A.</t>
  </si>
  <si>
    <t>PASCHOAL APOSTOLO PITSICA</t>
  </si>
  <si>
    <t>ENJOEI S.A</t>
  </si>
  <si>
    <t>ENJOEI</t>
  </si>
  <si>
    <t>ANDAR TERRACO LOJA 87 EDIF COPAN</t>
  </si>
  <si>
    <t>ENPLAN-ENGENHARIA E CONSTRUTORA LTDA</t>
  </si>
  <si>
    <t>ANDAR 6.</t>
  </si>
  <si>
    <t>MOEMA</t>
  </si>
  <si>
    <t>ENTERPRISE HOLDINGS BRAZIL, LLC</t>
  </si>
  <si>
    <t>ENTERPRISE</t>
  </si>
  <si>
    <t>1209 ORANGE STREET.</t>
  </si>
  <si>
    <t>WILMINGTON</t>
  </si>
  <si>
    <t>ENTREAGUAS COMERCIO DE AGUA E LOGISTICA LTDA</t>
  </si>
  <si>
    <t>Comércio atacadista de água mineral</t>
  </si>
  <si>
    <t>TOLEDO BARBOSA</t>
  </si>
  <si>
    <t>ENTREPAY INSTITUICAO DE PAGAMENTO S.A</t>
  </si>
  <si>
    <t>IGUATEMI</t>
  </si>
  <si>
    <t>ANDAR 25 CONJ 251 A 254</t>
  </si>
  <si>
    <t>ENVISION ENERGY BRAZIL LTDA</t>
  </si>
  <si>
    <t>ENVISION ENERGY BRAZIL</t>
  </si>
  <si>
    <t>CONJ N73 TORRE CORP B1 SALA A COND PARQUE DA CIDADE</t>
  </si>
  <si>
    <t>ENVISION INDUSTRIA DE PRODUTOS ELETRONICOS LTDA</t>
  </si>
  <si>
    <t>TORQUATO TAPAJOS</t>
  </si>
  <si>
    <t xml:space="preserve"> BLOCO B PARTE E BLOCO L 2 ANDAR</t>
  </si>
  <si>
    <t>ENZO VEICULOS LTDA</t>
  </si>
  <si>
    <t>ENZO FIAT</t>
  </si>
  <si>
    <t>COSTA E SILVA</t>
  </si>
  <si>
    <t>VILA PROGRESSO</t>
  </si>
  <si>
    <t>EPAVI SERVICOS AUXILIARES DE SEGURANCA LTDA</t>
  </si>
  <si>
    <t>EPAVI VIGILANCIA LTDA</t>
  </si>
  <si>
    <t>SEGUNDO PAVIMENTO</t>
  </si>
  <si>
    <t>EPCCO ENGENHARIA DE PROJETOS CONSULTORIA E CONSTR LTDA</t>
  </si>
  <si>
    <t>REGISTRO</t>
  </si>
  <si>
    <t>EPHARMA - PBM DO BRASIL S/A</t>
  </si>
  <si>
    <t>ANDAR 6 CONJ 61 62 63 64</t>
  </si>
  <si>
    <t>EPIC SERVICOS E LOCACOES LTDA</t>
  </si>
  <si>
    <t>EPIC EMPREENDIMENTOS</t>
  </si>
  <si>
    <t>DA GRECIA</t>
  </si>
  <si>
    <t>EDIF: FRUTOS DIAS; SALA: 304;</t>
  </si>
  <si>
    <t>COMERCIO</t>
  </si>
  <si>
    <t>EPIFLEX COMERCIO DE EQUIPAMENTOS DE PROTECAO INDIVIDUAL LTDA</t>
  </si>
  <si>
    <t>EPIFLEX</t>
  </si>
  <si>
    <t>EPIHAUS COMERCIO DE EQUIPAMENTOS DE PROTECAO LTDA</t>
  </si>
  <si>
    <t>EPIHAUS</t>
  </si>
  <si>
    <t>ITALO RAFFO</t>
  </si>
  <si>
    <t>CEDIC</t>
  </si>
  <si>
    <t>EPODONTO COMERCIO E SERVICOS LTDA</t>
  </si>
  <si>
    <t>MADAME PACHECO</t>
  </si>
  <si>
    <t>BARRETO</t>
  </si>
  <si>
    <t>EPSON DO BRASIL INDUSTRIA E COMERCIO LIMITADA</t>
  </si>
  <si>
    <t>EPSON</t>
  </si>
  <si>
    <t>Fabricação de periféricos para equipamentos de informática</t>
  </si>
  <si>
    <t>TUCUNARE</t>
  </si>
  <si>
    <t>BLOCO III</t>
  </si>
  <si>
    <t>EQUATORIAL GOIAS DISTRIBUIDORA DE ENERGIA S/A</t>
  </si>
  <si>
    <t>EQUATORIAL ENERGIA GOIAS</t>
  </si>
  <si>
    <t>QUADRAA-37 EDIF GILENO GODOI</t>
  </si>
  <si>
    <t>JD GOIAS</t>
  </si>
  <si>
    <t>EQUATORIAL MARANHAO DISTRIBUIDORA DE ENERGIA S.A</t>
  </si>
  <si>
    <t>EQUATORIAL ENERGIA MARANHAO</t>
  </si>
  <si>
    <t>A, QUADRA SQS</t>
  </si>
  <si>
    <t>LOTEAMENTO QUITANDINHA ALTOS DO CALHAU</t>
  </si>
  <si>
    <t>EQUATORIAL S.A.</t>
  </si>
  <si>
    <t>ALTO CALHAU</t>
  </si>
  <si>
    <t>: loteamento; : quitandinha; QUADRA: SQS; : ALAMEDA A; SALA: 30;</t>
  </si>
  <si>
    <t>EQUIP SEG INTELIGENCIA EM SEGURANCA LTDA FALIDO</t>
  </si>
  <si>
    <t>DIAS DA ROCHA FILHO</t>
  </si>
  <si>
    <t>ALTO DA RUA XV</t>
  </si>
  <si>
    <t>EQUIP SEG SERVICOS ESPECIALIZADOS LTDA FALIDO</t>
  </si>
  <si>
    <t>JULIO GROTH ELIAS</t>
  </si>
  <si>
    <t>DIVINEIA</t>
  </si>
  <si>
    <t>PARANAGUA</t>
  </si>
  <si>
    <t>ERBE DO BRASIL EQUIPAMENTOS CIRURGICOS E ENDOSCOPICOS LTDA.</t>
  </si>
  <si>
    <t>ERBE DO BRASIL LTDA.</t>
  </si>
  <si>
    <t>ANDAR 25 SALA 2501 / 2502 BCO</t>
  </si>
  <si>
    <t>ERICSSON INOVACAO S.A.</t>
  </si>
  <si>
    <t>ANDAR 7 CONJ 71 E 72</t>
  </si>
  <si>
    <t>ERICSSON TELECOMUNICACOES LTDA</t>
  </si>
  <si>
    <t>NICOLAS BOER</t>
  </si>
  <si>
    <t>ANDAR 8 ANDAR</t>
  </si>
  <si>
    <t>PARQUE INDUSTRIAL TOMAS EDSON</t>
  </si>
  <si>
    <t>ERIPACK EMBALAGENS INDUSTRIAIS LTDA</t>
  </si>
  <si>
    <t>ERNST &amp; YOUNG AUDITORES INDEPENDENTES S/S LTDA</t>
  </si>
  <si>
    <t>EY</t>
  </si>
  <si>
    <t xml:space="preserve"> SP CORP TOWER TORRE NORTE ANDAR 8 CONJ 81</t>
  </si>
  <si>
    <t>ERODATA CONSULTORIA E SERVICOS LTDA</t>
  </si>
  <si>
    <t>PDE JOAO GUALBERTO</t>
  </si>
  <si>
    <t>IMIRIM</t>
  </si>
  <si>
    <t>ERYCLA PRODUTOS TECNICOS DE BORRACHA E POLIURETANO LTDA</t>
  </si>
  <si>
    <t>ERYCLA</t>
  </si>
  <si>
    <t>DR. FERNANDO COSTA,</t>
  </si>
  <si>
    <t>VILA EMILIO</t>
  </si>
  <si>
    <t>ESA - ELETROTECNICA SANTO AMARO LTDA</t>
  </si>
  <si>
    <t>ESAB INDUSTRIA E COMERCIO LTDA</t>
  </si>
  <si>
    <t>ESAB</t>
  </si>
  <si>
    <t>Fabricação de eletrodos, contatos e outros artigos de carvão e grafita para uso elétrico, eletroímãs e isoladores</t>
  </si>
  <si>
    <t>ZEZE CAMARGOS</t>
  </si>
  <si>
    <t>ESCOLA &amp; ESCRITORIO LIVRARIA E PAPELARIA LTDA</t>
  </si>
  <si>
    <t>ESCOLA &amp; ESCRITORIO</t>
  </si>
  <si>
    <t>GENERAL OLIVEIRA GALVAO</t>
  </si>
  <si>
    <t>TIROL</t>
  </si>
  <si>
    <t>ESCOLTA SOLUCOES EM SERVICOS E ADMINISTRACAO LTDA</t>
  </si>
  <si>
    <t>ARCHANGELO ARCHINA</t>
  </si>
  <si>
    <t>CIDADE SAO MATEUS</t>
  </si>
  <si>
    <t>ESCRITURA BRASIL LTDA</t>
  </si>
  <si>
    <t>ESCRITURA BRASIL</t>
  </si>
  <si>
    <t>JORGE TIBIRICA</t>
  </si>
  <si>
    <t>APT 66</t>
  </si>
  <si>
    <t>ESGOTEC SERVICOS DE TRANSPORTES LTDA</t>
  </si>
  <si>
    <t>ESGOTEC SERVICOS DE TRANSPORTES</t>
  </si>
  <si>
    <t>PAJURAZINHO</t>
  </si>
  <si>
    <t xml:space="preserve"> GLEBA-AE3</t>
  </si>
  <si>
    <t>ESGOTECNICA SERVICOS ESPECIALIZADOS LTDA</t>
  </si>
  <si>
    <t>ESGOTECNICA</t>
  </si>
  <si>
    <t>JOAO LUIZ CALHEIROS</t>
  </si>
  <si>
    <t>PARQUE SAO LUIS</t>
  </si>
  <si>
    <t>ESMALTEC S/A</t>
  </si>
  <si>
    <t>Fabricação de fogões, refrigeradores e máquinas de lavar e secar para uso doméstico, peças e acessórios</t>
  </si>
  <si>
    <t>DA IMPRENSA CHANCELER EDSON QUEIROZ</t>
  </si>
  <si>
    <t>ESPACO &amp; FORMA MOVEIS E DIVISORIAS LTDA</t>
  </si>
  <si>
    <t>DIVIFORMA</t>
  </si>
  <si>
    <t>Comércio atacadista de madeira e produtos derivados</t>
  </si>
  <si>
    <t>ADE CONJUNTO 26</t>
  </si>
  <si>
    <t>LOTE: 06/07;</t>
  </si>
  <si>
    <t>AREA DE DESENVOLVIMENTO ECONOMICO (AGUAS CLARAS)</t>
  </si>
  <si>
    <t>ESPAIRECER ASSESSORIA E ENTRETENIMENTO DE BEM VIVER LTDA</t>
  </si>
  <si>
    <t>CECILIA FAIPO</t>
  </si>
  <si>
    <t>Ensino de esportes</t>
  </si>
  <si>
    <t>MELCHIADES MELGES DE ANDRADE</t>
  </si>
  <si>
    <t>JARDIM SAO FRANCISCO DA BOA VISTA</t>
  </si>
  <si>
    <t>LINS</t>
  </si>
  <si>
    <t>ESPINOZA &amp; AGOSTINI LTDA</t>
  </si>
  <si>
    <t>AGESA EDUCACIONAL</t>
  </si>
  <si>
    <t>QUINZE DE NOVEMBRO</t>
  </si>
  <si>
    <t>JARDIM DOS ESTADOS</t>
  </si>
  <si>
    <t>ESSENCIAL CREMES COMERCIAL LTDA</t>
  </si>
  <si>
    <t>SALVADOR LEITE MARQUES</t>
  </si>
  <si>
    <t>EDEN</t>
  </si>
  <si>
    <t>ESSENCIAL SISTEMA DE SEGURANCA LTDA</t>
  </si>
  <si>
    <t>ALFREDO GUEDES</t>
  </si>
  <si>
    <t>ESSITY DO BRASIL INDUSTRIA E COMERCIO LTDA</t>
  </si>
  <si>
    <t>ESSITY DO BRASIL</t>
  </si>
  <si>
    <t>ANDAR 19 CONJ 192 A 196</t>
  </si>
  <si>
    <t>ESSITY SOLUCOES MEDICAS DO BRASIL COMERCIO E DISTRIBUICAO LTDA.</t>
  </si>
  <si>
    <t>ESSITY SOLUCOES MEDICAS</t>
  </si>
  <si>
    <t>ANDAR 19 CONJ 191-SUB TORRE ALPHA BLOCO B</t>
  </si>
  <si>
    <t>ESTEIO ENGENHARIA E AERO LEVANTAMENTOS SA</t>
  </si>
  <si>
    <t>DOUTOR REYNALDO MACHADO</t>
  </si>
  <si>
    <t>PRADO VELHO</t>
  </si>
  <si>
    <t>ESTERILETO ESTERILIZACAO E COMERCIO DE PRODUTOS HOSPITALARES LTDA</t>
  </si>
  <si>
    <t>EDISON POMPERMAYER</t>
  </si>
  <si>
    <t>MANOEL PLAZA</t>
  </si>
  <si>
    <t>ESTIVAL CALCADOS DE SEGURANCA LTDA</t>
  </si>
  <si>
    <t>ESTIVAL</t>
  </si>
  <si>
    <t>GERALDO GARCIA DO NASCIMENTO</t>
  </si>
  <si>
    <t>ANEXO 2580</t>
  </si>
  <si>
    <t>DISTRITO INDUSTRIAL ANTONIO DELLA - TORRE</t>
  </si>
  <si>
    <t>ESTRELAR COMERCIAL LTDA</t>
  </si>
  <si>
    <t>ESTRELAR SOLUCOES EM SERVICOS</t>
  </si>
  <si>
    <t>CONJ 1404</t>
  </si>
  <si>
    <t>ESV EMPRESA SERGIPANA DE VIGILANCIA FALIDO LTDA</t>
  </si>
  <si>
    <t>MARUIM</t>
  </si>
  <si>
    <t>ETATRON DO BRASIL EQUIPAMENTOS PARA TRATAMENTO DE AGUA LTDA.</t>
  </si>
  <si>
    <t>VIDAL DE NEGREIROS</t>
  </si>
  <si>
    <t>CANINDE</t>
  </si>
  <si>
    <t>ETERNIT S.A</t>
  </si>
  <si>
    <t>ETERNIT</t>
  </si>
  <si>
    <t>Fabricação de artefatos de fibrocimento para uso na construção</t>
  </si>
  <si>
    <t>DR. FERNANDES COELHO</t>
  </si>
  <si>
    <t>ETHNOS INDUSTRIA E COMERCIO DE PRODUTOS ORTOPEDICOS LTDA</t>
  </si>
  <si>
    <t>Fabricação de aparelhos e utensílios para correção de defeitos físicos e aparelhos ortopédicos em geral sob encomenda</t>
  </si>
  <si>
    <t>VILA CONSTANCA DE CALVOS</t>
  </si>
  <si>
    <t>ETHOS CONSULTORES LTDA</t>
  </si>
  <si>
    <t>ETHOS CONSULTORES</t>
  </si>
  <si>
    <t>LOPES BAHIA</t>
  </si>
  <si>
    <t>APT 202</t>
  </si>
  <si>
    <t>SAO JOAO DEL REI</t>
  </si>
  <si>
    <t>ETICA COMERCIO E SERVICOS LTDA</t>
  </si>
  <si>
    <t>ETICA</t>
  </si>
  <si>
    <t>Comércio atacadista de outros equipamentos e artigos de uso pessoal e doméstico não especificados anteriormente</t>
  </si>
  <si>
    <t>HABITACIONAL ARAPOANGA CONJUNTO A LOTE</t>
  </si>
  <si>
    <t>COND RESIDENCIAL SANDRAY</t>
  </si>
  <si>
    <t>PLANALTINA</t>
  </si>
  <si>
    <t>EUCATEX S A INDUSTRIA E COMERCIO</t>
  </si>
  <si>
    <t>ANEXO TORRE II ANDAR 11 SALA 1</t>
  </si>
  <si>
    <t>EUDES SISTEMAS LTDA</t>
  </si>
  <si>
    <t>OSTENDA</t>
  </si>
  <si>
    <t>VILA VERMELHA</t>
  </si>
  <si>
    <t>EURO HOSPITALAR COMERCIO E MANUTENCAO DE EQUIPAMENTOS LTDA</t>
  </si>
  <si>
    <t>EURO ENGENHARIA DE MANUTENCAO E SERVICOS LTDA</t>
  </si>
  <si>
    <t>ZELIA (CH D PAULISTA)</t>
  </si>
  <si>
    <t>EUROBRAS INDUSTRIA E COMERCIO DE CONDUTORES ELETRICOS LTDA</t>
  </si>
  <si>
    <t>DELMIRO GOUVEIA</t>
  </si>
  <si>
    <t>EUROFARMA LABORATORIOS S.A.</t>
  </si>
  <si>
    <t>EUROFARMA - MOMENTA</t>
  </si>
  <si>
    <t>VER JOSE DINIZ</t>
  </si>
  <si>
    <t>ANDAR 18 EDIF VIVA</t>
  </si>
  <si>
    <t>EUROFRAL PRODUTOS DE HIGIENE LTDA</t>
  </si>
  <si>
    <t>EUROFRAL</t>
  </si>
  <si>
    <t>Fabricação de fraldas descartáveis</t>
  </si>
  <si>
    <t>ODYR TEODORICO GIORDANI</t>
  </si>
  <si>
    <t>JARDIM CAVIUNA</t>
  </si>
  <si>
    <t>ROLANDIA</t>
  </si>
  <si>
    <t>EV LOCADORA LTDA</t>
  </si>
  <si>
    <t>EV LOCADORA</t>
  </si>
  <si>
    <t>SEBASTIAO REGIS</t>
  </si>
  <si>
    <t>SAO VICENTE FERRER</t>
  </si>
  <si>
    <t>EVANDRO JOSE DA SILVA</t>
  </si>
  <si>
    <t>CIA PRO DE SERVICOS</t>
  </si>
  <si>
    <t>JACINTO</t>
  </si>
  <si>
    <t>JARDIM DAS FLORES</t>
  </si>
  <si>
    <t>EVARTHE - SOLUCOES AUDIOVISUAIS LTDA</t>
  </si>
  <si>
    <t>EV ARTE AUDIOVISUAL</t>
  </si>
  <si>
    <t>PROFA HELOISA CARNEIRO</t>
  </si>
  <si>
    <t>ANEXO I</t>
  </si>
  <si>
    <t>EVENTUAL LIVE MARKETING LTDA</t>
  </si>
  <si>
    <t>EVENTUAL PROMOCOES E EVENTOS</t>
  </si>
  <si>
    <t>PRESIDENTE PRUDENTE DE MORAES (LOT MORADA DO SOL)</t>
  </si>
  <si>
    <t>LOTE 03 QUADRA19</t>
  </si>
  <si>
    <t>QUILOMBO</t>
  </si>
  <si>
    <t>EVERCO GESTAO ESTRATEGICA EM INFORMACOES E TECNOLOGIA S.A.</t>
  </si>
  <si>
    <t>EVERCO</t>
  </si>
  <si>
    <t>NAGIB MIGUEL</t>
  </si>
  <si>
    <t>SALA 23</t>
  </si>
  <si>
    <t>JARDIM RECANTO DO BOSQUE</t>
  </si>
  <si>
    <t>EVERLLENCE BRASIL EQUIPAMENTOS E SERVICOS LTDA.</t>
  </si>
  <si>
    <t>EVERLLENCE BRASIL</t>
  </si>
  <si>
    <t>Manutenção e reparação de máquinas motrizes não-elétricas</t>
  </si>
  <si>
    <t>BLOCO 1 PARTE</t>
  </si>
  <si>
    <t>EVERTICAL TECNOLOGIA LTDA.</t>
  </si>
  <si>
    <t>ANDAR 1 PARTE B</t>
  </si>
  <si>
    <t>EVERTON PARRA SANTOS 36361418804</t>
  </si>
  <si>
    <t>E.P.S DISTRIBUIDORA DE ALIMENTOS</t>
  </si>
  <si>
    <t>Comércio varejista de hortifrutigranjeiros</t>
  </si>
  <si>
    <t>ANTONIO CHAVARRELI</t>
  </si>
  <si>
    <t>VILA RENNO</t>
  </si>
  <si>
    <t>LUCELIA</t>
  </si>
  <si>
    <t>EVERY BRASIL PUBLICIDADE DIGITAL LTDA</t>
  </si>
  <si>
    <t>PASCALICCHIO SERVICOS</t>
  </si>
  <si>
    <t>BLOCO B SALA 3102</t>
  </si>
  <si>
    <t>EVO SISTEMAS INTELIGENTES LTDA</t>
  </si>
  <si>
    <t>EVO MOTORS SOLUCOES INTELIGENTES</t>
  </si>
  <si>
    <t>Fabricação de material elétrico e eletrônico para veículos automotores, exceto baterias</t>
  </si>
  <si>
    <t>RIO PIQUIRI</t>
  </si>
  <si>
    <t>WEISSOPOLIS</t>
  </si>
  <si>
    <t>EVOLUTIX GESTAO DE TECNOLOGIA E COMERCIO LTDA</t>
  </si>
  <si>
    <t>EVOLUTIX</t>
  </si>
  <si>
    <t>ANDAR 4 CONJ 41</t>
  </si>
  <si>
    <t>EVONIK BRASIL LTDA</t>
  </si>
  <si>
    <t>EVONIK</t>
  </si>
  <si>
    <t>ANDAR 14 TORRE A</t>
  </si>
  <si>
    <t>EVOTECH IMPORTACAO E EXPORTACAO DE EQUIPAMENTOS MEDICO - ODONTOLOGICOS LTDA</t>
  </si>
  <si>
    <t>VEREADOR MIGUEL CURY</t>
  </si>
  <si>
    <t>GALPAO08</t>
  </si>
  <si>
    <t>EXACT CLEAN SERVICOS LTDA</t>
  </si>
  <si>
    <t>EXACT CLEAN</t>
  </si>
  <si>
    <t>ADE CONJUNTO 2 LOTE</t>
  </si>
  <si>
    <t>SALA 1 - 2 E 3 PAVMTOPRIMEIRO</t>
  </si>
  <si>
    <t>EXCIMER TECNOLOGIA COMERCIO E ASSISTENCIA DE EQUIPAMENTOS MEDICOS E HOSPITALARES LTDA</t>
  </si>
  <si>
    <t>EXCIMER TECNOLOGIA</t>
  </si>
  <si>
    <t>QS 5 RUA 800 B</t>
  </si>
  <si>
    <t>LT 4/5</t>
  </si>
  <si>
    <t>AREAL (AGUAS CLARAS)</t>
  </si>
  <si>
    <t>EXCITED REVOLUCAO EM MARKETING E MIDIAS SOCIAIS LTDA</t>
  </si>
  <si>
    <t>EXCITED MIDIAS SOCIAIS</t>
  </si>
  <si>
    <t>Marketing direto</t>
  </si>
  <si>
    <t>PEDRO AMERICO</t>
  </si>
  <si>
    <t>EXITUS COMERCIAL PRODUTOS E SERVICOS LTDA</t>
  </si>
  <si>
    <t>EXITUS.COM</t>
  </si>
  <si>
    <t>CHACARA PRIMAVERA</t>
  </si>
  <si>
    <t>EXOMED COMERCIO ATACADISTA DE MEDICAMENTOS LTDA</t>
  </si>
  <si>
    <t>DAS MOCAS</t>
  </si>
  <si>
    <t xml:space="preserve"> EDIF ESPECIAL 0000 ANEXO 394 GALPAO 000C</t>
  </si>
  <si>
    <t>ARRUDA</t>
  </si>
  <si>
    <t>EXPAK EXPORTADORA E IMPORTADORA LTDA</t>
  </si>
  <si>
    <t>EXPAK EMBALAGENS</t>
  </si>
  <si>
    <t>CARDEAL ARCO VERDE</t>
  </si>
  <si>
    <t>CONJ 71 BLOCO A ANDAR 7</t>
  </si>
  <si>
    <t>EXPANSAO - SERVICOS E COMERCIO LTDA</t>
  </si>
  <si>
    <t>VIA RENT A CAR</t>
  </si>
  <si>
    <t>MAJOR WILLIAMS</t>
  </si>
  <si>
    <t>SAO PEDRO</t>
  </si>
  <si>
    <t>RR</t>
  </si>
  <si>
    <t>EXPERTISE PROJETOS, CONSTRUCOES E REFORMAS LTDA</t>
  </si>
  <si>
    <t>NARCISO STURLINI</t>
  </si>
  <si>
    <t>SALA 401 402 403 E 404</t>
  </si>
  <si>
    <t>EXPRESSO PRINCESA DOS CAMPOS SA</t>
  </si>
  <si>
    <t>Transporte rodoviário coletivo de passageiros, com itinerário fixo, intermunicipal, exceto em região metropolitana</t>
  </si>
  <si>
    <t>ANITA GARIBALDI</t>
  </si>
  <si>
    <t>ORFAS</t>
  </si>
  <si>
    <t>EXTINTORES BRASIL LTDA</t>
  </si>
  <si>
    <t>ALVARO RIBEIRO</t>
  </si>
  <si>
    <t>VILA REDHER</t>
  </si>
  <si>
    <t>EXTRACOR COMERCIO E REPRESENTACOES DE MAT. HOSP. LTDA</t>
  </si>
  <si>
    <t>DOIS DE DEZEMBRO</t>
  </si>
  <si>
    <t>SALA 501 A 504 E 206</t>
  </si>
  <si>
    <t>FLAMENGO</t>
  </si>
  <si>
    <t>EYE PHARMA LTDA</t>
  </si>
  <si>
    <t>EYE PHARMA</t>
  </si>
  <si>
    <t>BRIGADEIRO LUIZ ANTONIO</t>
  </si>
  <si>
    <t>EZ TEC EMPREENDIMENTOS E PARTICIPACOES S/A</t>
  </si>
  <si>
    <t>REPUBLICA DO LIBANO</t>
  </si>
  <si>
    <t>F BRASILEIRO FILHO &amp; CIA LTDA</t>
  </si>
  <si>
    <t>AGROPECUARIA SAO JOAO</t>
  </si>
  <si>
    <t>BENJAMIN BATISTA</t>
  </si>
  <si>
    <t>TERREOLOJA A</t>
  </si>
  <si>
    <t>VERMELHA</t>
  </si>
  <si>
    <t>F CARDOSO E CIA LTDA</t>
  </si>
  <si>
    <t>SHOPPING DA SAUDE</t>
  </si>
  <si>
    <t>JOAO NUNES DE SOUZA</t>
  </si>
  <si>
    <t xml:space="preserve"> RODOVIA BR 316 KM 8</t>
  </si>
  <si>
    <t>AGUAS BRANCAS</t>
  </si>
  <si>
    <t>ANANINDEUA</t>
  </si>
  <si>
    <t>F. ALFANO SERVICOS E COMERCIO DE MATERIAIS DE CONSTRUCAO LTDA</t>
  </si>
  <si>
    <t>F. ALFANO</t>
  </si>
  <si>
    <t>MUTINGA</t>
  </si>
  <si>
    <t>F.B.M. INDUSTRIA FARMACEUTICA LTDA</t>
  </si>
  <si>
    <t>FBMFARMA INDUSTRIA FARMACEUTICA</t>
  </si>
  <si>
    <t>VP 3D</t>
  </si>
  <si>
    <t>QUADRA08-B MODULOS 09/21</t>
  </si>
  <si>
    <t>FA2F ADMINISTRACAO E SERVICOS LTDA</t>
  </si>
  <si>
    <t>F2 SERVICOS</t>
  </si>
  <si>
    <t>PADRE MATOS SERRA</t>
  </si>
  <si>
    <t>FATIMA</t>
  </si>
  <si>
    <t>FABRICA DE IDEIAS INDUSTRIA E COMERCIO DE DISPLAYS LTDA</t>
  </si>
  <si>
    <t>FABRICA DE IDEIAS</t>
  </si>
  <si>
    <t>ELIAS YAZBEK</t>
  </si>
  <si>
    <t>AGUA MORNA</t>
  </si>
  <si>
    <t>FABRICA DE MOVEIS CASCOLA LTDA</t>
  </si>
  <si>
    <t>M. BASTOS</t>
  </si>
  <si>
    <t>BERNARDO DE VASCONCELLOS</t>
  </si>
  <si>
    <t>PORAO</t>
  </si>
  <si>
    <t>CASCATINHA</t>
  </si>
  <si>
    <t>FACCHINI S/A</t>
  </si>
  <si>
    <t>FACCHINI</t>
  </si>
  <si>
    <t>FACILITA SERVICOS GERAIS LTDA</t>
  </si>
  <si>
    <t>FACULDADES METROPOLITANAS UNIDAS EDUCACIONAIS LTDA - EM RECUPERACAO JUDICIAL</t>
  </si>
  <si>
    <t>F.M.U.</t>
  </si>
  <si>
    <t>Educação superior - graduação</t>
  </si>
  <si>
    <t>AFONSO BRAZ</t>
  </si>
  <si>
    <t>FAE SISTEMAS DE MEDICAO S/A</t>
  </si>
  <si>
    <t>FAE MEDICAO</t>
  </si>
  <si>
    <t>PADRE PEDRO DE ALENCAR</t>
  </si>
  <si>
    <t>PARQUE SANTA MARIA</t>
  </si>
  <si>
    <t>FAER SOLUCOES INTELIGENTES EM ENGENHARIA EIRELI</t>
  </si>
  <si>
    <t>GRFAER ENGENHARIA</t>
  </si>
  <si>
    <t>BOOTES</t>
  </si>
  <si>
    <t>FAGUNDEZ DISTRIBUICAO LTDA</t>
  </si>
  <si>
    <t>FAGUNDEZ DISTRIBUICAO</t>
  </si>
  <si>
    <t>BLOCO D UNID. 7</t>
  </si>
  <si>
    <t>EMILIANO PERNETA</t>
  </si>
  <si>
    <t>FAIRFAX BRASIL SEGUROS CORPORATIVOS SA</t>
  </si>
  <si>
    <t>Sociedade seguradora de seguros não vida</t>
  </si>
  <si>
    <t>FAL COMERCIO DE ALIMENTOS E EQUIPAMENTOS LTDA</t>
  </si>
  <si>
    <t>ANDAR 02 SALA 02</t>
  </si>
  <si>
    <t>CRUZ ALTA</t>
  </si>
  <si>
    <t>FALCONSEG - SEGURANCA DE VALORES LTDA</t>
  </si>
  <si>
    <t>FALCONSEG</t>
  </si>
  <si>
    <t>MARIA ROSA</t>
  </si>
  <si>
    <t>MANAIRA</t>
  </si>
  <si>
    <t>JOAO PESSOA</t>
  </si>
  <si>
    <t>FAMAC INDUSTRIA DE MAQUINAS LTDA</t>
  </si>
  <si>
    <t>PONTE PENSIL</t>
  </si>
  <si>
    <t>FAMAP NUTRICAO PARENTERAL LTDA</t>
  </si>
  <si>
    <t>INSUMA</t>
  </si>
  <si>
    <t>CORONEL JAIRO PEREIRA</t>
  </si>
  <si>
    <t>PALMARES</t>
  </si>
  <si>
    <t>FAN TECHNOLOGY RESOURCES - TECNOLOGIA EM SISTEMAS DE VENTILACAO LTDA.</t>
  </si>
  <si>
    <t>FAN TECHNOLOGY</t>
  </si>
  <si>
    <t>FERNANDO STECCA</t>
  </si>
  <si>
    <t>FANEM LTDA</t>
  </si>
  <si>
    <t>ARTHUR CARL SCHMIDT</t>
  </si>
  <si>
    <t>FAPETEC FUNDACAO DE APOIO A PESQUISA, ENSINO, TECNOLOGIA E CULTURA.</t>
  </si>
  <si>
    <t>Fundação Privada</t>
  </si>
  <si>
    <t>SENADOR PINHEIRO MACHADO</t>
  </si>
  <si>
    <t>CONJ 171</t>
  </si>
  <si>
    <t>MARAPE</t>
  </si>
  <si>
    <t>FARBEN SA INDUSTRIA QUIMICA</t>
  </si>
  <si>
    <t>LINO ZANOLLI</t>
  </si>
  <si>
    <t>AURORA</t>
  </si>
  <si>
    <t>FARMA VISION IMPORTACAO E EXPORTACAO DE MEDICAMENTOS LTDA</t>
  </si>
  <si>
    <t>SARGAS</t>
  </si>
  <si>
    <t>COND EMPREEND RAPOSO PARKANEXO BEN. ISAAC PIRES 600</t>
  </si>
  <si>
    <t>FARMAMED PRODUTOS HOSPITALARES LTDA</t>
  </si>
  <si>
    <t>FAST ENGENHARIA E MONTAGENS S.A.</t>
  </si>
  <si>
    <t>DR FERNANDES COELHO</t>
  </si>
  <si>
    <t>CONJ 91 E 92</t>
  </si>
  <si>
    <t>FAST INDUSTRIA E COMERCIO LTDA</t>
  </si>
  <si>
    <t>OMILIO MONTEIRO SOARES</t>
  </si>
  <si>
    <t>FANNY</t>
  </si>
  <si>
    <t>JOSE LEONARDO SANTOS</t>
  </si>
  <si>
    <t>VILA SETE DE JULHO</t>
  </si>
  <si>
    <t>FAST QUALY GERENCIAMENTO DE OBRAS LTDA</t>
  </si>
  <si>
    <t>FAST QUALY</t>
  </si>
  <si>
    <t>FAST TECNOLOGIA DA INFORMACAO LTDA</t>
  </si>
  <si>
    <t>FAST TECNOLOGIA</t>
  </si>
  <si>
    <t>SALA 509HI EDIF HORSA I LETRA A104</t>
  </si>
  <si>
    <t>FATOR SEGURADORA S.A.</t>
  </si>
  <si>
    <t>DR EDUARDO DE SOUZA ARANHA</t>
  </si>
  <si>
    <t>ANDAR 2 5 E 6 CONJ 21 51 52 E 62</t>
  </si>
  <si>
    <t>FAVORITTO COMERCIO DE BEBIDAS E ALIMENTOS LTDA</t>
  </si>
  <si>
    <t>FAVORITTO COMERCIO DE BEBIDAS E ALIMENTOS</t>
  </si>
  <si>
    <t>TROLESI</t>
  </si>
  <si>
    <t>SALA 10</t>
  </si>
  <si>
    <t>JARDIM BUSCARDI</t>
  </si>
  <si>
    <t>FAXON QUIMICA LTDA</t>
  </si>
  <si>
    <t>ERS-239</t>
  </si>
  <si>
    <t>FUNDOSSAIDA 22</t>
  </si>
  <si>
    <t>INDUSTRIAL NORTE</t>
  </si>
  <si>
    <t>FAZENDA MALUNGA PRODUTOS ORGANICOS LTDA</t>
  </si>
  <si>
    <t>SIA TRECHO 10 LOTE</t>
  </si>
  <si>
    <t>LOJA B12A</t>
  </si>
  <si>
    <t>FB MAQUINAS E EQUIPAMENTOS PARA CONSTRUCAO CIVIL LTDA</t>
  </si>
  <si>
    <t>FB EQUIPAMENTOS</t>
  </si>
  <si>
    <t>Representantes comerciais e agentes do comércio de máquinas, equipamentos, embarcações e aeronaves</t>
  </si>
  <si>
    <t>DR ANDRE COSTA</t>
  </si>
  <si>
    <t>VILA CLARICE</t>
  </si>
  <si>
    <t>FCN CONTABILIDADE LTDA</t>
  </si>
  <si>
    <t>COSTA NETO SERVICOS CONTABEIS</t>
  </si>
  <si>
    <t>BRILHANTE</t>
  </si>
  <si>
    <t>FE COMERCIAL LTDA</t>
  </si>
  <si>
    <t>SALA 1.119</t>
  </si>
  <si>
    <t>FELIPE KROTH COSSETIN LTDA</t>
  </si>
  <si>
    <t>21 DE ABRIL</t>
  </si>
  <si>
    <t>OSVALDO ARANHA</t>
  </si>
  <si>
    <t>IJUI</t>
  </si>
  <si>
    <t>FER-LUVAS INDUSTRIA E COMERCIO DE ARTEFATOS DE COUROS LTDA</t>
  </si>
  <si>
    <t>FER-LUVAS</t>
  </si>
  <si>
    <t>JOAO NAPOLES E AVIM</t>
  </si>
  <si>
    <t>FERA SERVICE DO BRASIL INSTALACAO E MANUTENCAO LTDA</t>
  </si>
  <si>
    <t>DA PRECE</t>
  </si>
  <si>
    <t>VILA PRUDENTE</t>
  </si>
  <si>
    <t>FERMAVI ELETROQUIMICA LTDA</t>
  </si>
  <si>
    <t>JOSE THOMAZ LARA</t>
  </si>
  <si>
    <t>PARQUE RINALDO</t>
  </si>
  <si>
    <t>FERNANDA CICCONE KRONGOLD</t>
  </si>
  <si>
    <t>PRINT &amp; CO</t>
  </si>
  <si>
    <t>Comércio varejista de objetos de arte</t>
  </si>
  <si>
    <t>PRUDENTE CORREA</t>
  </si>
  <si>
    <t>FERNANDA CICONE</t>
  </si>
  <si>
    <t>FEMAC ENGENHARIA</t>
  </si>
  <si>
    <t>Serviços de desenho técnico relacionados à arquitetura e engenharia</t>
  </si>
  <si>
    <t>DOUTOR ROBERTO DE ALMEIDA VINHAS</t>
  </si>
  <si>
    <t>SALA</t>
  </si>
  <si>
    <t>REAL</t>
  </si>
  <si>
    <t>PRAIA GRANDE</t>
  </si>
  <si>
    <t>FERNANDES ENGENHARIA E SERVICOS LTDA</t>
  </si>
  <si>
    <t>FERNANDES ENGENHARIA, MANUTENCOES E SERVICOS</t>
  </si>
  <si>
    <t>Outras obras de instalações em construções não especificadas anteriormente</t>
  </si>
  <si>
    <t>ADRIATICO</t>
  </si>
  <si>
    <t>VILA FAZZEONI</t>
  </si>
  <si>
    <t>FERRAMENTAS GERAIS COMERCIO E IMPORTACAO DE FERRAMENTAS E MAQUINAS LTDA</t>
  </si>
  <si>
    <t>FERRAMENTAS GERAIS</t>
  </si>
  <si>
    <t>VOLUNTARIOS DA PATRIA</t>
  </si>
  <si>
    <t>FERRARI, MACHADO EVENTOS PROMOCIONAIS LTDA</t>
  </si>
  <si>
    <t>ANTONIO FONTES</t>
  </si>
  <si>
    <t>FERTILIZANTES HERINGER S.A.</t>
  </si>
  <si>
    <t>FERTILIZANTES HERINGER</t>
  </si>
  <si>
    <t>IRENE KARCHER</t>
  </si>
  <si>
    <t>BETEL</t>
  </si>
  <si>
    <t>FGG COMERCIO DE PRODUTOS DE UTILIDADE DOMESTICA LTDA</t>
  </si>
  <si>
    <t>DADU VARIEDADES</t>
  </si>
  <si>
    <t>ALCIDES GOIS</t>
  </si>
  <si>
    <t>JARDIM FERNANDES</t>
  </si>
  <si>
    <t>FGM DO BRASIL INDUSTRIA E COMERCIO DE FERRAGENS LTDA</t>
  </si>
  <si>
    <t>BRAS DE PINA</t>
  </si>
  <si>
    <t>VILA CARIOCA</t>
  </si>
  <si>
    <t>FIBERTEC ENGENHARIA LTDA</t>
  </si>
  <si>
    <t>FIBERTEC ENGENHARIA</t>
  </si>
  <si>
    <t>INAJAR DE SOUZA</t>
  </si>
  <si>
    <t>FIBERTEX LOUVEIRA PRODUTOS TEXTEIS LTDA</t>
  </si>
  <si>
    <t>FIBERTEX</t>
  </si>
  <si>
    <t>Tecelagem de fios de fibras artificiais e sintéticas</t>
  </si>
  <si>
    <t>DA BOIADA ( TRAVESSA DA ESTRADA DA BOIADA Nº 216)</t>
  </si>
  <si>
    <t>BURACAO</t>
  </si>
  <si>
    <t>FIBERX TELECOM S.A.</t>
  </si>
  <si>
    <t>FIBERX</t>
  </si>
  <si>
    <t>JOSE NEOLI CRUZ</t>
  </si>
  <si>
    <t>LOTE 33 QUADRAA COND ABC BUSINESS PARK</t>
  </si>
  <si>
    <t>PORTO BELO</t>
  </si>
  <si>
    <t>FIBRAPLAC PAINEIS DE MADEIRA LTDA EM RECUPERACAO JUDICIAL</t>
  </si>
  <si>
    <t>FIBRAPLAC</t>
  </si>
  <si>
    <t>DOS ANDRADAS</t>
  </si>
  <si>
    <t>DECIMO NONO ANDAR</t>
  </si>
  <si>
    <t>FIBRIA CELULOSE S/A</t>
  </si>
  <si>
    <t>FIDENCIO RAMOS</t>
  </si>
  <si>
    <t>: 3 E 4PARTE ANDARES; : EDIFICIO VILA; : OLIMPIA CORPORATE; : TORRE B;</t>
  </si>
  <si>
    <t>FIBROCEL PRODUTOS BIOTECNOLOGICOS LTDA</t>
  </si>
  <si>
    <t>FRENTE</t>
  </si>
  <si>
    <t>PARQUE INDUSTRIAL IV</t>
  </si>
  <si>
    <t>FINALE CONSTRUCOES E SERVICOS LTDA</t>
  </si>
  <si>
    <t>CONSTRUTORA FINALE</t>
  </si>
  <si>
    <t>DEZENOVE</t>
  </si>
  <si>
    <t>COCAL</t>
  </si>
  <si>
    <t>FINITI - INDUSTRIA E COMERCIO DE EQUIPAMENTOS PARA CONSTRUCAO CIVIL LTDA</t>
  </si>
  <si>
    <t>FINITI</t>
  </si>
  <si>
    <t>DINO ALEIXO MERLIN</t>
  </si>
  <si>
    <t>EDIF FUNDOS</t>
  </si>
  <si>
    <t>FIOLUZ COMERCIO DE MATERIAIS ELETRICOS LTDA</t>
  </si>
  <si>
    <t>LOJA 304</t>
  </si>
  <si>
    <t>JD. GUANABARA</t>
  </si>
  <si>
    <t>FIORAVANT COMERCIO VAREJISTA DE PRODUTOS METALURGICOS</t>
  </si>
  <si>
    <t>NULA</t>
  </si>
  <si>
    <t>JULIO LOPES DE ALMEIDA</t>
  </si>
  <si>
    <t>FIORI DO BRASIL LTDA</t>
  </si>
  <si>
    <t>FIORI</t>
  </si>
  <si>
    <t>ERNESTO NEUGEBAUER</t>
  </si>
  <si>
    <t xml:space="preserve"> E 1774</t>
  </si>
  <si>
    <t>FIORI VEICOLO S.A</t>
  </si>
  <si>
    <t>FIORI VEICOLO</t>
  </si>
  <si>
    <t>JOAO IVO DA SILVA</t>
  </si>
  <si>
    <t>FIRST DECISION TECNOLOGIAS INOVADORAS E INFORMATICA LTDA</t>
  </si>
  <si>
    <t>FIRST DECISION</t>
  </si>
  <si>
    <t>SIG QUADRA 1, LOTES 985 A 1005</t>
  </si>
  <si>
    <t>SALA 155</t>
  </si>
  <si>
    <t>FIRST MEDICAL SERVICE LTDA</t>
  </si>
  <si>
    <t>ANEXO A</t>
  </si>
  <si>
    <t>VILA ALEXANDRIA</t>
  </si>
  <si>
    <t>FISCAL TEC CONSULTORIA E PROCESSAMENTO DE DADOS LTDA</t>
  </si>
  <si>
    <t>FISCAL TEC</t>
  </si>
  <si>
    <t>SENADOR SOUZA NAVES</t>
  </si>
  <si>
    <t>FISHER &amp; PAYKEL DO BRASIL LTDA.</t>
  </si>
  <si>
    <t>FISHER &amp; PAYKEL DO BRASIL</t>
  </si>
  <si>
    <t>SAMPAIO VIANA</t>
  </si>
  <si>
    <t>CONJ 21 E 22 E 23 E 24</t>
  </si>
  <si>
    <t>FK GRUPO S/A</t>
  </si>
  <si>
    <t>FRISOKAR S.A.</t>
  </si>
  <si>
    <t>BRAZ FORTUNATO</t>
  </si>
  <si>
    <t>KM 1 FUNDOS</t>
  </si>
  <si>
    <t>JARDIM GAROTINHO</t>
  </si>
  <si>
    <t>BARIRI</t>
  </si>
  <si>
    <t>FKB INDUSTRIA DE EQUIPAMENTOS LTDA</t>
  </si>
  <si>
    <t>FKB</t>
  </si>
  <si>
    <t>OLIMPIO FRANCO</t>
  </si>
  <si>
    <t>CEREJEIRA</t>
  </si>
  <si>
    <t>GUARAREMA</t>
  </si>
  <si>
    <t>FLAMA SERVICE TECHNOLOGY EIRELI</t>
  </si>
  <si>
    <t>FLAMA SERVICE TECHNOLOGY</t>
  </si>
  <si>
    <t>JOSE BELINI</t>
  </si>
  <si>
    <t>JOSE PEDRO CAROLO</t>
  </si>
  <si>
    <t>PONTAL</t>
  </si>
  <si>
    <t>FLANJACO IND E COM LTDA</t>
  </si>
  <si>
    <t>FLANJACO INDUSTRIA E COMERCIO LTDA</t>
  </si>
  <si>
    <t>CHIYO YAMAMOTO</t>
  </si>
  <si>
    <t>FLEURY S.A.</t>
  </si>
  <si>
    <t>FLEURY MEDICINA E SAUDE</t>
  </si>
  <si>
    <t>Laboratórios clínicos</t>
  </si>
  <si>
    <t>ANDAR 1 AO 8 SUBSL 1 AO 4 TERREOMEZANINO</t>
  </si>
  <si>
    <t>FLEX GRAPH COMERCIO E SERVICOS LTDA</t>
  </si>
  <si>
    <t>FLEX GRAPH COMERCIO E SERVICOS</t>
  </si>
  <si>
    <t>MONTE ARARAT</t>
  </si>
  <si>
    <t>FLEX SERVICES &amp; TECNOLOGY LTDA</t>
  </si>
  <si>
    <t>PROFESSOR ANTONIO OLEGARIO CARDOSO FILHO</t>
  </si>
  <si>
    <t>JARDIM PROFESSOR BENOA</t>
  </si>
  <si>
    <t>FLEXFORM INDUSTRIA E COMERCIO DE MOVEIS LTDA</t>
  </si>
  <si>
    <t>FLEXFORM</t>
  </si>
  <si>
    <t>PAPA JOAO PAULO I</t>
  </si>
  <si>
    <t>FLEXIBASE INDUSTRIA E COMERCIO DE MOVEIS, IMPORTACAO E EXPORTACAO LTDA</t>
  </si>
  <si>
    <t>FLEXIBASE</t>
  </si>
  <si>
    <t>QUADRA11 LOTE 08</t>
  </si>
  <si>
    <t>POLO EMPRESARIAL GOIAS - ETAPA VIII</t>
  </si>
  <si>
    <t>FLIR SYSTEMS BRASIL COMERCIO DE CAMERAS INFRAVERMELHAS LTDA.</t>
  </si>
  <si>
    <t>FLIR SYSTEMS BRASIL</t>
  </si>
  <si>
    <t>ALTO DA BOA VISTA</t>
  </si>
  <si>
    <t>FLORA DISTRIBUIDORA DE PRODUTOS DE HIGIENE E LIMPEZA LTDA</t>
  </si>
  <si>
    <t>LEMOS MONTEIRO</t>
  </si>
  <si>
    <t>ANDAR 20 - LADO B</t>
  </si>
  <si>
    <t>FLORAPLAC MDF LTDA</t>
  </si>
  <si>
    <t>FLORA MDF</t>
  </si>
  <si>
    <t>COLONIA DO URAIM</t>
  </si>
  <si>
    <t xml:space="preserve"> KM 02</t>
  </si>
  <si>
    <t>PARAGOMINAS</t>
  </si>
  <si>
    <t>FLOWMARFE FABRICACAO DE APARELHOS E EQUIPAMENTOS DE MEDIDA E CONTROLE LTDA</t>
  </si>
  <si>
    <t>FLOWMARFE</t>
  </si>
  <si>
    <t>CENTRAL DO LOTEAMENTO CAJAZEIRAS I</t>
  </si>
  <si>
    <t>CAJAZEIRAS</t>
  </si>
  <si>
    <t>FLOWSERVE DO BRASIL LTDA.</t>
  </si>
  <si>
    <t>FLUKE DO BRASIL LTDA</t>
  </si>
  <si>
    <t>BLOCO G ANDAR PRIMEIRO PAVMTOSEGUNDO LOJA 02 GA</t>
  </si>
  <si>
    <t>FLUTROL COMERCIO E CONTROLE DE FLUIDOS LTDA</t>
  </si>
  <si>
    <t>SANTO ALBANO</t>
  </si>
  <si>
    <t>FLY TECNOLOGIA E ENGENHARIA LTDA</t>
  </si>
  <si>
    <t>FLYTEC</t>
  </si>
  <si>
    <t>Comércio atacadista de aparelhos eletrônicos de uso pessoal e doméstico</t>
  </si>
  <si>
    <t>SALA C 11.1.0</t>
  </si>
  <si>
    <t>FM PROMOCAO DE VENDAS LTDA.</t>
  </si>
  <si>
    <t>XIRIRICA</t>
  </si>
  <si>
    <t>VILA CARRAO</t>
  </si>
  <si>
    <t>FM PROMOCOES E VENDAS LTDA</t>
  </si>
  <si>
    <t>PROFESSOR ARTUR RAMOS</t>
  </si>
  <si>
    <t>CONJ 201 - S</t>
  </si>
  <si>
    <t>FOCALLE - ENGENHARIA VIARIA LTDA.</t>
  </si>
  <si>
    <t>FOCALLE TECNOLOGIA</t>
  </si>
  <si>
    <t>PASTOR WILLIAM RICHARD SCHISLER FILHO</t>
  </si>
  <si>
    <t>SALA 104 EDIF CENTRO EMP VIA NORTE</t>
  </si>
  <si>
    <t>FOKKUS TRADE PRODUTOS E SERVICOS HOSPITALARES LTDA</t>
  </si>
  <si>
    <t>ALTERNATIVE MEDICAL</t>
  </si>
  <si>
    <t>QNB 18 LOTE</t>
  </si>
  <si>
    <t>TAGUATINGA NORTE (TAGUATINGA)</t>
  </si>
  <si>
    <t>FOLKS ENTRETENIMENTOS LTDA</t>
  </si>
  <si>
    <t>FOLKS PUB SERTANEJO</t>
  </si>
  <si>
    <t>Bares e outros estabelecimentos especializados em servir bebidas, com entretenimento</t>
  </si>
  <si>
    <t>JARDIM SAO LUIZ</t>
  </si>
  <si>
    <t>FONTE &amp; CFTV ELETRONICOS LTDA</t>
  </si>
  <si>
    <t>FC ELETRONICOS</t>
  </si>
  <si>
    <t>ANTONIO ARAUJO</t>
  </si>
  <si>
    <t>BLOCO LATERAL A</t>
  </si>
  <si>
    <t>MARISTELA</t>
  </si>
  <si>
    <t>FORCE-LINE INDUSTRIA E COMERCIO DE COMPONENTES ELETRONICOS LTDA</t>
  </si>
  <si>
    <t>FORCE-LINE</t>
  </si>
  <si>
    <t>PARAUPAVA</t>
  </si>
  <si>
    <t>FORD MOTOR COMPANY BRASIL LTDA</t>
  </si>
  <si>
    <t>Comércio por atacado de automóveis, camionetas e utilitários novos e usados</t>
  </si>
  <si>
    <t>ANDAR TERREO</t>
  </si>
  <si>
    <t>FORMATHOS FORNECEDORA DE MATERIAL HOSPITALAR LTDA</t>
  </si>
  <si>
    <t>FORMATTA NEGOCIOS LTDA</t>
  </si>
  <si>
    <t>CASA DO CONSTRUTOR FRANQUIA</t>
  </si>
  <si>
    <t>JARDIM MIRASSOL</t>
  </si>
  <si>
    <t>FORTBRASIL INSTITUICAO DE PAGAMENTO S.A</t>
  </si>
  <si>
    <t>BEZERRA DE MENEZES</t>
  </si>
  <si>
    <t xml:space="preserve"> 401 402 404 - 414</t>
  </si>
  <si>
    <t>FARIAS BRITO</t>
  </si>
  <si>
    <t>FORTLIGHT ILUMINACAO INDUSTRIA LTDA</t>
  </si>
  <si>
    <t>LUIZ RODRIGUES DE FREITAS</t>
  </si>
  <si>
    <t>FORTLINE INDUSTRIA E COMERCIO DE MOVEIS LTDA</t>
  </si>
  <si>
    <t>ESTADOS UNIDOS</t>
  </si>
  <si>
    <t>SAO SIMAO</t>
  </si>
  <si>
    <t>FORTPEL COMERCIO DE DESCARTAVEIS LTDA</t>
  </si>
  <si>
    <t>GRUPO FORTPEL</t>
  </si>
  <si>
    <t>Comércio atacadista de produtos de higiene, limpeza e conservação domiciliar, com atividade de fracionamento e acondicionamento associada</t>
  </si>
  <si>
    <t>FRANCISCO SILVEIRA BITENCOURT</t>
  </si>
  <si>
    <t>PAVLH 1 A 6</t>
  </si>
  <si>
    <t>FORUM DA COMARCA DE LUCAS DO RIO VERDE</t>
  </si>
  <si>
    <t>Órgão Público do Poder Judiciário Estadual</t>
  </si>
  <si>
    <t>Justiça</t>
  </si>
  <si>
    <t>PALMEIRAS DAS MISSOES</t>
  </si>
  <si>
    <t>LUCAS DO RIO VERDE</t>
  </si>
  <si>
    <t>FORUM DA COMARCA DE SORRISO</t>
  </si>
  <si>
    <t>SORRISO</t>
  </si>
  <si>
    <t>FORUSI METAIS SANITARIOS LTDA</t>
  </si>
  <si>
    <t>ANTONIO CARLOS SALVATO</t>
  </si>
  <si>
    <t>FORVIS MAZARS CONSULTORIA CONTABIL E TRIBUTARIA LTDA</t>
  </si>
  <si>
    <t>FORVIS MAZARS</t>
  </si>
  <si>
    <t>SALA 1314 E 1315 EDIF OFFICE BETHAVILLE</t>
  </si>
  <si>
    <t>FORZA BR INDUSTRIA E COMERCIO DE MAQUINAS E EQUIPAMENTOS LTDA</t>
  </si>
  <si>
    <t>FORZA BR</t>
  </si>
  <si>
    <t>BR 101</t>
  </si>
  <si>
    <t xml:space="preserve"> LOT PARQUE EMPRESARIAL LUMIS</t>
  </si>
  <si>
    <t>PACHECOS</t>
  </si>
  <si>
    <t>FPT INDUSTRIAL BRASIL LTDA.</t>
  </si>
  <si>
    <t>SALA FPT</t>
  </si>
  <si>
    <t>FR COMERCIO E REPRESENTACOES LTDA</t>
  </si>
  <si>
    <t>FR REPRESENTACOES</t>
  </si>
  <si>
    <t>DONA MARIA JOANA</t>
  </si>
  <si>
    <t>QUADRAF14 LOTE 37</t>
  </si>
  <si>
    <t>SET SUL</t>
  </si>
  <si>
    <t>FRACHT DO BRASIL LOGISTICA LTDA</t>
  </si>
  <si>
    <t>Agenciamento de cargas, exceto para o transporte marítimo</t>
  </si>
  <si>
    <t>CONJ 101 E 102</t>
  </si>
  <si>
    <t>FRACTAL ENGENHARIA E SISTEMAS S/A</t>
  </si>
  <si>
    <t>FRACTAL ENGENHARIA E SISTEMAS</t>
  </si>
  <si>
    <t>LAURO LINHARES</t>
  </si>
  <si>
    <t>SALA 308 BLOCO MAX</t>
  </si>
  <si>
    <t>FRALMAX DISTRIBUIDORA DE PRODUTOS HIGIENICOS LTDA</t>
  </si>
  <si>
    <t>JOAO FRANCISCO ANGELI</t>
  </si>
  <si>
    <t>FRANCAR SERVICE E LOCACOES LTDA</t>
  </si>
  <si>
    <t>JULIA VAZ VIEIRA</t>
  </si>
  <si>
    <t>QUADRAAPM 6 LOTE AREA</t>
  </si>
  <si>
    <t>RESIDENCIAL VIEIRA</t>
  </si>
  <si>
    <t>FRANKLIN ELECTRIC INDUSTRIA DE MOTOBOMBAS LTDA.</t>
  </si>
  <si>
    <t>FRANKLIN MARTINS DA SILVA PROMOCIONAIS</t>
  </si>
  <si>
    <t>PDV DISPLAY</t>
  </si>
  <si>
    <t>VILA CONCEICAO</t>
  </si>
  <si>
    <t>FRAS-LE SA</t>
  </si>
  <si>
    <t>KM 66,1</t>
  </si>
  <si>
    <t>FORQUETA</t>
  </si>
  <si>
    <t>FREEDOM VEICULOS ELETRICOS LTDA</t>
  </si>
  <si>
    <t>FREGNI &amp; JARA INFORMATICA LTDA</t>
  </si>
  <si>
    <t>EPIACABA</t>
  </si>
  <si>
    <t>SALA: 03;</t>
  </si>
  <si>
    <t>PARQUE FONGARO</t>
  </si>
  <si>
    <t>FRESENIUS KABI BRASIL LTDA.</t>
  </si>
  <si>
    <t>MARGINAL PROJETADA</t>
  </si>
  <si>
    <t>GALPAO1. 2-PARTE. 3. 4 5. 6. 7-PARTE 8-PARTE ALTURA DO KM 21 E 22 DA RODOVIA PRESIDENTE CASTELO BRANCO</t>
  </si>
  <si>
    <t>JARDIM MUTINGA</t>
  </si>
  <si>
    <t>FRESENIUS MEDICAL CARE LTDA</t>
  </si>
  <si>
    <t>AMOREIRA</t>
  </si>
  <si>
    <t>JARDIM ROSEIRA</t>
  </si>
  <si>
    <t>FRIEDMAN GESTAO, TALENTOS E TREINAMENTO LTDA</t>
  </si>
  <si>
    <t>ANDAR 8</t>
  </si>
  <si>
    <t>FRIGELAR COMERCIO E INDUSTRIA LTDA</t>
  </si>
  <si>
    <t>AA FRIGELAR SA</t>
  </si>
  <si>
    <t>PERNAMBUCO</t>
  </si>
  <si>
    <t>FRIGOBOI COMERCIO DE CARNES LTDA</t>
  </si>
  <si>
    <t>FRIGOBOI</t>
  </si>
  <si>
    <t>Comércio varejista de carnes - açougues</t>
  </si>
  <si>
    <t>ASSIS CHATEAUBRIAND</t>
  </si>
  <si>
    <t xml:space="preserve"> KM 176</t>
  </si>
  <si>
    <t>GUAPIACU</t>
  </si>
  <si>
    <t>FRIGOESTRELA S/A</t>
  </si>
  <si>
    <t>FRIGOESTRELA</t>
  </si>
  <si>
    <t>APARECIDA S/N - BLOCO B</t>
  </si>
  <si>
    <t>ESTRELA D'OESTE</t>
  </si>
  <si>
    <t>FRIOLI FRIGORIFICO OLIVEIRA LTDA</t>
  </si>
  <si>
    <t>FRIOLI FRIGORIFICO</t>
  </si>
  <si>
    <t>Frigorífico - abate de bovinos</t>
  </si>
  <si>
    <t>ALZIRA MENEZES NOGUEIRA</t>
  </si>
  <si>
    <t>DISTRITO INDUSTRIAL JOAO DE ALMEIDA</t>
  </si>
  <si>
    <t>RIBEIRAO DAS NEVES</t>
  </si>
  <si>
    <t>FRIOMAQ REFRIGERACAO LTDA</t>
  </si>
  <si>
    <t>FRIOMAQ</t>
  </si>
  <si>
    <t>Aluguel de móveis, utensílios e aparelhos de uso doméstico e pessoal; instrumentos musicais</t>
  </si>
  <si>
    <t>FRIOVIX COMERCIO DE REFRIGERACAO LTDA</t>
  </si>
  <si>
    <t>CIVIT I</t>
  </si>
  <si>
    <t>GALPAOAREA B1-1 SALA 01</t>
  </si>
  <si>
    <t>BARRO BRANCO</t>
  </si>
  <si>
    <t>FROZEN BOSS - DISTRIBUIDORA DE ALIMENTOS CONGELADOS LTDA</t>
  </si>
  <si>
    <t>Comércio atacadista de pães, bolos, biscoitos e similares</t>
  </si>
  <si>
    <t>RAFAEL FERNANDO COLUSSI</t>
  </si>
  <si>
    <t>JARDIM PAULISTINHA</t>
  </si>
  <si>
    <t>FRUTIVINI COMERCIO DE FRUTAS E VERDURAS LTDA</t>
  </si>
  <si>
    <t>BR 116 - CEASA</t>
  </si>
  <si>
    <t>PAV. A - BOX 11</t>
  </si>
  <si>
    <t>TATUQUARA</t>
  </si>
  <si>
    <t>FRUTTI LIFE COMERCIO DE SUCOS LTDA</t>
  </si>
  <si>
    <t>FRUTTI LIFE</t>
  </si>
  <si>
    <t>SEGUNDO MASSOCATO</t>
  </si>
  <si>
    <t>PARQUE INDUSTRIAL TORIBA</t>
  </si>
  <si>
    <t>FUGA S/A</t>
  </si>
  <si>
    <t>Curtimento e outras preparações de couro</t>
  </si>
  <si>
    <t>JOSE FUGA</t>
  </si>
  <si>
    <t>CONSTANTE FUGA</t>
  </si>
  <si>
    <t>MARAU</t>
  </si>
  <si>
    <t>FUJIFILM DO BRASIL LTDA.</t>
  </si>
  <si>
    <t>FUJI FILM</t>
  </si>
  <si>
    <t>ANDAR 10 SALA 1 3 5 6 7 8</t>
  </si>
  <si>
    <t>FUND MOV UNIVERSITARIO DE DESENVOLVIMENTO ECON E SOCIAL</t>
  </si>
  <si>
    <t>FUNDACAO MUDES</t>
  </si>
  <si>
    <t xml:space="preserve"> SAL 1202 SAL 1203 SAL 605 SAL 1208 SAL 1206 SAL 1207 SAL 1204 SAL 1205</t>
  </si>
  <si>
    <t>FUNDACAO BUTANTAN</t>
  </si>
  <si>
    <t>Outras atividades de atenção à saúde humana não especificadas anteriormente</t>
  </si>
  <si>
    <t>BUTANTAN</t>
  </si>
  <si>
    <t>FUNDACAO CESGRANRIO</t>
  </si>
  <si>
    <t>SANTA ALEXANDRINA 1011</t>
  </si>
  <si>
    <t>.</t>
  </si>
  <si>
    <t>FUNDACAO DE AMPARO E DESENVOLVIMENTO DA PESQUISA</t>
  </si>
  <si>
    <t>FADESP</t>
  </si>
  <si>
    <t>Pesquisa e desenvolvimento experimental em ciências sociais e humanas</t>
  </si>
  <si>
    <t>AUGUSTO CORREA</t>
  </si>
  <si>
    <t>CAMPUS UNIVERSITARIO</t>
  </si>
  <si>
    <t>FUNDACAO EDUCACIONAL JAYME DE ALTAVILA-FEJAL</t>
  </si>
  <si>
    <t>FEJAL</t>
  </si>
  <si>
    <t>CONEGO MACHADO</t>
  </si>
  <si>
    <t>FAROL</t>
  </si>
  <si>
    <t>FUNDACAO EUCLIDES DA CUNHA DE APOIO INSTITUCIONAL A UFF</t>
  </si>
  <si>
    <t>FEC</t>
  </si>
  <si>
    <t>MIGUEL DE FRIAS</t>
  </si>
  <si>
    <t>ICARAI</t>
  </si>
  <si>
    <t>FUNDACAO INSTITUTO DE ENSINO PARA OSASCO</t>
  </si>
  <si>
    <t>FIEO</t>
  </si>
  <si>
    <t>FRANZ VOEGELI</t>
  </si>
  <si>
    <t>CONTINENTAL</t>
  </si>
  <si>
    <t>FUNDACAO OSWALDO CRUZ</t>
  </si>
  <si>
    <t>INSTITUTO DE TECNOLOGIA EM FARMACOS</t>
  </si>
  <si>
    <t>Fundação Pública de Direito Público Federal</t>
  </si>
  <si>
    <t>COMANDANTE GUARANYS</t>
  </si>
  <si>
    <t>FUNDACAO SAO PAULO</t>
  </si>
  <si>
    <t>FUNDASP</t>
  </si>
  <si>
    <t>JOAO RAMALHO</t>
  </si>
  <si>
    <t>FUNDO DE INVESTIMENTO EM PARTICIPACOES MULTIESTRATEGIA INOVABRA I</t>
  </si>
  <si>
    <t>Clube/Fundo de Investimento</t>
  </si>
  <si>
    <t>Fundos de investimento, exceto previdenciários e imobiliários</t>
  </si>
  <si>
    <t>CIDADE DE DEUS</t>
  </si>
  <si>
    <t xml:space="preserve"> 4 ANDAR PREDIO PRATA</t>
  </si>
  <si>
    <t>FUNERARIA PASTORAL DE PIRAQUARA LTDA</t>
  </si>
  <si>
    <t>Serviços de funerárias</t>
  </si>
  <si>
    <t>FRANCISCO LEAL</t>
  </si>
  <si>
    <t>PIRAQUARA</t>
  </si>
  <si>
    <t>FUSAO COMERCIO DE PRODUTOS ODONTOLOGICOS LTDA</t>
  </si>
  <si>
    <t>FUSAO DENTAL</t>
  </si>
  <si>
    <t>COQUEIRAL</t>
  </si>
  <si>
    <t>FUSCO-MOTOSEGURA IMPLEMENTOS RODOVIARIOS LTDA</t>
  </si>
  <si>
    <t>FUSCO-MOTOSEGURA</t>
  </si>
  <si>
    <t>Fabricação de motocicletas</t>
  </si>
  <si>
    <t>JOAO SERRANO</t>
  </si>
  <si>
    <t>FUSION COMERCIO VAREJISTA DE FERRAMENTAS DIAMANTADAS, ABRASIVOS E PEDRAS LTDA.</t>
  </si>
  <si>
    <t>QUATRO</t>
  </si>
  <si>
    <t>CONJ UNICO</t>
  </si>
  <si>
    <t>MONTANHAO</t>
  </si>
  <si>
    <t>FUTUREME - GERENCIAMENTO PROFISSIONAL LTDA</t>
  </si>
  <si>
    <t xml:space="preserve"> 9 ANDAR SALAO 902 PARTE</t>
  </si>
  <si>
    <t>G MAX SERVICOS LTDA</t>
  </si>
  <si>
    <t>GLX</t>
  </si>
  <si>
    <t>CONJ ESCRITORIO 64 EDIF JACARI SALA A</t>
  </si>
  <si>
    <t>G V S DO BRASIL LTDA</t>
  </si>
  <si>
    <t>CONEGO CYRIACO SCARANELO PIRES</t>
  </si>
  <si>
    <t>G. GAMA LTDA</t>
  </si>
  <si>
    <t>GRUPO GAMA</t>
  </si>
  <si>
    <t>CALAMA</t>
  </si>
  <si>
    <t>IGARAPE</t>
  </si>
  <si>
    <t>PORTO VELHO</t>
  </si>
  <si>
    <t>G. HENRIQUE LTDA</t>
  </si>
  <si>
    <t>G H NAVEGACOES COMERCIO E SERVICOS</t>
  </si>
  <si>
    <t>Transporte por navegação interior de passageiros em linhas regulares, intermunicipal, interestadual e internacional, exceto travessia</t>
  </si>
  <si>
    <t>VEREADOR ALBERTO BARBOSA</t>
  </si>
  <si>
    <t>NOVA ESPERANCA</t>
  </si>
  <si>
    <t>SAO GABRIEL DA CACHOEIRA</t>
  </si>
  <si>
    <t>G.F.M COMERCIO E SERVICO LTDA</t>
  </si>
  <si>
    <t>G.F.M COMERCIO E SERVICO EIRELI</t>
  </si>
  <si>
    <t>Serviços de alimentação para eventos e recepções - bufê</t>
  </si>
  <si>
    <t>FRANCISCO EUGENIO</t>
  </si>
  <si>
    <t>SALA 427</t>
  </si>
  <si>
    <t>G.T.A. CROMO DURO INDUSTRIA E COMERCIO LTDA</t>
  </si>
  <si>
    <t>Serviços de tratamento e revestimento em metais</t>
  </si>
  <si>
    <t>ANTONIO ABDALLA</t>
  </si>
  <si>
    <t>G&amp;P PROJETOS E SISTEMAS S.A.</t>
  </si>
  <si>
    <t>ANDAR 9 CONJ 91 E 92</t>
  </si>
  <si>
    <t>G10 COMUNICACAO VISUAL E DISPLAY EIRELI</t>
  </si>
  <si>
    <t>DISPLAY.COM.BR / FACCHINI PRIME</t>
  </si>
  <si>
    <t>Laboratórios fotográficos</t>
  </si>
  <si>
    <t>SENA</t>
  </si>
  <si>
    <t>JARDIM LEONOR MENDES DE BARROS</t>
  </si>
  <si>
    <t>G4F SOLUCOES CORPORATIVAS LTDA</t>
  </si>
  <si>
    <t>G4F</t>
  </si>
  <si>
    <t>SCN QUADRA 2</t>
  </si>
  <si>
    <t>BLOCO A SALA 602 EDIF CORPORATE FINANCIAL</t>
  </si>
  <si>
    <t>G4S BRAZIL HOLDING LTDA.</t>
  </si>
  <si>
    <t>G4S VANGUARDA SEGURANCA E VIGILANCIA LTDA.</t>
  </si>
  <si>
    <t>GABBIA TRANSPORTES LTDA</t>
  </si>
  <si>
    <t>GABBIA TRANSPORTES</t>
  </si>
  <si>
    <t>LAURO MULLER</t>
  </si>
  <si>
    <t>SACADURA CABRAL</t>
  </si>
  <si>
    <t>GABITEC IND E COM DE ARTEFATOS DE METAIS LTDA</t>
  </si>
  <si>
    <t>GABITEC</t>
  </si>
  <si>
    <t>Fundição de metais não-ferrosos e suas ligas</t>
  </si>
  <si>
    <t>QUADRA028 LOTE 06 / 06A / 07</t>
  </si>
  <si>
    <t>POLO EMPRESARIAL GOIAS - ETAPA IX</t>
  </si>
  <si>
    <t>GAFISA S/A.</t>
  </si>
  <si>
    <t>ANDAR 13 CONJ 131 EDIF 1</t>
  </si>
  <si>
    <t>GAFOR S.A.</t>
  </si>
  <si>
    <t>ANDAR 3 CJ 31A</t>
  </si>
  <si>
    <t>GAIA NANOSCIENCE LTDA</t>
  </si>
  <si>
    <t>GAIA NANOSCIENCE</t>
  </si>
  <si>
    <t>CAP. EMIDIO JAIME DE FIGUEIREDO</t>
  </si>
  <si>
    <t>SAO SEPE</t>
  </si>
  <si>
    <t>GALATAS SERVICOS DE SEGURANCA LTDA</t>
  </si>
  <si>
    <t>GALATAS SEGURANCA E SERVICOS</t>
  </si>
  <si>
    <t>DO MANIFESTO</t>
  </si>
  <si>
    <t>GALINHO REFRIGERACAO COMERCIAL E IMPORTADORA LTDA</t>
  </si>
  <si>
    <t>GALINHO</t>
  </si>
  <si>
    <t>DOM PEDRO HENRIQUE DE ORLEANS E BRAGANCA</t>
  </si>
  <si>
    <t>GALLAGHER BRASIL CORRETORA DE SEGUROS LTDA</t>
  </si>
  <si>
    <t>CONJ 91</t>
  </si>
  <si>
    <t>GALMED COMERCIAL DE PRODUTOS HOSPITALARES LTDA</t>
  </si>
  <si>
    <t>DAS GAIVOTAS</t>
  </si>
  <si>
    <t>EDIF IMBUI MASTER SALA 204 205 SALA 206 E 210</t>
  </si>
  <si>
    <t>IMBUI</t>
  </si>
  <si>
    <t>GALS TECNOLOGIA LTDA</t>
  </si>
  <si>
    <t>QUILL</t>
  </si>
  <si>
    <t>AMALIA DE NORONHA</t>
  </si>
  <si>
    <t>APT 164</t>
  </si>
  <si>
    <t>GAMA CAMP PRODUTOS HOSPITALARES LTDA</t>
  </si>
  <si>
    <t>EXPEDICIONARIO HELIO ALVES DE CAMARGO</t>
  </si>
  <si>
    <t>JARDIM QUARTO CENTENARIO</t>
  </si>
  <si>
    <t>GAN DO BRASIL - SERVICOS LTDA</t>
  </si>
  <si>
    <t>GAN DO BRASIL SERVICOS</t>
  </si>
  <si>
    <t>VILA ROMANOPOLIS</t>
  </si>
  <si>
    <t>GARDEN CONSTRUTORA E INCORPORADORA LTDA</t>
  </si>
  <si>
    <t>PADRE ANCHIETA</t>
  </si>
  <si>
    <t>SALA 909 ANDAR 09 COND HELBOR OFFICES CHAMP</t>
  </si>
  <si>
    <t>GARDNER DENVER BRASIL INDUSTRIA E COMERCIO DE MAQUINAS LTDA</t>
  </si>
  <si>
    <t>GARDNER DENVER</t>
  </si>
  <si>
    <t>ANTONIO OVIDIO RODRIGUES</t>
  </si>
  <si>
    <t>GAS PONTO COM DISTRIBUIDORA DE GAS S.A.</t>
  </si>
  <si>
    <t>GASLOG</t>
  </si>
  <si>
    <t>GASLIVE IMPORTACAO E EXPORTACAO DE PRODUTOS MEDICOS LTDA</t>
  </si>
  <si>
    <t>GASLIVE IMPORTACAO E EXPORTACAO</t>
  </si>
  <si>
    <t>VISCONDE DE PORTO SEGURO</t>
  </si>
  <si>
    <t>GALPAON E D</t>
  </si>
  <si>
    <t>SITIO RECREIO DOS CAFEZAIS</t>
  </si>
  <si>
    <t>GATES DO BRASIL INDUSTRIA E COMERCIO LTDA</t>
  </si>
  <si>
    <t>SAMUEL MORSE</t>
  </si>
  <si>
    <t>ANDAR 11 CONJ 111 112 113 E 114</t>
  </si>
  <si>
    <t>GBI BRASIL COMERCIO E SERVICOS DE EQUIPAMENTOS E PECAS LTDA</t>
  </si>
  <si>
    <t>GBI BRASIL</t>
  </si>
  <si>
    <t>Comércio varejista de materiais hidráulicos</t>
  </si>
  <si>
    <t>ENG JOSE PASTORE</t>
  </si>
  <si>
    <t>JARDIM DAS GRACAS</t>
  </si>
  <si>
    <t>GBI TECHNOLOGY LTDA</t>
  </si>
  <si>
    <t>LUIZ FORNAZIERO</t>
  </si>
  <si>
    <t>JARDIM DO PACO</t>
  </si>
  <si>
    <t>GCP BRASIL INDUSTRIA E COMERCIO DE PRODUTOS QUIMICOS</t>
  </si>
  <si>
    <t>PARANA</t>
  </si>
  <si>
    <t>CAJURU DO SUL</t>
  </si>
  <si>
    <t>GCTEC AUTOMACAO E CONTROLE DE FLUIDOS LTDA</t>
  </si>
  <si>
    <t xml:space="preserve"> APT 101 CAS 5</t>
  </si>
  <si>
    <t>GE HEALTHCARE DO BRASIL COMERCIO E SERVICOS PARA EQUIPAMENTOS MEDICO-HOSPITALARES LTDA</t>
  </si>
  <si>
    <t>MAGALHAES DE CASTRO</t>
  </si>
  <si>
    <t>ANDAR 10 TORRE 3 CONJ 101 E 102</t>
  </si>
  <si>
    <t>GECAL INDUSTRIA E COMERCIO DE PRODUTOS MINERAIS LTDA</t>
  </si>
  <si>
    <t>GECAL</t>
  </si>
  <si>
    <t>Fabricação de cal e gesso</t>
  </si>
  <si>
    <t>LOC AMARGOSO</t>
  </si>
  <si>
    <t>PAINS</t>
  </si>
  <si>
    <t>GELGAS SOLUCOES PARA PECUARIA LTDA</t>
  </si>
  <si>
    <t>RS332 KM 2</t>
  </si>
  <si>
    <t>ESPUMOSO</t>
  </si>
  <si>
    <t>GEMED SERVICOS MEDICOS LTDA</t>
  </si>
  <si>
    <t>GEMED SERVICOS MEDICOS</t>
  </si>
  <si>
    <t>BOLIVAR</t>
  </si>
  <si>
    <t>SALA 06</t>
  </si>
  <si>
    <t>GEMP ASSESSORIA CONTABIL LTDA</t>
  </si>
  <si>
    <t>GEMP</t>
  </si>
  <si>
    <t>MARQUES DE SAO VICENTE</t>
  </si>
  <si>
    <t>CONJ 11 BLOCO B</t>
  </si>
  <si>
    <t>GEMU IND DE PRODUTOS PLASTICOS E METALURGICOS LTDA</t>
  </si>
  <si>
    <t>GEMU</t>
  </si>
  <si>
    <t>GENCO QUIMICA INDUSTRIAL LTDA</t>
  </si>
  <si>
    <t>SANTANA DE IPANEMA</t>
  </si>
  <si>
    <t>GENERAL MOTORS DO BRASIL LTDA</t>
  </si>
  <si>
    <t>GM SOUTH AMERICA</t>
  </si>
  <si>
    <t>GENERAL WATER S/A</t>
  </si>
  <si>
    <t>ONOFRIO MILANO</t>
  </si>
  <si>
    <t>GENERAL WEST COMERCIO E MANUTENCAO INDUSTRIAL LTDA</t>
  </si>
  <si>
    <t>INGA</t>
  </si>
  <si>
    <t>JARDIM DO ESTADIO</t>
  </si>
  <si>
    <t>GENEROSO ORGANIZACOES LTDA</t>
  </si>
  <si>
    <t>DO INGA</t>
  </si>
  <si>
    <t>SALA 510</t>
  </si>
  <si>
    <t>VALE DO SERENO</t>
  </si>
  <si>
    <t>GENESIO A MENDES &amp; CIA LTDA</t>
  </si>
  <si>
    <t>GAM MEDICAMENTOS</t>
  </si>
  <si>
    <t>PATRICIO LIMA</t>
  </si>
  <si>
    <t>GENTE SEGURADORA SA</t>
  </si>
  <si>
    <t>GENTE SEGURADORA</t>
  </si>
  <si>
    <t>MARECHAL FLORIANO PEIXOTO</t>
  </si>
  <si>
    <t>EDIF</t>
  </si>
  <si>
    <t>CENTRO HISTORICO</t>
  </si>
  <si>
    <t>GENUS PLC</t>
  </si>
  <si>
    <t>BASING VIEW - RG21 4DZ</t>
  </si>
  <si>
    <t>EDIF MATRIX HOUSE</t>
  </si>
  <si>
    <t>HAMPSHIRE</t>
  </si>
  <si>
    <t>GEOPAV OBRAS DE INFRAESTRUTURA LTDA</t>
  </si>
  <si>
    <t>GEOPAV INFRAESTRUTURA</t>
  </si>
  <si>
    <t>JARDIM DOS BICHINHOS</t>
  </si>
  <si>
    <t>GEORG FISCHER FGS INDUSTRIA E COMERCIO LTDA</t>
  </si>
  <si>
    <t>LUIZ ALLY FAYRDIN</t>
  </si>
  <si>
    <t>F.G.S. BRASIL INSDUSTRIA E COMERCIO LTDA</t>
  </si>
  <si>
    <t>GEOTAB TELEMATICA LTDA.</t>
  </si>
  <si>
    <t>CONJ 2205 EDIF E. OFFICE DESIGN SALA 4</t>
  </si>
  <si>
    <t>GERAL ELETRO INDUSTRIA DE MATERIAIS ELETRICOS LTDA</t>
  </si>
  <si>
    <t>GERAL ELETRO</t>
  </si>
  <si>
    <t>JOAO BOLDO</t>
  </si>
  <si>
    <t>BRANDALISE</t>
  </si>
  <si>
    <t>GERDAU ACOMINAS S/A</t>
  </si>
  <si>
    <t>GERDAU</t>
  </si>
  <si>
    <t>MG 443</t>
  </si>
  <si>
    <t>KM 07 FAZENDA DO CADETE</t>
  </si>
  <si>
    <t>AREA RURAL DE OURO BRANCO</t>
  </si>
  <si>
    <t>OURO BRANCO</t>
  </si>
  <si>
    <t>GERDAU S.A.</t>
  </si>
  <si>
    <t>ANDAR 8 CONJ 2</t>
  </si>
  <si>
    <t>GERENCIAL CONSULTORIA, EMPREENDIMENTOS E PARTICIPACOES LTDA</t>
  </si>
  <si>
    <t>GERINVEST - GERCONSULT.</t>
  </si>
  <si>
    <t>CAMPOS SALES</t>
  </si>
  <si>
    <t>SALA 910</t>
  </si>
  <si>
    <t>GERMANI IMPLEMENTOS LTDA</t>
  </si>
  <si>
    <t>GERMANI</t>
  </si>
  <si>
    <t>ANEL VIARIO PREFEITO SINCLER SAMBATTI</t>
  </si>
  <si>
    <t>BRCAO 02, 03, 05 E 06</t>
  </si>
  <si>
    <t>ZONA 38</t>
  </si>
  <si>
    <t>GERRESHEIMER SISTEMAS PLASTICOS MEDICINAIS SAO PAULO LTDA.</t>
  </si>
  <si>
    <t>GERRESHEIMER SISTEMAS PLASTICOS MEDICINAIS SAO PAULO LT</t>
  </si>
  <si>
    <t>VICTORIO EMMANUEL SOLIANI</t>
  </si>
  <si>
    <t>DISTRITO INDUSTRIAL DOMINGOS GIOMI</t>
  </si>
  <si>
    <t>GERVASI BR LTDA</t>
  </si>
  <si>
    <t>DIMER PIZZETTI</t>
  </si>
  <si>
    <t xml:space="preserve"> AREA 8</t>
  </si>
  <si>
    <t>GESTSERVI - GESTAO E TERCEIRIZACAO DE MAO DE OBRA LTDA</t>
  </si>
  <si>
    <t>GESTSERVI PONTUAL</t>
  </si>
  <si>
    <t>FELISBERTA FRANCISCA CARVALHO</t>
  </si>
  <si>
    <t>NOVA UNIAO</t>
  </si>
  <si>
    <t>GETINGE DO BRASIL EQUIPAMENTOS MEDICOS LTDA.</t>
  </si>
  <si>
    <t>GETINGE</t>
  </si>
  <si>
    <t>MANUEL BANDEIRA</t>
  </si>
  <si>
    <t>BLOCO B PAVMTO2 ESCRITORIOS 33 E 34</t>
  </si>
  <si>
    <t>GETNET ADQUIRENCIA E SERVICOS PARA MEIOS DE PAGAMENTO S.A. - INSTITUICAO DE PAGAMENTO</t>
  </si>
  <si>
    <t>GETNET S.A.</t>
  </si>
  <si>
    <t>CONJ 121 BLOCO A COND WTORRE JK</t>
  </si>
  <si>
    <t>GETRAK SERVICOS S/A</t>
  </si>
  <si>
    <t>GETRAK</t>
  </si>
  <si>
    <t>LUIZ PAULO FRANCO</t>
  </si>
  <si>
    <t>PAVMTO01SALA01 PAVMTO8</t>
  </si>
  <si>
    <t>GETRONICS LTDA</t>
  </si>
  <si>
    <t>CONJ 61 A1</t>
  </si>
  <si>
    <t>GETROTECH COMERCIAL ELETRICA IMPORTACAO E EXPORTACAO LTDA</t>
  </si>
  <si>
    <t>NOVA JERUSALEM</t>
  </si>
  <si>
    <t>GETZNER BRASIL LTDA</t>
  </si>
  <si>
    <t>GETZNER BRASIL</t>
  </si>
  <si>
    <t>COND PARQUE DA CIDADE BLOCO C2 TARUMA CONJ 2907 E 2908</t>
  </si>
  <si>
    <t>GG INDUSTRIA DE EQUIPAMENTOS MEDICOS LTDA</t>
  </si>
  <si>
    <t>GOMES &amp; GONCALVES</t>
  </si>
  <si>
    <t>PEDRO DUARTE AMOROSO</t>
  </si>
  <si>
    <t>JARDIM JULIA</t>
  </si>
  <si>
    <t>GIBEN DO BRASIL MAQUINAS E EQUIPAMENTOS LIMITADA</t>
  </si>
  <si>
    <t>GIBEN</t>
  </si>
  <si>
    <t>PAUL GARFUNKEL</t>
  </si>
  <si>
    <t>GIGA BR DISTRIBUIDOR E ATACADISTA LTDA</t>
  </si>
  <si>
    <t>GIGA ATACADO</t>
  </si>
  <si>
    <t>CASA VERDE</t>
  </si>
  <si>
    <t>GIGANTE DE ACO COMERCIO CONSTRUCAO E MANUTENCAO EM GERAL LTDA</t>
  </si>
  <si>
    <t>GIGANTE DE ACO</t>
  </si>
  <si>
    <t>CONJ 809</t>
  </si>
  <si>
    <t>JARDIM DOM BOSCO</t>
  </si>
  <si>
    <t>GIGANTE RECEM NASCIDO LTDA.</t>
  </si>
  <si>
    <t>GILBOTEC INDUSTRIA DE ARTEFATOS DE BORRACHA LTDA</t>
  </si>
  <si>
    <t>GILBOTEC ARTEFATOS DE BORRACHA</t>
  </si>
  <si>
    <t>NOSSA SENHORA DA GLORIA</t>
  </si>
  <si>
    <t>GILEAD SCIENCES FARMACEUTICA DO BRASIL LTDA</t>
  </si>
  <si>
    <t>ANDAR 14 CONJ 1401 1402 1403 1404 EDIF MORUMBI GOLDEN TOWER</t>
  </si>
  <si>
    <t>GIRAFFAS ADMINISTRADORA DE FRANQUIAS SA</t>
  </si>
  <si>
    <t>GIRAFFAS</t>
  </si>
  <si>
    <t>195486.2</t>
  </si>
  <si>
    <t>GKG FABRICACAO E COMERCIO DE EPIS LTDA</t>
  </si>
  <si>
    <t>ROSAS</t>
  </si>
  <si>
    <t>GL EVENTS BRASIL PARTICIPACOES LTDA</t>
  </si>
  <si>
    <t>SALVADOR ALLENDE</t>
  </si>
  <si>
    <t>GLAXOSMITHKLINE BRASIL LTDA</t>
  </si>
  <si>
    <t>GLAXOSMITHKLINE - GSK - LABORATORIOS STIEFEL - STIEFEL</t>
  </si>
  <si>
    <t>GLOBAL CARE COMERCIO DE MATERIAL MEDICO LTDA</t>
  </si>
  <si>
    <t>VICTOR CIVITA</t>
  </si>
  <si>
    <t xml:space="preserve"> BLC 2 SAL 205</t>
  </si>
  <si>
    <t>GLOBAL DISTRIBUICAO E SERVICOS LTDA</t>
  </si>
  <si>
    <t>GLOBAL DISTRIBUICAO E SERVICOS</t>
  </si>
  <si>
    <t>JOAQUIM MOTA LIMA</t>
  </si>
  <si>
    <t>ROSARIO</t>
  </si>
  <si>
    <t>GLOBAL PANORAMA DISTRIBUIDORA LTDA</t>
  </si>
  <si>
    <t>GLOBAL PANORAMA COMERCIO E DISTRIBUIDORA</t>
  </si>
  <si>
    <t>BARAO DO AMAZONAS</t>
  </si>
  <si>
    <t>GLOBAL PRINT GRAFICA E EDITORA LTDA</t>
  </si>
  <si>
    <t>GLOBAL PRINT</t>
  </si>
  <si>
    <t>PROFESSOR PEDRO VIRIATO PARIGOT DE SOUZA</t>
  </si>
  <si>
    <t>: UNIDADE 126; : TORRE COMERCIAL;</t>
  </si>
  <si>
    <t>GLOBAL SEGURANCA LTDA</t>
  </si>
  <si>
    <t>SAAN QUADRA 3</t>
  </si>
  <si>
    <t xml:space="preserve"> PARTE C</t>
  </si>
  <si>
    <t>GLOBAL SERVICE PROJETOS E GERENCIAMENTO LTDA</t>
  </si>
  <si>
    <t>GLOBAL SERVICE</t>
  </si>
  <si>
    <t>ALPHAVILLE 4</t>
  </si>
  <si>
    <t>GLOBALMED DISTRIBUICAO LTDA</t>
  </si>
  <si>
    <t>GLOBALMED DISTRIBUICAO</t>
  </si>
  <si>
    <t>CONDE FRANCISCO MATARAZO</t>
  </si>
  <si>
    <t>QUADRA03 LOTE 08</t>
  </si>
  <si>
    <t>GLOBALWEB OUTSOURCING DO BRASIL S.A.</t>
  </si>
  <si>
    <t>YOJIRO TAKAOKA</t>
  </si>
  <si>
    <t>CONJ 1010 ANDAR 10. SHOPPING SERVICE</t>
  </si>
  <si>
    <t>GLP GAS DISTRIBUIDORA DE GAS LTDA</t>
  </si>
  <si>
    <t>GLPGAS DISTRIBUIDORA</t>
  </si>
  <si>
    <t>: AV PERIM FREI CANECA;</t>
  </si>
  <si>
    <t>JARDIM GRAMACHO</t>
  </si>
  <si>
    <t>GM DISTRIBUIDORA LTDA</t>
  </si>
  <si>
    <t>FAZENDA RIO GRANDE</t>
  </si>
  <si>
    <t>GM DOS REIS INDUSTRIA E COMERCIO LTDA</t>
  </si>
  <si>
    <t>PIERRE SIMON DE LAPLACE</t>
  </si>
  <si>
    <t>LOTE 3 QUADRAF QUARTEIRAO 9677</t>
  </si>
  <si>
    <t>GMARK PROMOCAO E EVENTOS LTDA</t>
  </si>
  <si>
    <t>CASA 1976</t>
  </si>
  <si>
    <t>SILVA BUENO</t>
  </si>
  <si>
    <t>SALA: 1006;</t>
  </si>
  <si>
    <t>GMS MANAGEMENT SOLUTIONS CONSULTORIA BRASIL LTDA</t>
  </si>
  <si>
    <t>ANDAR 30 E 31 CONJ 3001 E 3101</t>
  </si>
  <si>
    <t>GMS SERVICOS TERCEIRIZADOS LTDA</t>
  </si>
  <si>
    <t>GMS DISTRIBUIDORA DE PRODUTOS DIVERSOS</t>
  </si>
  <si>
    <t>PARQUE ERASMO ASSUNCAO</t>
  </si>
  <si>
    <t>GNATUS SERVICOS MEDICOS E ODONTOLOGICOS LTDA</t>
  </si>
  <si>
    <t>Atividades de enfermagem</t>
  </si>
  <si>
    <t>GOV AMARAL PEIXOTO</t>
  </si>
  <si>
    <t>SALAS 503 504</t>
  </si>
  <si>
    <t>GOCIL SEGURANCA ELETRONICA LTDA EM RECUPERACAO JUDICIAL</t>
  </si>
  <si>
    <t>GOCIL DIGITAL</t>
  </si>
  <si>
    <t>SERAFIM CONSTANTINO</t>
  </si>
  <si>
    <t>GOEDERT LTDA</t>
  </si>
  <si>
    <t>ALEXANDRE SERGIO GODINHO</t>
  </si>
  <si>
    <t>MORRO DA BINA</t>
  </si>
  <si>
    <t>BIGUACU</t>
  </si>
  <si>
    <t>GOETZE LOBATO ENGENHARIA S.A</t>
  </si>
  <si>
    <t>BENEDITO CAROLLO</t>
  </si>
  <si>
    <t>CIC</t>
  </si>
  <si>
    <t>GOL LINHAS AEREAS INTELIGENTES S.A.</t>
  </si>
  <si>
    <t>ANDAR 11</t>
  </si>
  <si>
    <t>GOLDI SERVICOS E ADMINISTRACAO LTDA</t>
  </si>
  <si>
    <t>GOLDI</t>
  </si>
  <si>
    <t>CONJ 01 PAVMTO23 EDIF N B C CAST</t>
  </si>
  <si>
    <t>GOLDWIND EQUIPAMENTOS E SOLUCOES EM ENERGIA RENOVAVEL LTDA</t>
  </si>
  <si>
    <t>GOLDWIND BRASIL</t>
  </si>
  <si>
    <t>CONJ 1101-TORRE MARBLE</t>
  </si>
  <si>
    <t>GONCALVES &amp; TORTOLA S/A</t>
  </si>
  <si>
    <t>GT FOODS</t>
  </si>
  <si>
    <t>JARDIM KOSMOS</t>
  </si>
  <si>
    <t>GOODYEAR DO BRASIL PRODUTOS DE BORRACHA LTDA</t>
  </si>
  <si>
    <t>GUSTAVO BARROSO</t>
  </si>
  <si>
    <t>DISTRITO INDUSTRIAL I</t>
  </si>
  <si>
    <t>GOOGLE BRASIL INTERNET LTDA.</t>
  </si>
  <si>
    <t>ANDAR 17A20 TSUL 2 17A20</t>
  </si>
  <si>
    <t>GOPREC CAPITAL LTDA</t>
  </si>
  <si>
    <t>GOPREC CAPITAL</t>
  </si>
  <si>
    <t>LUIZ VALENTINUZZI</t>
  </si>
  <si>
    <t>JARDIM MIRIAN I</t>
  </si>
  <si>
    <t>PRADOPOLIS</t>
  </si>
  <si>
    <t>GOVERNANCABRASIL S/A TECNOLOGIA E GESTAO EM SERVICOS</t>
  </si>
  <si>
    <t>GOVERNANCABRASIL</t>
  </si>
  <si>
    <t>SUBSL ANDAR 1 E 2</t>
  </si>
  <si>
    <t>VELHA</t>
  </si>
  <si>
    <t>GPBR PARTICIPACOES LTDA.</t>
  </si>
  <si>
    <t>WELLHUB</t>
  </si>
  <si>
    <t>ENGENHEIRO LUIZ CARLOS BERRINI 716</t>
  </si>
  <si>
    <t>GPS - GESTAO DE PESSOAS E SERVICOS LTDA</t>
  </si>
  <si>
    <t>GPS</t>
  </si>
  <si>
    <t>GPS - SERVICOS DE LIMPEZA, PORTARIA E ZELADORIA LTDA</t>
  </si>
  <si>
    <t>LOTE 2289</t>
  </si>
  <si>
    <t>GPS PARTICIPACOES E EMPREENDIMENTOS S.A.</t>
  </si>
  <si>
    <t>MIGUEL FRIAS E VASCONCELOS</t>
  </si>
  <si>
    <t>GR INDUSTRIA E COMERCIO DE PRODUTOS QUIMICOS S.A</t>
  </si>
  <si>
    <t>JOSE ROSSETTI</t>
  </si>
  <si>
    <t>GR SERVICE LIMITADA</t>
  </si>
  <si>
    <t>GR SERVICE</t>
  </si>
  <si>
    <t>ANESIA MARIA</t>
  </si>
  <si>
    <t>GALPAO02</t>
  </si>
  <si>
    <t>PIQUERI</t>
  </si>
  <si>
    <t>GR SERVICOS E INSTALACOES LTDA</t>
  </si>
  <si>
    <t>GR AR CONDICIONADO LTDA</t>
  </si>
  <si>
    <t>GR WATER SOLUTIONS COINVESTIMENTO S.A.</t>
  </si>
  <si>
    <t>JOAQUIM FLORIANO</t>
  </si>
  <si>
    <t>CONJ 22</t>
  </si>
  <si>
    <t>GRADACI CONSTRUTORA LTDA</t>
  </si>
  <si>
    <t>GRADACI</t>
  </si>
  <si>
    <t>SALA 704 ANDAR 7</t>
  </si>
  <si>
    <t>GRAFICA 3 COMUNICACAO E SERVICOS GRAFICOS LTDA</t>
  </si>
  <si>
    <t>GRAFICA 3 COMUNICACAO</t>
  </si>
  <si>
    <t>MUNDO NOVO</t>
  </si>
  <si>
    <t>TERREO. SALA 003</t>
  </si>
  <si>
    <t>CHAPADA DO RIO VERMELHO</t>
  </si>
  <si>
    <t>GRAFICA CART EDITORA LTDA</t>
  </si>
  <si>
    <t>SALVADOR SINDONA</t>
  </si>
  <si>
    <t>JD SINDONA</t>
  </si>
  <si>
    <t>GRAFICA E EDITORA SERRANO LTDA</t>
  </si>
  <si>
    <t>SOLDADO ALCEBIADES BOBADILHA DA CUNHA</t>
  </si>
  <si>
    <t>GRAFICA E EDITORA SETE CORES LTDA ME</t>
  </si>
  <si>
    <t>ARIRIZAL</t>
  </si>
  <si>
    <t>TURU</t>
  </si>
  <si>
    <t>GRANFLOR - GESTAO DE EMPREENDIMENTOS FLORESTAIS LTDA</t>
  </si>
  <si>
    <t>GRANFLOR AGROFLORESTAL</t>
  </si>
  <si>
    <t>CAMPO DO MEIO</t>
  </si>
  <si>
    <t>SAO FRANCISCO DE PAULA</t>
  </si>
  <si>
    <t>GRANT THORNTON AUDITORIA E CONSULTORIA LTDA.</t>
  </si>
  <si>
    <t>CONJ 121 TORRE 4</t>
  </si>
  <si>
    <t>GRATT INDUSTRIA DE MAQUINAS LTDA</t>
  </si>
  <si>
    <t>ANTONIO PELEGRINI</t>
  </si>
  <si>
    <t>SALA 1, JARDIM DA SERRA</t>
  </si>
  <si>
    <t>GRAVATEC CONSULTORIA EM GESTAO LTDA</t>
  </si>
  <si>
    <t>GRAVATEC - ENGENHARIA E MANUTENCAO</t>
  </si>
  <si>
    <t>ALFREDO COUTINHO</t>
  </si>
  <si>
    <t>CXPST 835</t>
  </si>
  <si>
    <t>GRAZIA INDUSTRIA DE MAQUINAS E EQUIPAMENTOS LTDA</t>
  </si>
  <si>
    <t>GRAZIA TECNOLOGIA</t>
  </si>
  <si>
    <t>MAESTRO FRANCISCO ANTONELLO</t>
  </si>
  <si>
    <t>GREAT WALL MOTOR BRASIL LTDA</t>
  </si>
  <si>
    <t>GWM BRASIL</t>
  </si>
  <si>
    <t>LUIZ OMETTO</t>
  </si>
  <si>
    <t>KM 44</t>
  </si>
  <si>
    <t>GEADA</t>
  </si>
  <si>
    <t>IRACEMAPOLIS</t>
  </si>
  <si>
    <t>GRECA DISTRIBUIDORA DE ASFALTOS LTDA.</t>
  </si>
  <si>
    <t>SALOMAO FADLALAH</t>
  </si>
  <si>
    <t>ANDAR 2 SALA 24</t>
  </si>
  <si>
    <t>IBATIBA</t>
  </si>
  <si>
    <t>GRECA ASFALTOS</t>
  </si>
  <si>
    <t>DAS ARAUCARIAS</t>
  </si>
  <si>
    <t>FUNDOS;</t>
  </si>
  <si>
    <t>CHAPADA</t>
  </si>
  <si>
    <t>GREEN CARD S/A REFEICOES COMERCIO E SERVICOS</t>
  </si>
  <si>
    <t>GREEN CARD</t>
  </si>
  <si>
    <t>SALA 901 SALA 902</t>
  </si>
  <si>
    <t>GREENPASS TECNOLOGIA E INSTITUICAO DE PAGAMENTO HUE S.A.</t>
  </si>
  <si>
    <t>CONJ 41 BLOCO COMERCIAL</t>
  </si>
  <si>
    <t>GREENPLAC TECNOLOGIA INDUSTRIAL LTDA</t>
  </si>
  <si>
    <t>GREENPLAC</t>
  </si>
  <si>
    <t>ANDAR 7 CONJ 72 SALA 03</t>
  </si>
  <si>
    <t>GREINER BIO-ONE BRASIL PRODUTOS MEDICOS HOSPITALARES LTDA</t>
  </si>
  <si>
    <t>AFFONSO PANSAN</t>
  </si>
  <si>
    <t>VILA BERTINI</t>
  </si>
  <si>
    <t>GRENDENE S A</t>
  </si>
  <si>
    <t>PIMENTEL GOMES</t>
  </si>
  <si>
    <t>EXPECTATIVA</t>
  </si>
  <si>
    <t>SOBRAL</t>
  </si>
  <si>
    <t>GRIFIT INDUSTRIA E COMERCIO LTDA</t>
  </si>
  <si>
    <t>GRIFIT</t>
  </si>
  <si>
    <t>MG 173</t>
  </si>
  <si>
    <t>KM 12</t>
  </si>
  <si>
    <t>AREA RURAL</t>
  </si>
  <si>
    <t>CACHOEIRA DE MINAS</t>
  </si>
  <si>
    <t>GRIFOLS BRASIL LTDA</t>
  </si>
  <si>
    <t>VISCONDE DE NACAR</t>
  </si>
  <si>
    <t>CONJ 1102 ANDAR 11 COND VISCONDE DE NACAR ED</t>
  </si>
  <si>
    <t>GRSA SERVICOS LTDA.</t>
  </si>
  <si>
    <t>TOP SERVICE</t>
  </si>
  <si>
    <t>ANDAR 15 PREDIO 11 T-A CONJ 151 PARTE</t>
  </si>
  <si>
    <t>GRUEN BIOGAS LTDA</t>
  </si>
  <si>
    <t>ARAPOEMA</t>
  </si>
  <si>
    <t>GRUNOX EQUIPAMENTOS PARA GASTRONOMIA LTDA</t>
  </si>
  <si>
    <t>GRUNOX EQUIPAMENTOS PARA GASTRONOMIA</t>
  </si>
  <si>
    <t>DIAMANTE</t>
  </si>
  <si>
    <t>JARDIM JOIA</t>
  </si>
  <si>
    <t>GRUPO DE MODA SOMA SA</t>
  </si>
  <si>
    <t>PASTEUR</t>
  </si>
  <si>
    <t>GRUPO FQM HOLDING S/A</t>
  </si>
  <si>
    <t>JOSE SILVA DE AZEVEDO NETO</t>
  </si>
  <si>
    <t xml:space="preserve"> BL 001 SALA 0106</t>
  </si>
  <si>
    <t>GRUPO MARMO E HIME COMERCIO, IMPORTACAO E EXPORTACAO LTDA</t>
  </si>
  <si>
    <t>GMH TRADE</t>
  </si>
  <si>
    <t>SALA 115</t>
  </si>
  <si>
    <t>GRUPO MATEUS S.A.</t>
  </si>
  <si>
    <t>GRUPO MATEUS</t>
  </si>
  <si>
    <t>DANIEL DE LA TOUCHE</t>
  </si>
  <si>
    <t>LOJA 03</t>
  </si>
  <si>
    <t>COHAMA</t>
  </si>
  <si>
    <t>GRUPO MULTI S.A</t>
  </si>
  <si>
    <t>MULTILASER</t>
  </si>
  <si>
    <t>ANDAR 15</t>
  </si>
  <si>
    <t>GRUPO SBF S.A.</t>
  </si>
  <si>
    <t>ANDAR 3 SALA PARIS</t>
  </si>
  <si>
    <t>GS CORRETORA DE SEGUROS LTDA</t>
  </si>
  <si>
    <t>GECALI GESTAO DE RISCO E CONSULTORIA FINANCEIRA</t>
  </si>
  <si>
    <t>ALVARO RODRIGUES</t>
  </si>
  <si>
    <t>CONJ 75</t>
  </si>
  <si>
    <t>GS INIMA BRASIL LTDA.</t>
  </si>
  <si>
    <t>GS INIMA INDUSTRIAL S.A.</t>
  </si>
  <si>
    <t>ANDAR 5 CONJ 52 SALA 1</t>
  </si>
  <si>
    <t>GSI BRASIL INDUSTRIA E COMERCIO DE EQUIPAMENTOS AGROPECUARIOS LTDA</t>
  </si>
  <si>
    <t>RS 324</t>
  </si>
  <si>
    <t>KM 80,13</t>
  </si>
  <si>
    <t>INTERIOR</t>
  </si>
  <si>
    <t>GTATICA CONSULTORIA LTDA</t>
  </si>
  <si>
    <t>MIGUEL TELES JUNIOR</t>
  </si>
  <si>
    <t>CONJ: 144;</t>
  </si>
  <si>
    <t>GTECH COMERCIO DE PRODUTOS QUIMICOS LTDA</t>
  </si>
  <si>
    <t>GTECH</t>
  </si>
  <si>
    <t>SALA 729 COND METROPOLIS</t>
  </si>
  <si>
    <t>GTF COMERCIO DE PECAS E SERVICOS LTDA</t>
  </si>
  <si>
    <t>GTF FORCE PARTS</t>
  </si>
  <si>
    <t>BOM JESUS DE IGUAPE</t>
  </si>
  <si>
    <t>HAUER</t>
  </si>
  <si>
    <t>GTP - TREZE LISTAS SEGURANCA E VIGILANCIA LTDA</t>
  </si>
  <si>
    <t>ELIAS YASBEK</t>
  </si>
  <si>
    <t>GRAMADO</t>
  </si>
  <si>
    <t>GUARARAPES CONFECCOES S/A</t>
  </si>
  <si>
    <t>BR 101 NORTE</t>
  </si>
  <si>
    <t>ANEXO GUARARAPES CONFECCOE</t>
  </si>
  <si>
    <t>NOSSA SENHORA DA APRESENTACAO</t>
  </si>
  <si>
    <t>GUARDSECURE SEGURANCA EMPRESARIAL LTDA</t>
  </si>
  <si>
    <t>ARAPONGA</t>
  </si>
  <si>
    <t>LOTE 07 QUADRA02 LOTEAMENTO VARANDAS TROPICAIS</t>
  </si>
  <si>
    <t>PITANGUEIRAS</t>
  </si>
  <si>
    <t>GUARULHOS COMERCIO DE SUCATAS LTDA</t>
  </si>
  <si>
    <t>Comércio atacadista de resíduos e sucatas metálicos</t>
  </si>
  <si>
    <t>LAURO DE GUSMAO SILVEIRA</t>
  </si>
  <si>
    <t>GUILHERME FABRICIO DA COSTA MOVEIS PLANEJADOS LTDA</t>
  </si>
  <si>
    <t>LUCIANOPOLIS</t>
  </si>
  <si>
    <t>GUIMA-CONSECO CONSTRUCAO, SERVICOS E COMERCIO LTDA</t>
  </si>
  <si>
    <t>HEITOR PEIXOTO</t>
  </si>
  <si>
    <t>GUINEZ INTERNATIONAL REPRESENTACAO COMERCIAL LTDA</t>
  </si>
  <si>
    <t>GUINEZ INTERNATIONAL.</t>
  </si>
  <si>
    <t>CONDE FRANCISCO MATARAZZO</t>
  </si>
  <si>
    <t>FUNDACAO</t>
  </si>
  <si>
    <t>H BREMER &amp; FILHOS LTDA</t>
  </si>
  <si>
    <t>Fabricação de caldeiras geradoras de vapor, exceto para aquecimento central e para veículos</t>
  </si>
  <si>
    <t>LILLY BREMER</t>
  </si>
  <si>
    <t>NAVEGANTES</t>
  </si>
  <si>
    <t>H EGIDIO TRADE IMPORTACOES &amp; EXPORTACOES LTDA</t>
  </si>
  <si>
    <t>H TRADE IMPORTACOES &amp; EXPORTACOES</t>
  </si>
  <si>
    <t>TALMA RODRIGUES RIBEIRO</t>
  </si>
  <si>
    <t>QUADRAPMS LOTE AREA E-5 A GALPAO02 MOD A/B/C/D/E SALA 47</t>
  </si>
  <si>
    <t>PORTAL DE JACARAIPE</t>
  </si>
  <si>
    <t>H STRATTNER E CIA LTDA</t>
  </si>
  <si>
    <t>STRATTNER</t>
  </si>
  <si>
    <t>CONJ 101 E 102 GALPAOP1 SALA P3 ANDAR 1 E TERREO</t>
  </si>
  <si>
    <t>H2L EQUIPAMENTOS E SISTEMAS LTDA</t>
  </si>
  <si>
    <t>EZEQUIEL FREIRE</t>
  </si>
  <si>
    <t>SALA 74</t>
  </si>
  <si>
    <t>H2O AMBIENTAL LTDA</t>
  </si>
  <si>
    <t>GRUPO H2O</t>
  </si>
  <si>
    <t>CARMELINDA ANDOGNINI</t>
  </si>
  <si>
    <t>SALA COMERCIAL</t>
  </si>
  <si>
    <t>HABILITE SOLUCAO EM LICITACOES LTDA</t>
  </si>
  <si>
    <t>HABILITE SOLUCAO EM LICITACOES</t>
  </si>
  <si>
    <t>ARY BARROSO</t>
  </si>
  <si>
    <t xml:space="preserve"> SALA 212 - TORRE 01</t>
  </si>
  <si>
    <t>PAPICU</t>
  </si>
  <si>
    <t>HALEON BRASIL DISTRIBUIDORA LTDA</t>
  </si>
  <si>
    <t>HALEON DISTRIBUIDORA</t>
  </si>
  <si>
    <t xml:space="preserve"> BLC 0001 SAL 0407 A 420</t>
  </si>
  <si>
    <t>HALEX ISTAR INDUSTRIA FARMACEUTICA SA</t>
  </si>
  <si>
    <t>HALEX ISTAR INDUSTRIA FARMACEUTICA</t>
  </si>
  <si>
    <t>BR153</t>
  </si>
  <si>
    <t>KM 3</t>
  </si>
  <si>
    <t>CONJ RESIDENCIAL PALMARES</t>
  </si>
  <si>
    <t>HANATTEC - COMERCIO DE TECNOLOGIA AMBIENTAL LTDA</t>
  </si>
  <si>
    <t>HANATTEC</t>
  </si>
  <si>
    <t>CONJ 26</t>
  </si>
  <si>
    <t>HANSA-FLEX DO BRASIL LTDA</t>
  </si>
  <si>
    <t>BR-470</t>
  </si>
  <si>
    <t>HAOXI EQUIPAMENTOS MEDICOS HOSPITALARES LTDA</t>
  </si>
  <si>
    <t>CLARENCE</t>
  </si>
  <si>
    <t>HAPAG-LLOYD BRASIL AGENCIAMENTO MARITIMO LTDA.</t>
  </si>
  <si>
    <t xml:space="preserve"> 147/149</t>
  </si>
  <si>
    <t>HAPPY FRUITS COMERCIO, EXPORTACAO E IMPORTACAO DE FRUTAS LTDA</t>
  </si>
  <si>
    <t>HAPPY FRUITS</t>
  </si>
  <si>
    <t>DA INTEGRACAO AYRTON SENNA</t>
  </si>
  <si>
    <t>HARD SOLUTION INFORMATICA LTDA</t>
  </si>
  <si>
    <t>ALMIRANTE ARY PARREIRAS</t>
  </si>
  <si>
    <t xml:space="preserve"> VITAL BRASIL</t>
  </si>
  <si>
    <t>HARIBO BRASIL INDUSTRIA E COMERCIO DE PRODUTOS ALIMENTICIOS LTDA</t>
  </si>
  <si>
    <t>HARIBO</t>
  </si>
  <si>
    <t>Fabricação de frutas cristalizadas, balas e semelhantes</t>
  </si>
  <si>
    <t>IZZET FARHA</t>
  </si>
  <si>
    <t>2-131</t>
  </si>
  <si>
    <t xml:space="preserve"> UNIDADE 2</t>
  </si>
  <si>
    <t>DISTRITO INDUSTRIAL DOMINGOS BIANCARDI</t>
  </si>
  <si>
    <t>HARLEY-DAVIDSON DO BRASIL LTDA</t>
  </si>
  <si>
    <t>HARLEY-DAVIDSON</t>
  </si>
  <si>
    <t>DO TURISMO</t>
  </si>
  <si>
    <t xml:space="preserve"> LOTE - B</t>
  </si>
  <si>
    <t>PONTA NEGRA</t>
  </si>
  <si>
    <t>HARPIA DISTRIBUIDORA DE PECAS LTDA</t>
  </si>
  <si>
    <t>BATISTA RAFFI</t>
  </si>
  <si>
    <t>JARDIM APARECIDA</t>
  </si>
  <si>
    <t>HARTMANN INDUSTRIA E COMERCIO DE PRODUTOS MEDICO-HOSPITALARES LTDA</t>
  </si>
  <si>
    <t>DOUTOR EUGENIO BORGES</t>
  </si>
  <si>
    <t>ARSENAL</t>
  </si>
  <si>
    <t>SAO GONCALO</t>
  </si>
  <si>
    <t>HAUZZE ENGENHARIA LTDA</t>
  </si>
  <si>
    <t>HAUZZE ENGENHARIA</t>
  </si>
  <si>
    <t>BRIGADEIRO FARIA LIMA, 2369</t>
  </si>
  <si>
    <t>CONJ 1102</t>
  </si>
  <si>
    <t>HB INDUSTRIA ELETROMECANICA LTDA</t>
  </si>
  <si>
    <t>HOLEC BARRAS</t>
  </si>
  <si>
    <t>MANOEL DOS SANTOS FREIRE</t>
  </si>
  <si>
    <t>RESIDENCIAL PRIMO</t>
  </si>
  <si>
    <t>BOITUVA</t>
  </si>
  <si>
    <t>HD LICITACOES E SERVICOS LTDA</t>
  </si>
  <si>
    <t>HD LICITACOES</t>
  </si>
  <si>
    <t>VOVO DETH</t>
  </si>
  <si>
    <t xml:space="preserve"> CASA II</t>
  </si>
  <si>
    <t>POVOADO DE TABOCAS</t>
  </si>
  <si>
    <t>PEQUI</t>
  </si>
  <si>
    <t>HD TRANSPORTES E LOGISTICA LTDA</t>
  </si>
  <si>
    <t>HELAMIN BRASIL - INDUSTRIA E COMERCIO LTDA.</t>
  </si>
  <si>
    <t>FERREIRA DO ALENTEJO</t>
  </si>
  <si>
    <t>JD CARAVELAS</t>
  </si>
  <si>
    <t>HELIBOMBAS - INDUSTRIA E COMERCIO DE BOMBAS HELICOIDAIS LTDA</t>
  </si>
  <si>
    <t>FRANCISCO JOSE ZANIN</t>
  </si>
  <si>
    <t>7O DISTRITO INDUSTRIAL (ANTONIO ZANIN)</t>
  </si>
  <si>
    <t>HELICOPTEROS DO BRASIL S/A</t>
  </si>
  <si>
    <t>HELIBRAS</t>
  </si>
  <si>
    <t>Fabricação de aeronaves</t>
  </si>
  <si>
    <t>SANTOS DUMONT 200</t>
  </si>
  <si>
    <t>HEMOGRAM-INDUSTRIA E COMERCIO DE PROD. HOSPITAL. LTDA.</t>
  </si>
  <si>
    <t>RADAMES LO SARDO</t>
  </si>
  <si>
    <t>DIST. INDUSTRIAL III</t>
  </si>
  <si>
    <t>HENKEL LTDA</t>
  </si>
  <si>
    <t>VERNON KRIEBLE</t>
  </si>
  <si>
    <t>ITAQUI</t>
  </si>
  <si>
    <t>ITAPEVI</t>
  </si>
  <si>
    <t>HENNINGS VEDACOES HIDRAULICAS LTDA</t>
  </si>
  <si>
    <t>ENGENHEIRO UDO DEEKE</t>
  </si>
  <si>
    <t>SALTO NORTE</t>
  </si>
  <si>
    <t>HERA MEDICAL REPRESENTACOES, COMERCIO E SERVICOS LTDA</t>
  </si>
  <si>
    <t>JOSE ABREU</t>
  </si>
  <si>
    <t>CANTO</t>
  </si>
  <si>
    <t>HERGEN S A MAQUINAS E EQUIPAMENTOS</t>
  </si>
  <si>
    <t>LEOPOLDO KURTH</t>
  </si>
  <si>
    <t>RAINHA</t>
  </si>
  <si>
    <t>HERNAN SERVICOS DE APOIO ADMINISTRATIVO LTDA</t>
  </si>
  <si>
    <t>AULIVIERI BOZZATO</t>
  </si>
  <si>
    <t>SETOR MODULO 09</t>
  </si>
  <si>
    <t>LOTEAMENTO INDUSTRIAL CORAL</t>
  </si>
  <si>
    <t>HESE EMPREEDIMENTOS E GERENCIAMENTO SA</t>
  </si>
  <si>
    <t>APT 825</t>
  </si>
  <si>
    <t>HEWLETT-PACKARD BRASIL LTDA</t>
  </si>
  <si>
    <t>ANDAR 2 SALA SAO PAULO</t>
  </si>
  <si>
    <t>HEXACATH DO BRASIL COMERCIO DE APARELHOS E MATERIAS CIRURGICOS LTDA.</t>
  </si>
  <si>
    <t>HEXACATH</t>
  </si>
  <si>
    <t>CAP PRUDENTE</t>
  </si>
  <si>
    <t>APT 21</t>
  </si>
  <si>
    <t>HEXAGON METROLOGY SISTEMAS DE MEDICAO LTDA.</t>
  </si>
  <si>
    <t>HEXAGON METROLOGY MANUFACTURING INTELLIGENCE.</t>
  </si>
  <si>
    <t>HEXIS CIENTIFICA LTDA</t>
  </si>
  <si>
    <t>HF TECNOLOGIA LTDA</t>
  </si>
  <si>
    <t>OROS SOLUCOES EDUCACIONAIS</t>
  </si>
  <si>
    <t>SCN QUADRA 05, BRASILIA SHOPPING AND TOWERS SALA</t>
  </si>
  <si>
    <t>BLOCO A</t>
  </si>
  <si>
    <t>HI TECH INDUSTRIA E COMERCIO LTDA</t>
  </si>
  <si>
    <t>HI TECH</t>
  </si>
  <si>
    <t>YONEJI NAKAMURA</t>
  </si>
  <si>
    <t>HIDRAU TORQUE INDUSTRIA COMERCIO IMPORTACAO E EXPORTACAO LTDA</t>
  </si>
  <si>
    <t>PE RAPOSO</t>
  </si>
  <si>
    <t>ALTO DA MOOCA</t>
  </si>
  <si>
    <t>HIDRO SOLO INDUSTRIA E COMERCIO LTDA</t>
  </si>
  <si>
    <t>HIDRO SOLO</t>
  </si>
  <si>
    <t>SECUNDARIA 2</t>
  </si>
  <si>
    <t>QUADRA5 LOTE 5 E 6</t>
  </si>
  <si>
    <t>TABULEIRO DO MARTINS</t>
  </si>
  <si>
    <t>HIDROCON - CONSULTORIA E ENGENHARIA LTDA</t>
  </si>
  <si>
    <t>HIDROCON</t>
  </si>
  <si>
    <t>T-27</t>
  </si>
  <si>
    <t>QUADRA 59 LOTE 08</t>
  </si>
  <si>
    <t>SETOR BUENO</t>
  </si>
  <si>
    <t>HIDRODOMI DO BRASIL INDUSTRIA E COMERCIO LTDA</t>
  </si>
  <si>
    <t>HIDRODOMI DO BRASIL</t>
  </si>
  <si>
    <t>CLAUDIONOR BARBIERI</t>
  </si>
  <si>
    <t>1300-A</t>
  </si>
  <si>
    <t>HIDROGERON TRATAMENTO DE AGUA E ESGOTO LTDA</t>
  </si>
  <si>
    <t>GRUPO HIDROGERON</t>
  </si>
  <si>
    <t>TICO TICO DO BICO AMARELO</t>
  </si>
  <si>
    <t>PARQUE INDUSTRIAL XII</t>
  </si>
  <si>
    <t>HIDROLIGHT DO BRASIL S.A</t>
  </si>
  <si>
    <t>HIDROLIGHT DO BRASIL</t>
  </si>
  <si>
    <t>Fabricação de aparelhos e utensílios para correção de defeitos físicos e aparelhos ortopédicos em geral, exceto sob encomenda</t>
  </si>
  <si>
    <t>DOS ACORES</t>
  </si>
  <si>
    <t>AMBROSIO</t>
  </si>
  <si>
    <t>GAROPABA</t>
  </si>
  <si>
    <t>HIDROTAM INDUSTRIA E COMERCIO DE TUBOS E CONEXOES LTDA</t>
  </si>
  <si>
    <t>ANA MEROTTO STEFANON</t>
  </si>
  <si>
    <t>GALPAO03 DOCA 07</t>
  </si>
  <si>
    <t>COBILANDIA</t>
  </si>
  <si>
    <t>HIDROTEL COMERCIO E SERVICOS LTDA</t>
  </si>
  <si>
    <t>HIDROTEL COMERCIO E SERVICOS</t>
  </si>
  <si>
    <t>OTAVIO DO PATROCINIO MEDEIROS</t>
  </si>
  <si>
    <t>ANDAR PISO SUPERIOR</t>
  </si>
  <si>
    <t>NOSSA SENHORA DO ROSARIO</t>
  </si>
  <si>
    <t>HIDROVIAS DO BRASIL S.A.</t>
  </si>
  <si>
    <t>ANDAR 7. ALA A</t>
  </si>
  <si>
    <t>HIGRA INDUSTRIAL LTDA</t>
  </si>
  <si>
    <t>HIDROTECNICA GEREMIA</t>
  </si>
  <si>
    <t>DILCEU ELIAS DE MOURA</t>
  </si>
  <si>
    <t>ARROIO DA MANTEIGA</t>
  </si>
  <si>
    <t>HIKVISION DO BRASIL COMERCIO DE EQUIPAMENTOS DE SEGURANCA LTDA.</t>
  </si>
  <si>
    <t>BLOCO: A;</t>
  </si>
  <si>
    <t>HINE DO BRASIL INDUSTRIA E COMERCIO DE HIDRAULICOS E PNEUMATICOS LTDA.</t>
  </si>
  <si>
    <t>VITORIA ROSSI MARTINI</t>
  </si>
  <si>
    <t>HITACHI ENERGY BRASIL LTDA.</t>
  </si>
  <si>
    <t>AVENIDA MONTEIRO LOBATO 3411</t>
  </si>
  <si>
    <t>EDIF 14 TERREO</t>
  </si>
  <si>
    <t>HLB BRASIL ADVISORY SERVICES ASSESSORIA EMPRESARIAL LTDA SCP</t>
  </si>
  <si>
    <t>HLB BRASIL</t>
  </si>
  <si>
    <t>0.02</t>
  </si>
  <si>
    <t>BLOCO B ANDAR 6</t>
  </si>
  <si>
    <t>HMD BIOMEDICAL INC.</t>
  </si>
  <si>
    <t>181, MINSHENG ST</t>
  </si>
  <si>
    <t>HNK BR INDUSTRIA DE BEBIDAS LTDA.</t>
  </si>
  <si>
    <t>PRIMO SCHINCARIOL</t>
  </si>
  <si>
    <t>ANEXO 2300</t>
  </si>
  <si>
    <t>ITAIM</t>
  </si>
  <si>
    <t>HOLLBRAS INDUSTRIAL FILTRATION LTDA</t>
  </si>
  <si>
    <t>Fabricação de máquinas e equipamentos para as indústrias de alimentos, bebidas e fumo, peças e acessórios</t>
  </si>
  <si>
    <t>VILA NOGUEIRA</t>
  </si>
  <si>
    <t>HOLLISTER DO BRASIL LTDA</t>
  </si>
  <si>
    <t>HOLLISTER</t>
  </si>
  <si>
    <t>HOME CARE CENE HOSPITALLAR LTDA</t>
  </si>
  <si>
    <t>HOME CARE CENE</t>
  </si>
  <si>
    <t>Atividades de fornecimento de infra-estrutura de apoio e assistência a paciente no domicílio</t>
  </si>
  <si>
    <t>ULYSSES JAMIL CURY</t>
  </si>
  <si>
    <t>QUADRAD LOTE 50-51-52-53</t>
  </si>
  <si>
    <t>DISTRITO INDUSTRIAL DOUTOR ULYSSES DA SILVEIRA GU</t>
  </si>
  <si>
    <t>HOMEOFFICE MOVEIS LTDA</t>
  </si>
  <si>
    <t>JOSE BONIFACIO MENDES</t>
  </si>
  <si>
    <t>JARDIM DOS COMERCIARIOS (VENDA NOVA)</t>
  </si>
  <si>
    <t>HONDA AUTOMOVEIS DO BRASIL LTDA</t>
  </si>
  <si>
    <t>EDIF AV INTERNA 03 P. 6 A</t>
  </si>
  <si>
    <t>NOVA VENEZA</t>
  </si>
  <si>
    <t>HONDA TRADING BRASIL LTDA</t>
  </si>
  <si>
    <t>EDIF 1A SALA HTB</t>
  </si>
  <si>
    <t>HONEYWELL DO BRASIL LTDA.</t>
  </si>
  <si>
    <t>HONEYWELL</t>
  </si>
  <si>
    <t>ANDAR 16 ANDAR 17</t>
  </si>
  <si>
    <t>HORIBA INSTRUMENTS BRASIL LTDA</t>
  </si>
  <si>
    <t>HORIBA MEDICAL</t>
  </si>
  <si>
    <t>PRESBITERO PLINIO ALVES DE SOUZA</t>
  </si>
  <si>
    <t>LOTE: MULTIVIAS;</t>
  </si>
  <si>
    <t>JARDIM ERMIDA II</t>
  </si>
  <si>
    <t>HORSCH DO BRASIL INDUSTRIA, COMERCIO E IMPORTACAO DE MAQUINAS LTDA</t>
  </si>
  <si>
    <t>HORSCH DO BRASIL LTDA</t>
  </si>
  <si>
    <t>WIEGANDO OLSEN</t>
  </si>
  <si>
    <t>HORUS TELECOMUNICACOES LTDA</t>
  </si>
  <si>
    <t>FIBRAATIVA TELECOM</t>
  </si>
  <si>
    <t>ABDIAS VERAS</t>
  </si>
  <si>
    <t>CASTELO DO PIAUI</t>
  </si>
  <si>
    <t>HOSP - LOG COMERCIO DE PRODUTOS HOSPITALARES LTDA</t>
  </si>
  <si>
    <t>ONCOPROD</t>
  </si>
  <si>
    <t>STRC TRECHO 3 CONJUNTO C</t>
  </si>
  <si>
    <t>LOTE 6 BOX 03</t>
  </si>
  <si>
    <t>HOSPCOM EQUIPAMENTOS HOSPITALARES LTDA</t>
  </si>
  <si>
    <t>HOSPCOM</t>
  </si>
  <si>
    <t>SETOR SUL</t>
  </si>
  <si>
    <t>HOSPITAL DIA SAMDEL LTDA.</t>
  </si>
  <si>
    <t>HOSPITAL DIA SAMDEL</t>
  </si>
  <si>
    <t>QNE 7, LOTE</t>
  </si>
  <si>
    <t>SALA 204</t>
  </si>
  <si>
    <t>HOSPITAL DO SERVIDOR PUBLICO MUNICIPAL</t>
  </si>
  <si>
    <t>Atividades de atendimento em pronto-socorro e unidades hospitalares para atendimento a urgências</t>
  </si>
  <si>
    <t>CASTRO ALVES</t>
  </si>
  <si>
    <t>HOSPITAL MATER DEI S.A.</t>
  </si>
  <si>
    <t>HOSPITEC COMERCIO REPRESENTACOES LTDA</t>
  </si>
  <si>
    <t>GOVERNADOR MARIO COVAS</t>
  </si>
  <si>
    <t>ROSARIO DE FATIMA</t>
  </si>
  <si>
    <t>HOUTER BRASIL LTDA</t>
  </si>
  <si>
    <t>LEA MARIA BRANDAO RUSSO</t>
  </si>
  <si>
    <t>JARDIM SATELITE</t>
  </si>
  <si>
    <t>HP SERVICOS AGRICOLAS LTDA</t>
  </si>
  <si>
    <t>HP SERVICOS AGRICOLAS</t>
  </si>
  <si>
    <t>Serviço de preparação de terreno, cultivo e colheita</t>
  </si>
  <si>
    <t>CESARIO ALVES VIEIRA</t>
  </si>
  <si>
    <t>JARDIM SORAIA</t>
  </si>
  <si>
    <t>MAGDA</t>
  </si>
  <si>
    <t>HPE AUTOMOTORES DO BRASIL LTDA</t>
  </si>
  <si>
    <t>HPE AUTOMOTORES</t>
  </si>
  <si>
    <t>05, 07, 07A</t>
  </si>
  <si>
    <t>DIMIC</t>
  </si>
  <si>
    <t>HQS IT SOLUTIONS COMERCIO E SERVICOS DE INFORMATICA LTDA.</t>
  </si>
  <si>
    <t>CONJ 805 ANDAR 8</t>
  </si>
  <si>
    <t>HTS - TECNOLOGIA EM SAUDE COMERCIO IMPORTACAO E EXPORTACAO LTDA</t>
  </si>
  <si>
    <t>MEDIKA</t>
  </si>
  <si>
    <t>ALEOMAR BALEEIRO</t>
  </si>
  <si>
    <t>HUAWEI DO BRASIL TELECOMUNICACOES LTDA</t>
  </si>
  <si>
    <t>ARQUITETO OLAVO REDIG DE CAMPOS 105</t>
  </si>
  <si>
    <t>CONJ 211 212 221 222 231 232 241 E 242 EDIF EZ TOWERS</t>
  </si>
  <si>
    <t>HUBER DO BRASIL SOLUCOES EM TRATAMENTO DE AGUA E EFLUENTES LTDA</t>
  </si>
  <si>
    <t>VIEIRA DE MORAIS</t>
  </si>
  <si>
    <t>CONJ 508 E 509</t>
  </si>
  <si>
    <t>HUSQVARNA DO BRASIL INDUSTRIA E COMERCIO DE PRODUTOS PARA FLORESTA E JARDIM LTDA.</t>
  </si>
  <si>
    <t>CORONEL JOSE AUGUSTO DE OLIVEIRA SALLES</t>
  </si>
  <si>
    <t>VILA IZABEL</t>
  </si>
  <si>
    <t>HXF EQUIPAMENTOS LTDA</t>
  </si>
  <si>
    <t>HXF EQUIPAMENTOS</t>
  </si>
  <si>
    <t>MARTE</t>
  </si>
  <si>
    <t>HYDAC TECNOLOGIA LTDA.</t>
  </si>
  <si>
    <t>HYDROLUZ COMERCIO EM GERAL EIRELI</t>
  </si>
  <si>
    <t>HYDROLUZ ELETRICO E HIDRAULICO</t>
  </si>
  <si>
    <t>TABAJARA</t>
  </si>
  <si>
    <t>ORATORIOS</t>
  </si>
  <si>
    <t>HYG CONSULTORIA OCUPACIONAL LTDA</t>
  </si>
  <si>
    <t>RAVIM HEALTH</t>
  </si>
  <si>
    <t>CONJ 102</t>
  </si>
  <si>
    <t>HYPERA S.A.</t>
  </si>
  <si>
    <t>HYPERA PHARMA</t>
  </si>
  <si>
    <t>NOVA CIDADE</t>
  </si>
  <si>
    <t>HYSTER-YALE BRASIL EMPILHADEIRAS LTDA</t>
  </si>
  <si>
    <t>HYSTER-YALE BRASIL</t>
  </si>
  <si>
    <t>QUADRAQ-GL-C1-L CXPST 1537 - CEP 13308-970</t>
  </si>
  <si>
    <t>CITY CASTELLO</t>
  </si>
  <si>
    <t>HYUNDAI MOTOR BRASIL MONTADORA DE AUTOMOVEIS LTDA</t>
  </si>
  <si>
    <t>HYUNDAI MOTOR BRASIL - HMB</t>
  </si>
  <si>
    <t>HYUNDAI</t>
  </si>
  <si>
    <t>I GO RSVP EVENTOS LTDA</t>
  </si>
  <si>
    <t>I GO RVSP</t>
  </si>
  <si>
    <t>LUIZ SERAPHICO JUNIOR</t>
  </si>
  <si>
    <t>I.E.C MATEL COMERCIO DE MATERIAIS ELETRICOS LTDA</t>
  </si>
  <si>
    <t>COMENDADOR TORLOGO DAUNTRE</t>
  </si>
  <si>
    <t>SALA 1207</t>
  </si>
  <si>
    <t>CAMBUI</t>
  </si>
  <si>
    <t>IAVANT EQUIPAMENTOS INDUSTRIAIS E AGRICOLAS LTDA</t>
  </si>
  <si>
    <t>IAVANT SISTEMAS DE FILTRAGEM</t>
  </si>
  <si>
    <t>JARDIM SALGADO FILHO</t>
  </si>
  <si>
    <t>IBG INDUSTRIA BRASILEIRA DE GASES LTDA</t>
  </si>
  <si>
    <t>IBIRA INDUSTRIA E COMERCIO DE PLASTICOS LTDA</t>
  </si>
  <si>
    <t>DE SANTA FE</t>
  </si>
  <si>
    <t>MANDI</t>
  </si>
  <si>
    <t>IBM BRASIL-INDUSTRIA MAQUINAS E SERVICOS LIMITADA</t>
  </si>
  <si>
    <t>IBM BRASIL INDUSTRIA MAQUINAS</t>
  </si>
  <si>
    <t>REPUBLICA DO CHILE</t>
  </si>
  <si>
    <t xml:space="preserve"> 11 E 12 AND BLOCO 1 SALAS 1101 E 1201 BLOCO 2 SALAS 1101 E 1201</t>
  </si>
  <si>
    <t>IBR INDUSTRIA E COMERCIO LTDA</t>
  </si>
  <si>
    <t>JOSE LOPES RODRIGUES</t>
  </si>
  <si>
    <t>JARDIM MATARAZZO</t>
  </si>
  <si>
    <t>IBRAMED INDUSTRIA BRASILEIRA DE EQUIPAMENTOS MEDICOS LTDA</t>
  </si>
  <si>
    <t>IBRAMED</t>
  </si>
  <si>
    <t>DR CARLOS BURGOS</t>
  </si>
  <si>
    <t>JARDIM ITALIA</t>
  </si>
  <si>
    <t>AMPARO</t>
  </si>
  <si>
    <t>IBROWSE - CONSULTORIA &amp; INFORMATICA LTDA</t>
  </si>
  <si>
    <t>ANTONIO CARLOS BERTA</t>
  </si>
  <si>
    <t>SALA 1809</t>
  </si>
  <si>
    <t>IBV BRASIL PETROLEO LIMITADA</t>
  </si>
  <si>
    <t xml:space="preserve"> BL 001 SALA 0206</t>
  </si>
  <si>
    <t>ICF - INSTITUTO DE CIENCIAS FARMACEUTICAS DE ESTUDOS E PESQUISAS LTDA</t>
  </si>
  <si>
    <t>ICF</t>
  </si>
  <si>
    <t>6919699.5</t>
  </si>
  <si>
    <t>CORONEL EUGENIO JARDIM</t>
  </si>
  <si>
    <t>QD. 260 LT. 12</t>
  </si>
  <si>
    <t>SETOR MARISTA</t>
  </si>
  <si>
    <t>ICONIC LUBRIFICANTES S.A.</t>
  </si>
  <si>
    <t>Atividades do Operador Portuário</t>
  </si>
  <si>
    <t xml:space="preserve"> BLC 7 4 ANDAR SALAS 401 A 408</t>
  </si>
  <si>
    <t>ICTS GLOBAL SERVICOS DE CONSULTORIA EM GESTAO DE RISCOS LTDA.</t>
  </si>
  <si>
    <t>ANDAR 7 CONJ 73-74-PARTE</t>
  </si>
  <si>
    <t>IDATA DISTRIBUIDORA LTDA</t>
  </si>
  <si>
    <t>IDATA DISTRIBUIDORA</t>
  </si>
  <si>
    <t>FRANCISCO CARON</t>
  </si>
  <si>
    <t>IDEAFIX PESQUISAS CORPORATIVAS LTDA</t>
  </si>
  <si>
    <t>IDEAFIX ESTUDOS INSTITUCIONAIS</t>
  </si>
  <si>
    <t>PEDROSO DE MORAIS</t>
  </si>
  <si>
    <t>CONJ 1306 E 1307</t>
  </si>
  <si>
    <t>IDEAL BANHEIROS QUIMICOS LTDA</t>
  </si>
  <si>
    <t>JOSE CARLOS RODRIGUES DA CUNHA</t>
  </si>
  <si>
    <t>RECREIO DOS BANDEIRANTES</t>
  </si>
  <si>
    <t>IDEAL SERVICOS COMBINADOS DE ESCRITORIO LTDA</t>
  </si>
  <si>
    <t>OUVIDIO JOSE ANTONIO SANTANA</t>
  </si>
  <si>
    <t>VILA RICA</t>
  </si>
  <si>
    <t>IDEAL WORK UNIFORMES E E.P.I.S LTDA</t>
  </si>
  <si>
    <t>IDEAL WORK</t>
  </si>
  <si>
    <t>Confecção de roupas profissionais, exceto sob medida</t>
  </si>
  <si>
    <t>RHODES</t>
  </si>
  <si>
    <t>SANTA EDWIGES</t>
  </si>
  <si>
    <t>IDEIAS TURISMO LTDA</t>
  </si>
  <si>
    <t>IDEIAS TURISMO</t>
  </si>
  <si>
    <t>SIG QUADRA 1</t>
  </si>
  <si>
    <t>LOTE 985/1055 SALA 19T 20T 21T SALA 22T 23T 24T</t>
  </si>
  <si>
    <t>IDEXX BRASIL LABORATORIOS LTDA.</t>
  </si>
  <si>
    <t>VICTORINO</t>
  </si>
  <si>
    <t>GALPAO01 02 03 04 10 COND NEW LOG</t>
  </si>
  <si>
    <t>IDM SOLUCOES PUBLICAS LTDA</t>
  </si>
  <si>
    <t>IDM SOLUCOES</t>
  </si>
  <si>
    <t>QUADRA06 LOTE 05 SALA 01</t>
  </si>
  <si>
    <t>IEME BRASIL ENGENHARIA CONSULTIVA LTDA.</t>
  </si>
  <si>
    <t>LAEDE- LAB. DE ACUSTICA E ENSAIOS DINAMICOS E ESTATICOS</t>
  </si>
  <si>
    <t>PIRAJUSSARA</t>
  </si>
  <si>
    <t>IFOOD AGENCIA DE SERVICOS DE RESTAURANTES LTDA</t>
  </si>
  <si>
    <t>IFOOD</t>
  </si>
  <si>
    <t>CORONEL BOAVENTURA MENDES PEREIRA</t>
  </si>
  <si>
    <t>VILA BOAVENTURA</t>
  </si>
  <si>
    <t>IFOOD BENEFICIOS E SERVICOS LTDA.</t>
  </si>
  <si>
    <t>DOS AUTONOMISTAS 1496</t>
  </si>
  <si>
    <t>BLOCO B ANDAR 3 PARTE</t>
  </si>
  <si>
    <t>IGUA SANEAMENTO S.A.</t>
  </si>
  <si>
    <t>ANDAR 5 CONJ 51 E 52</t>
  </si>
  <si>
    <t>IGUATEMI EMPRESA DE SHOPPING CENTERS S/A</t>
  </si>
  <si>
    <t>Gestão e administração da propriedade imobiliária</t>
  </si>
  <si>
    <t>ILHA DO SOL POSTO EXPRESS WASH LTDA</t>
  </si>
  <si>
    <t>ILUMI - TECH CONSTRUTORA CIVIL E ILUMINACAO LTDA</t>
  </si>
  <si>
    <t>Montagem e instalação de sistemas e equipamentos de iluminação e sinalização em vias públicas, portos e aeroportos</t>
  </si>
  <si>
    <t>PARA</t>
  </si>
  <si>
    <t>ILUMI INDUSTRIA E COMERCIO LTDA.</t>
  </si>
  <si>
    <t>ILUMI COMERCIO DE MATERIAIS ELETRICOS</t>
  </si>
  <si>
    <t>FABIO FRANZO</t>
  </si>
  <si>
    <t>240 E 260</t>
  </si>
  <si>
    <t>DIST. IND. PAULO KINOCK</t>
  </si>
  <si>
    <t>ILUMINACAO SAO PAULO LTDA</t>
  </si>
  <si>
    <t>PAVMTO02 LOJA 02</t>
  </si>
  <si>
    <t>IMAGEM GEOSISTEMAS E COMERCIO LTDA</t>
  </si>
  <si>
    <t>SALA 705</t>
  </si>
  <si>
    <t>CONDOMINIO CENTRO EMPRESARIAL TAQUARI</t>
  </si>
  <si>
    <t>IMAGEM HEALTHCARE SOLUTIONS LTDA</t>
  </si>
  <si>
    <t xml:space="preserve"> BLC 10 SAL 202</t>
  </si>
  <si>
    <t>IMANTOVANI, PLANEJAMENTO, CONSULTORIA, ASSESSORIA, ADMINISTRACAO E CORRETAGEM DE SEGUROS LTDA</t>
  </si>
  <si>
    <t>IMANTOVANI CORRETORA DE SEGUROS</t>
  </si>
  <si>
    <t>ROBERT KENNEDY</t>
  </si>
  <si>
    <t>CASA 138</t>
  </si>
  <si>
    <t>JARDIM CALUX</t>
  </si>
  <si>
    <t>IMAUTOMATICHE DO BRASIL INDUSTRIA E COMERCIO DE MAQUINAS LTDA.</t>
  </si>
  <si>
    <t>JUARI</t>
  </si>
  <si>
    <t xml:space="preserve"> CENTRO EMP TAMBORE</t>
  </si>
  <si>
    <t>IMAVI INDUSTRIA E COMERCIO LTDA</t>
  </si>
  <si>
    <t>IMAVI</t>
  </si>
  <si>
    <t>BASILIO ALVES MORANGO</t>
  </si>
  <si>
    <t>JD BRASIL</t>
  </si>
  <si>
    <t>IMB BRASIL EMPREENDIMENTOS, SERVICOS E PARTICIPACOES LTDA.</t>
  </si>
  <si>
    <t>IMB BRASIL</t>
  </si>
  <si>
    <t>CONJ 115 116 117 118</t>
  </si>
  <si>
    <t>IMBIL INDUSTRIA E MANUTENCAO DE BOMBAS ITA LTDA</t>
  </si>
  <si>
    <t>JACOB AUDI</t>
  </si>
  <si>
    <t>VILA IZAURA</t>
  </si>
  <si>
    <t>IMETAME METALMECANICA LTDA</t>
  </si>
  <si>
    <t>Manutenção e reparação de máquinas e equipamentos para uso geral não especificados anteriormente</t>
  </si>
  <si>
    <t>DEMOCRITO MOREIRA</t>
  </si>
  <si>
    <t>IMI FABI BRASIL PARTICIPACOES LTDA.</t>
  </si>
  <si>
    <t>ANDAR 15 CONJ 153</t>
  </si>
  <si>
    <t>IMPACT LEGAL PERFORMANCE ASSESSORIA ESTRATEGICA LTDA</t>
  </si>
  <si>
    <t>IMPAKTUS ENGENHARIA, CONSULTORIA E EMPREENDIMENTOS LTDA</t>
  </si>
  <si>
    <t>IMPAKTUS ENGENHARIA</t>
  </si>
  <si>
    <t>SALA B2 14PV QUADRAF-44 LOTE 02-E EDIF NASA BUSINESS STYLE</t>
  </si>
  <si>
    <t>IMPLEMENTOS AGRICOLAS JAN S A</t>
  </si>
  <si>
    <t>DR. WALDOMIRO GRAEFF</t>
  </si>
  <si>
    <t>NAO-ME-TOQUE</t>
  </si>
  <si>
    <t>IMPROV EQUIPAMENTOS LTDA</t>
  </si>
  <si>
    <t>IMPROV EQUIPAMENTOS</t>
  </si>
  <si>
    <t>IN-DENTAL PRODUTOS ODONTOLOGICOS, MEDICOS E HOSPITALARES LTDA</t>
  </si>
  <si>
    <t>ADOLFO MANTOVANI</t>
  </si>
  <si>
    <t>RESIDENCIAL FLORIDA</t>
  </si>
  <si>
    <t>INBRA INDUSTRIAS QUIMICAS LTDA</t>
  </si>
  <si>
    <t>INBRANDS S.A</t>
  </si>
  <si>
    <t>ANDAR 2 BLOCO C / E SUBSL PISO PANAMBY - BL G LOJA 102 I J E K</t>
  </si>
  <si>
    <t>INCAPE - INDUSTRIA CATARINENSE DE PAPEIS ESPECIAIS LTDA</t>
  </si>
  <si>
    <t>INCAPE</t>
  </si>
  <si>
    <t>ALTO BENEDITO NOVO</t>
  </si>
  <si>
    <t>BENEDITO NOVO</t>
  </si>
  <si>
    <t>INCEPA REVESTIMENTOS CERAMICOS LTDA</t>
  </si>
  <si>
    <t>Fabricação de azulejos e pisos</t>
  </si>
  <si>
    <t>PADRE NATAL PIGATTO</t>
  </si>
  <si>
    <t>VILA BANCARIA</t>
  </si>
  <si>
    <t>INCESA INDUSTRIA DE COMPONENTES ELETRICOS LTDA</t>
  </si>
  <si>
    <t>AMERICO CAETANO</t>
  </si>
  <si>
    <t>QUADRAI</t>
  </si>
  <si>
    <t>DISTRITO INDUSTRIAL ALVARO BRITTO</t>
  </si>
  <si>
    <t>INDAIAL PAPEL EMBALAGENS LTDA</t>
  </si>
  <si>
    <t>IPEL</t>
  </si>
  <si>
    <t>DR. BLUMENAU</t>
  </si>
  <si>
    <t>INDECO BRASIL LTDA</t>
  </si>
  <si>
    <t>INDECO BRASIL</t>
  </si>
  <si>
    <t>POMPEU DE VITTO</t>
  </si>
  <si>
    <t>CONJ 409</t>
  </si>
  <si>
    <t>INDEPENDENCE COMERCIO E IMPORTACAO LTDA.</t>
  </si>
  <si>
    <t>IMBAT EQUIPAMENTOS DE PROTECAO INDIVIDUAL</t>
  </si>
  <si>
    <t>WILSON TAVARES RIBEIRO</t>
  </si>
  <si>
    <t>SALA 05</t>
  </si>
  <si>
    <t>CHACARAS REUNIDAS SANTA TEREZINHA</t>
  </si>
  <si>
    <t>INDFOL INDUSTRIA E COMERCIO LTDA</t>
  </si>
  <si>
    <t>DO TRABALHADOR</t>
  </si>
  <si>
    <t>CENTRO EMPRESARIAL CASTELO BRANCO</t>
  </si>
  <si>
    <t>INDREL INDUSTRIA DE REFRIGERACAO LONDRINENSE LTDA</t>
  </si>
  <si>
    <t>INDUSCABOS CONDUTORES ELETRICOS LIMITADA</t>
  </si>
  <si>
    <t>INDUSCABOS</t>
  </si>
  <si>
    <t>VILA JAU</t>
  </si>
  <si>
    <t>INDUSTRIA AGRO MECANICA PINHEIRO LTDA</t>
  </si>
  <si>
    <t>MAQUINAS PINHEIRO</t>
  </si>
  <si>
    <t>DOS PINHEIROS</t>
  </si>
  <si>
    <t>BAIRRO DOS PINHEIROS</t>
  </si>
  <si>
    <t>INDUSTRIA DE CARROCERIAS METALICAS IBIPORA LTDA</t>
  </si>
  <si>
    <t>IBIPORA IMPLEMENTOS RODOVIARIOS</t>
  </si>
  <si>
    <t>LUIZ CARLOS ZANI</t>
  </si>
  <si>
    <t>QUADRAPARQUE INDUSTRIAL V</t>
  </si>
  <si>
    <t>SETOR 2</t>
  </si>
  <si>
    <t>INDUSTRIA DE IMPLEMENTOS AGRICOLAS SILTOMAC LTDA</t>
  </si>
  <si>
    <t>DOUTOR PAULO LAURO SP 215</t>
  </si>
  <si>
    <t>KM 144</t>
  </si>
  <si>
    <t>RURAL</t>
  </si>
  <si>
    <t>INDUSTRIA DE IMPLEMENTOS AGRICOLAS VENCE TUDO IMPORTACAO E EXPORTACAO LTDA</t>
  </si>
  <si>
    <t>VENCE TUDO</t>
  </si>
  <si>
    <t>LOC RODOVIA RS 223</t>
  </si>
  <si>
    <t>KM 53</t>
  </si>
  <si>
    <t>IBIRUBA</t>
  </si>
  <si>
    <t>INDUSTRIA DE MATERIAL BELICO DO BRASIL IMBEL</t>
  </si>
  <si>
    <t>IMBEL</t>
  </si>
  <si>
    <t>QUARTEL GENERAL DO EXERCITO</t>
  </si>
  <si>
    <t>BLOCO H, 3 PAVIMENTO</t>
  </si>
  <si>
    <t>SETOR MILITAR URBANO</t>
  </si>
  <si>
    <t>INDUSTRIA DE MOTORES ANAUGER S.A.</t>
  </si>
  <si>
    <t>PREFEITO JOSE CARLOS</t>
  </si>
  <si>
    <t>SANTA JULIA</t>
  </si>
  <si>
    <t>INDUSTRIA E COMERCIO DE ALIMENTOS SAUDAVEL LTDA</t>
  </si>
  <si>
    <t>AGUA MINERAL CRISTAL AZUL</t>
  </si>
  <si>
    <t>SANTA FE</t>
  </si>
  <si>
    <t>QUEDAS DO IGUACU</t>
  </si>
  <si>
    <t>INDUSTRIA E COMERCIO DE CALCADOS IDOL LTDA</t>
  </si>
  <si>
    <t>IDOL CALCADOS</t>
  </si>
  <si>
    <t>31 DE MARCO</t>
  </si>
  <si>
    <t>CENTRO - SEDE</t>
  </si>
  <si>
    <t>LACERDOPOLIS</t>
  </si>
  <si>
    <t>INDUSTRIA E COMERCIO DE LATICINIOS PEREIRA LTDA</t>
  </si>
  <si>
    <t>GRUPO PEREIRA</t>
  </si>
  <si>
    <t>NOVO SOBRADINHO</t>
  </si>
  <si>
    <t>INDUSTRIA E COMERCIO DE METAIS LEAO LTDA</t>
  </si>
  <si>
    <t>LEAO METAIS SANITARIOS</t>
  </si>
  <si>
    <t>PR/KM-182 ESTRADA LOANDA A SANTA ISABEL DO IVAI</t>
  </si>
  <si>
    <t>LOANDA</t>
  </si>
  <si>
    <t>INDUSTRIA E COMERCIO HIDROMAR LTDA</t>
  </si>
  <si>
    <t>AMELIA RISKALLAH ABIB TAUIL</t>
  </si>
  <si>
    <t>PQ DAS INDUSTRIAS LEVES</t>
  </si>
  <si>
    <t>INDUSTRIA E COMERCIO LEAL LTDA</t>
  </si>
  <si>
    <t>FAUSTINO BIZZETTO</t>
  </si>
  <si>
    <t>NUCLEO INDUSTRIAL I</t>
  </si>
  <si>
    <t>INDUSTRIA ELETRICA MARANGONI MARETTI LTDA</t>
  </si>
  <si>
    <t>JOAO PINTO</t>
  </si>
  <si>
    <t>PQ DA EMPRESA</t>
  </si>
  <si>
    <t>JOSE MARANGONI</t>
  </si>
  <si>
    <t>INDUSTRIA QUIMICA N. SRA. DA PIEDADE LTDA</t>
  </si>
  <si>
    <t>RADIANTE</t>
  </si>
  <si>
    <t>TIDE</t>
  </si>
  <si>
    <t xml:space="preserve"> SALAO</t>
  </si>
  <si>
    <t>LAGARTO</t>
  </si>
  <si>
    <t>INDUSTRIA TECNICA HILARIO LTDA</t>
  </si>
  <si>
    <t>RUA ALDEIA PARACANTI</t>
  </si>
  <si>
    <t>VILA RE</t>
  </si>
  <si>
    <t>INDUSTRIAL BECKER DE MAQUINAS AGRICOLAS LTDA</t>
  </si>
  <si>
    <t>INDUSTRIAL BECKER</t>
  </si>
  <si>
    <t>KARL DAHMER</t>
  </si>
  <si>
    <t>PAVLH A</t>
  </si>
  <si>
    <t>AREA INDUSTRIAL II</t>
  </si>
  <si>
    <t>CERRO LARGO</t>
  </si>
  <si>
    <t>INDUSTRIAS ALIMENTICIAS MARATA LTDA.</t>
  </si>
  <si>
    <t>INDUSTRIAS ALIMENTICIAS MARATA</t>
  </si>
  <si>
    <t>Torrefação e moagem de café</t>
  </si>
  <si>
    <t>BR 101 KM 118</t>
  </si>
  <si>
    <t>ITAPORANGA D'AJUDA</t>
  </si>
  <si>
    <t>INDUSTRIAS ARTEB LTDA -</t>
  </si>
  <si>
    <t>ARTEB</t>
  </si>
  <si>
    <t>SL 01</t>
  </si>
  <si>
    <t>VILA OLGA</t>
  </si>
  <si>
    <t>INDUSUL INDUSTRIA DE TRANSFORMADORES LTDA</t>
  </si>
  <si>
    <t>TAMURA BRASIL</t>
  </si>
  <si>
    <t>MARIA ANDRADE MOREIRA</t>
  </si>
  <si>
    <t>BLOCO 1</t>
  </si>
  <si>
    <t>INECON, ANALISES, ESTUDOS E PROJETOS LTDA.</t>
  </si>
  <si>
    <t>INECON</t>
  </si>
  <si>
    <t xml:space="preserve"> CONJ. 302</t>
  </si>
  <si>
    <t>INFANTARIA COMERCIAL LTDA</t>
  </si>
  <si>
    <t>FRITZ SPERNAU</t>
  </si>
  <si>
    <t>FUNDOS GALPAO2 TERREO</t>
  </si>
  <si>
    <t>ITOUPAVA NORTE</t>
  </si>
  <si>
    <t>INFINITY SOLUCOES PARA CREDITO, COBRANCA E PROTECAO A FRAUDE LTDA</t>
  </si>
  <si>
    <t>INFINITY</t>
  </si>
  <si>
    <t xml:space="preserve"> CJ. 1106</t>
  </si>
  <si>
    <t>INFORMAKER INFORMATICA LTDA</t>
  </si>
  <si>
    <t>VENEZUELA</t>
  </si>
  <si>
    <t xml:space="preserve"> SAL 312 SAL 313</t>
  </si>
  <si>
    <t>INFOSENSE COMERCIO DE EQUIPAMENTOS E SERVICOS DE DIAGNOSTICOS DE TUBULACOES LTDA</t>
  </si>
  <si>
    <t>INFOSENSE COMERCIO E EQUIPAMENTOS</t>
  </si>
  <si>
    <t>PADRE VENANCIO DE RESENDE</t>
  </si>
  <si>
    <t>INFRA AIR SOLUCOES EM CLIMATIZACAO LTDA</t>
  </si>
  <si>
    <t>MIRACATU</t>
  </si>
  <si>
    <t>INFRABRASIL OBRAS PESADAS E MINERACAO LTDA</t>
  </si>
  <si>
    <t>DAS NACOES</t>
  </si>
  <si>
    <t>VILA IRACEMA</t>
  </si>
  <si>
    <t>INFRAPRIME SOLUCOES TECNOLOGICAS LTDA</t>
  </si>
  <si>
    <t>ANDAR 1 CXPST 141</t>
  </si>
  <si>
    <t>INGERSOLL-RAND COMERCIO E SERVICOS DE MAQUINAS E EQUIPAMENTOS INDUSTRIAIS LTDA.</t>
  </si>
  <si>
    <t>CAIAPOS</t>
  </si>
  <si>
    <t>INGRAM MICRO TECNOLOGIA E INFORMATICA LTDA.</t>
  </si>
  <si>
    <t>INGRAM MICRO SOLUTIONS</t>
  </si>
  <si>
    <t xml:space="preserve"> GALPOES 03 E 04 PARTE</t>
  </si>
  <si>
    <t>INJETRON AUTOMOTIVE COMERCIO DE PECAS E SERVICOS LTDA</t>
  </si>
  <si>
    <t>INJETRON</t>
  </si>
  <si>
    <t>HUMBERTO MARTIGNONI</t>
  </si>
  <si>
    <t>VILA CANTIZANI</t>
  </si>
  <si>
    <t>PIRAJU</t>
  </si>
  <si>
    <t>INJEX INDUSTRIAS CIRURGICAS LTDA</t>
  </si>
  <si>
    <t>133333.33</t>
  </si>
  <si>
    <t>COMENDADOR JOSE ZILLO</t>
  </si>
  <si>
    <t>INK QUALITY COMERCIO DE PRODUTOS DE HIGIENE E LIMPEZA LTDA</t>
  </si>
  <si>
    <t>STOCK 360 DISTRIBUIDORA</t>
  </si>
  <si>
    <t>URANIO</t>
  </si>
  <si>
    <t xml:space="preserve"> COMUNIDADE NOSSA SEN</t>
  </si>
  <si>
    <t>INNOVAPAV COMERCIO DE PECAS PARA MAQUINAS DE PAVIMENTACAO LTDA</t>
  </si>
  <si>
    <t>INNOVA COMERCIO DE PECAS PARA MAQUINAS DE PAVIMENTACAO</t>
  </si>
  <si>
    <t>PEDRO JUAN CABALLERO</t>
  </si>
  <si>
    <t>LETRA E 153</t>
  </si>
  <si>
    <t>CASA VERDE ALTA</t>
  </si>
  <si>
    <t>INOPLASTIC INDUSTRIA E COMERCIO LTDA</t>
  </si>
  <si>
    <t>Fabricação de produtos cerâmicos refratários</t>
  </si>
  <si>
    <t>AMEDEA CENTINI</t>
  </si>
  <si>
    <t>JARDIM PEREIRA LEITE</t>
  </si>
  <si>
    <t>INOVA - SINALIZACAO INDUSTRIA E COMERCIO LTDA</t>
  </si>
  <si>
    <t>CENTENARIO</t>
  </si>
  <si>
    <t>PQ. BANDEIRANTES</t>
  </si>
  <si>
    <t>TRES CORACOES</t>
  </si>
  <si>
    <t>INOVAMED HOSPITALAR LTDA</t>
  </si>
  <si>
    <t>DOUTOR JOAO CARUSO</t>
  </si>
  <si>
    <t>INOVE HIGIENE COMERCIO E SERVICOS DE DESCARTAVEIS LTDA</t>
  </si>
  <si>
    <t>INOVE HIGIENE</t>
  </si>
  <si>
    <t>PEDRO FACHINI</t>
  </si>
  <si>
    <t>INOVE RAMOS MANUTENCAO INDUSTRIAL LTDA</t>
  </si>
  <si>
    <t>INV ENGENHARIA</t>
  </si>
  <si>
    <t>LUCAS FORTUNATO</t>
  </si>
  <si>
    <t>INOVE TERCEIRIZACAO DE SERVICOS LTDA</t>
  </si>
  <si>
    <t>INOVE TERCEIRIZACAO DE SERVICOS</t>
  </si>
  <si>
    <t>PAULINO GOMES DE SOUZA</t>
  </si>
  <si>
    <t>GRACAS</t>
  </si>
  <si>
    <t>INPROMED DO BRASIL INDUSTRIA E COMERCIO DE PRODUTOS MEDICOS LTDA</t>
  </si>
  <si>
    <t>INSIGHTS TECHNOLOGIES CONSULTORIA EM TECNOLOGIA DA INFORMACAO LTDA</t>
  </si>
  <si>
    <t>INSIGHTS</t>
  </si>
  <si>
    <t>RUBENS CAPORALI RIBEIRO</t>
  </si>
  <si>
    <t>APT 1303 BLOCO 2</t>
  </si>
  <si>
    <t>BURITIS</t>
  </si>
  <si>
    <t>INSTALL MIDIA LTDA</t>
  </si>
  <si>
    <t>Instalação de painéis publicitários</t>
  </si>
  <si>
    <t>SALA 804 F CONJ 804 TORRE 01</t>
  </si>
  <si>
    <t>INSTALTEC INSTALACOES ELETRICAS LTDA</t>
  </si>
  <si>
    <t>CXPST 11</t>
  </si>
  <si>
    <t>ZONA 07</t>
  </si>
  <si>
    <t>INSTITUTO AGUA E TERRA</t>
  </si>
  <si>
    <t>IAT</t>
  </si>
  <si>
    <t>ENGENHEIRO REBOUCAS</t>
  </si>
  <si>
    <t>INSTITUTO BRASILEIRO DE PETROLEO E GAS</t>
  </si>
  <si>
    <t>IBP</t>
  </si>
  <si>
    <t>ALMIRANTE BARROSO 52</t>
  </si>
  <si>
    <t>ANDAR 21 ANDAR 26</t>
  </si>
  <si>
    <t>INSTITUTO DE PROMOCAO HUMANA, APRENDIZAGEM E CULTURA</t>
  </si>
  <si>
    <t>INSTITUTO PROMOVER</t>
  </si>
  <si>
    <t>ANDAR TERREO QUADRA17 LOTE 20</t>
  </si>
  <si>
    <t>INSTITUTO EUVALDO LODI</t>
  </si>
  <si>
    <t>SETOR BANCARIO NORTE, QUADRA 01 BLOCO C UNIDADE 5</t>
  </si>
  <si>
    <t>PAVMTOPARTE A</t>
  </si>
  <si>
    <t>INSTITUTO FALCAO BAUER DA QUALIDADE</t>
  </si>
  <si>
    <t>AQUINOS</t>
  </si>
  <si>
    <t>ANEXO PREDIO II ANDAR 3 ANDAR</t>
  </si>
  <si>
    <t>INSTITUTO HERMES PARDINI S/A</t>
  </si>
  <si>
    <t>INSTITUTO MEDICO DE DIAGNOSTICO POR IMAGEM LTDA</t>
  </si>
  <si>
    <t>IMEDI</t>
  </si>
  <si>
    <t>Serviços de diagnóstico por imagem com uso de radiação ionizante, exceto tomografia</t>
  </si>
  <si>
    <t>INSTITUTO MONITOR LTDA</t>
  </si>
  <si>
    <t>ANDAR 1, 2, 3 E 4 ANDARES</t>
  </si>
  <si>
    <t>INSTITUTO NACIONAL DE TECNOLOGIA E SAUDE</t>
  </si>
  <si>
    <t>PROFESSOR MAGALHAES NETO</t>
  </si>
  <si>
    <t>EDIF TK TOWER SALA 806 A 816</t>
  </si>
  <si>
    <t>PITUBA</t>
  </si>
  <si>
    <t>INSTITUTO NACIONAL DE TECNOLOGIA, EDUCACAO, CULTURA E SAUDE</t>
  </si>
  <si>
    <t>INTECS</t>
  </si>
  <si>
    <t>CEL COLARES MOREIRA, SL.801-C.EMP.V.DE MORAIS</t>
  </si>
  <si>
    <t>INSTRAMED INDUSTRIA MEDICO HOSPITALAR LTDA</t>
  </si>
  <si>
    <t>SEVERO DULLIUS</t>
  </si>
  <si>
    <t>ANDAR 4 SALA 403</t>
  </si>
  <si>
    <t>ANCHIETA</t>
  </si>
  <si>
    <t>INSTRUCTURE LICENCIAMENTO DE SOFTWARE LTDA.</t>
  </si>
  <si>
    <t>INSTRUCTURE BRAZIL</t>
  </si>
  <si>
    <t>CONJ 41 ANDAR 4 PARTE</t>
  </si>
  <si>
    <t>INTEGRAL ALIMENTACAO COMERCIO E SERVICOS LTDA</t>
  </si>
  <si>
    <t>INTEGRAL ALIMENTACAO</t>
  </si>
  <si>
    <t>PASSO DA PATRIA</t>
  </si>
  <si>
    <t>INTEGRALSAT SISTEMAS DE SEGURANCA LTDA</t>
  </si>
  <si>
    <t>319B</t>
  </si>
  <si>
    <t>BAU</t>
  </si>
  <si>
    <t>INTELBRAS S.A. INDUSTRIA DE TELECOMUNICACAO ELETRONICA BRASILEIRA</t>
  </si>
  <si>
    <t>INTELBRAS</t>
  </si>
  <si>
    <t>Fabricação de aparelhos telefônicos e de outros equipamentos de comunicação, peças e acessórios</t>
  </si>
  <si>
    <t>RODOVIA BR 101 - KM 210</t>
  </si>
  <si>
    <t>AREA INDUSTRIAL</t>
  </si>
  <si>
    <t>INTELIVIX LTDA</t>
  </si>
  <si>
    <t>INTELIVIX</t>
  </si>
  <si>
    <t>DO ENCANAMENTO</t>
  </si>
  <si>
    <t xml:space="preserve"> SALA 1601 EMP SANTA LUZIA</t>
  </si>
  <si>
    <t>CASA AMARELA</t>
  </si>
  <si>
    <t>INTELLI INDUSTRIA DE TERMINAIS ELETRICOS LTDA</t>
  </si>
  <si>
    <t>INTELLI</t>
  </si>
  <si>
    <t>MARGINAL DIREITA</t>
  </si>
  <si>
    <t>ORLANDIA</t>
  </si>
  <si>
    <t>INTELLISYSTEM SISTEMA DE AUTOMACAO E MANUTENCAO LTDA</t>
  </si>
  <si>
    <t>INTELLISYSTEM</t>
  </si>
  <si>
    <t>2 DO CONJUNTO MIRASSOL</t>
  </si>
  <si>
    <t>ITAPERI</t>
  </si>
  <si>
    <t>INTERENG AUTOMACAO INDUSTRIAL LTDA.</t>
  </si>
  <si>
    <t>CARLOS BERCHIERI</t>
  </si>
  <si>
    <t>INTERFORT SEGURANCA DE VALORES LTDA</t>
  </si>
  <si>
    <t>INTERFORT</t>
  </si>
  <si>
    <t>DESEMBARGADOR SINVAL MOREIRA DIAS</t>
  </si>
  <si>
    <t>NOVA DESCOBERTA</t>
  </si>
  <si>
    <t>INTERMODAL BRASIL LOGISTICA S.A.</t>
  </si>
  <si>
    <t>MANOEL BORBA GATO</t>
  </si>
  <si>
    <t>EDIF I</t>
  </si>
  <si>
    <t>VILA SAYAGO</t>
  </si>
  <si>
    <t>INTERNATIONAL MEAL COMPANY ALIMENTACAO S.A.</t>
  </si>
  <si>
    <t>DOUTORA RUTH CARDOSO 4777</t>
  </si>
  <si>
    <t>ANDAR 12 CONJ A</t>
  </si>
  <si>
    <t>JARDIM UNIVERSIDADE PINHEIROS</t>
  </si>
  <si>
    <t>INTERPRISE INSTRUMENTOS ANALITICOS LTDA</t>
  </si>
  <si>
    <t>INTERPRISE BRASIL</t>
  </si>
  <si>
    <t>DOUTOR ALEXANDRE MARTINS LAROCA</t>
  </si>
  <si>
    <t>INTERTEK DO BRASIL INSPECOES LTDA.</t>
  </si>
  <si>
    <t>DOUTOR COCHRANE</t>
  </si>
  <si>
    <t>ANDAR 1 E 2 TERREOTERREO</t>
  </si>
  <si>
    <t>PAQUETA</t>
  </si>
  <si>
    <t>INTUITIVE SURGICAL BRASIL IMPORTACAO E COMERCIO DE EQUIPAMENTOS CIRURGICOS LTDA</t>
  </si>
  <si>
    <t>MADEIRA</t>
  </si>
  <si>
    <t>CONJ 81 ANDAR 8 EDIF ALFACON</t>
  </si>
  <si>
    <t>ALPHAVILLE CENTRO INDUSTRIAL E EMPRESARIAL/ALPHAV.</t>
  </si>
  <si>
    <t>INVITECH - SOLUCOES EM TECNOLOGIA LTDA</t>
  </si>
  <si>
    <t>INVITECH</t>
  </si>
  <si>
    <t>ROCHA POMBO</t>
  </si>
  <si>
    <t>REGIAO DO LAGO</t>
  </si>
  <si>
    <t>IOCHPE-MAXION S.A.</t>
  </si>
  <si>
    <t>DR. OTHON BARCELLOS</t>
  </si>
  <si>
    <t>ITAGACABA</t>
  </si>
  <si>
    <t>IPACOL MAQUINAS AGRICOLAS LTDA</t>
  </si>
  <si>
    <t>ZELINDO FRIZON</t>
  </si>
  <si>
    <t>DIST. INDUSTRIAL ILDO PARISE</t>
  </si>
  <si>
    <t>VERANOPOLIS</t>
  </si>
  <si>
    <t>IPANEMA AVIACAO AGRICOLA LTDA</t>
  </si>
  <si>
    <t>IPANEMA AVIACAO</t>
  </si>
  <si>
    <t>Atividades auxiliares dos transportes aéreos, exceto operação dos aeroportos e campos de aterrissagem</t>
  </si>
  <si>
    <t>IPE PAPEIS LTDA</t>
  </si>
  <si>
    <t>IPE PAPEIS</t>
  </si>
  <si>
    <t>CLSW 101 BLOCO A</t>
  </si>
  <si>
    <t>SETOR SUDOESTE</t>
  </si>
  <si>
    <t>IPIRANGA AGROINDUSTRIAL S.A.</t>
  </si>
  <si>
    <t>Fabricação de álcool</t>
  </si>
  <si>
    <t>CEZARIO JOSE DE CASTILHO KM 400+800MTS</t>
  </si>
  <si>
    <t xml:space="preserve"> FAZENDA NOVA CXPST 41</t>
  </si>
  <si>
    <t>IACANGA</t>
  </si>
  <si>
    <t>IPIRANGA PRODUTOS DE PETROLEO S.A.</t>
  </si>
  <si>
    <t>Comércio atacadista de álcool carburante, biodiesel, gasolina e demais derivados de petróleo, exceto lubrificantes, não realizado por transportador re</t>
  </si>
  <si>
    <t xml:space="preserve"> BLC 2 SAL 2801 2901 E 3001</t>
  </si>
  <si>
    <t>IPONIA AGTECH LTDA</t>
  </si>
  <si>
    <t>IPONIA AGTECH</t>
  </si>
  <si>
    <t>ADA NEGRI</t>
  </si>
  <si>
    <t>IPSEN PHARMA</t>
  </si>
  <si>
    <t>65 QUAI GEORGES GORSE</t>
  </si>
  <si>
    <t>IRAMEC PECAS E SERVICOS LTDA</t>
  </si>
  <si>
    <t>IRAMEC</t>
  </si>
  <si>
    <t>AV EXPEDICIONARIO JOAO PROTZEK</t>
  </si>
  <si>
    <t>VILA SAO JOAO</t>
  </si>
  <si>
    <t>IRATI</t>
  </si>
  <si>
    <t>IRANI PAPEL E EMBALAGEM S.A.</t>
  </si>
  <si>
    <t>IRANI</t>
  </si>
  <si>
    <t>SALA 502/503</t>
  </si>
  <si>
    <t>IREMIX CONCRETO, COMERCIO E SERVICOS LTDA</t>
  </si>
  <si>
    <t>IREMIX</t>
  </si>
  <si>
    <t>ACESSO BR 432</t>
  </si>
  <si>
    <t>RODOVIA</t>
  </si>
  <si>
    <t>IRECE</t>
  </si>
  <si>
    <t>IRIZAR BRASIL LTDA.</t>
  </si>
  <si>
    <t>MARECHAL RONDON</t>
  </si>
  <si>
    <t>KM 252,5</t>
  </si>
  <si>
    <t>IRMAOS BRITTO REPRESENTACOES E COMERCIO LTDA</t>
  </si>
  <si>
    <t>SA E ALBUQUERQUE</t>
  </si>
  <si>
    <t>JARAGUA</t>
  </si>
  <si>
    <t>IRMAOS PACIFICO COMERCIO ATACADISTA DE AR CONDICIONADO LTDA</t>
  </si>
  <si>
    <t>PACIFICO AR CONDICIONADO</t>
  </si>
  <si>
    <t>MAURO MIRANDA MADUREIRA</t>
  </si>
  <si>
    <t>ELPIDIO VOLPINI</t>
  </si>
  <si>
    <t>CACHOEIRO DE ITAPEMIRIM</t>
  </si>
  <si>
    <t>IRMEN MAQUINAS E EQUIPAMENTOS LTDA</t>
  </si>
  <si>
    <t>VALENCA</t>
  </si>
  <si>
    <t>PALMEIRAS DE SAO JOSE</t>
  </si>
  <si>
    <t>IRON MOUNTAIN DO BRASIL LTDA</t>
  </si>
  <si>
    <t>GERIVATIBA</t>
  </si>
  <si>
    <t>CONJ 61 62 71 E 72</t>
  </si>
  <si>
    <t>IRRIGABRAS IRRIGACAO DO BRASIL LTDA</t>
  </si>
  <si>
    <t>IRRIGABRAS</t>
  </si>
  <si>
    <t>SABURO SUMIYA</t>
  </si>
  <si>
    <t>ALDEIA DE BARUERI</t>
  </si>
  <si>
    <t>IRRIGAPLAN INDUSTRIA E COMERCIO DE EQUIPAMENTOS DE IRRIGACAO LTDA</t>
  </si>
  <si>
    <t>BIAZO VICENTIM</t>
  </si>
  <si>
    <t>IRRITEC DO BRASIL INDUSTRIA E COMERCIO DE EQUIPAMENTOS PARA IRRIGACAO LTDA</t>
  </si>
  <si>
    <t>JOSE VIEIRA</t>
  </si>
  <si>
    <t>ISAPEL INDUSTRIA E COMERCIO DE PAPEL LTDA</t>
  </si>
  <si>
    <t>JOSE FERREIRA DA SILVA</t>
  </si>
  <si>
    <t>JD. MARIETA</t>
  </si>
  <si>
    <t>ISNOW SERVICOS LTDA</t>
  </si>
  <si>
    <t>ISNOW INSTALACOES INTELIGENTES</t>
  </si>
  <si>
    <t>COND STADIUM ESCRIT 206</t>
  </si>
  <si>
    <t>ISO TECH INDUSTRIA E COMERCIO DE ESPECIALIDADES QUIMICAS LTDA</t>
  </si>
  <si>
    <t>ISO TECH</t>
  </si>
  <si>
    <t>JARDIM REPRESA (FAZENDINHA)</t>
  </si>
  <si>
    <t>ISOTEL MATERIAIS ELETRICOS LTDA</t>
  </si>
  <si>
    <t>ISOTEL BRASIL</t>
  </si>
  <si>
    <t>NUNES DE SIQUEIRA</t>
  </si>
  <si>
    <t>IT COFFEE ITALIAN COFFEE COMERCIO E SERVICOS LTDA</t>
  </si>
  <si>
    <t>IT COFFEE</t>
  </si>
  <si>
    <t>N.778</t>
  </si>
  <si>
    <t>IT2B TECNOLOGIA E SERVICOS LTDA</t>
  </si>
  <si>
    <t>ITAC - INSTITUTO TECNOLOGICO DE AVALIACAO E CERTIFICACAO DA CONFORMIDADE LTDA</t>
  </si>
  <si>
    <t>CONJ 91 ANDAR 9 COND JAIME CANET ED</t>
  </si>
  <si>
    <t>ITASOLAR INDUSTRIA E COMERCIO LTDA</t>
  </si>
  <si>
    <t>ITASOLAR</t>
  </si>
  <si>
    <t>DOMINGOS PEGORARI</t>
  </si>
  <si>
    <t>SANTA BARBARA</t>
  </si>
  <si>
    <t>ITAU SEGUROS DE AUTO E RESIDENCIA S.A.</t>
  </si>
  <si>
    <t>BR DE PIRACICABA</t>
  </si>
  <si>
    <t>ANEXO TORRE B EDIF ROSA GARFINKEL ANDAR 2</t>
  </si>
  <si>
    <t>ITUBOMBAS LOCACAO, COMERCIO, IMPORTACAO E EXPORTACAO LTDA.</t>
  </si>
  <si>
    <t>CAETANO RUGGIERI</t>
  </si>
  <si>
    <t>5170-A</t>
  </si>
  <si>
    <t>PARQUE DAS INDUSTRIAS</t>
  </si>
  <si>
    <t>IUDS - INSTITUTO UNIVERSAL DE DESENVOLVIMENTO SOCIAL</t>
  </si>
  <si>
    <t>IUDS</t>
  </si>
  <si>
    <t>BOM PASTOR</t>
  </si>
  <si>
    <t>IUGU INSTITUICAO DE PAGAMENTO S.A.</t>
  </si>
  <si>
    <t>IUGU</t>
  </si>
  <si>
    <t>ANDAR 16 E 17 TORRE A-TNU</t>
  </si>
  <si>
    <t>IVALSAN INDUSTRIA E COMERCIO DE VALVULAS E CONEXOES LTDA</t>
  </si>
  <si>
    <t>DJALMA ROGERIO CERIONI</t>
  </si>
  <si>
    <t>ANEXO N.560</t>
  </si>
  <si>
    <t>IVG BRASIL LTDA</t>
  </si>
  <si>
    <t>MG-238</t>
  </si>
  <si>
    <t>KM 73.5 BLOCO II SALA IVG</t>
  </si>
  <si>
    <t>DISTRITO INDUSTRIAL NORTE</t>
  </si>
  <si>
    <t>SETE LAGOAS</t>
  </si>
  <si>
    <t>IVOMADE COMERCIO DE MADEIRAS E MATERIAIS PARA CONSTRUCAO LTDA</t>
  </si>
  <si>
    <t>Comércio varejista de madeira e artefatos</t>
  </si>
  <si>
    <t>DO ALVARENGA</t>
  </si>
  <si>
    <t>BALNEARIO SAO FRANCISCO</t>
  </si>
  <si>
    <t>IVSA SERVICOS ADMINISTRATIVOS LTDA</t>
  </si>
  <si>
    <t>DABELA</t>
  </si>
  <si>
    <t>NOVA DIRETRIZ</t>
  </si>
  <si>
    <t>JARDIM ITATIAIA</t>
  </si>
  <si>
    <t>IVT FILTROS LTDA</t>
  </si>
  <si>
    <t>CACONDE</t>
  </si>
  <si>
    <t>IWAKI DO BRASIL COMERCIO DE BOMBAS HIDRAULICAS LTDA.</t>
  </si>
  <si>
    <t>ANEXO PREDIO 1</t>
  </si>
  <si>
    <t>J B ANDRADE INCORPORACOES E CONSTRUCOES LTDA</t>
  </si>
  <si>
    <t>GENERAL MAC ARTHUR</t>
  </si>
  <si>
    <t>SALAS 707 E 708</t>
  </si>
  <si>
    <t>IMBIRIBEIRA</t>
  </si>
  <si>
    <t>J DUARTE &amp; CIA LTDA</t>
  </si>
  <si>
    <t>WILLY EUGENIO FLECK</t>
  </si>
  <si>
    <t>CASA 384</t>
  </si>
  <si>
    <t>RUBEM BERTA</t>
  </si>
  <si>
    <t>J J M INSTALACOES INDUSTRIAIS LTDA.</t>
  </si>
  <si>
    <t>JOSE NEVES</t>
  </si>
  <si>
    <t>VILA SAO PAULO</t>
  </si>
  <si>
    <t>J J S EQUIPAMENTOS DE PROTECAO E MANUTENCAO INDUSTRIAL LTDA</t>
  </si>
  <si>
    <t>JJS EQUIPAMENTOS</t>
  </si>
  <si>
    <t>TINECIRO ICIBACI</t>
  </si>
  <si>
    <t>COLONIA (ZONA LESTE)</t>
  </si>
  <si>
    <t>J L COMERCIO E SERVICOS LTDA</t>
  </si>
  <si>
    <t>DOS ROUXINOIS</t>
  </si>
  <si>
    <t>RECANTO CAMPO BELO</t>
  </si>
  <si>
    <t>J R G DISTRIBUIDORA DE MEDICAMENTOS HOSPITALARES LTDA</t>
  </si>
  <si>
    <t>PEDRO ZANGRANDE</t>
  </si>
  <si>
    <t>JARDIM LIMOEIRO</t>
  </si>
  <si>
    <t>J. A. F. TRANSPORTES RODOVIARIOS LTDA</t>
  </si>
  <si>
    <t>J. A. F. TRANSPORTES</t>
  </si>
  <si>
    <t>Transporte rodoviário de produtos perigosos</t>
  </si>
  <si>
    <t>DOM LUIZ DO AMARAL MOUZINHO</t>
  </si>
  <si>
    <t>VL PIO DOZE</t>
  </si>
  <si>
    <t>J. J. VITALLI</t>
  </si>
  <si>
    <t>VITAZA</t>
  </si>
  <si>
    <t>MAURICIO CARDOSO</t>
  </si>
  <si>
    <t>SALA 3</t>
  </si>
  <si>
    <t>J. PROLAB INDUSTRIA E COMERCIO DE PRODUTOS PARA LABORATORIO LTDA</t>
  </si>
  <si>
    <t>SUBDIVISAO SENEGAGLI</t>
  </si>
  <si>
    <t>J. R. CONSTRUTORA E TERRAPLANAGEM LTDA.</t>
  </si>
  <si>
    <t>ODISSEU</t>
  </si>
  <si>
    <t>CANTO DO MAR</t>
  </si>
  <si>
    <t>J.G. MORIYA REPRESENTACAO, IMPORTADORA E EXPORTADORA COMERCIAL LTDA.</t>
  </si>
  <si>
    <t>COLORADO</t>
  </si>
  <si>
    <t>J.MARSEG CONFECCAO E COMERCIO DE EQUIPAMENTOS DE PROTECAO INDIVIDUAL LTDA</t>
  </si>
  <si>
    <t>FALCHI GIANINI</t>
  </si>
  <si>
    <t>J.O.R. CONSTRUCAO E PROJETOS LTDA</t>
  </si>
  <si>
    <t>ANDREA APPIANI</t>
  </si>
  <si>
    <t>CASA 01</t>
  </si>
  <si>
    <t>JD. INGA</t>
  </si>
  <si>
    <t>JACOBS DOUWE EGBERTS BR COMERCIALIZACAO DE CAFES LTDA.</t>
  </si>
  <si>
    <t>TERREOCOMPLEXO DE REUNIAO LOJA 14</t>
  </si>
  <si>
    <t>JAGUAR E LAND ROVER BRASIL INDUSTRIA E COMERCIO DE VEICULOS LTDA</t>
  </si>
  <si>
    <t>JAGUAR E LAND ROVER BRASIL</t>
  </si>
  <si>
    <t>JAIRO ANTONIO MALLMANN CONSULTORIA</t>
  </si>
  <si>
    <t>STARMAX CONSULTORIA E COMERCIO DE PRODUTOS</t>
  </si>
  <si>
    <t>AZAMBUJA FORTUNA</t>
  </si>
  <si>
    <t>FIAO</t>
  </si>
  <si>
    <t>JALK FERRO E ACO LTDA</t>
  </si>
  <si>
    <t>JALK FERRO E ACO</t>
  </si>
  <si>
    <t>MG 050</t>
  </si>
  <si>
    <t>RESIDENCIAL CASA NOVA</t>
  </si>
  <si>
    <t>JALLES MACHADO S.A.</t>
  </si>
  <si>
    <t>Fabricação de açúcar em bruto</t>
  </si>
  <si>
    <t>SAO PEDRO. RODOVIA GO-080. KM 185</t>
  </si>
  <si>
    <t>GOIANESIA</t>
  </si>
  <si>
    <t>JAM ENGENHARIA S.A.</t>
  </si>
  <si>
    <t>SALA 400 A</t>
  </si>
  <si>
    <t>LUXEMBURGO</t>
  </si>
  <si>
    <t>JAM SOLUCOES PREDIAIS LTDA</t>
  </si>
  <si>
    <t>JAMC CONSULTORIA E REPRESENTACAO DE SOFTWARE LTDA</t>
  </si>
  <si>
    <t>PETA</t>
  </si>
  <si>
    <t>SCES TRECHO 2, CENTRO DE LAZER BEIRA LAGO</t>
  </si>
  <si>
    <t>CONJ 08 LOJA 03</t>
  </si>
  <si>
    <t>JANSSEN-CILAG FARMACEUTICA LTDA</t>
  </si>
  <si>
    <t>ANDAR 7 LADO A COMPLEXO JKBLOCO B</t>
  </si>
  <si>
    <t>JAPAN COPY EQUIPAMENTOS PARA ESCRITORIOS LTDA</t>
  </si>
  <si>
    <t>LACERDA FRANCO</t>
  </si>
  <si>
    <t>JAPI S/A. INDUSTRIA E COMERCIO</t>
  </si>
  <si>
    <t>JAPI</t>
  </si>
  <si>
    <t>HUBERT SCHLEDORN</t>
  </si>
  <si>
    <t>ANEXO: 01;</t>
  </si>
  <si>
    <t>JARDIM DAS TULIPAS</t>
  </si>
  <si>
    <t>JATI-SERVICOS COMERCIO E IMPORTACAO DE ACOS LTDA</t>
  </si>
  <si>
    <t>ROBERTO KOCH</t>
  </si>
  <si>
    <t>JAVA POINT CONSULTORIA EM PROCESSAMENTO DE DADOS LTDA</t>
  </si>
  <si>
    <t xml:space="preserve"> BLC 004 LOJ 0112</t>
  </si>
  <si>
    <t>JB SISTEMA DE INFORMACAO LTDA</t>
  </si>
  <si>
    <t>DIGISEND</t>
  </si>
  <si>
    <t>LOPES DE CARVALHO</t>
  </si>
  <si>
    <t xml:space="preserve"> LOJA 108 PRIME CENTER</t>
  </si>
  <si>
    <t>MADALENA</t>
  </si>
  <si>
    <t>JBI COMERCIAL DE PLASTICOS REFLETIVOS LTDA</t>
  </si>
  <si>
    <t>CONJ 134</t>
  </si>
  <si>
    <t>JBS S/A</t>
  </si>
  <si>
    <t>FRIBOI</t>
  </si>
  <si>
    <t>PA 150</t>
  </si>
  <si>
    <t>KM 8 1</t>
  </si>
  <si>
    <t>NOVA MARABA</t>
  </si>
  <si>
    <t>JC ENGENHARIA E INVESTIMENTOS E NEGOCIOS LTDA</t>
  </si>
  <si>
    <t>ENGENHARIA E MONTADORA DE TRATORES YTO DO BRASIL</t>
  </si>
  <si>
    <t>BR 232</t>
  </si>
  <si>
    <t>00L23</t>
  </si>
  <si>
    <t>JOAO DE DEUS</t>
  </si>
  <si>
    <t>CARUARU</t>
  </si>
  <si>
    <t>JCB DO BRASIL LTDA</t>
  </si>
  <si>
    <t>JOSEPH CYRIL BAMFORD</t>
  </si>
  <si>
    <t>JCM SERVICOS AR LTDA</t>
  </si>
  <si>
    <t>JCM SERVICOS AR</t>
  </si>
  <si>
    <t>ORLANDO ALVES OLIVEIRA</t>
  </si>
  <si>
    <t>JARDIM DOS AUTONOMISTAS</t>
  </si>
  <si>
    <t>JET CONTRATACOES INTELIGENTES LTDA</t>
  </si>
  <si>
    <t>SISTEMA JET</t>
  </si>
  <si>
    <t>DO CARMO</t>
  </si>
  <si>
    <t xml:space="preserve"> SAL 1601</t>
  </si>
  <si>
    <t>JET HOUSE COMERCIO E INFORMATICA LTDA</t>
  </si>
  <si>
    <t>JETTP</t>
  </si>
  <si>
    <t>ERNESTO ROTHSCHILD</t>
  </si>
  <si>
    <t>VILA CAMPO GRANDE</t>
  </si>
  <si>
    <t>JFL EQUIPAMENTOS ELETRONICOS INDUSTRIA E COMERCIO LTDA</t>
  </si>
  <si>
    <t>JOAO MOTA</t>
  </si>
  <si>
    <t>JARDIM DAS PALMEIRAS</t>
  </si>
  <si>
    <t>JG VIEIRA AR CONDICIONADO, REFRIGERACAO E MANUTENCAO LTDA</t>
  </si>
  <si>
    <t>CGELAR AR CONDICIONADO E MANUTENCAO ELETRICA</t>
  </si>
  <si>
    <t>GIUSEPPE ADAMI</t>
  </si>
  <si>
    <t>VILA DO CASTELO</t>
  </si>
  <si>
    <t>JGB EQUIPAMENTOS DE SEGURANCA LTDA.</t>
  </si>
  <si>
    <t>JGB</t>
  </si>
  <si>
    <t>LINDO ARES</t>
  </si>
  <si>
    <t>JGP CONSULTORIA E PARTICIPACOES LTDA</t>
  </si>
  <si>
    <t>CHACARA STO. ANTONIO</t>
  </si>
  <si>
    <t>JJ PRIORATO LTDA</t>
  </si>
  <si>
    <t>JJ PRIORATO ENGENHARIA</t>
  </si>
  <si>
    <t>VILA YOSHIDA</t>
  </si>
  <si>
    <t>JL FILTROS LTDA</t>
  </si>
  <si>
    <t>***</t>
  </si>
  <si>
    <t>GALPAO1021 B</t>
  </si>
  <si>
    <t>JM EXTINTORES CACADOR LTDA</t>
  </si>
  <si>
    <t>PREVENCHAMA</t>
  </si>
  <si>
    <t>MATURINO BORGES DA LUZ</t>
  </si>
  <si>
    <t>BRCAO</t>
  </si>
  <si>
    <t>CACADOR</t>
  </si>
  <si>
    <t>JOAOMED COMERCIO DE MATERIAIS CIRURGICOS S/A</t>
  </si>
  <si>
    <t>WILSON LOIS KOEHLER JUNIOR</t>
  </si>
  <si>
    <t>XAXIM</t>
  </si>
  <si>
    <t>JOBE LUV INDUSTRIA E COMERCIO LTDA</t>
  </si>
  <si>
    <t>1 - IM</t>
  </si>
  <si>
    <t>PARQUE INDUSTRIAL MARGARETE</t>
  </si>
  <si>
    <t>JOHN DEERE BRASIL LTDA</t>
  </si>
  <si>
    <t>JOHN DEERE</t>
  </si>
  <si>
    <t>ENG.JORGE A.D.LOGEMANN</t>
  </si>
  <si>
    <t>HORIZONTINA</t>
  </si>
  <si>
    <t>JOHNSON CONTROLS BE DO BRASIL LTDA.</t>
  </si>
  <si>
    <t>JORGE MELLO</t>
  </si>
  <si>
    <t>PRODUTOS MARAVILHOSO</t>
  </si>
  <si>
    <t>Comércio atacadista de cereais e leguminosas beneficiados</t>
  </si>
  <si>
    <t>MIRAGUAIA</t>
  </si>
  <si>
    <t>SEGUNDO</t>
  </si>
  <si>
    <t>SANTO ANTONIO DA PATRULHA</t>
  </si>
  <si>
    <t>JOY CONSTRUCAO CIVIL LTDA</t>
  </si>
  <si>
    <t>AUGUSTO TEIXEIRA</t>
  </si>
  <si>
    <t>JOYSON SAFETY SYSTEMS BRASIL LTDA</t>
  </si>
  <si>
    <t>D GABRIEL P BUENO COUTO</t>
  </si>
  <si>
    <t>KM 66</t>
  </si>
  <si>
    <t>MEDEIROS</t>
  </si>
  <si>
    <t>JPRINT PRESTACAO DE SERVICOS E COMERCIO DE MATERIAIS PARA ESCRITORIO LTDA</t>
  </si>
  <si>
    <t>MINISTRO RAPHAEL DE BARROS MONTEIRO</t>
  </si>
  <si>
    <t>JARDIM DOS CAMARGOS</t>
  </si>
  <si>
    <t>JPS SEGURANCA ELETRONICA E TELECOMUNICACOES LTDA</t>
  </si>
  <si>
    <t>IP SECURITY SYSTEM</t>
  </si>
  <si>
    <t>SALA 105 E 311</t>
  </si>
  <si>
    <t>JPSR ENGENHARIA LTDA</t>
  </si>
  <si>
    <t>RSP ENGENHARIA</t>
  </si>
  <si>
    <t>CEL JOSE EUSEBIO</t>
  </si>
  <si>
    <t>CASA 13</t>
  </si>
  <si>
    <t>HIGIENOPOLIS</t>
  </si>
  <si>
    <t>JRQ MASTER CONSULTORES ASSOCIADOS LIMITADA</t>
  </si>
  <si>
    <t>JRQ</t>
  </si>
  <si>
    <t>TEIXEIRA DE GOUVEA</t>
  </si>
  <si>
    <t>MACAE</t>
  </si>
  <si>
    <t>JRV HOSPITALAR COMERCIO E REPRESENTACAO LTDA</t>
  </si>
  <si>
    <t>SANTOS MEDICA</t>
  </si>
  <si>
    <t>APRIGIO AMORIM</t>
  </si>
  <si>
    <t>LOJA 01</t>
  </si>
  <si>
    <t>BEZERROS</t>
  </si>
  <si>
    <t>JSL S.A.</t>
  </si>
  <si>
    <t>JSL</t>
  </si>
  <si>
    <t>DOUTOR RENATO PAES DE BARROS</t>
  </si>
  <si>
    <t>JTEKT BRASIL LTDA.</t>
  </si>
  <si>
    <t>VOLKSWAGEN AUDI</t>
  </si>
  <si>
    <t>CAMPO LARGO DA ROSEIRA</t>
  </si>
  <si>
    <t>JULLYARA MARTINS FERNANDES DE JESUS</t>
  </si>
  <si>
    <t>J G M LOCACOES</t>
  </si>
  <si>
    <t>ROUXINOL</t>
  </si>
  <si>
    <t>JARDIM DAS GAIVOTAS</t>
  </si>
  <si>
    <t>CARAGUATATUBA</t>
  </si>
  <si>
    <t>JUMIL-JUSTINO DE MORAIS, IRMAOS S/A</t>
  </si>
  <si>
    <t>JUMIL</t>
  </si>
  <si>
    <t>MOACIR DIAS DE MORAIS</t>
  </si>
  <si>
    <t>RIACHUELO</t>
  </si>
  <si>
    <t>BATATAIS</t>
  </si>
  <si>
    <t>JUNGLE CONSULTORIA E SOLUCOES SOCIAIS LTDA</t>
  </si>
  <si>
    <t>JUNGLE SOCIAL</t>
  </si>
  <si>
    <t>PETER HENRY ROLFS</t>
  </si>
  <si>
    <t>LOJA 20</t>
  </si>
  <si>
    <t>VICOSA</t>
  </si>
  <si>
    <t>JUNTABOR IND COM ARTEFATOS BORRACHA E PLASTICO LTDA</t>
  </si>
  <si>
    <t>TOLEDO LOPES</t>
  </si>
  <si>
    <t>JD TRIANA</t>
  </si>
  <si>
    <t>JUPITER DISTRIBUIDORA DE PRODUTOS E EQUIPAMENTOS HOSPITALARES LTDA</t>
  </si>
  <si>
    <t>SALA 801 E 820</t>
  </si>
  <si>
    <t>JUSCASH ADMINISTRACAO DE PAGAMENTOS E RECEBIMENTOS S.A.</t>
  </si>
  <si>
    <t>JUSCASH</t>
  </si>
  <si>
    <t>FARRAPOS</t>
  </si>
  <si>
    <t>JUSCREDI SECURITIZADORA S/A</t>
  </si>
  <si>
    <t>JUSCREDI</t>
  </si>
  <si>
    <t>SHIS QI 11 CJ 10 LT 7</t>
  </si>
  <si>
    <t>CASA 07</t>
  </si>
  <si>
    <t>LAGO SUL</t>
  </si>
  <si>
    <t>JUSCREDIT TECNOLOGIA E SERVICOS S.A.</t>
  </si>
  <si>
    <t>JUSCREDIT</t>
  </si>
  <si>
    <t>CORES DA MATA</t>
  </si>
  <si>
    <t>JUST TEC FUNDO DE INVESTIMENTO EM DIREITOS CREDITORIOS</t>
  </si>
  <si>
    <t xml:space="preserve"> SALA 913 PARTE</t>
  </si>
  <si>
    <t>JVR SISTEMAS DE SEGURANCA ELETRONICA LTDA</t>
  </si>
  <si>
    <t>CORONEL DIOGO</t>
  </si>
  <si>
    <t>ANDAR ALTOS</t>
  </si>
  <si>
    <t>JW CONSTRUCOES E SERVICOS LTDA</t>
  </si>
  <si>
    <t>ANCELMO CONSTRUCOES E SERVICOS</t>
  </si>
  <si>
    <t>Obras de alvenaria</t>
  </si>
  <si>
    <t>K O MAQUINAS AGRICOLAS LTDA</t>
  </si>
  <si>
    <t>PULVERIZADORES K O</t>
  </si>
  <si>
    <t>...</t>
  </si>
  <si>
    <t>JARDIM KENNEDY</t>
  </si>
  <si>
    <t>K.S CONTROLE DE PRAGAS E SOLUCAO AMBIENTAL LTDA</t>
  </si>
  <si>
    <t>K.S SOLUCAO AMBIENTAL</t>
  </si>
  <si>
    <t>RAZAO E LEALDADE LOT JD LUCIANA</t>
  </si>
  <si>
    <t>K'ZART COMERCIO LTDA</t>
  </si>
  <si>
    <t>K'ZART</t>
  </si>
  <si>
    <t>MONSENHOR ANACLETO</t>
  </si>
  <si>
    <t>KADANT SOUTH AMERICA LTDA</t>
  </si>
  <si>
    <t>BAIRRO JOAPIRANGA</t>
  </si>
  <si>
    <t>KADOX IRRIGACAO DISTRIBUIDORA IMPORTACAO E EXPORTACAO LTDA</t>
  </si>
  <si>
    <t>KADOX</t>
  </si>
  <si>
    <t>CYRO CORREIA PEREIRA</t>
  </si>
  <si>
    <t>BRCAO 01-B</t>
  </si>
  <si>
    <t>KAESER COMPRESSORES DO BRASIL LTDA</t>
  </si>
  <si>
    <t>AGOSTINO TOGNERI</t>
  </si>
  <si>
    <t>JURUBATUBA</t>
  </si>
  <si>
    <t>KAIABY CONSTRUCOES EMPRENDIMENTOS E INCORPORACAO LTDA</t>
  </si>
  <si>
    <t>CONSTRUTORA KAIABY</t>
  </si>
  <si>
    <t>DOIS (ST CENTRO-SUL)</t>
  </si>
  <si>
    <t>MORADA DO OURO</t>
  </si>
  <si>
    <t>KALIPSO EQUIPAMENTOS INDIVIDUAIS DE PROTECAO LTDA</t>
  </si>
  <si>
    <t>KM 937 GALPAO400</t>
  </si>
  <si>
    <t>DISTRITO INDUSTRIAL JARDIM</t>
  </si>
  <si>
    <t>EXTREMA</t>
  </si>
  <si>
    <t>KALUNGA SA</t>
  </si>
  <si>
    <t>DA MOOCA</t>
  </si>
  <si>
    <t>ANDAR 4 E 5</t>
  </si>
  <si>
    <t>KAMAR - PRODUTOS ALIMENTICIOS IMPORTACAO E EXPORTACAO LTDA</t>
  </si>
  <si>
    <t>KAMAR ALIMENTOS</t>
  </si>
  <si>
    <t>Fabricação de especiarias, molhos, temperos e condimentos</t>
  </si>
  <si>
    <t>PADRE SERAFIM LEITE</t>
  </si>
  <si>
    <t>JARDIM BELEM</t>
  </si>
  <si>
    <t>KAMPMANN DO BRASIL LTDA</t>
  </si>
  <si>
    <t>ORDEP SAW BLADE</t>
  </si>
  <si>
    <t>Manutenção e reparação de máquinas-ferramenta</t>
  </si>
  <si>
    <t>CABECEIRAS</t>
  </si>
  <si>
    <t>KAMUR - PRESTADORA DE SERVICOS TERCEIRIZADOS LTDA</t>
  </si>
  <si>
    <t>KAMUR</t>
  </si>
  <si>
    <t>PREFEITO MOACYR FREIRE</t>
  </si>
  <si>
    <t>GRANJA DANIEL</t>
  </si>
  <si>
    <t>KANAFLEX INDUSTRIA E COMERCIO DE PLASTICOS LTDA</t>
  </si>
  <si>
    <t>JOSE SEMIAO RODRIGUES AGOSTINHO</t>
  </si>
  <si>
    <t>QUINHAU</t>
  </si>
  <si>
    <t>KAPTIVA CONSULTORIA, TREINAMENTO E DESENVOLVIMENTO LTDA</t>
  </si>
  <si>
    <t>KAPTIVA</t>
  </si>
  <si>
    <t>BERNARDINO DE CAMPOS</t>
  </si>
  <si>
    <t>CONJ 63</t>
  </si>
  <si>
    <t>KARCHER INDUSTRIA E COMERCIO LIMITADA</t>
  </si>
  <si>
    <t>MIGUEL MELHADO CAMPOS</t>
  </si>
  <si>
    <t>KARL STORZ ENDOSCOPIA BRASIL LTDA</t>
  </si>
  <si>
    <t>KARL STORZ ENDOSCOPIA BRASIL</t>
  </si>
  <si>
    <t>ANDAR 12 CONJ 1201 1202 1203 1204 EDIF DIAMOND TOWER</t>
  </si>
  <si>
    <t>KASTRO PARK ADMINISTRACAO DE ESTACIONAMENTO E GARAGENS LTDA.</t>
  </si>
  <si>
    <t>SISTEMA KASTRO-PARK</t>
  </si>
  <si>
    <t>RODRIGO PAGANINO</t>
  </si>
  <si>
    <t>CONJ 01</t>
  </si>
  <si>
    <t>VILA MARARI</t>
  </si>
  <si>
    <t>KATAL BIOTECNOLOGICA INDUSTRIA E COMERCIO LTDA</t>
  </si>
  <si>
    <t>LEIRIA</t>
  </si>
  <si>
    <t>KAVIKA LED MATERIAL ELETRICO E ILUMINACAO LTDA</t>
  </si>
  <si>
    <t>KAVIKA LED</t>
  </si>
  <si>
    <t>CIDADE CLARET</t>
  </si>
  <si>
    <t>KAWASAKI MOTORES DO BRASIL LTDA</t>
  </si>
  <si>
    <t>ARRAIAS</t>
  </si>
  <si>
    <t>GALPAO1 2 3 E 4</t>
  </si>
  <si>
    <t>COLONIA ANTONIO ALEIXO</t>
  </si>
  <si>
    <t>KD COMERCIO ATACADISTA DE MAQUINAS E EQUIPAMENTOS LTDA</t>
  </si>
  <si>
    <t>KD ATACADISTA</t>
  </si>
  <si>
    <t>KEEPCARE EQUIPAMENTOS E PRODUTOS MEDICOS LTDA</t>
  </si>
  <si>
    <t>KEEPCARE</t>
  </si>
  <si>
    <t>KEMIA TRATAMENTO DE EFLUENTES LTDA</t>
  </si>
  <si>
    <t>FREI BRUNO</t>
  </si>
  <si>
    <t>LETRA E</t>
  </si>
  <si>
    <t>ENGENHO BRAUN</t>
  </si>
  <si>
    <t>KEMIRA CHEMICALS BRASIL LTDA.</t>
  </si>
  <si>
    <t>KEMIRA CHEMICALS</t>
  </si>
  <si>
    <t>CONCEICAO DE MONTE ALEGRE</t>
  </si>
  <si>
    <t>KENVUE LTDA.</t>
  </si>
  <si>
    <t>KM 154</t>
  </si>
  <si>
    <t>KEVENOLL DO BRASIL PRODUTOS MEDICOS HOSPITALARES LTDA</t>
  </si>
  <si>
    <t>KEVENOLL DO BRASIL</t>
  </si>
  <si>
    <t>ANTONIO HEIL</t>
  </si>
  <si>
    <t xml:space="preserve"> KM 01 ARMZ G10 MODULO B E C</t>
  </si>
  <si>
    <t>KEYSIGHT TECHNOLOGIES MEDICAO BRASIL LTDA</t>
  </si>
  <si>
    <t>KEYSIGHT TECHNOLOGIES</t>
  </si>
  <si>
    <t>DR. MARCOS PENTEADO DE ULHOA RODRIGUES</t>
  </si>
  <si>
    <t>ANDAR 6 SALA A EDIF OFFICE PARK BLOCO JACARANDA</t>
  </si>
  <si>
    <t>KHALAF REPRESENTACAO COMERCIAL LTDA</t>
  </si>
  <si>
    <t>DO ACRE</t>
  </si>
  <si>
    <t>APT: 12;</t>
  </si>
  <si>
    <t>KHRONOS INDUSTRIA COMERCIO E SERVICOS EM ELETRONICA LTDA</t>
  </si>
  <si>
    <t>KHRONOS</t>
  </si>
  <si>
    <t>FULVIO ADUCCI</t>
  </si>
  <si>
    <t>ESTREITO</t>
  </si>
  <si>
    <t>KI FRUTAS HORTIFRUTI EIRELI</t>
  </si>
  <si>
    <t>MARIA HELENA</t>
  </si>
  <si>
    <t xml:space="preserve"> RUA NINA S/N</t>
  </si>
  <si>
    <t>VILA ENGENHO NOVO</t>
  </si>
  <si>
    <t>KIAN IMPORTACAO LTDA</t>
  </si>
  <si>
    <t>DA TRINDADE</t>
  </si>
  <si>
    <t>KIBELLO ALIMENTOS NATURAIS LTDA</t>
  </si>
  <si>
    <t>KIBELLO ALIMENTOS</t>
  </si>
  <si>
    <t>COMENDADOR RODOLFO CRESPI</t>
  </si>
  <si>
    <t>APT 62</t>
  </si>
  <si>
    <t>KIM SERVICOS TERCEIRIZADOS LTDA</t>
  </si>
  <si>
    <t>RODO RAFA TRANSPOORTES E SERVICOS</t>
  </si>
  <si>
    <t>BRODOWSKI</t>
  </si>
  <si>
    <t>KIMBERLY -CLARK BRASIL INDUSTRIA E COMERCIO DE PRODUTOS DE HIGIENE LTDA</t>
  </si>
  <si>
    <t>ANDAR 8 COND THERAONE SETOR B TORRE 3</t>
  </si>
  <si>
    <t>KIMPEL COMERCIO SERVICOS E EVENTOS LTDA</t>
  </si>
  <si>
    <t>PROFESSOR MANOEL ACELINO DE MELLO</t>
  </si>
  <si>
    <t>JARDIM ARMENIA</t>
  </si>
  <si>
    <t>KLABIN S.A.</t>
  </si>
  <si>
    <t>ANDAR 12-14-15-16 CONJ 1602</t>
  </si>
  <si>
    <t>KLEBER VASCONCELOS AMEDI</t>
  </si>
  <si>
    <t>KSV SANEAMENTO</t>
  </si>
  <si>
    <t>JOAO EVANGELISTA DO AMARAL</t>
  </si>
  <si>
    <t>JARDIM BOA ESPERANCA</t>
  </si>
  <si>
    <t>KLS MARTIN DO BRASIL EQUIPAMENTOS MEDICOS LTDA.</t>
  </si>
  <si>
    <t>KLS MARTIN DO BRASIL</t>
  </si>
  <si>
    <t>PEDROSO ALVARENGA</t>
  </si>
  <si>
    <t>SALA: 203;</t>
  </si>
  <si>
    <t>KMR BRASIL LTDA</t>
  </si>
  <si>
    <t>KMR BRASIL</t>
  </si>
  <si>
    <t>DEPUTADO ANTONIO HEIL</t>
  </si>
  <si>
    <t>KM 01 ARMZ G14 MODULO 01 E 02 MZNINO</t>
  </si>
  <si>
    <t>KNORR BREMSE SISTEMAS P VEICULOS COMERCIAIS BRASIL LTDA</t>
  </si>
  <si>
    <t>CYRINEU TONOLLI</t>
  </si>
  <si>
    <t>NOVA ERA</t>
  </si>
  <si>
    <t>KNORR BREMSE SISTEMAS PARA VEICULOS FERROVIARIOS LTDA.</t>
  </si>
  <si>
    <t>Fabricação de peças e acessórios para veículos ferroviários</t>
  </si>
  <si>
    <t>BLOCO B</t>
  </si>
  <si>
    <t>KOCH INDUSTRIA E COMERCIO DE EQUIPAMENTOS DE PROTECAO INDIVIDUAL LTDA</t>
  </si>
  <si>
    <t>KOCH EPIS</t>
  </si>
  <si>
    <t>ADOLFO OTTO KOCH</t>
  </si>
  <si>
    <t>DAS ROSAS</t>
  </si>
  <si>
    <t>KOHLS INDUSTRIA DE MAQUINAS LTDA</t>
  </si>
  <si>
    <t>BERTHA WEEGE</t>
  </si>
  <si>
    <t>JARAGUA 84</t>
  </si>
  <si>
    <t>KOLPLAST CI LTDA</t>
  </si>
  <si>
    <t>KOLPLAST</t>
  </si>
  <si>
    <t>BENEDITO DE SOUZA</t>
  </si>
  <si>
    <t>MINA</t>
  </si>
  <si>
    <t>KOMATSU DO BRASIL LTDA</t>
  </si>
  <si>
    <t>KOMATSU</t>
  </si>
  <si>
    <t>CXPST 290</t>
  </si>
  <si>
    <t>KONICA MINOLTA HEALTHCARE DO BRASIL INDUSTRIA DE EQUIPAMENTOS MEDICOS LTDA</t>
  </si>
  <si>
    <t>STAR</t>
  </si>
  <si>
    <t>JARDIM CANADA</t>
  </si>
  <si>
    <t>KORA SAUDE PARTICIPACOES S.A</t>
  </si>
  <si>
    <t>DESEMBARGADOR SANTOS NEVES</t>
  </si>
  <si>
    <t>SANTA LUCIA</t>
  </si>
  <si>
    <t>KPMG CONSULTORIA LTDA</t>
  </si>
  <si>
    <t>CONJ TERREO AO 801 PARTE</t>
  </si>
  <si>
    <t>KPT TUBOS E CONEXOES LTDA</t>
  </si>
  <si>
    <t>MALAGA</t>
  </si>
  <si>
    <t>JARDIM BERTONI</t>
  </si>
  <si>
    <t>KROLL BRASIL LTDA.</t>
  </si>
  <si>
    <t>ANDAR 5 CONJ 52</t>
  </si>
  <si>
    <t>KROMBERG &amp; SCHUBERT DO BRASIL LTDA.</t>
  </si>
  <si>
    <t>KROMBERG &amp; SCHUBERT</t>
  </si>
  <si>
    <t>APARECIDINHA</t>
  </si>
  <si>
    <t>KROMINOX ACOS E METAIS LTDA</t>
  </si>
  <si>
    <t>KRONA TUBOS E CONEXOES LTDA</t>
  </si>
  <si>
    <t>DOS SUICOS</t>
  </si>
  <si>
    <t>KRONOX FABRICACAO E COMERCIALIZACAO DE EQUIPAMENTOS PARA SANEAMENTO BASICO E AMBIENTAL LTDA</t>
  </si>
  <si>
    <t>KRONOX DO BRASIL</t>
  </si>
  <si>
    <t>FERRUCIO BERTAGLIA</t>
  </si>
  <si>
    <t>ANEXO UC 10</t>
  </si>
  <si>
    <t>JARDIM HELENA</t>
  </si>
  <si>
    <t>KSB BRASIL LTDA.</t>
  </si>
  <si>
    <t>KSB</t>
  </si>
  <si>
    <t>JOSE RABELLO PORTELLA</t>
  </si>
  <si>
    <t>JARDIM MARIA DE FATIMA</t>
  </si>
  <si>
    <t>KSS COMERCIO E INDUSTRIA DE EQUIPAMENTOS MEDICO LTDA</t>
  </si>
  <si>
    <t>KSTRONG SAFETY EQUIPAMENTOS PROFISSIONAIS LTDA</t>
  </si>
  <si>
    <t>KSTRONG SAFETY</t>
  </si>
  <si>
    <t>MIN SINESIO ROCHA</t>
  </si>
  <si>
    <t>JARDIM VERA CRUZ</t>
  </si>
  <si>
    <t>KTELI INDUSTRIA E COMERCIO LTDA</t>
  </si>
  <si>
    <t>MANOEL MONTEIRO DE MORAES</t>
  </si>
  <si>
    <t>JARDIM OLGA VERONI</t>
  </si>
  <si>
    <t>KTK INDUSTRIA, IMPORTACAO, EXPORTACAO E COMERCIO DE EQUIPAMENTOS HOSPITALARES LTDA EM RECUPERACAO JUDICIAL</t>
  </si>
  <si>
    <t>ANTONIO GOMES FERREIRA</t>
  </si>
  <si>
    <t>SAO JOAO CLIMACO</t>
  </si>
  <si>
    <t>KUHN DO BRASIL S/A</t>
  </si>
  <si>
    <t>KUHN DO BRASIL</t>
  </si>
  <si>
    <t>FRANCISCO DAL'NEGRO</t>
  </si>
  <si>
    <t>KUNBER INDUSTRIA E COMERCIO DE EQUIPAMENTOS LTDA</t>
  </si>
  <si>
    <t>KUNBER</t>
  </si>
  <si>
    <t>PRIMEIRO DE JANEIRO</t>
  </si>
  <si>
    <t>CONJ 1103 T2</t>
  </si>
  <si>
    <t>L C I PRODUTOS DIAGNOSTICOS LTDA</t>
  </si>
  <si>
    <t>L C I PRODUTOS DIAGNOSTICOS</t>
  </si>
  <si>
    <t>L E BOSCHEIRO &amp; CIA LTDA</t>
  </si>
  <si>
    <t>BOSCHEIRO TRANSPORTES, SERVICOS E LOCACOES</t>
  </si>
  <si>
    <t>MUNICIPAL BAIRRO MORRO ALTO, KM 12</t>
  </si>
  <si>
    <t>MORRO ALTO</t>
  </si>
  <si>
    <t>L F M ENGENHARIA DE OBRAS LTDA</t>
  </si>
  <si>
    <t>SALA 801 ANDAR 08 COND LINK E OFFICES ED</t>
  </si>
  <si>
    <t>L S PROJETOS E SERVICOS LTDA - EM RECUPERACAO JUDICIAL</t>
  </si>
  <si>
    <t>LS PROJETOS E SERVICOS ELETRICOS</t>
  </si>
  <si>
    <t>GANDHI</t>
  </si>
  <si>
    <t>NOVA PARNAMIRIM</t>
  </si>
  <si>
    <t>L. M. NEFFA COMERCIAL EXPORTADORA E IMPORTADORA LTDA</t>
  </si>
  <si>
    <t>Fabricação de alimentos e pratos prontos</t>
  </si>
  <si>
    <t>MARIA HELENA MURAD NEFFA</t>
  </si>
  <si>
    <t>QUADRA- INDUSTRIA</t>
  </si>
  <si>
    <t>CAMPO VERDE</t>
  </si>
  <si>
    <t>L.MACHADO ADVOGADOS ASSOCIADOS</t>
  </si>
  <si>
    <t>JOAO TURIN</t>
  </si>
  <si>
    <t>CONJ 201 ANDAR 02 COND BATEL EXECUTIVE CENT</t>
  </si>
  <si>
    <t>L.R. COMERCIO DE SUPRIMENTOS LTDA</t>
  </si>
  <si>
    <t>FUAD AZER</t>
  </si>
  <si>
    <t>NUCLEO HABITACIONAL CONEGO ARLINDO JOSE ZANOTTO</t>
  </si>
  <si>
    <t>ITAPUI</t>
  </si>
  <si>
    <t>LA VITA COMERCIO VAREJISTA E ATACADISTA DE PRODUTOS ALIMENTICIOS LTDA</t>
  </si>
  <si>
    <t>TEODORO CAMATA</t>
  </si>
  <si>
    <t>LOTE 07 E 08 QUADRA44</t>
  </si>
  <si>
    <t>DIVINO ESPIRITO SANTO</t>
  </si>
  <si>
    <t>LABINBRAZ COMERCIAL LTDA</t>
  </si>
  <si>
    <t>TERREOBLOCOS A, B</t>
  </si>
  <si>
    <t>LABNORTE CIRURGICA E DIAGNOSTICA IMPORTACAO E EXPORTACAO LTDA</t>
  </si>
  <si>
    <t>LABNORTE CIRURGICA E DIAGNOSTICA</t>
  </si>
  <si>
    <t>DO AVIARIO</t>
  </si>
  <si>
    <t>AVIARIO</t>
  </si>
  <si>
    <t>LABOR HEALTH SAUDE E DIAGNOSTICO LTDA</t>
  </si>
  <si>
    <t>MAEST CARDIM</t>
  </si>
  <si>
    <t>SALA 805</t>
  </si>
  <si>
    <t>LABOR IMPORT COMERCIAL IMPORTADORA EXPORTADORA LTDA</t>
  </si>
  <si>
    <t>LABOR - HEALTH SUPPLY</t>
  </si>
  <si>
    <t>SALEM BECHARA</t>
  </si>
  <si>
    <t>SALA 1007A1013 1407A1413</t>
  </si>
  <si>
    <t>LABORATORIO BIOMEDIC LTDA.</t>
  </si>
  <si>
    <t>BIOMEDIC</t>
  </si>
  <si>
    <t>PATRIMONIO VELHO</t>
  </si>
  <si>
    <t>VOTUPORANGA</t>
  </si>
  <si>
    <t>LABORATORIO CATARINENSE LTDA</t>
  </si>
  <si>
    <t>DR JOAO COLIN</t>
  </si>
  <si>
    <t>AMERICA</t>
  </si>
  <si>
    <t>LABORATORIO PADRAO S.A.</t>
  </si>
  <si>
    <t>PADRAO LABORATORIO CLINICO</t>
  </si>
  <si>
    <t>QD F-18 LT 50/52</t>
  </si>
  <si>
    <t>LABORATORIO SABIN DE ANALISES CLINICAS S.A.</t>
  </si>
  <si>
    <t>SABIN MEDICINA DIAGNOSTICA</t>
  </si>
  <si>
    <t>SAA QUADRA 3</t>
  </si>
  <si>
    <t>LABORATORIOS B BRAUN SA</t>
  </si>
  <si>
    <t>LABORATORIOS B. BRAUN S.A.</t>
  </si>
  <si>
    <t>EDGAR MARCHIORI</t>
  </si>
  <si>
    <t>KM 04 PORTAO 02</t>
  </si>
  <si>
    <t>LABORATORIOS FERRING LTDA</t>
  </si>
  <si>
    <t>EDIF THERA CORP TORRE 3 SETOR B ANDAR 12 ESCRITORIO 122</t>
  </si>
  <si>
    <t>LABORATORIOS SERVIER DO BRASIL LTDA</t>
  </si>
  <si>
    <t>CURICICA</t>
  </si>
  <si>
    <t>LABORGLAS IND E COM DE MATERIAIS PARA LABORATORIO LTDA</t>
  </si>
  <si>
    <t>CORONEL ALBINO BAIRAO</t>
  </si>
  <si>
    <t>ANEXO 185 E 203</t>
  </si>
  <si>
    <t>LABORSYS PRODUTOS DIAGNOSTICOS E HOSPITALARES LTDA.</t>
  </si>
  <si>
    <t>ALMIRANTE ALEXANDRINO</t>
  </si>
  <si>
    <t>AFONSO PENA</t>
  </si>
  <si>
    <t>LABSYNTH PRODUTOS PARA LABORATORIOS LTDA</t>
  </si>
  <si>
    <t>DOUTOR ULYSSES GUIMARAES</t>
  </si>
  <si>
    <t>LABUTAR DISTRIBUIDORA E PRESTADORA DE SERVICO LTDA</t>
  </si>
  <si>
    <t>LABUTAR DISTRIBUIDORA</t>
  </si>
  <si>
    <t>SANTA MARTA</t>
  </si>
  <si>
    <t xml:space="preserve"> LT 1O QD 6 JT DP DO NR 16</t>
  </si>
  <si>
    <t>REALENGO</t>
  </si>
  <si>
    <t>LABWARE BRASIL SERVICOS DE INFORMATICA LTDA</t>
  </si>
  <si>
    <t>ARMINDA</t>
  </si>
  <si>
    <t>LACERDA SISTEMAS DE ENERGIA LTDA.</t>
  </si>
  <si>
    <t>GEORG REXROTH (VL PE ANCHIETA)</t>
  </si>
  <si>
    <t>BLOCO A CONJ 02</t>
  </si>
  <si>
    <t>LAFORMA COMERCIO E SERVICO LTDA</t>
  </si>
  <si>
    <t>DR ELIAS LUIS DE OLIVEIRA</t>
  </si>
  <si>
    <t>JARDIM ESMERALDA</t>
  </si>
  <si>
    <t>LAIBO MEDICAL PRODUTOS MEDICOS E HOSPITALARES LTDA</t>
  </si>
  <si>
    <t>OSWALDO COCHRANE</t>
  </si>
  <si>
    <t>SALA 41</t>
  </si>
  <si>
    <t>EMBARE</t>
  </si>
  <si>
    <t>Lalan do Brasil Importacao e Comercio de Equipamentos de Protecao Ltda</t>
  </si>
  <si>
    <t>BOX 4 A</t>
  </si>
  <si>
    <t>AGUAS BELAS</t>
  </si>
  <si>
    <t>LAMIEX DISTRIBUIDORA DE PLASTICOS LTDA</t>
  </si>
  <si>
    <t>APUCARANA</t>
  </si>
  <si>
    <t>APT SUBDIV.LT. 62</t>
  </si>
  <si>
    <t>LAN LOGISTICA INTERNACIONAL LTDA.</t>
  </si>
  <si>
    <t>LAN LOGISTICA</t>
  </si>
  <si>
    <t>CONJ 301</t>
  </si>
  <si>
    <t>LANCO LTDA</t>
  </si>
  <si>
    <t>JOSE SARTORELLI ROD EST. SP115/280 KM 3,3</t>
  </si>
  <si>
    <t>LANDINI TRATORES DO BRASIL LTDA.</t>
  </si>
  <si>
    <t>LANDINI BRASIL</t>
  </si>
  <si>
    <t>CRISTAL</t>
  </si>
  <si>
    <t>GALPAO;</t>
  </si>
  <si>
    <t>JARDIM RIACHO DAS PEDRAS</t>
  </si>
  <si>
    <t>LANFRANCO AMSUD COMERCIO E IMPORTACAO DE FIXADORES LTDA</t>
  </si>
  <si>
    <t>SAO FRANCISCO DO SUL</t>
  </si>
  <si>
    <t>LANIX ENGENHARIA CONSULTIVA LTDA</t>
  </si>
  <si>
    <t>LANIX ENGENHARIA</t>
  </si>
  <si>
    <t>RIO GRANDE DO NORTE</t>
  </si>
  <si>
    <t>SALA 51</t>
  </si>
  <si>
    <t>LANLINK INFORMATICA LTDA</t>
  </si>
  <si>
    <t>BORIS</t>
  </si>
  <si>
    <t>CONJUNTO 01</t>
  </si>
  <si>
    <t>LAO INDUSTRIA LTDA</t>
  </si>
  <si>
    <t>DR.MAURO LINDENBERG MONTEIRO</t>
  </si>
  <si>
    <t>PQ.INDL.ANHANGUERA</t>
  </si>
  <si>
    <t>LAPAPEL COMERCIO DE PAPEIS LTDA</t>
  </si>
  <si>
    <t>ULPIANO</t>
  </si>
  <si>
    <t>ATE 38</t>
  </si>
  <si>
    <t>LARISMED - INDUSTRIA E COMERCIO DE MATERIAIS MEDICO E HOSPITALAR LTDA</t>
  </si>
  <si>
    <t>ARAPACU DE BICO RETO</t>
  </si>
  <si>
    <t>PARQUE DAS OFICINAS</t>
  </si>
  <si>
    <t>LASS MAQUINAS E EQUIPAMENTOS LTDA</t>
  </si>
  <si>
    <t>LUIS FLORIAN</t>
  </si>
  <si>
    <t>TIETE</t>
  </si>
  <si>
    <t>LAUCY - MANUTENCAO DE ESTRUTURAS METALICAS LTDA</t>
  </si>
  <si>
    <t>LAUCY - ESTRUTURAS METALICAS</t>
  </si>
  <si>
    <t>SUBSL;</t>
  </si>
  <si>
    <t>LAVI INDUSTRIA E COMERCIO LTDA</t>
  </si>
  <si>
    <t>Atividade Econônica não informada</t>
  </si>
  <si>
    <t>PAULO E. XAV. DE TOLEDO</t>
  </si>
  <si>
    <t>BAIRRO SAO LUIZ</t>
  </si>
  <si>
    <t>Lazaro e Les Advogados</t>
  </si>
  <si>
    <t>BLES ADVOCACIA</t>
  </si>
  <si>
    <t>CORONEL QUIRINO</t>
  </si>
  <si>
    <t>LC ADMINISTRACAO DE RESTAURANTES LTDA</t>
  </si>
  <si>
    <t>UNICA GOURMET</t>
  </si>
  <si>
    <t>LCM CONSTRUCAO E COMERCIO S.A</t>
  </si>
  <si>
    <t>***********</t>
  </si>
  <si>
    <t>POLOS</t>
  </si>
  <si>
    <t>LD DO BRASIL SUPRIMENTOS E SERVICOS DE INFORMATICA LTDA</t>
  </si>
  <si>
    <t>JET SERVICE</t>
  </si>
  <si>
    <t>PEROLA DO OESTE</t>
  </si>
  <si>
    <t>JARDIM ANA ESTELA</t>
  </si>
  <si>
    <t>LEALMEDICAL COMERCIO DE PRODUTOS ORTOPEDICOS LTDA</t>
  </si>
  <si>
    <t>LEALMED</t>
  </si>
  <si>
    <t>SALA COML502 503 E 1302 ANDAR 5 E 13 EDIF TREND TOWER HOME OFF</t>
  </si>
  <si>
    <t>LEAO ALIMENTOS E BEBIDAS LTDA.</t>
  </si>
  <si>
    <t>LEAO</t>
  </si>
  <si>
    <t>FRANCISCO FERREIRA DA CRUZ</t>
  </si>
  <si>
    <t>EUCALIPTOS</t>
  </si>
  <si>
    <t>LEEDSAY S/A</t>
  </si>
  <si>
    <t>JOSE FERREIRA LEAL</t>
  </si>
  <si>
    <t>BRCAO 110 - 112 E 120</t>
  </si>
  <si>
    <t>MONTE APRAZIVEL</t>
  </si>
  <si>
    <t>LEGACY LIFE MEDICAL LTDA</t>
  </si>
  <si>
    <t>LEGACY LIFE</t>
  </si>
  <si>
    <t>Aluguel de material médico</t>
  </si>
  <si>
    <t>TREZENTOS E CINQUENTA E DOIS PAA 10448/ PAL 40481</t>
  </si>
  <si>
    <t xml:space="preserve"> LOJ 259</t>
  </si>
  <si>
    <t>LEICA DO BRASIL IMPORTACAO E COMERCIO LTDA.</t>
  </si>
  <si>
    <t>ANDAR 5 TORRE B3 CONJ 54 SALA 2</t>
  </si>
  <si>
    <t>LEISTUNG EQUIPAMENTOS LTDA.</t>
  </si>
  <si>
    <t>LEISTUNG ENGENHARIA</t>
  </si>
  <si>
    <t>JOAO ROPELATTO</t>
  </si>
  <si>
    <t>NEREU RAMOS</t>
  </si>
  <si>
    <t>LEISTUNG INDUSTRIA COMERCIO E SERVICOS DE SISTEMAS DE ENERGIA LTDA</t>
  </si>
  <si>
    <t>LEISTUNG</t>
  </si>
  <si>
    <t>LEITZ FERRAMENTAS PARA MADEIRA LTDA</t>
  </si>
  <si>
    <t>LEITZ</t>
  </si>
  <si>
    <t>ANGICO</t>
  </si>
  <si>
    <t>SAO SEBASTIAO DO CAI</t>
  </si>
  <si>
    <t>LEMAM CONSTRUCOES E COMERCIO S.A.</t>
  </si>
  <si>
    <t>APENINOS</t>
  </si>
  <si>
    <t>CONJ 302</t>
  </si>
  <si>
    <t>ACLIMACAO</t>
  </si>
  <si>
    <t>LENCIONI GRAFICA E ENCADERNADORA LTDA</t>
  </si>
  <si>
    <t>LENOVO COMERCIAL E DISTRIBUICAO LIMITADA</t>
  </si>
  <si>
    <t>JOSE COSTA DE MESQUITA</t>
  </si>
  <si>
    <t xml:space="preserve"> MODULO 11</t>
  </si>
  <si>
    <t>CHACARA ALVORADA</t>
  </si>
  <si>
    <t>LENOVO TECNOLOGIA (BRASIL) LIMITADA</t>
  </si>
  <si>
    <t>GALPAO1 A 11</t>
  </si>
  <si>
    <t>LEONE EQUIPAMENTOS AUTOMOTIVOS LTDA</t>
  </si>
  <si>
    <t>LEONE</t>
  </si>
  <si>
    <t>SOLON</t>
  </si>
  <si>
    <t>LESER VALVULAS DE SEGURANCA LTDA</t>
  </si>
  <si>
    <t>IPADU</t>
  </si>
  <si>
    <t>LETICIA E. GARAVELO ENGENHARIA LTDA</t>
  </si>
  <si>
    <t>HORUS SERVICOS</t>
  </si>
  <si>
    <t>JOSIAS PIRES DO AMARAL</t>
  </si>
  <si>
    <t>LETRA FISIOLABOR LTDA</t>
  </si>
  <si>
    <t>CONJ 405 4 ANDAR</t>
  </si>
  <si>
    <t>LETTEL DISTRIBUIDORA DE TELEFONIA LTDA</t>
  </si>
  <si>
    <t>OSNI JOAO VIEIRA</t>
  </si>
  <si>
    <t>LEXMARK INTERNATIONAL DO BRASIL LTDA</t>
  </si>
  <si>
    <t>DOUTOR ANTONIO JOAO ABDALLA</t>
  </si>
  <si>
    <t xml:space="preserve"> PARTE 01 GALPAO200 SETOR LEXMARK</t>
  </si>
  <si>
    <t>CRISTAIS (JORDANESIA)</t>
  </si>
  <si>
    <t>LEYBOLD DO BRASIL LTDA.</t>
  </si>
  <si>
    <t>LHOIST DO BRASIL LTDA</t>
  </si>
  <si>
    <t>Atividades de apoio à extração de minerais não-metálicos</t>
  </si>
  <si>
    <t>DOUTOR JORGE DIAS DE OLIVA</t>
  </si>
  <si>
    <t>LHY POWERTRAIN SOUTH AMERICA IMPORTACAO EXPORTACAO E COMERCIO DE EQUIPAMENTOS LTDA</t>
  </si>
  <si>
    <t>ALMERIM</t>
  </si>
  <si>
    <t>GALPAO16</t>
  </si>
  <si>
    <t>CIDADE TUPINAMBA</t>
  </si>
  <si>
    <t>LIBBS FARMACEUTICA LTDA</t>
  </si>
  <si>
    <t>LIBBS</t>
  </si>
  <si>
    <t>CONJ 202 ANDAR 2 SALA 113</t>
  </si>
  <si>
    <t>LIBERTY CHEMICALS DO BRASIL SOLUCOES E SERVICOS PARA TINGIMENTO LIMITADA</t>
  </si>
  <si>
    <t>ANGELINA PASCOTE</t>
  </si>
  <si>
    <t>SALA 20/30/90</t>
  </si>
  <si>
    <t>BOM RECREIO</t>
  </si>
  <si>
    <t>LIBIO CONSTRUTORA E INCORPORADORA LTDA</t>
  </si>
  <si>
    <t>LIBIO INCORPORADORA</t>
  </si>
  <si>
    <t>MARIALVA</t>
  </si>
  <si>
    <t>QUADRA17 LOTE 03</t>
  </si>
  <si>
    <t>VI ROSA</t>
  </si>
  <si>
    <t>LIBRELATO S.A. IMPLEMENTOS RODOVIARIOS</t>
  </si>
  <si>
    <t>FABRICA DE CARROCERIAS LIBRELATO</t>
  </si>
  <si>
    <t>SC 445</t>
  </si>
  <si>
    <t>KM 7 5</t>
  </si>
  <si>
    <t>PRIMEIRO DE MAIO</t>
  </si>
  <si>
    <t>LIDER NOTEBOOKS COMERCIO E SERVICOS LTDA</t>
  </si>
  <si>
    <t>DOUTOR JOSE CORREIA MACHADO</t>
  </si>
  <si>
    <t>BLOCO C SALA 03</t>
  </si>
  <si>
    <t>IBITURUNA</t>
  </si>
  <si>
    <t>LIDERANCA LIMPEZA E CONSERVACAO LTDA</t>
  </si>
  <si>
    <t>LIDERANCA SERVICOS</t>
  </si>
  <si>
    <t>ANTONIO MARIANO DE SOUZA</t>
  </si>
  <si>
    <t>BAIRRO IPIRANGA</t>
  </si>
  <si>
    <t>LIFE TECHNOLOGIES BRASIL COMERCIO E INDUSTRIA DE PRODUTOS PARA BIOTECNOLOGIA LTDA</t>
  </si>
  <si>
    <t>LIFE TECHNOLOGIES</t>
  </si>
  <si>
    <t>BLOCO A MODULOS 1A 1B E 2A</t>
  </si>
  <si>
    <t>LIFECOR COMERCIO DE PRODUTOS HOSPITALARES LTDA</t>
  </si>
  <si>
    <t>LIFECOR</t>
  </si>
  <si>
    <t>DOMINGOS CRESCENCIO</t>
  </si>
  <si>
    <t>LIFEMED INDUSTRIAL DE EQUIPAMENTOS E ARTIGOS MEDICOS E HOSPITALARES S.A.</t>
  </si>
  <si>
    <t>GIUSEPPE MATTEA</t>
  </si>
  <si>
    <t>350-A</t>
  </si>
  <si>
    <t>FRAGATA</t>
  </si>
  <si>
    <t>LIFETRONIK MEDICAL IMPORTADORA E EXPORTADORA LTDA</t>
  </si>
  <si>
    <t>LIFETRONIK MEDICAL</t>
  </si>
  <si>
    <t>SIA TRECHO 3 VIA IA 3 LT 625 A 695</t>
  </si>
  <si>
    <t>SALA 223</t>
  </si>
  <si>
    <t>SIA</t>
  </si>
  <si>
    <t>LIGA COMERCIO DE EMBALAGENS LTDA</t>
  </si>
  <si>
    <t>PEDRO RACHID</t>
  </si>
  <si>
    <t>BLOCO PREDIO 36</t>
  </si>
  <si>
    <t>LIGGA TELECOMUNICACOES S.A.</t>
  </si>
  <si>
    <t>LIGGA TELECOM</t>
  </si>
  <si>
    <t>VICENTE MACHADO</t>
  </si>
  <si>
    <t>ANDAR TR</t>
  </si>
  <si>
    <t>BATEL</t>
  </si>
  <si>
    <t>LIGHT SERVICOS DE ELETRICIDADE S A</t>
  </si>
  <si>
    <t>LIGHTERA LATAM S.A.</t>
  </si>
  <si>
    <t>HASBRUBAL BELLEGARD</t>
  </si>
  <si>
    <t>LIGTOP SOLUCOES LTDA</t>
  </si>
  <si>
    <t>LIGTOP</t>
  </si>
  <si>
    <t>SETOR N NORTE QNN 17 CJ A LT 17</t>
  </si>
  <si>
    <t>CEILANDIA</t>
  </si>
  <si>
    <t>LIMA E SILVA SERVICOS E TRANSPORTES LTDA</t>
  </si>
  <si>
    <t>PAU BRASIL LOTE</t>
  </si>
  <si>
    <t>SALA 1211</t>
  </si>
  <si>
    <t>SUL (AGUAS CLARAS)</t>
  </si>
  <si>
    <t>LIMA STF INTERMEDIACOES LTDA</t>
  </si>
  <si>
    <t>STFF INTERMEDIACOES</t>
  </si>
  <si>
    <t>ADEMAR MEDEIROS</t>
  </si>
  <si>
    <t>FEITOSA</t>
  </si>
  <si>
    <t>LIMP FORT LTDA</t>
  </si>
  <si>
    <t>LIMP FORT MATERIAIS DE LIMPEZA E EMBALAGENS</t>
  </si>
  <si>
    <t>EFESO</t>
  </si>
  <si>
    <t>PARANAGUAMIRIM</t>
  </si>
  <si>
    <t>LIMP-TUDO SERVICOS DE LIMPEZA E CONSERVACAO LTDA</t>
  </si>
  <si>
    <t>LIMP TUDO</t>
  </si>
  <si>
    <t>ANTONIO SA E SILVA</t>
  </si>
  <si>
    <t>TAMANTADUBA</t>
  </si>
  <si>
    <t>EUSEBIO</t>
  </si>
  <si>
    <t>LIMPA SP LIMPEZA PUBLICA SPE LTDA SCP</t>
  </si>
  <si>
    <t>SCP LIMPA SP</t>
  </si>
  <si>
    <t>SOLDADO CRISTOVAO MORAIS GARCIA</t>
  </si>
  <si>
    <t>LIMPEBRAS ENGENHARIA AMBIENTAL LTDA.</t>
  </si>
  <si>
    <t>LIMPEBRAS ENGENHARIA AMBIENTAL LTDA. - SCP RIO BRANCO</t>
  </si>
  <si>
    <t>320378.22</t>
  </si>
  <si>
    <t>BR-364 (RIO BRANCO-PORTO VELHO)</t>
  </si>
  <si>
    <t>KM 01</t>
  </si>
  <si>
    <t>SANTA INES</t>
  </si>
  <si>
    <t>LIMPSERV TERCEIRIZACAO EM SERVICOS DE LIMPEZA LTDA</t>
  </si>
  <si>
    <t>LIMPSERV TERCEIRIZACAO EM SERVICOS</t>
  </si>
  <si>
    <t>GETULIO CAVALCANTE</t>
  </si>
  <si>
    <t>LIMTEC SERVICOS ESPECIALIZADOS LTDA</t>
  </si>
  <si>
    <t>LIMTEC SERVICOS ESPECIALIZADOS</t>
  </si>
  <si>
    <t>Restauração e conservação de lugares e prédios históricos</t>
  </si>
  <si>
    <t>NOSSA SENHORA DA CONCEICAO</t>
  </si>
  <si>
    <t>LINCE - SEGURANCA ELETRONICA LTDA.</t>
  </si>
  <si>
    <t>LINCE - SEGURANCA PATRIMONIAL LTDA.</t>
  </si>
  <si>
    <t>OTTO JULIO MALINA</t>
  </si>
  <si>
    <t>LINCOLN ELECTRIC DO BRASIL INDUSTRIA E COMERCIO LTDA</t>
  </si>
  <si>
    <t>LINCOLN ELECTRIC DO BRASIL</t>
  </si>
  <si>
    <t>LINCOLN SANTOS RIBEIRO</t>
  </si>
  <si>
    <t>REVISTA AGRO S/A</t>
  </si>
  <si>
    <t>Edição de jornais diários</t>
  </si>
  <si>
    <t>LINDEMANN BRASIL LTDA</t>
  </si>
  <si>
    <t>BERNARDO GUIMARAES</t>
  </si>
  <si>
    <t>SALA 702 E 704 ANDAR 7 - TORRE BUSINESS</t>
  </si>
  <si>
    <t>JARDIM VERGUEIRO</t>
  </si>
  <si>
    <t>LINDNER TECHNO SYSTEMS LTDA</t>
  </si>
  <si>
    <t>PREFEITO NORMELIO ZILIO</t>
  </si>
  <si>
    <t>JOACABA</t>
  </si>
  <si>
    <t>LINDSAY AMERICA DO SUL LTDA.</t>
  </si>
  <si>
    <t>LINDSAY</t>
  </si>
  <si>
    <t>GOVERNADOR DOUTOR ADHEMAR PEREIRA DE BARROS</t>
  </si>
  <si>
    <t>KM 153.5</t>
  </si>
  <si>
    <t>CHACARAS SAO FRANCISCO</t>
  </si>
  <si>
    <t>LINEAR AUTOMACAO E ELETRICA INDUSTRIAL LTDA</t>
  </si>
  <si>
    <t>LINEAR - AUTOMACAO E ELETRICA INDUSTRIAL LTDA</t>
  </si>
  <si>
    <t>ALEIXO ROCHA DA SILVA</t>
  </si>
  <si>
    <t>PAVLH 02</t>
  </si>
  <si>
    <t>TAQUARI</t>
  </si>
  <si>
    <t>LINET DO BRASIL COMERCIO, IMPORTACAO E EXPORTACAO DE PRODUTOS MEDICOS HOSPITALARES LTDA</t>
  </si>
  <si>
    <t>ANDAR 3 CONJ 32</t>
  </si>
  <si>
    <t>LINK/BAGG COMUNICACAO E PROPAGANDA LTDA</t>
  </si>
  <si>
    <t>LINK COMUNICACAO E PROPAGANDA</t>
  </si>
  <si>
    <t>SENADOR THEOTONIO VILELA</t>
  </si>
  <si>
    <t>EDIF CONVENTION CENTER SALA 401</t>
  </si>
  <si>
    <t>LINKDATA LTDA</t>
  </si>
  <si>
    <t>MONSENHOR IVO ZANLORENZI</t>
  </si>
  <si>
    <t>LINSUL INDUSTRIA E SOLUCOES AMBIENTAIS LTDA</t>
  </si>
  <si>
    <t>LINSUL</t>
  </si>
  <si>
    <t>SC 110</t>
  </si>
  <si>
    <t>MARGEM ESQUERDA - URBANO</t>
  </si>
  <si>
    <t>LONTRAS</t>
  </si>
  <si>
    <t>LINTEC INDUSTRIA E COMERCIO DE MOTORES E EQUIPAMENTOS DE MOVIMENTACAO DE MATERIAIS LTDA</t>
  </si>
  <si>
    <t xml:space="preserve"> PORTAO 06</t>
  </si>
  <si>
    <t>LIQUIGAS DISTRIBUIDORA S.A.</t>
  </si>
  <si>
    <t>PAULISTA 1842</t>
  </si>
  <si>
    <t xml:space="preserve"> 1 2 3 AND. PARTE 4 5 E 6 AND. COND CETENCO PLAZA</t>
  </si>
  <si>
    <t>LIQUOS AMBIENTAL EQUIPAMENTOS E SISTEMAS PARA SANEAMENTO LTDA</t>
  </si>
  <si>
    <t>ALZIRO CICCHETTO</t>
  </si>
  <si>
    <t>LIRA DA LUZ LTDA</t>
  </si>
  <si>
    <t>GIACOMO LUIZ BERTICELLI</t>
  </si>
  <si>
    <t>MARIA CLARA</t>
  </si>
  <si>
    <t>LIRO JARDINAGEM E PAISAGISMO LTDA</t>
  </si>
  <si>
    <t>Atividades paisagísticas</t>
  </si>
  <si>
    <t>RUMANIA</t>
  </si>
  <si>
    <t>LISY SOLUCOES EM METALURGIA LTDA</t>
  </si>
  <si>
    <t>SENADOR ERMIRIO DE MORAES</t>
  </si>
  <si>
    <t>PAIOL</t>
  </si>
  <si>
    <t>LITROZ COMBUSTIVEIS E INTERMEDIACAO DE NEGOCIOS LTDA</t>
  </si>
  <si>
    <t>LITROZ COMBUSTIVEIS E INTERMEDIACAO DE NEGOCIOS</t>
  </si>
  <si>
    <t>GARRET</t>
  </si>
  <si>
    <t>NOVA GRANADA</t>
  </si>
  <si>
    <t>LIUGONG LATIN AMERICA MAQUINAS PARA CONSTRUCAO PESADA LTDA.</t>
  </si>
  <si>
    <t>LIUGONG LATIN AMERICA</t>
  </si>
  <si>
    <t>COND TECHNO PARK PAVLH 4 BLOCO B CONJ 24-26 B</t>
  </si>
  <si>
    <t>TECHNO PLAZA</t>
  </si>
  <si>
    <t>LIV UP COMERCIO DE ALIMENTOS LTDA</t>
  </si>
  <si>
    <t>ALDEIA DA SERRA</t>
  </si>
  <si>
    <t>INGAHI</t>
  </si>
  <si>
    <t>LIVANOVA BRASIL COMERCIO E DISTRIBUICAO DE EQUIPAMENTOS MEDICO-HOSPITALARES LTDA.</t>
  </si>
  <si>
    <t>LIVANOVA BRASIL</t>
  </si>
  <si>
    <t>LIEGE</t>
  </si>
  <si>
    <t>LIVOLTEK POWER BRASIL LTDA</t>
  </si>
  <si>
    <t>GUARUBA</t>
  </si>
  <si>
    <t>GALPAO04</t>
  </si>
  <si>
    <t>LLOYDS REGISTER DO BRASIL LTDA</t>
  </si>
  <si>
    <t>DA GLORIA</t>
  </si>
  <si>
    <t>LLS TRANSPORTE E AGENCIAMENTO DE CARGAS LTDA</t>
  </si>
  <si>
    <t>ESSENCIAL CARGO</t>
  </si>
  <si>
    <t>DESEMBARGADOR LUIS F. CABRAL</t>
  </si>
  <si>
    <t>QUADRAB LOTE 34/35 CONJ BEIJA FLOR II</t>
  </si>
  <si>
    <t>LM COMUNICACAO VISUAL E PROJETOS LTDA</t>
  </si>
  <si>
    <t>LM COMUNICACAO VISUAL E PROJETOS</t>
  </si>
  <si>
    <t>SMAS CONJUNTO E AE G LOTE</t>
  </si>
  <si>
    <t>SETOR AREEIROS</t>
  </si>
  <si>
    <t>LM CONSERVACAO PREDIAL LTDA</t>
  </si>
  <si>
    <t>LM CONSERVACAO PREDIAL</t>
  </si>
  <si>
    <t>OCTAVIANO DE ARRUDA CAMPOS</t>
  </si>
  <si>
    <t>VILA CIDADE INDUSTRIAL (VILA XAVIER)</t>
  </si>
  <si>
    <t>LM FARMA INDUSTRIA E COMERCIO LTDA</t>
  </si>
  <si>
    <t>JAGUARAO</t>
  </si>
  <si>
    <t>CHACARAS REUNIDAS</t>
  </si>
  <si>
    <t>LM SOLUCOES TECNOLOGICAS LTDA</t>
  </si>
  <si>
    <t>ANDAR 01</t>
  </si>
  <si>
    <t>LMN EQUIPAMENTOS PARA FEIRAS E EVENTOS LTDA</t>
  </si>
  <si>
    <t>CHECON</t>
  </si>
  <si>
    <t>Aluguel de palcos, coberturas e outras estruturas de uso temporário, exceto andaimes</t>
  </si>
  <si>
    <t>MIGUEL NELSON BECHARA</t>
  </si>
  <si>
    <t>LOTE D1 E D2 BLOCO D</t>
  </si>
  <si>
    <t>LMX DO BRASIL COMERCIO DE UTILIDADES LTDA</t>
  </si>
  <si>
    <t>LMX DO BRASIL</t>
  </si>
  <si>
    <t>SALA 34</t>
  </si>
  <si>
    <t>LOBOV CIENTIFICA, IMPORTACAO, EXPORTACAO, COMERCIO DE EQUIPAMENTOS PARA LABORATORIOS LTDA</t>
  </si>
  <si>
    <t>LOBOV CIENTIFICA</t>
  </si>
  <si>
    <t>SANTA MARINA</t>
  </si>
  <si>
    <t>LOCALIZA RENT A CAR SA</t>
  </si>
  <si>
    <t>BERNARDO DE VASCONCELOS</t>
  </si>
  <si>
    <t>LOCALIZE INVESTIGACAO E RECUPERACAO DE ATIVOS S A</t>
  </si>
  <si>
    <t>2142678.5</t>
  </si>
  <si>
    <t>CONJ 81 E 84</t>
  </si>
  <si>
    <t>LOCALMED COMERCIO E LOCACAO DE EQUIPAMENTOS LTDA</t>
  </si>
  <si>
    <t>POSSIBIO SILVA DO VALLE</t>
  </si>
  <si>
    <t>SALA 04 QUADRAB1</t>
  </si>
  <si>
    <t>LOCAR SANEAMENTO AMBIENTAL LTDA</t>
  </si>
  <si>
    <t>LOCAR</t>
  </si>
  <si>
    <t>CONJ 918/919</t>
  </si>
  <si>
    <t>LOCCUS DO BRASIL LTDA</t>
  </si>
  <si>
    <t>LOCCUS BIOTECNOLOGIA</t>
  </si>
  <si>
    <t>Fabricação de equipamentos e instrumentos ópticos, peças e acessórios</t>
  </si>
  <si>
    <t>SANTA MONICA</t>
  </si>
  <si>
    <t>BLOCO I SIT. CAP. M. VELHO</t>
  </si>
  <si>
    <t>PARQUE INDUSTRIAL SAN JOSE</t>
  </si>
  <si>
    <t>LOCKS INDUSTRIAL LTDA</t>
  </si>
  <si>
    <t>LOCKS INDUSTRIAL</t>
  </si>
  <si>
    <t>LOCMED HOSPITALAR LTDA</t>
  </si>
  <si>
    <t>LOCMED</t>
  </si>
  <si>
    <t>LOGISTICA AMBIENTAL DE SAO PAULO S.A. - LOGA</t>
  </si>
  <si>
    <t>MARECHAL MARIO GUEDES</t>
  </si>
  <si>
    <t>LOHMANN DO BRASIL AVICULTURA LTDA</t>
  </si>
  <si>
    <t>Comércio atacadista de aves vivas e ovos</t>
  </si>
  <si>
    <t>THEOFILO MANCOR</t>
  </si>
  <si>
    <t>LOJAS 360 INDUSTRIA, COMERCIO, IMPORTACAO, EXPORTACAO LTDA</t>
  </si>
  <si>
    <t>VICE PREFEITO JOAO TEIXEIRA DA COSTA</t>
  </si>
  <si>
    <t>LONAX- INDUSTRIA BRASILEIRA DE LONAS LTDA</t>
  </si>
  <si>
    <t>DO ENGENHO SECO</t>
  </si>
  <si>
    <t>LONGEVIDADE BUSINESS LTDA</t>
  </si>
  <si>
    <t>PAULO ABACHERLI</t>
  </si>
  <si>
    <t>LORAM DO BRASIL LTDA</t>
  </si>
  <si>
    <t>LORAM</t>
  </si>
  <si>
    <t>CONJ 2003 ANDAR 20 COND NEW ZEALAND EMPRESAR</t>
  </si>
  <si>
    <t>LORENZETTI SA INDUSTRIAS BRASILEIRAS ELETROMETALURGICAS</t>
  </si>
  <si>
    <t>PRESIDENTE WILSON 1230</t>
  </si>
  <si>
    <t>: RUA P. BARAO DE ; : GUAJARA N. 219/227/; : 229 RUA ALMEIDA ; : COUTO 320;</t>
  </si>
  <si>
    <t>LORENZO COMERCIO DE ARTIGOS EM GERAL LTDA</t>
  </si>
  <si>
    <t>LORENZO</t>
  </si>
  <si>
    <t>MARECHAL TITO</t>
  </si>
  <si>
    <t>ITAIM PAULISTA</t>
  </si>
  <si>
    <t>LOTUS INDUSTRIA E COMERCIO LTDA.</t>
  </si>
  <si>
    <t>ELISA ROSA COLLA PADOAN</t>
  </si>
  <si>
    <t>BRCAO 5 E 4</t>
  </si>
  <si>
    <t>FRARON</t>
  </si>
  <si>
    <t>PATO BRANCO</t>
  </si>
  <si>
    <t>LOUIS DREYFUS COMPANY BRASIL S.A.</t>
  </si>
  <si>
    <t>LOUIS DREYFUS COMPANY BRASIL</t>
  </si>
  <si>
    <t>PORTUARIA</t>
  </si>
  <si>
    <t>ANDAR 03 11 13 14 E 15</t>
  </si>
  <si>
    <t>LOURENCO REFRIGERACAO LTDA</t>
  </si>
  <si>
    <t>REFRIGERACAO VALE SERVICE</t>
  </si>
  <si>
    <t>ANDRE ALCKMIN (FREI GALVAO)</t>
  </si>
  <si>
    <t>VILA ANTUNES</t>
  </si>
  <si>
    <t>LSI - LOGISTICA S.A.</t>
  </si>
  <si>
    <t>CONJ 71 SALA 3</t>
  </si>
  <si>
    <t>LUAN O. SANTOS SERVICOS DE INSTALACAO, COMERCIO, ENGENHARIA E PROJETOS</t>
  </si>
  <si>
    <t>APT 33 - TORRE 1</t>
  </si>
  <si>
    <t>VILA PARQUE</t>
  </si>
  <si>
    <t>LUANDA SUPRIMENTOS LTDA</t>
  </si>
  <si>
    <t>MANUEL GARCIA</t>
  </si>
  <si>
    <t>SLJ SLJ</t>
  </si>
  <si>
    <t>LUCIANE PRODUTOS PARA VEDACAO LTDA</t>
  </si>
  <si>
    <t>AVENIDA PRIMO SCHINCARIOL</t>
  </si>
  <si>
    <t>LUCKMANN INDUSTRIA E COMERCIO DE PRODUTOS PARA SAUDE LTDA</t>
  </si>
  <si>
    <t>LUCKMANN INDUSTRIA E COMERCIO DE PRODUTOS PARA SAUDE</t>
  </si>
  <si>
    <t>SC 281</t>
  </si>
  <si>
    <t>KM 05</t>
  </si>
  <si>
    <t>SERTAO DO MARUIM</t>
  </si>
  <si>
    <t>LUIZ EDUARDO BOSCHEIRO</t>
  </si>
  <si>
    <t>Produtor Rural (Pessoa Física)</t>
  </si>
  <si>
    <t>Cultivo de laranja</t>
  </si>
  <si>
    <t>LUMERTZ WEBBER SOCIEDADE INDIVIDUAL DE ADVOCACIA</t>
  </si>
  <si>
    <t>Sociedade Unipessoal de Advocacia</t>
  </si>
  <si>
    <t>LA PLATA</t>
  </si>
  <si>
    <t>APT 302</t>
  </si>
  <si>
    <t>LUMIAR HEALTH BUILDERS EQUIPAMENTOS HOSPITALARES LTDA</t>
  </si>
  <si>
    <t>LUMIAR SAUDE</t>
  </si>
  <si>
    <t>ANEXO 3013 3025 E 3051</t>
  </si>
  <si>
    <t>JARDIM SAO CAETANO</t>
  </si>
  <si>
    <t>LUPERPLAS INDUSTRIA E COMERCIO DE PLASTICOS LTDA</t>
  </si>
  <si>
    <t>ALEXANDRE PEDRAZZANI</t>
  </si>
  <si>
    <t>JD NOVO HORIZONTE</t>
  </si>
  <si>
    <t>LUSON VEICULOS LTDA</t>
  </si>
  <si>
    <t>DAS TORRES</t>
  </si>
  <si>
    <t>LOJA: LUSON VEICULOS LTDA;</t>
  </si>
  <si>
    <t>LUSTOZA SERVICOS E SOLUCOES EM TI LTDA.</t>
  </si>
  <si>
    <t>PRESTES MAIA</t>
  </si>
  <si>
    <t>JARDIM DABRIL</t>
  </si>
  <si>
    <t>LUVERTEX CONFECCOES LTDA</t>
  </si>
  <si>
    <t>PROSECURITY</t>
  </si>
  <si>
    <t>4749 A</t>
  </si>
  <si>
    <t>LWART SOLUCOES AMBIENTAIS S.A.</t>
  </si>
  <si>
    <t>Rerrefino de óleos lubrificantes</t>
  </si>
  <si>
    <t>JULIANO LORENZETTI</t>
  </si>
  <si>
    <t>9KM270</t>
  </si>
  <si>
    <t>LYO SOLUCOES EM TECNOLOGIA LTDA</t>
  </si>
  <si>
    <t>LYO SOLUTIONS</t>
  </si>
  <si>
    <t>CONJ 81 EDIF GEORGE TOWN</t>
  </si>
  <si>
    <t>M C CONSTRUCOES LTDA</t>
  </si>
  <si>
    <t>M C CONSTRUCOES</t>
  </si>
  <si>
    <t>JOAO FACANHA DE MENEZES</t>
  </si>
  <si>
    <t>CABATAN</t>
  </si>
  <si>
    <t>M DIAS BRANCO S.A. INDUSTRIA E COMERCIO DE ALIMENTOS</t>
  </si>
  <si>
    <t>FABRICA FORTALEZA</t>
  </si>
  <si>
    <t>Moagem de trigo e fabricação de derivados</t>
  </si>
  <si>
    <t>BR-116</t>
  </si>
  <si>
    <t>JABUTI</t>
  </si>
  <si>
    <t>M-CAMILO CONSULTORIA CONTABIL E TREINAMENTOS LTDA</t>
  </si>
  <si>
    <t>M-CAMILO CONSULTORIA</t>
  </si>
  <si>
    <t>ANDAR 5 ANDAR</t>
  </si>
  <si>
    <t>M. B. BARROS SERVICOS DE TERCEIRIZACAO DE MAO DE OBRA LTDA</t>
  </si>
  <si>
    <t>ANAVILHANAS SERVICE &amp; COMMERCE</t>
  </si>
  <si>
    <t>JOSE MARIA LOPO</t>
  </si>
  <si>
    <t>QUADRAI LOTE PQ SNAHGRI-LA 7</t>
  </si>
  <si>
    <t>M. F. EQUIPAMENTOS MEDICOS LTDA</t>
  </si>
  <si>
    <t>NEUROVIRTUAL</t>
  </si>
  <si>
    <t>M. V. G. B. REFEICOES COLETIVAS - LTDA</t>
  </si>
  <si>
    <t>M. V. G. B. REFEICOES COLETIVAS</t>
  </si>
  <si>
    <t>CONDOMINIO INDUSTRIAL E COMERCIAL CAMPO DOS GLADI</t>
  </si>
  <si>
    <t>M.A SERVICOS E OBRAS LTDA</t>
  </si>
  <si>
    <t>MA SERVICOS E OBRAS</t>
  </si>
  <si>
    <t>HUMBERTO CARTA</t>
  </si>
  <si>
    <t>HUGO LANGE</t>
  </si>
  <si>
    <t>M.B. UTILIDADES DOMESTICAS E BRINQUEDOS LTDA</t>
  </si>
  <si>
    <t>VILA YOLANDA</t>
  </si>
  <si>
    <t>M.C.N. MANUTENCAO E REPARACAO DE MAQUINAS INDUSTRIAIS LTDA</t>
  </si>
  <si>
    <t>Manutenção e reparação de máquinas para a indústria metalúrgica, exceto máquinas-ferramenta</t>
  </si>
  <si>
    <t>HERMINDO ZANETTI</t>
  </si>
  <si>
    <t>INDUSTRIAL BOA VISTA</t>
  </si>
  <si>
    <t>M.H. CONSULTORIA S/C LTDA</t>
  </si>
  <si>
    <t>ANGELO MIOTTO</t>
  </si>
  <si>
    <t>FERNANDOPOLIS</t>
  </si>
  <si>
    <t>M.M.P COMERCIAL INDUSTRIAL DE PLASTICOS LTDA</t>
  </si>
  <si>
    <t>M.M.P PLASTICOS</t>
  </si>
  <si>
    <t>MARIA PAULA MOTTA</t>
  </si>
  <si>
    <t>M.S DIAGNOSTICA LTDA</t>
  </si>
  <si>
    <t>M.S. DIAGNOSTICA</t>
  </si>
  <si>
    <t>ALEGRIA</t>
  </si>
  <si>
    <t>VILA MACIEL</t>
  </si>
  <si>
    <t>M/CHECON DESIGN E CENOGRAFIA LTDA</t>
  </si>
  <si>
    <t>M/CHECON</t>
  </si>
  <si>
    <t>Criação de estandes para feiras e exposições</t>
  </si>
  <si>
    <t>ANDAR 13 CONJ 13 A 1 ALA NORTE EDIF VILLA LOBOS</t>
  </si>
  <si>
    <t>M7 COMERCIO DE VEICULOS LTDA</t>
  </si>
  <si>
    <t>M7 MULTIMARCAS</t>
  </si>
  <si>
    <t>CONS CARRAO</t>
  </si>
  <si>
    <t>MAC ENGENHARIA LTDA</t>
  </si>
  <si>
    <t>MAC ENGENHARIA LTDA.</t>
  </si>
  <si>
    <t>ANDAR 4 BLOCO 5 SALA 412</t>
  </si>
  <si>
    <t>MACCOMEVAP INDUSTRIA COMERCIO TECNOLOGIA ILUMINACAO E SERVICOS ELETROMECANICOS LTDA</t>
  </si>
  <si>
    <t>COLETORA</t>
  </si>
  <si>
    <t>LOTE 11 QUADRAB</t>
  </si>
  <si>
    <t>VILA IBIRAPITANGA</t>
  </si>
  <si>
    <t>ITAGUAI</t>
  </si>
  <si>
    <t>MACDATA TECNOLOGIA LTDA</t>
  </si>
  <si>
    <t>ADIB AUADA</t>
  </si>
  <si>
    <t>BOX W035</t>
  </si>
  <si>
    <t>JARDIM LAMBRETA</t>
  </si>
  <si>
    <t>MACH CNC INDUSTRIA E FABRICACAO DE MAQUINAS LTDA</t>
  </si>
  <si>
    <t>EDMUNDO KOCH</t>
  </si>
  <si>
    <t>MACIEL ASSESSORES S/S LTDA</t>
  </si>
  <si>
    <t>SALA 704</t>
  </si>
  <si>
    <t>VILA VERANOPOLIS</t>
  </si>
  <si>
    <t>MACK COLOR ETIQUETAS ADESIVAS LTDA</t>
  </si>
  <si>
    <t>PROFESSOR ULYSSES LEMOS TORRES</t>
  </si>
  <si>
    <t>VILA NOVA YORK</t>
  </si>
  <si>
    <t>MACOM INSTRUMENTAL CIRURGICO INDUSTRIA LTDA</t>
  </si>
  <si>
    <t>JOAO BASSI</t>
  </si>
  <si>
    <t>PARQUE INDUSTRIAL FERREIRA FERNANDES</t>
  </si>
  <si>
    <t>MACROMED PRODUTOS HOSPITALARES LTDA</t>
  </si>
  <si>
    <t>JOSE GUIDE</t>
  </si>
  <si>
    <t xml:space="preserve"> ECRITORIO BRCAO 1</t>
  </si>
  <si>
    <t>MADERELLA LTDA</t>
  </si>
  <si>
    <t>MADERELLA MOVEIS PLANEJADO</t>
  </si>
  <si>
    <t>Serviços de montagem de móveis de qualquer material</t>
  </si>
  <si>
    <t>DAS TULIPAS</t>
  </si>
  <si>
    <t>MADEX INDUSTRIA DE PLASTICOS LTDA</t>
  </si>
  <si>
    <t>ROBERTO GORDON</t>
  </si>
  <si>
    <t>JARDIM CONCORDIA</t>
  </si>
  <si>
    <t>MADHALI SOLUCOES TECNOLOGICAS LTDA</t>
  </si>
  <si>
    <t>MADHALI SOLUCOES TECNOLOGICAS</t>
  </si>
  <si>
    <t>Reparação e manutenção de computadores e de equipamentos periféricos</t>
  </si>
  <si>
    <t>COLUMBANO EPPINGHAUS</t>
  </si>
  <si>
    <t>PARQUE BRISTOL</t>
  </si>
  <si>
    <t>MAERSK LOGISTICS &amp; SERVICES BRASIL LTDA.</t>
  </si>
  <si>
    <t>SALA 132/133 141 A 144 CONJ 151 A 154</t>
  </si>
  <si>
    <t>MAEVY COMERCIO DE VALVULAS E EQUIPAMENTOS LTDA</t>
  </si>
  <si>
    <t>DARCY RIBEIRO</t>
  </si>
  <si>
    <t>MAFFINI - COMERCIO DE MATERIAL DE CONSTRUCAO LTDA</t>
  </si>
  <si>
    <t>COMERCIAL MAFFINI</t>
  </si>
  <si>
    <t>SANTA HELENA</t>
  </si>
  <si>
    <t>MAGAZINE LAR LTDA</t>
  </si>
  <si>
    <t>MAGAZINE LAR</t>
  </si>
  <si>
    <t>PENTAGONO</t>
  </si>
  <si>
    <t>LOJA 10</t>
  </si>
  <si>
    <t>APLAVILLE</t>
  </si>
  <si>
    <t>MAGE MINERACAO LTDA</t>
  </si>
  <si>
    <t>Extração de ardósia e beneficiamento associado</t>
  </si>
  <si>
    <t>CASA 01 KM 119</t>
  </si>
  <si>
    <t>VILA INCA</t>
  </si>
  <si>
    <t>MAGE</t>
  </si>
  <si>
    <t>MAGGION INDUSTRIAS DE PNEUS E MAQUINAS LTDA</t>
  </si>
  <si>
    <t>JOSE CAMPANELLA 501</t>
  </si>
  <si>
    <t xml:space="preserve"> CEP 07112-902</t>
  </si>
  <si>
    <t>MACEDO</t>
  </si>
  <si>
    <t>MAGMA ANALISES AMBIENTAIS LTDA</t>
  </si>
  <si>
    <t>MAGMA ANALISES AMBIENTAIS</t>
  </si>
  <si>
    <t>LEOPOLDO TEIXEIRA</t>
  </si>
  <si>
    <t>MAGNAMED TECNOLOGIA MEDICA S/A</t>
  </si>
  <si>
    <t>MAGNAMED</t>
  </si>
  <si>
    <t>MAQUEROBI</t>
  </si>
  <si>
    <t>MAHINDRA DO BRASIL INDUSTRIAL LTDA</t>
  </si>
  <si>
    <t>MAHINDRA DO BRASIL</t>
  </si>
  <si>
    <t>DOIS IRMAOS</t>
  </si>
  <si>
    <t>MAHLE METAL LEVE S.A.</t>
  </si>
  <si>
    <t>ERNST MAHLE</t>
  </si>
  <si>
    <t>MOMBACA</t>
  </si>
  <si>
    <t>MAIA TERCEIRIZACOES LTDA</t>
  </si>
  <si>
    <t>JOSE QUARESMA JUNIOR</t>
  </si>
  <si>
    <t>PARQUE GRAJAU</t>
  </si>
  <si>
    <t>MAIS ESTAGIOS LTDA</t>
  </si>
  <si>
    <t>MAIS ESTAGIOS</t>
  </si>
  <si>
    <t>MANOEL RIBAS</t>
  </si>
  <si>
    <t>SALA C</t>
  </si>
  <si>
    <t>PARANAVAI</t>
  </si>
  <si>
    <t>MAJJ ALIMENTOS LTDA</t>
  </si>
  <si>
    <t>JOAQUIM JERONIMO</t>
  </si>
  <si>
    <t>TAQUARITINGA</t>
  </si>
  <si>
    <t>MAKITA DO BRASIL FERRAMENTAS ELETRICAS LTDA</t>
  </si>
  <si>
    <t>MAKITA</t>
  </si>
  <si>
    <t>MAKITA BRASIL</t>
  </si>
  <si>
    <t>MAKMO INFRAESTRUTURA LTDA</t>
  </si>
  <si>
    <t>MAKMO</t>
  </si>
  <si>
    <t>ARIZONA</t>
  </si>
  <si>
    <t>ANDAR 2 SALA 1A</t>
  </si>
  <si>
    <t>MAKRO FOOD SERVICES LTDA</t>
  </si>
  <si>
    <t>CONJ 02 SALA 1</t>
  </si>
  <si>
    <t>MANA COMERCIO DE ALIMENTOS LTDA</t>
  </si>
  <si>
    <t>ALIMENTO SAUDAVEL MANA</t>
  </si>
  <si>
    <t>EDUARDO SANTOS PEREIRA</t>
  </si>
  <si>
    <t>MANDRILL FILMES LTDA</t>
  </si>
  <si>
    <t>MANDRILL FILMES</t>
  </si>
  <si>
    <t>Atividades de pós-produção cinematográfica, de vídeos e de programas de televisão não especificadas anteriormente</t>
  </si>
  <si>
    <t>4 TRAVESSA 3 CHACARA</t>
  </si>
  <si>
    <t>NUCLEO RURAL LAGO OESTE (SOBRADINHO)</t>
  </si>
  <si>
    <t>MANGELS INDUSTRIAL S.A.</t>
  </si>
  <si>
    <t>BLOCO A SALA 91 E 92</t>
  </si>
  <si>
    <t>MANIKRAFT GUAIANAZES INDUSTRIA DE CELULOSE E PAPEL LTDA EM RECUPERACAO JUDICIAL</t>
  </si>
  <si>
    <t>SAO PASCAL</t>
  </si>
  <si>
    <t>JARDIM SAO PAULO(ZONA LESTE)</t>
  </si>
  <si>
    <t>MANITOU BRASIL IMPORTACAO E COMERCIO DE MAQUINAS DE ELEVACAO LTDA.</t>
  </si>
  <si>
    <t>MANITOU BRASIL</t>
  </si>
  <si>
    <t>MANN+HUMMEL BRASIL LTDA.</t>
  </si>
  <si>
    <t>FILTROS MANN</t>
  </si>
  <si>
    <t>JD TROPICAL</t>
  </si>
  <si>
    <t>MANSERV FACILITIES LTDA</t>
  </si>
  <si>
    <t>MANSERV FACILITIES</t>
  </si>
  <si>
    <t>NAZARET</t>
  </si>
  <si>
    <t>CONJ 52</t>
  </si>
  <si>
    <t>BARCELONA</t>
  </si>
  <si>
    <t>MANSERV MONTAGEM E MANUTENCAO S/A</t>
  </si>
  <si>
    <t>CONJ 71 SALA 2</t>
  </si>
  <si>
    <t>MANTOMAC COM DE PECAS E SERVICOS LTDA</t>
  </si>
  <si>
    <t>MANTOMAC-RENTAL</t>
  </si>
  <si>
    <t>CRISTOVAO COLOMBO</t>
  </si>
  <si>
    <t>221E</t>
  </si>
  <si>
    <t>MAQUINA SOLO MAQUINAS E EQUIPAMENTOS LTDA</t>
  </si>
  <si>
    <t>ROBERTO VENTUROLE</t>
  </si>
  <si>
    <t>CIDADE ARACILIA</t>
  </si>
  <si>
    <t>MAQUINAS AGRICOLAS JACTO S A</t>
  </si>
  <si>
    <t>JACTO</t>
  </si>
  <si>
    <t>DOUTOR LUIZ MIRANDA</t>
  </si>
  <si>
    <t>POMPEIA</t>
  </si>
  <si>
    <t>MAR GIRIUS CONTINENTAL INDUSTRIA DE CONT ELETRICOS LTDA</t>
  </si>
  <si>
    <t>VICENTE ZINNI</t>
  </si>
  <si>
    <t>PORTO FERREIRA</t>
  </si>
  <si>
    <t>MARACANA COMERCIAL ELETRICO &amp; HIDRAULICO LTDA</t>
  </si>
  <si>
    <t>APARECIDO FERRARI</t>
  </si>
  <si>
    <t>JARDIM RESIDENCIAL MORUMBI</t>
  </si>
  <si>
    <t>MARAVILHA INDUSTRIA E COMERCIO DE LINGUICA LTDA</t>
  </si>
  <si>
    <t>FLORIDA PAULISTA</t>
  </si>
  <si>
    <t>PANORAMA (POLVILHO)</t>
  </si>
  <si>
    <t>MARCELO DO NASCIMENTO SILVA 11107797470</t>
  </si>
  <si>
    <t>MANOEL MAGALHES SOBRINHO</t>
  </si>
  <si>
    <t>GARAGE</t>
  </si>
  <si>
    <t>CAMALAU</t>
  </si>
  <si>
    <t>MARCELO DOS SANTOS BARBOSA</t>
  </si>
  <si>
    <t>NATUREZA DISTRIBUIDORA</t>
  </si>
  <si>
    <t>TOME DE SOUZA</t>
  </si>
  <si>
    <t>PARQUE IMPERIAL</t>
  </si>
  <si>
    <t>MARCHESAN IMPLEMENTOS E MAQUINAS AGRICOLAS TATU S A</t>
  </si>
  <si>
    <t>IMPLEMENTOS AGRICOLAS TATU</t>
  </si>
  <si>
    <t>AVENIDA MARCHESAN</t>
  </si>
  <si>
    <t>NOVA MATAO</t>
  </si>
  <si>
    <t>MARCIO REIS APARECIDO 02616989905</t>
  </si>
  <si>
    <t>LINKPACK EMBALAGENS DISTRIBUICOES</t>
  </si>
  <si>
    <t>MONTE HERMON</t>
  </si>
  <si>
    <t>JARDIM ALFA</t>
  </si>
  <si>
    <t>MARCO POLLO COMERCIO DE ALIMENTOS LTDA</t>
  </si>
  <si>
    <t>JULI COMIDA DE VERDADE</t>
  </si>
  <si>
    <t>COTOVIA</t>
  </si>
  <si>
    <t>MARCON INDUSTRIA METALURGICA LTDA</t>
  </si>
  <si>
    <t>MARCON INDUSTRIA METALURGICA</t>
  </si>
  <si>
    <t>COELHO NETO</t>
  </si>
  <si>
    <t>PALMITAL</t>
  </si>
  <si>
    <t>MARCOPOLO SA</t>
  </si>
  <si>
    <t>MARCOPOLO</t>
  </si>
  <si>
    <t>MARDISA VEICULOS S/A</t>
  </si>
  <si>
    <t>KM 92</t>
  </si>
  <si>
    <t>MAREL BRASIL COMERCIAL E INDUSTRIAL LTDA</t>
  </si>
  <si>
    <t>SERGIO FERNANDES BORGES SOARES</t>
  </si>
  <si>
    <t>GALPAOM1 3 5 6 7 8 9 E 10</t>
  </si>
  <si>
    <t>MARFRIG GLOBAL FOODS S.A.</t>
  </si>
  <si>
    <t>MARFRIG</t>
  </si>
  <si>
    <t>BLOCO 5 TORRE SABIA ANDAR 3 SALA 301</t>
  </si>
  <si>
    <t>MARGUI MAQUINAS LTDA</t>
  </si>
  <si>
    <t>MORRO GAUCHO LESTE</t>
  </si>
  <si>
    <t xml:space="preserve"> PORTAO B</t>
  </si>
  <si>
    <t>ARROIO DO OURO</t>
  </si>
  <si>
    <t>VALE REAL</t>
  </si>
  <si>
    <t>MARISA LOJAS S.A.</t>
  </si>
  <si>
    <t>LOJAS MARISA</t>
  </si>
  <si>
    <t>JAMES HOLLAND</t>
  </si>
  <si>
    <t>ANEXO 432</t>
  </si>
  <si>
    <t>MARKET LUBE INDUSTRIA E COMERCIO LTDA</t>
  </si>
  <si>
    <t>MARKET LUBE INDUSTRIA E COMERCIO</t>
  </si>
  <si>
    <t>ISMAEL DA ROCHA</t>
  </si>
  <si>
    <t xml:space="preserve"> 14 14 FUNDOS</t>
  </si>
  <si>
    <t>MARKETING LATINO COMERCIO LTDA</t>
  </si>
  <si>
    <t xml:space="preserve"> BL 006 SALA 0326</t>
  </si>
  <si>
    <t>MARLUVAS EQUIPAMENTOS DE SEGURANCA LTDA</t>
  </si>
  <si>
    <t>DORES DE CAMPOS / BARROSO</t>
  </si>
  <si>
    <t>DORES DE CAMPOS</t>
  </si>
  <si>
    <t>MARQUES LOPES SOCIEDADE INDIVIDUAL DE ADVOCACIA</t>
  </si>
  <si>
    <t>BURITAMA</t>
  </si>
  <si>
    <t>COOPHAMAT</t>
  </si>
  <si>
    <t>MARTHA DELIBERADOR MICKOSZ SOCIEDADE INDIVIDUAL DE ADVOCACIA</t>
  </si>
  <si>
    <t>MARTIN SPROCKET &amp; GEAR BRASIL ENGRENAGENS LTDA</t>
  </si>
  <si>
    <t>PROFESSOR ZEFERINO VAZ (SP-332)</t>
  </si>
  <si>
    <t>KM 154.5</t>
  </si>
  <si>
    <t>PALMEIRAS</t>
  </si>
  <si>
    <t>MARUBENI BRASIL S A</t>
  </si>
  <si>
    <t>CONJ 201</t>
  </si>
  <si>
    <t>MARVIN HIRSCH CONSULTORES ASSOCIADOS LTDA</t>
  </si>
  <si>
    <t>MHCONSULT</t>
  </si>
  <si>
    <t>CONJ 1107</t>
  </si>
  <si>
    <t>MARVITEC MONTAGENS E PROJETOS ESPECIAIS LTDA</t>
  </si>
  <si>
    <t>GUINLE</t>
  </si>
  <si>
    <t>MARVITUBOS TUBOS E PECAS HIDRAULICAS LTDA</t>
  </si>
  <si>
    <t>VILA BRASIL</t>
  </si>
  <si>
    <t>MARZO VITORINO - INDUSTRIA E COMERCIO DE MOVEIS LTDA</t>
  </si>
  <si>
    <t>DOS TRABALHADORES</t>
  </si>
  <si>
    <t>TERRA PRETA (TERRA PRETA)</t>
  </si>
  <si>
    <t>MASACKE CONSTRUCOES LTDA</t>
  </si>
  <si>
    <t>MASACKE ENGENHARIA</t>
  </si>
  <si>
    <t>CONJ 204</t>
  </si>
  <si>
    <t>MASON EQUIPAMENTOS LTDA.</t>
  </si>
  <si>
    <t>SIMAO ANTONIO</t>
  </si>
  <si>
    <t>CINCAO</t>
  </si>
  <si>
    <t>MASSA FALIDA DE BUSSCAR ONIBUS S.A.</t>
  </si>
  <si>
    <t>AUGUSTO BRUNO NIELSON</t>
  </si>
  <si>
    <t>MASSEY FERGUSON ADMINISTRADORA DE CONSORCIOS LTDA.</t>
  </si>
  <si>
    <t>CONSORCIO NACIONAL MASSEY FERGUSON</t>
  </si>
  <si>
    <t>Administração de consórcios para aquisição de bens e direitos</t>
  </si>
  <si>
    <t>MASTER ALIMENTOS LTDA</t>
  </si>
  <si>
    <t>MASTER RACOES</t>
  </si>
  <si>
    <t>Fabricação de alimentos para animais</t>
  </si>
  <si>
    <t>PREFEITO PAULO DE TARSO FURTADO</t>
  </si>
  <si>
    <t>RIO POMBA</t>
  </si>
  <si>
    <t>MASTER HIDRAULICA MATERIAIS HIDRAULICOS LTDA</t>
  </si>
  <si>
    <t>MASTER HIDRAULICA</t>
  </si>
  <si>
    <t>GALPAO03 ANEXO LATERAL</t>
  </si>
  <si>
    <t>MATRYX INDUSTRIA E COMERCIO DE INSUMOS PARA TRATAMENTO DE AGUAS LTDA</t>
  </si>
  <si>
    <t>MATRYX</t>
  </si>
  <si>
    <t>PORTAO VELHO</t>
  </si>
  <si>
    <t>MAXETRON SERVICOS DE TECNOLOGIA E INFORMACOES LTDA.</t>
  </si>
  <si>
    <t>DO PARAISO</t>
  </si>
  <si>
    <t>ANDAR 6 - CJTO 62 A</t>
  </si>
  <si>
    <t>MAXFER METAIS LTDA</t>
  </si>
  <si>
    <t>MAESTRO GABRIEL MIGLIORI</t>
  </si>
  <si>
    <t>ARMZ 01</t>
  </si>
  <si>
    <t>MAXI COMERCIO DE ARTEFATOS PLASTICOS E CONSTRUCOES LTDA</t>
  </si>
  <si>
    <t>MAXI ART PLAST</t>
  </si>
  <si>
    <t>HERACLITO GRACA</t>
  </si>
  <si>
    <t>SALA 13</t>
  </si>
  <si>
    <t>MAXIFROTA SERVICOS DE MANUTENCAO DE FROTA LTDA</t>
  </si>
  <si>
    <t>MAXIFROTA</t>
  </si>
  <si>
    <t>EDIF SUAREZ TRADE SALA 2501 A</t>
  </si>
  <si>
    <t>MAXIMA ENGENHARIA LTDA</t>
  </si>
  <si>
    <t>MAXIMA ENGENHARIA</t>
  </si>
  <si>
    <t>EDIF JOAQUIM BARRETO DE ARAUJO SALA 1213</t>
  </si>
  <si>
    <t>MAXIMIZE CONSULTORIA E IDIOMAS LTDA</t>
  </si>
  <si>
    <t>MAXIMIZE ENSINO DE IDIOMAS</t>
  </si>
  <si>
    <t>CLAUDIO</t>
  </si>
  <si>
    <t>MAZAK SULAMERICANA LTDA</t>
  </si>
  <si>
    <t>MAZAK</t>
  </si>
  <si>
    <t>CHACARAS DO TREVO</t>
  </si>
  <si>
    <t>MB ENGENHARIA DE ENERGIA LTDA</t>
  </si>
  <si>
    <t>MB ENERGIAS RENOVAVEIS</t>
  </si>
  <si>
    <t>CORONEL EVARISTO WALDETARIO SILVA</t>
  </si>
  <si>
    <t>MB JN COMERCIO E SERVICOS LTDA</t>
  </si>
  <si>
    <t>MALU COMERCIO E REPRESENTACOES</t>
  </si>
  <si>
    <t>ERNESTO IGEL</t>
  </si>
  <si>
    <t>APT 146 EDIF PORTO</t>
  </si>
  <si>
    <t>MBR COMERCIO DE MATERIAIS LTDA</t>
  </si>
  <si>
    <t>MBR GLOBAL</t>
  </si>
  <si>
    <t>TRES</t>
  </si>
  <si>
    <t>CHACARA RECREIO JAGUARI</t>
  </si>
  <si>
    <t>MC SISTEMAS DE SEGURANCA LTDA</t>
  </si>
  <si>
    <t>CRISTOFORO MANTEGAZZA</t>
  </si>
  <si>
    <t>JARDIM VERGUEIRO (SACOMA)</t>
  </si>
  <si>
    <t>MCKINSEY &amp; COMPANY, INC. DO BRASIL CONSULTORIA LTDA.</t>
  </si>
  <si>
    <t>MCKINSEY</t>
  </si>
  <si>
    <t>CONJ 221 E 231</t>
  </si>
  <si>
    <t>MCS MARKUP CONSULTORIA, AUDITORIA E M&amp;A LTDA</t>
  </si>
  <si>
    <t>MCS MARKUP CONSULTORIA, AUDITORIA E M&amp;A</t>
  </si>
  <si>
    <t xml:space="preserve"> SAL 1701</t>
  </si>
  <si>
    <t>MECATEC COMERCIAL LTDA</t>
  </si>
  <si>
    <t>CANDIDO PORTINARI</t>
  </si>
  <si>
    <t>MECATOOL ATELIER DE PECAS TECNICAS DE PRECISAO LTDA</t>
  </si>
  <si>
    <t>MATRIX</t>
  </si>
  <si>
    <t>HILEIA AMAZONICA</t>
  </si>
  <si>
    <t>JARDIM PANORAMA (ZONA LESTE)</t>
  </si>
  <si>
    <t>MED CENTER COMERCIAL LTDA</t>
  </si>
  <si>
    <t>JK - BR 459</t>
  </si>
  <si>
    <t>KM 99</t>
  </si>
  <si>
    <t>SANTA EDWIGES - RIBEIRAO DAS MORTES</t>
  </si>
  <si>
    <t>MED CHOICE PRODUTO MEDICO HOSPITALAR LTDA</t>
  </si>
  <si>
    <t>RUY PORTO</t>
  </si>
  <si>
    <t>ANDAR SALA 206</t>
  </si>
  <si>
    <t>MED SECURITY SERVICOS MEDICOS</t>
  </si>
  <si>
    <t>MED SECURITY</t>
  </si>
  <si>
    <t>SANTA TEREZINHA</t>
  </si>
  <si>
    <t>MED-SINAL INDUSTRIA E COMERCIO DE MOVEIS E EQUIPAMENTOS LTDA</t>
  </si>
  <si>
    <t>MED-SINAL PRODUTOS MEDICOS-VETERINARIOS</t>
  </si>
  <si>
    <t>MED-SURGERY HOSPITALAR LTDA</t>
  </si>
  <si>
    <t>MED-SURGERY</t>
  </si>
  <si>
    <t>OLHO D'AGUA</t>
  </si>
  <si>
    <t>MEDCOM SERVICOS E SISTEMAS DE TRACAO LTDA.</t>
  </si>
  <si>
    <t>Manutenção e reparação de veículos ferroviários</t>
  </si>
  <si>
    <t>CAROLINA SOARES</t>
  </si>
  <si>
    <t>CONJ 181</t>
  </si>
  <si>
    <t>VILA DIVA</t>
  </si>
  <si>
    <t>MEDI HOUSE INDUSTRIA E COMERCIO DE PRODUTOS CIRURGICOS E HOSPITALARES LTDA</t>
  </si>
  <si>
    <t>MEDI-SAUDE PRODUTOS MEDICOS HOSPITALARES LTDA</t>
  </si>
  <si>
    <t>MEDI - SAUDE</t>
  </si>
  <si>
    <t>ALTINO TOME</t>
  </si>
  <si>
    <t>QUADRA91A LOTE 13E</t>
  </si>
  <si>
    <t>MEDIAL SERVICE COMERCIO E ASSISTENCIA TECNICA EM EQUIPAMENTOS LTDA</t>
  </si>
  <si>
    <t>MEDIAL ASSISTENCIA TECNICA</t>
  </si>
  <si>
    <t>SEPETIBA</t>
  </si>
  <si>
    <t>SICILIANO</t>
  </si>
  <si>
    <t>MEDICAL CARE LTDA</t>
  </si>
  <si>
    <t>ORTOMED</t>
  </si>
  <si>
    <t>1041292.5</t>
  </si>
  <si>
    <t>Atividade médica ambulatorial com recursos para realização de procedimentos cirúrgicos</t>
  </si>
  <si>
    <t>GARDENIA</t>
  </si>
  <si>
    <t>MEDICAL HEALTH COMERCIO, SERVICOS E IMPORTACAO LTDA</t>
  </si>
  <si>
    <t>CAMBAUBA</t>
  </si>
  <si>
    <t xml:space="preserve"> LOJ A LOJ B LOJ C LOJ D</t>
  </si>
  <si>
    <t>JARDIM GUANABARA</t>
  </si>
  <si>
    <t>MEDICAL SAN INDUSTRIA DE EQUIPAMENTOS MEDICOS LTDA</t>
  </si>
  <si>
    <t>MEDICAL SAN</t>
  </si>
  <si>
    <t>Fabricação de aparelhos elétricos de uso pessoal, peças e acessórios</t>
  </si>
  <si>
    <t>JOSE URBANO RICHTER</t>
  </si>
  <si>
    <t xml:space="preserve"> 386 BUSINESS PARK</t>
  </si>
  <si>
    <t>LINHA PORONGOS</t>
  </si>
  <si>
    <t>MEDIHEALTH AESTHETICS LTDA.</t>
  </si>
  <si>
    <t>GAL FURTADO NASCIMENTO</t>
  </si>
  <si>
    <t>ANDAR 2 SALA 20</t>
  </si>
  <si>
    <t>MEDISIL MEDICAMENTOS LTDA</t>
  </si>
  <si>
    <t>MEDISIL</t>
  </si>
  <si>
    <t>DA BOLIVIA</t>
  </si>
  <si>
    <t xml:space="preserve"> GALPAO 02 OUTROS QUADRA P</t>
  </si>
  <si>
    <t>GRANJAS RURAIS PRESIDENTE VARGAS</t>
  </si>
  <si>
    <t>MEDIX BRASIL LTDA</t>
  </si>
  <si>
    <t>MEDIX BRASIL</t>
  </si>
  <si>
    <t>MEDIXX COMERCIO E SERVICOS PARA SAUDE LTDA.</t>
  </si>
  <si>
    <t>MEDIXX</t>
  </si>
  <si>
    <t>MEDLEVENSOHN COMERCIO E REPRESENTACOES DE PRODUTOS HOSPITALARES LTDA</t>
  </si>
  <si>
    <t>MEDLEVENSOHN</t>
  </si>
  <si>
    <t>DOIS</t>
  </si>
  <si>
    <t xml:space="preserve"> QUADRA 008 LOTE 008</t>
  </si>
  <si>
    <t>MEDMAX COMERCIO DE MEDICAMENTOS LTDA</t>
  </si>
  <si>
    <t>MEDMAX</t>
  </si>
  <si>
    <t>SERGIPE</t>
  </si>
  <si>
    <t>MORADA DO SOL</t>
  </si>
  <si>
    <t>MEDPEJ - EQUIPAMENTOS MEDICOS LTDA</t>
  </si>
  <si>
    <t>VILA ELISA</t>
  </si>
  <si>
    <t>MEDQUIMICA INDUSTRIA FARMACEUTICA LTDA.</t>
  </si>
  <si>
    <t>FERNANDO LAMARCA</t>
  </si>
  <si>
    <t>JUIZ DE FORA</t>
  </si>
  <si>
    <t>MEDSHOP HOSPITALAR LTDA</t>
  </si>
  <si>
    <t>MEDSHOP HOSPITALAR</t>
  </si>
  <si>
    <t>DO ESPORTE</t>
  </si>
  <si>
    <t>QUADRA14 LOTE 04</t>
  </si>
  <si>
    <t>JARDIM LUZ</t>
  </si>
  <si>
    <t>MEDSUL COMERCIO E DISTRIBUICAO DE PRODUTOS HOSPITALARES LTDA.</t>
  </si>
  <si>
    <t>MEDSUL</t>
  </si>
  <si>
    <t>RUA LUIZ MOCHELIN FILHO</t>
  </si>
  <si>
    <t>BONANÇA SÍTIOS DE RECREIO</t>
  </si>
  <si>
    <t>MEDSUL DISTRIBUIDORA DE MEDICAMENTOS LTDA</t>
  </si>
  <si>
    <t>CASA .</t>
  </si>
  <si>
    <t>ANGELIM</t>
  </si>
  <si>
    <t>MEDSYSTEM MANUTENCAO E SERVICOS LTDA</t>
  </si>
  <si>
    <t>ENGECLIN - MEDSYSTEM</t>
  </si>
  <si>
    <t>AMARAL PEIXOTO</t>
  </si>
  <si>
    <t>KM 71</t>
  </si>
  <si>
    <t xml:space="preserve"> FLY SHOPPING LOJA 25 2 PISO</t>
  </si>
  <si>
    <t>BACAXA ( BACAXA )</t>
  </si>
  <si>
    <t>SAQUAREMA</t>
  </si>
  <si>
    <t>MEDTRONIC COMERCIAL LTDA</t>
  </si>
  <si>
    <t>VINHEDO VIRACOPOS</t>
  </si>
  <si>
    <t>TERREOPORTAO 2 ANEXO RUA EDGAR MARCHIORI CONJ 255 SETOR MEDTRONIC</t>
  </si>
  <si>
    <t>MEGABRAS INDUSTRIA ELETRONICA LTDA</t>
  </si>
  <si>
    <t>GILBRALTAR</t>
  </si>
  <si>
    <t>MEGACABOS INDUSTRIA E COMERCIO DE FIOS E CABOS LTDA</t>
  </si>
  <si>
    <t>MEGATRON</t>
  </si>
  <si>
    <t>LUIZ GONZAGA DE REZENDE</t>
  </si>
  <si>
    <t>BEIRA RIO</t>
  </si>
  <si>
    <t>MEGAFORT DISTRIBUIDORA IMPORTACAO E EXPORTACAO LTDA 'EM RECUPERACAO JUDICIAL</t>
  </si>
  <si>
    <t>SALA 504</t>
  </si>
  <si>
    <t>MEGALASER INDUSTRIA METALURGICA LTDA</t>
  </si>
  <si>
    <t>CAETANO SORAGGI</t>
  </si>
  <si>
    <t>DISTRITO INDUSTRIAL HONORINA DE ALMEIDA PACHECO</t>
  </si>
  <si>
    <t>MEGASEG GESTAO EM SAUDE E SEGURANCA DO TRABALHO LTDA</t>
  </si>
  <si>
    <t>MEGATEC EQUIPAMENTOS RODOVIARIOS LTDA</t>
  </si>
  <si>
    <t>Comércio por atacado de reboques e semi-reboques novos e usados</t>
  </si>
  <si>
    <t>KM 527</t>
  </si>
  <si>
    <t>MEGAVIG SEGURANCA E VIGILANCIA LTDA</t>
  </si>
  <si>
    <t>MEGAVIG</t>
  </si>
  <si>
    <t>PIASSANGUABA</t>
  </si>
  <si>
    <t>MEGAWORK CONSULTORIA E SISTEMAS LTDA</t>
  </si>
  <si>
    <t>MEGAWORK</t>
  </si>
  <si>
    <t>SALA 1106</t>
  </si>
  <si>
    <t>MEGGER BRASIL LTDA.</t>
  </si>
  <si>
    <t>MEGGER BRASIL</t>
  </si>
  <si>
    <t>BOM SUCESSO</t>
  </si>
  <si>
    <t>SALA COMERCIAL 3801</t>
  </si>
  <si>
    <t>MELITTA DO BRASIL INDUSTRIA E COMERCIO LIMITADA</t>
  </si>
  <si>
    <t>MELITTA</t>
  </si>
  <si>
    <t>EDIF PQ DA CIDADE T B3 ANDAR 12 CONJ 123 E 124</t>
  </si>
  <si>
    <t>MENDES LIMA ENGENHARIA LTDA</t>
  </si>
  <si>
    <t>MENDES LIMA ENGENHARIA</t>
  </si>
  <si>
    <t>14, CONJUNTO 10, LOTE 11</t>
  </si>
  <si>
    <t>GUARA</t>
  </si>
  <si>
    <t>MENDES TALENT TERCEIRIZACAO E RECURSOS HUMANOS LTDA</t>
  </si>
  <si>
    <t>DR GERALDO CAMPOS MOREIRA</t>
  </si>
  <si>
    <t>ANDAR 2 SALA 22</t>
  </si>
  <si>
    <t>MENEGAZZO COMERCIO DE PRODUTOS PARA LABORATORIO LTDA.</t>
  </si>
  <si>
    <t>MENEGAZZO COMERCIAL</t>
  </si>
  <si>
    <t>SERGIO DJALMA DE HOLLANDA</t>
  </si>
  <si>
    <t>NEVA</t>
  </si>
  <si>
    <t>MEPEL MAQUINAS E EQUIPAMENTOS LTDA</t>
  </si>
  <si>
    <t>FIORELLO PIAZZETTA</t>
  </si>
  <si>
    <t>MERCADAO DE TRATORES RIO PRETO LTDA</t>
  </si>
  <si>
    <t>COMENDADOR VICENTE FILIZOLA</t>
  </si>
  <si>
    <t>JARDIM MARIA CANDIDA</t>
  </si>
  <si>
    <t>MERCADO DIGITAL TECHNOLOGY LTDA</t>
  </si>
  <si>
    <t>MERCADO DIGITAL</t>
  </si>
  <si>
    <t>ANDAR 4 SALA 392</t>
  </si>
  <si>
    <t>MERCADO PAGO INSTITUICAO DE PAGAMENTO LTDA</t>
  </si>
  <si>
    <t>AVENIDA DAS NACOES UNIDAS, 3003</t>
  </si>
  <si>
    <t>LETRA PARTE E</t>
  </si>
  <si>
    <t>MERCADO PARTS LTDA</t>
  </si>
  <si>
    <t>MERCADO PARTS</t>
  </si>
  <si>
    <t>ZANZIBAR</t>
  </si>
  <si>
    <t>SALA 93 PAVMTO9</t>
  </si>
  <si>
    <t>MERCEDES-BENZ CARS &amp; VANS BRASIL LTDA</t>
  </si>
  <si>
    <t>MERCEDES-BENZ CARS &amp; VANS BRASIL</t>
  </si>
  <si>
    <t>DO CAFE</t>
  </si>
  <si>
    <t>ANDAR 6 TORRE A</t>
  </si>
  <si>
    <t>VILA GUARANI (Z SUL)</t>
  </si>
  <si>
    <t>MERCEDES-BENZ DO BRASIL LTDA.</t>
  </si>
  <si>
    <t>ALFRED JURZYKOWSKI</t>
  </si>
  <si>
    <t>MERCK S/A</t>
  </si>
  <si>
    <t>MERCO SOLUCOES EM SAUDE S/A</t>
  </si>
  <si>
    <t>MERCO SOLUCOES EM SAUDE</t>
  </si>
  <si>
    <t>BRESCIA</t>
  </si>
  <si>
    <t>MERCOBOR IND COM DE ARTEFATOS DE BORRACHA LTDA</t>
  </si>
  <si>
    <t>PAROBE</t>
  </si>
  <si>
    <t>SCHARLAU</t>
  </si>
  <si>
    <t>MERCOSUL AGRONEGOCIOS LTDA</t>
  </si>
  <si>
    <t>MERCOSUL AGRONEGOCIOS</t>
  </si>
  <si>
    <t>LINHA RIO BONITO</t>
  </si>
  <si>
    <t>BRCAO PROPR ROMEU GERHARDT</t>
  </si>
  <si>
    <t>DISTRITO SAO JOAO DO OESTE</t>
  </si>
  <si>
    <t>MERCUR S A</t>
  </si>
  <si>
    <t>SANTA CRUZ DO SUL</t>
  </si>
  <si>
    <t>MERIT MEDICAL COMERCIALIZACAO, DISTRIBUICAO, IMPORTACAO E EXPORTACAO DE PRODUTOS HOSPITALARES LTDA</t>
  </si>
  <si>
    <t>MERIT MEDICAL</t>
  </si>
  <si>
    <t>BLOCO 10 MODULO E COND PERINI BUSINESS PARK</t>
  </si>
  <si>
    <t>MERZ FARMACEUTICA COMERCIAL LTDA.</t>
  </si>
  <si>
    <t>ANDAR 5 E 13 CONJ 52/131/132</t>
  </si>
  <si>
    <t>MESSER CUTTING SYSTEMS DO BRASIL LTDA.</t>
  </si>
  <si>
    <t>MESSER CUTTING SYSTEMS</t>
  </si>
  <si>
    <t>JUVENAL ARANTES</t>
  </si>
  <si>
    <t>GALPAO: 1 E 2;</t>
  </si>
  <si>
    <t>JARDIM CAROLINA</t>
  </si>
  <si>
    <t>MESSER GASES LTDA.</t>
  </si>
  <si>
    <t>MESSER GASES</t>
  </si>
  <si>
    <t>ANDAR 19 CONJ 1901 1902</t>
  </si>
  <si>
    <t>META MOVEIS DE METAIS INDUSTRIA E COMERCIO LTDA</t>
  </si>
  <si>
    <t>ELMAR ARANTES CABRAL</t>
  </si>
  <si>
    <t>QUADRA07 LOTE 34/36</t>
  </si>
  <si>
    <t>PARQUE INDUSTRIAL VICE PRESIDENTE JOSE DE ALENCAR</t>
  </si>
  <si>
    <t>META VISAO - SERVICOS MEDICOS SS LTDA</t>
  </si>
  <si>
    <t>META VISAO - SAUDE</t>
  </si>
  <si>
    <t>FIDELIS PAPINI</t>
  </si>
  <si>
    <t>METAL ART INDUSTRIA E SERVICOS DE PLACAS LTDA</t>
  </si>
  <si>
    <t>MORENO PLACAS</t>
  </si>
  <si>
    <t>NAVIRAI</t>
  </si>
  <si>
    <t>IPUTINGA</t>
  </si>
  <si>
    <t>METAL WORK PNEUMATICA DO BRASIL LTDA.</t>
  </si>
  <si>
    <t>OTACILIO JACINTO HOMEM</t>
  </si>
  <si>
    <t>METALCO DO BRASIL LTDA.</t>
  </si>
  <si>
    <t>MILANO</t>
  </si>
  <si>
    <t>PAVLH B</t>
  </si>
  <si>
    <t>SAO GOTARDO</t>
  </si>
  <si>
    <t>METALESP IMPLEMENTOS LTDA</t>
  </si>
  <si>
    <t>METALESP</t>
  </si>
  <si>
    <t>PR 92 KM 26</t>
  </si>
  <si>
    <t>BLOCO ADMINISTRATIVO</t>
  </si>
  <si>
    <t>SANTARIA</t>
  </si>
  <si>
    <t>RIO BRANCO DO SUL</t>
  </si>
  <si>
    <t>METALFRIO SOLUTIONS S.A.</t>
  </si>
  <si>
    <t>ABRAHAO GONCALVES BRAGA</t>
  </si>
  <si>
    <t>KM 12 5</t>
  </si>
  <si>
    <t>VILA LIVIERO</t>
  </si>
  <si>
    <t>METALGRADE PISOS INDUSTRIAIS S/A</t>
  </si>
  <si>
    <t>Fabricação de esquadrias de metal</t>
  </si>
  <si>
    <t>ANHANGUERA - SP 330 - KM 298+193MTS</t>
  </si>
  <si>
    <t>GALPAO2-A</t>
  </si>
  <si>
    <t>METALURGICA CORTESA LTDA</t>
  </si>
  <si>
    <t>HENRIQUE COELHO NETO</t>
  </si>
  <si>
    <t>METALURGICA F.C.R. LTDA</t>
  </si>
  <si>
    <t>MARIA ROSA DE JESUS</t>
  </si>
  <si>
    <t>METALURGICA MILENIO USINAGEM DE PRECISAO LTDA</t>
  </si>
  <si>
    <t>FULVIO ALVES DE OLIVEIRA</t>
  </si>
  <si>
    <t>JARDIM GUAPITUBA</t>
  </si>
  <si>
    <t>METALURGICA SCHIOPPA LTDA</t>
  </si>
  <si>
    <t>METALURGICA SCHIOPPA</t>
  </si>
  <si>
    <t>ALVARO DO VALE</t>
  </si>
  <si>
    <t>METALURGICA VENTISILVA LTDA</t>
  </si>
  <si>
    <t>DIANOPOLIS</t>
  </si>
  <si>
    <t>METHABIO FARMACEUTICA DO BRASIL LTDA</t>
  </si>
  <si>
    <t>LOTE 820</t>
  </si>
  <si>
    <t>METODO TELECOMUNICACOES E COMERCIO LTDA</t>
  </si>
  <si>
    <t>BARAO HOMEM DE MELO</t>
  </si>
  <si>
    <t>METROFILE BRASIL GESTAO DA INFORMACAO LTDA.</t>
  </si>
  <si>
    <t>SALA 22</t>
  </si>
  <si>
    <t>METROHM BRASIL INSTRUMENTACAO ANALITICA LTDA</t>
  </si>
  <si>
    <t>MINERVA</t>
  </si>
  <si>
    <t>METROVAL CONTROLE DE FLUIDOS LTDA</t>
  </si>
  <si>
    <t>CHRISTIANO KILMEYERS</t>
  </si>
  <si>
    <t>PARQUE INDUSTRIAL HARMONIA</t>
  </si>
  <si>
    <t>MEXICHEM BRASIL INDUSTRIA DE TRANSFORMACAO PLASTICA LTDA</t>
  </si>
  <si>
    <t>MEXICHEM BRASIL</t>
  </si>
  <si>
    <t>FABRICA</t>
  </si>
  <si>
    <t>MG CINTO INDUSTRIA E COMERCIO LTDA</t>
  </si>
  <si>
    <t>Facção de roupas profissionais</t>
  </si>
  <si>
    <t>CARAVELAS</t>
  </si>
  <si>
    <t>VERA CRUZ</t>
  </si>
  <si>
    <t>MGE INDUSTRIA E COMERCIO DE AR CONDICIONADOS LTDA</t>
  </si>
  <si>
    <t>MGE AR - CONDICIONADOS</t>
  </si>
  <si>
    <t>DOM GABRIEL PAULINO BUENO COUTO</t>
  </si>
  <si>
    <t>MGM LOCACOES LTDA</t>
  </si>
  <si>
    <t>FRIEDRICH VON VOITH</t>
  </si>
  <si>
    <t>JARDIM SAO JOAO (JARAGUA)</t>
  </si>
  <si>
    <t>MHEDICA SERVICE COMERCIO E MANUTENCAO LTDA</t>
  </si>
  <si>
    <t>MHEDICA</t>
  </si>
  <si>
    <t>ADELINO TESTE</t>
  </si>
  <si>
    <t>BLOCO 01 SALA 2A 2C E 2D</t>
  </si>
  <si>
    <t>OLHOS D'AGUA</t>
  </si>
  <si>
    <t>MHO AGROPECUARIA LTDA</t>
  </si>
  <si>
    <t>MHO</t>
  </si>
  <si>
    <t>Criação de bovinos para corte</t>
  </si>
  <si>
    <t>ANDAR 11. CJTO 1109</t>
  </si>
  <si>
    <t>MHR FURTADO LTDA</t>
  </si>
  <si>
    <t>WE GO PRINT</t>
  </si>
  <si>
    <t>JONIA</t>
  </si>
  <si>
    <t>JARDIM BRASIL (ZONA SUL)</t>
  </si>
  <si>
    <t>MICROMAZZA INDUSTRIA DE VALVULAS LTDA</t>
  </si>
  <si>
    <t>MICROMAZZA</t>
  </si>
  <si>
    <t xml:space="preserve"> RODOVIA BR 470 KM 168</t>
  </si>
  <si>
    <t>SOLIVO</t>
  </si>
  <si>
    <t>VILA FLORES</t>
  </si>
  <si>
    <t>MICROPORT SCIENTIFIC VASCULAR BRASIL LTDA.</t>
  </si>
  <si>
    <t>SALA 1 CONJ 121 E 122</t>
  </si>
  <si>
    <t>MICROSOFT CORP.</t>
  </si>
  <si>
    <t>NAO INFORMADO</t>
  </si>
  <si>
    <t>MICROTECNICA INFORMATICA LTDA</t>
  </si>
  <si>
    <t>SAAN QUADRA 01 LOTE 920/930 PARTE E ANEXO II</t>
  </si>
  <si>
    <t>MIGLIOLI, BIANCHI, BORROZZINO, BELLINATTI E SCARABEL ADVOGADOS</t>
  </si>
  <si>
    <t>MIGRA EQUIPAMENTOS PARA MOVIMENTACAO LTDA</t>
  </si>
  <si>
    <t>DALVA LEONILLA CESCA RUARO</t>
  </si>
  <si>
    <t>MIIKA NACIONAL LTDA</t>
  </si>
  <si>
    <t>MIIKA NACIONAL</t>
  </si>
  <si>
    <t>BR 040</t>
  </si>
  <si>
    <t>KM 458.5</t>
  </si>
  <si>
    <t>CAETANOPOLIS</t>
  </si>
  <si>
    <t>MILCLEAN INDUSTRIA E COMERCIO DE PRODUTOS PARA LIMPEZA LTDA</t>
  </si>
  <si>
    <t>DOM PEDRO I</t>
  </si>
  <si>
    <t>GALPAOB</t>
  </si>
  <si>
    <t>JARDIM BARONESA</t>
  </si>
  <si>
    <t>MILLIKEN DO BRASIL COMERCIO TEXTIL E REPRESENTACAO DE PRODUTOS QUIMICOS LTDA</t>
  </si>
  <si>
    <t>MILLIKEN DO BRASIL</t>
  </si>
  <si>
    <t>NACOES UNIDAS</t>
  </si>
  <si>
    <t>ANDAR 22 ANEXO 2205</t>
  </si>
  <si>
    <t>MILU TRANSPORTES LTDA</t>
  </si>
  <si>
    <t>LOOK GRAPH</t>
  </si>
  <si>
    <t>FRANCISCA JULIA</t>
  </si>
  <si>
    <t>MINALBA ALIMENTOS E BEBIDAS LTDA</t>
  </si>
  <si>
    <t>MINASCOPY NACIONAL LTDA</t>
  </si>
  <si>
    <t>CANADA</t>
  </si>
  <si>
    <t>MINC ADMINISTRADORA E CORRETORA DE SEGUROS LTDA</t>
  </si>
  <si>
    <t>R</t>
  </si>
  <si>
    <t>BLOCO A GREIC CIDADE UNIVERSITARIA</t>
  </si>
  <si>
    <t>MINDRAY DO BRASIL - COMERCIO E DISTRIBUICAO DE EQUIPAMENTOS MEDICOS LTDA</t>
  </si>
  <si>
    <t>MINDRAY BRASIL - EQUIPAMENTOS MEDICOS</t>
  </si>
  <si>
    <t>CONJ COMERCIAL N 406</t>
  </si>
  <si>
    <t>VILA POMPEIA</t>
  </si>
  <si>
    <t>MINERACAO CARAIBA S/A</t>
  </si>
  <si>
    <t>ERO BRASIL CARAIBA</t>
  </si>
  <si>
    <t>Extração de minérios de cobre, chumbo, zinco e outros minerais metálicos não-ferrosos não especificados anteriormente</t>
  </si>
  <si>
    <t>LOC FAZENDA CARAIBA</t>
  </si>
  <si>
    <t>SEDE</t>
  </si>
  <si>
    <t>MINERACAO E AGROPECUARIA RIO DO BRACO LTDA</t>
  </si>
  <si>
    <t>Extração de minério de alumínio</t>
  </si>
  <si>
    <t>GIUSEPPINA BIONDI - FAZENDA MATO QUIETO</t>
  </si>
  <si>
    <t>CONJ 04</t>
  </si>
  <si>
    <t>LAVRINHAS</t>
  </si>
  <si>
    <t>MINERADORA PREMIER LTDA</t>
  </si>
  <si>
    <t>LINDOIA PREMIUM</t>
  </si>
  <si>
    <t>MOREIRAS</t>
  </si>
  <si>
    <t>AGUAS DE LINDOIA</t>
  </si>
  <si>
    <t>MINERVA S.A.</t>
  </si>
  <si>
    <t>AVENIDA ANTONIO MANCO BERNARDES</t>
  </si>
  <si>
    <t>ROTATORIA FAMILIA VILELA DE QUEIROZ</t>
  </si>
  <si>
    <t>BARRETOS</t>
  </si>
  <si>
    <t>MINGYANG DO BRASIL S.A.</t>
  </si>
  <si>
    <t>ANDAR 4 CONJ 42</t>
  </si>
  <si>
    <t>MIP MEDIDORES E INSTRUMENTOS DE PRECISAO LTDA</t>
  </si>
  <si>
    <t>PRES.TANCREDO NEVES</t>
  </si>
  <si>
    <t>VILA SILVIA</t>
  </si>
  <si>
    <t>MIR IMPORTACAO E EXPORTACAO LTDA</t>
  </si>
  <si>
    <t>RAMSON'S</t>
  </si>
  <si>
    <t>MIRANDA &amp; GOMES SERVICOS LTDA</t>
  </si>
  <si>
    <t>DCAR MULTIMARCAS</t>
  </si>
  <si>
    <t>Comércio a varejo de automóveis, camionetas e utilitários usados</t>
  </si>
  <si>
    <t>CONEGO ANTONIO ROCHA</t>
  </si>
  <si>
    <t>NOSSA SENHORA DO CARMO</t>
  </si>
  <si>
    <t>CORONEL FABRICIANO</t>
  </si>
  <si>
    <t>MIRVI BRASIL LTDA.</t>
  </si>
  <si>
    <t>ENGENHEIRO AFONSO BOTTI</t>
  </si>
  <si>
    <t>QUADRABIC</t>
  </si>
  <si>
    <t>MISSAO COMPLIANCE - GRC, TREINAMENTOS, INVESTIGACOES E CONSULTORIA LTDA</t>
  </si>
  <si>
    <t>MISSAO COMPLIANCE</t>
  </si>
  <si>
    <t>CONJ 31</t>
  </si>
  <si>
    <t>MISTRA COMERCIO ELETRONICO LTDA</t>
  </si>
  <si>
    <t>RICARDO BORGES CAON (LOT SANTOS DUMONT)</t>
  </si>
  <si>
    <t>MITSUBISHI ELECTRIC DO BRASIL COMERCIO E SERVICOS LTDA</t>
  </si>
  <si>
    <t>ADELINO CARDANA</t>
  </si>
  <si>
    <t>ANDAR 21 SALA 2101 BLOCO C</t>
  </si>
  <si>
    <t>MITUTOYO SUL AMERICANA LTDA</t>
  </si>
  <si>
    <t>MIMES</t>
  </si>
  <si>
    <t>LOTE MULTIVIAS II</t>
  </si>
  <si>
    <t>JARDIM ERMIDA I</t>
  </si>
  <si>
    <t>MJ TECNOLOGIA DO BRASIL LTDA</t>
  </si>
  <si>
    <t>MJ TECNOLOGIA</t>
  </si>
  <si>
    <t>RODRIGUES ALVES</t>
  </si>
  <si>
    <t>MJLESTE DISTRIBUIDORA DE MATERIAIS PARA CONSTRUCAO LTDA</t>
  </si>
  <si>
    <t>MEGALESTE</t>
  </si>
  <si>
    <t>PAST ADARCY DE OLIVEIRA</t>
  </si>
  <si>
    <t>MK PRODUTOS PARA SAUDE LTDA</t>
  </si>
  <si>
    <t>DOUTOR DEOCLECIO PEREIRA</t>
  </si>
  <si>
    <t>JARDIM FLORESTA</t>
  </si>
  <si>
    <t>MK QUIMICA DO BRASIL LTDA</t>
  </si>
  <si>
    <t>ESTACAO PORTAO</t>
  </si>
  <si>
    <t>ML BUFFET DE CHURRASCOS LTDA</t>
  </si>
  <si>
    <t>MARCIO CHURRASCOS</t>
  </si>
  <si>
    <t>DOUTOR JOAO BATISTA SOARES DE QUEIROZ JUNIOR</t>
  </si>
  <si>
    <t>MM AGENCIA EMPRESARIAL LTDA</t>
  </si>
  <si>
    <t>MM AGENCIA EMPRESARIAL</t>
  </si>
  <si>
    <t>Agências de notícias</t>
  </si>
  <si>
    <t>SAO CAMILO</t>
  </si>
  <si>
    <t>SALA 07 B</t>
  </si>
  <si>
    <t>MM OPTICS LTDA</t>
  </si>
  <si>
    <t>GEMINIANO COSTA</t>
  </si>
  <si>
    <t>MM SINALIZACAO E CONSERVACAO VIARIA LTDA</t>
  </si>
  <si>
    <t>Pintura para sinalização em pistas rodoviárias e aeroportos</t>
  </si>
  <si>
    <t>MARCOS GEOVANE STRAPASSON</t>
  </si>
  <si>
    <t>BONANCA SITIOS DE RECREIO</t>
  </si>
  <si>
    <t>MMB MAQUINAS E EQUIPAMENTOS LTDA</t>
  </si>
  <si>
    <t>DOUTOR NUNES</t>
  </si>
  <si>
    <t>MOBILI DI LEGNO COMERCIO E SERVICOS LTDA</t>
  </si>
  <si>
    <t>MOBILI DI LEGNO</t>
  </si>
  <si>
    <t xml:space="preserve"> SALAO 301</t>
  </si>
  <si>
    <t>MOCELIN INDUSTRIA DE EXTINTORES LTDA</t>
  </si>
  <si>
    <t>PR 475, KM 33,3</t>
  </si>
  <si>
    <t>PARQUE INDUSTRIAL II</t>
  </si>
  <si>
    <t>SAO JORGE D'OESTE</t>
  </si>
  <si>
    <t>MODAXO BRASIL TECNOLOGIA LTDA</t>
  </si>
  <si>
    <t>EMPRESA 1</t>
  </si>
  <si>
    <t>DA BAHIA</t>
  </si>
  <si>
    <t>ANDAR 8 SALA 802</t>
  </si>
  <si>
    <t>MODELL EVENTOS LTDA</t>
  </si>
  <si>
    <t>ARNALDO DE OLIVEIRA BARRETO</t>
  </si>
  <si>
    <t>ANDAR: 6; APT: 63;</t>
  </si>
  <si>
    <t>MOINHO AGUA BRANCA S A</t>
  </si>
  <si>
    <t>MOLNLYCKE HEALTH CARE DO BRASIL LTDA</t>
  </si>
  <si>
    <t>ANDAR 7 CONJ 705</t>
  </si>
  <si>
    <t>MONDELEZ BRASIL LTDA</t>
  </si>
  <si>
    <t>MONDELEZ BRASIL</t>
  </si>
  <si>
    <t>CONJ ADM</t>
  </si>
  <si>
    <t>MONDO IRRIGACAO COMERCIO, IMPORTACAO E EXPORTACAO LTDA</t>
  </si>
  <si>
    <t>MONDO IRRIGACAO</t>
  </si>
  <si>
    <t>CARBORUNDUM</t>
  </si>
  <si>
    <t>VISTA ALEGRE</t>
  </si>
  <si>
    <t>MONTE FUJI DESENTUPIDORA E DEDETIZADORA LTDA</t>
  </si>
  <si>
    <t>MONTE FUJI</t>
  </si>
  <si>
    <t>ANHAGUERA</t>
  </si>
  <si>
    <t>JD PIRATININGA</t>
  </si>
  <si>
    <t>MONTE LIFE CONSULTORIA E CORRETORA DE SEGUROS LTDA</t>
  </si>
  <si>
    <t>HILARIO PEREIRA DE SOUZA</t>
  </si>
  <si>
    <t>SALA 2503 BLOCO 2 PAVMTO25</t>
  </si>
  <si>
    <t>INDL. AUTONOMISTAS</t>
  </si>
  <si>
    <t>MONTEIRO ANTUNES INSUMOS HOSPITALARES SOCIEDADE ANONIMA</t>
  </si>
  <si>
    <t>MA HOSPITALAR</t>
  </si>
  <si>
    <t>MAESTRO MENDANHA</t>
  </si>
  <si>
    <t>MONTSERRAT COMERCIAL IMPORTADORA E EXPORTADORA LTDA</t>
  </si>
  <si>
    <t>AFONSINA</t>
  </si>
  <si>
    <t>ANEXO 597</t>
  </si>
  <si>
    <t>MOOBLAB SOFTWARE LTDA</t>
  </si>
  <si>
    <t>LUIZ LATANZI FILHO</t>
  </si>
  <si>
    <t>MOORE VR AUDITORES &amp; CONSULTORES S/S LTDA</t>
  </si>
  <si>
    <t>MOORE VR AUDITORES &amp; CONSULTORES</t>
  </si>
  <si>
    <t>SBS QUADRA 2 BLOCO Q</t>
  </si>
  <si>
    <t>SALA 905/907</t>
  </si>
  <si>
    <t>MOREIRA ASSOCIADOS AUDITORES INDEPENDENTES S/S</t>
  </si>
  <si>
    <t>SAO JOAQUIM</t>
  </si>
  <si>
    <t>MORHENA COLETA E LOGISTICA AMBIENTAL LTDA</t>
  </si>
  <si>
    <t>MORHENA AMBIENTAL</t>
  </si>
  <si>
    <t>ENGENHEIRO ROBERTO MANGE</t>
  </si>
  <si>
    <t>VILA TAQUARUSSU</t>
  </si>
  <si>
    <t>MORI ADVOGADOS ASSOCIADOS</t>
  </si>
  <si>
    <t>CONJ 1003 EDIF UPPER OF FICE</t>
  </si>
  <si>
    <t>MORIA CAPITAL LTDA</t>
  </si>
  <si>
    <t>MORIA PRECATORIOS</t>
  </si>
  <si>
    <t>DESEM ELISEU GUILHERME</t>
  </si>
  <si>
    <t>MOSAIC FERTILIZANTES DO BRASIL LTDA.</t>
  </si>
  <si>
    <t>MOSAIC</t>
  </si>
  <si>
    <t>ANDAR 1 E 2</t>
  </si>
  <si>
    <t>VILA CORDEIRO</t>
  </si>
  <si>
    <t>MOTIVA INFRAESTRUTURA DE MOBILIDADE S.A.</t>
  </si>
  <si>
    <t>MOTOR E MAIS SERVICOS DE MOTORES LTDA</t>
  </si>
  <si>
    <t>MOTOR &amp; MAIS</t>
  </si>
  <si>
    <t>Manutenção e reparação de embarcações e estruturas flutuantes</t>
  </si>
  <si>
    <t>GALILEU</t>
  </si>
  <si>
    <t>LOTE 2 PAVLH 44295</t>
  </si>
  <si>
    <t>CACHAMBI</t>
  </si>
  <si>
    <t>MOTOROLA SOLUTIONS INTERNATIONAL CAPITAL, LLC,</t>
  </si>
  <si>
    <t>WEST MONROE STREET</t>
  </si>
  <si>
    <t>ILLINOIS</t>
  </si>
  <si>
    <t>MOURA DUBEUX ENGENHARIA S/A</t>
  </si>
  <si>
    <t>ENGENHEIRO DOMINGOS FERREIRA</t>
  </si>
  <si>
    <t>13 ANDAR PARTE</t>
  </si>
  <si>
    <t>PINA</t>
  </si>
  <si>
    <t>MOVEIS ANDRADE - INDUSTRIA E COMERCIO DE MOVEIS HOSPITALARES LTDA</t>
  </si>
  <si>
    <t>MOVEIS ANDRADE</t>
  </si>
  <si>
    <t xml:space="preserve"> QD.110 LT.01,02,03,04,24,25 E 26</t>
  </si>
  <si>
    <t>GARAVELO RESIDENCIAL PARK</t>
  </si>
  <si>
    <t>MOVEIS RELLER LTDA</t>
  </si>
  <si>
    <t>RELLER MOVEIS</t>
  </si>
  <si>
    <t>TIRSO DIAS DO PRADO</t>
  </si>
  <si>
    <t>MOVIDA LOCACAO DE VEICULOS S.A.</t>
  </si>
  <si>
    <t>MOVIDA RENT A CAR</t>
  </si>
  <si>
    <t>40830.44</t>
  </si>
  <si>
    <t>MOVINOX INDUSTRIA METALURGICA LTDA</t>
  </si>
  <si>
    <t>MOVINOX</t>
  </si>
  <si>
    <t>Produção de tubos de aço sem costura</t>
  </si>
  <si>
    <t>MARIA OLIMPIA JARDIM</t>
  </si>
  <si>
    <t>JARDIM IZABEL</t>
  </si>
  <si>
    <t>MOVO CONSTRUCOES E EMPREENDIMENTOS LTDA</t>
  </si>
  <si>
    <t>ANDAR 1 E 3</t>
  </si>
  <si>
    <t>MPE ENGENHARIA E SERVICOS S/A</t>
  </si>
  <si>
    <t>MR PAPER INDUSTRIA DE PAPEL LTDA</t>
  </si>
  <si>
    <t>MISTER PAPER</t>
  </si>
  <si>
    <t>AFONSO SOBCZACK</t>
  </si>
  <si>
    <t>MAJOR VIEIRA</t>
  </si>
  <si>
    <t>MRD SUPRIMENTOS LTDA</t>
  </si>
  <si>
    <t>MRD DISTRIBUIDORA</t>
  </si>
  <si>
    <t>MRS LOGISTICA S/A</t>
  </si>
  <si>
    <t>ESTABELECIMENTO UNIFICADO</t>
  </si>
  <si>
    <t>Transporte ferroviário de carga</t>
  </si>
  <si>
    <t xml:space="preserve"> SALA 707</t>
  </si>
  <si>
    <t>MRV ENGENHARIA E PARTICIPACOES SA</t>
  </si>
  <si>
    <t>PROFESSOR MARIO WERNECK</t>
  </si>
  <si>
    <t>ANDAR: 1;</t>
  </si>
  <si>
    <t>MRV PRODUTOS MEDICOS E ODONTOLOGICOS LTDA.</t>
  </si>
  <si>
    <t>MAXXIMED</t>
  </si>
  <si>
    <t>VILA AMERICA</t>
  </si>
  <si>
    <t>MTB TECNOLOGIA LTDA</t>
  </si>
  <si>
    <t>JOSE CARVALHO VIEIRA</t>
  </si>
  <si>
    <t>MTEC COMERCIO E SERVICOS DE INSTALACOES TECNICAS LTDA</t>
  </si>
  <si>
    <t>MTEC COMERCIO</t>
  </si>
  <si>
    <t>SHCS CL QD 312 BLOCO D</t>
  </si>
  <si>
    <t>LOJA 34 TERREO</t>
  </si>
  <si>
    <t>MUD LOG MUDANCA E TRANSPORTE LTDA</t>
  </si>
  <si>
    <t>MUDI LOG MUDANCAS</t>
  </si>
  <si>
    <t>Transporte rodoviário de mudanças</t>
  </si>
  <si>
    <t>QUADRA 7</t>
  </si>
  <si>
    <t>LOTE: 30;</t>
  </si>
  <si>
    <t>RESIDENCIAL JARDIM PARAISO</t>
  </si>
  <si>
    <t>AGUAS LINDAS DE GOIAS</t>
  </si>
  <si>
    <t>MULLER INDUSTRIA DE MAQUINAS DE CONSTRUCAO LTDA</t>
  </si>
  <si>
    <t>RS-118</t>
  </si>
  <si>
    <t xml:space="preserve"> KM 22 PREDIO I</t>
  </si>
  <si>
    <t>MULT MED EQUIPAMENTOS HOSPITALARES LTDA</t>
  </si>
  <si>
    <t>SOLANGE VICTORETTI</t>
  </si>
  <si>
    <t>JARDIM IPE</t>
  </si>
  <si>
    <t>MULT MOTORES COMERCIO E REPARO DE MOTORES E EQUIPAMENTOS ELETRONICOS LTDA</t>
  </si>
  <si>
    <t>DOS ROMEIROS</t>
  </si>
  <si>
    <t>PARQUE SANTANA</t>
  </si>
  <si>
    <t>MULTI EQUIPAMENTOS AGRICOLAS E INDUSTRIAIS LTDA.</t>
  </si>
  <si>
    <t>MULTI CONEXOES HIDRAULICAS</t>
  </si>
  <si>
    <t>VOLUNTARIO AFONSO SAMBRANA</t>
  </si>
  <si>
    <t>COND INDUSTRIAL W-PARK</t>
  </si>
  <si>
    <t>SOBRADINHO</t>
  </si>
  <si>
    <t>MULTI ESCRITORIO E APOIO ADMINISTRATIVO LTDA</t>
  </si>
  <si>
    <t>MULTI-HIDRO INDUSTRIA E COMERCIO DE TUBOS, CONEXOES E VALVULAS LTDA</t>
  </si>
  <si>
    <t>JAIME TAVEIRA</t>
  </si>
  <si>
    <t>MULTIBOR ARTEFATOS DE BORRACHA LTDA.</t>
  </si>
  <si>
    <t>MULTIEIXO IMPLEMENTOS RODOVIARIOS LTDA</t>
  </si>
  <si>
    <t>JUSSARA</t>
  </si>
  <si>
    <t>JD DALL'ORTO</t>
  </si>
  <si>
    <t>MULTILIT INDUSTRIA E COMERCIO LTDA</t>
  </si>
  <si>
    <t xml:space="preserve"> ESQUINA COM BR 277</t>
  </si>
  <si>
    <t>JARDIM INDEPENDENCIA</t>
  </si>
  <si>
    <t>MULTIPLA COMERCIO DE PRODUTOS EM GERAL LTDA</t>
  </si>
  <si>
    <t>CARLOS DE VILHENA</t>
  </si>
  <si>
    <t>ANEXO 4280</t>
  </si>
  <si>
    <t>VILA IMPERADOR</t>
  </si>
  <si>
    <t>MULTIPLAN EMPREENDIMENTOS IMOBILIARIOS S/A</t>
  </si>
  <si>
    <t xml:space="preserve"> BLOCO 2 SALAS 101 A 104 SALAS 112 A 116 SALAS 401 A 416 SALA 501BARRA DA TIJUCA</t>
  </si>
  <si>
    <t>MULTIPLAN PARTICIPACOES S.A</t>
  </si>
  <si>
    <t xml:space="preserve"> BLC 2 SAL 501</t>
  </si>
  <si>
    <t>MULTISERVICE NACIONAL DE SERVICOS LTDA</t>
  </si>
  <si>
    <t>MULTISERVICE</t>
  </si>
  <si>
    <t>CAJURU</t>
  </si>
  <si>
    <t>MUNDIAL PNEUS AUTO PECAS E SERVICOS LTDA</t>
  </si>
  <si>
    <t>MUNDIAL PNEUS</t>
  </si>
  <si>
    <t>VILA SAO GERALDO</t>
  </si>
  <si>
    <t>MUNDO LICITACOES COMERCIAL E SERVICOS LTDA</t>
  </si>
  <si>
    <t>MUNDO LICITACOES COMERCIAL E SERVICOS</t>
  </si>
  <si>
    <t>S RICARDO</t>
  </si>
  <si>
    <t>MUNDO LINHA VIVA E EQUIPAMENTOS DE SEGURANCA LTDA</t>
  </si>
  <si>
    <t>NATIONAL</t>
  </si>
  <si>
    <t>PARQUE RESIDENCIAL CALIFORNIA</t>
  </si>
  <si>
    <t>MUNICIPIO DE AGUDOS</t>
  </si>
  <si>
    <t>MUNICIPIO DE ATIBAIA</t>
  </si>
  <si>
    <t>PREFEITURA DA ESTANCIA DE ATIBAIA</t>
  </si>
  <si>
    <t>SAUDADE</t>
  </si>
  <si>
    <t>MUNICIPIO DE AVARE</t>
  </si>
  <si>
    <t>AVARE GABINETE DO PREFEITO</t>
  </si>
  <si>
    <t>PRACA JUCA NOVAES</t>
  </si>
  <si>
    <t>MUNICIPIO DE BAURU</t>
  </si>
  <si>
    <t>PREFEITURA MUNICIPAL DE BAURU GABINETE DO PREFEITO</t>
  </si>
  <si>
    <t>DAS CEREJEIRAS</t>
  </si>
  <si>
    <t>1-59</t>
  </si>
  <si>
    <t>VILA NOEMY</t>
  </si>
  <si>
    <t>MUNICIPIO DE BOTUCATU</t>
  </si>
  <si>
    <t>PREFEITURA MUNICIPAL DE BOTUCATU GABINETE DO PREFEITO</t>
  </si>
  <si>
    <t>PRC PROF PEDRO TORRES</t>
  </si>
  <si>
    <t>MUNICIPIO DE BRAGANCA PAULISTA</t>
  </si>
  <si>
    <t>AVDA ANTONIO PIRES PIMENTEL</t>
  </si>
  <si>
    <t>B SANTO AGOSTINHO</t>
  </si>
  <si>
    <t>MUNICIPIO DE CACHOEIRO DE ITAPEMIRIM</t>
  </si>
  <si>
    <t>CACHOEIRO DO ITAPEMIRIM PREF GABINETE DO PREFEITO</t>
  </si>
  <si>
    <t>25 DE MARCO</t>
  </si>
  <si>
    <t>MUNICIPIO DE CAMPINAS</t>
  </si>
  <si>
    <t>PREFEITURA MUNICIPAL DE CAMPINAS</t>
  </si>
  <si>
    <t>MUNICIPIO DE CONFRESA</t>
  </si>
  <si>
    <t>PREFEITURA MUNICIPAL DE CONFRESA</t>
  </si>
  <si>
    <t>CENTRO OESTE</t>
  </si>
  <si>
    <t>CONFRESA</t>
  </si>
  <si>
    <t>MUNICIPIO DE ITAPUI</t>
  </si>
  <si>
    <t>ITAPUI GABINETE PREFEITO</t>
  </si>
  <si>
    <t>MATRIZ</t>
  </si>
  <si>
    <t>MUNICIPIO DE JAHU</t>
  </si>
  <si>
    <t>JAU GABINETE PREFEITO</t>
  </si>
  <si>
    <t>PAISSANDU</t>
  </si>
  <si>
    <t>MUNICIPIO DE JUNDIAI</t>
  </si>
  <si>
    <t>PREFEITURA DO MUNICIPIO DE JUNDIAI</t>
  </si>
  <si>
    <t>DA LIBERDADE S/N</t>
  </si>
  <si>
    <t>SEM</t>
  </si>
  <si>
    <t>MUNICIPIO DE LIMEIRA</t>
  </si>
  <si>
    <t>PREFEITURA MUNICIPAL DE LIMEIRA</t>
  </si>
  <si>
    <t>PREFEITO DR. ALBERTO FERREIRA</t>
  </si>
  <si>
    <t>EDIF PRADA</t>
  </si>
  <si>
    <t>MUNICIPIO DE MOGI DAS CRUZES</t>
  </si>
  <si>
    <t>MOGI DAS CRUZES ADMINISTRACAO</t>
  </si>
  <si>
    <t>NARCISO YAGUE GUIMARAES</t>
  </si>
  <si>
    <t>MUNICIPIO DE PEDERNEIRAS</t>
  </si>
  <si>
    <t>MUNICPIO DE PEDERNEIRAS</t>
  </si>
  <si>
    <t>SIQUEIRA CAMPOS</t>
  </si>
  <si>
    <t>S-64</t>
  </si>
  <si>
    <t>MUNICIPIO DE PIRACICABA</t>
  </si>
  <si>
    <t>PIRACICABA GABINETE PREFEITO</t>
  </si>
  <si>
    <t>ANTONIO CORREA BARBOSA</t>
  </si>
  <si>
    <t>CHACARA NAZARETH</t>
  </si>
  <si>
    <t>MUNICIPIO DE PRAIA GRANDE</t>
  </si>
  <si>
    <t>PRAIA GRANDE GABINETE PREFEITO</t>
  </si>
  <si>
    <t>VILA MIRIM</t>
  </si>
  <si>
    <t>MUNICIPIO DE SANTANA DE PARNAIBA</t>
  </si>
  <si>
    <t>SANTANA DE PARNAIBA GABINETE PREFEITO</t>
  </si>
  <si>
    <t>MARECHAL MASCARENHAS DE MORAES</t>
  </si>
  <si>
    <t>MUNICIPIO DE SANTO ANDRE</t>
  </si>
  <si>
    <t>SANTO ANDRE GABINETE DO PREFEITO</t>
  </si>
  <si>
    <t>FENELON MEDEIROS</t>
  </si>
  <si>
    <t>MUNICIPIO DE SANTOS</t>
  </si>
  <si>
    <t>MUNICIPIO DE SAO MANUEL</t>
  </si>
  <si>
    <t>SAO MANUEL GABINETE DO PREFEITO</t>
  </si>
  <si>
    <t>DR JULIO DE FARIA</t>
  </si>
  <si>
    <t>MUNICIPIO DE SAO PAULO</t>
  </si>
  <si>
    <t>SECRETARIA DO GOVERNO MUNICIPAL</t>
  </si>
  <si>
    <t>DO CHA</t>
  </si>
  <si>
    <t>EDIF MATARAZZO</t>
  </si>
  <si>
    <t>MUNICIPIO DE VARGINHA</t>
  </si>
  <si>
    <t>VARGINHA GABINETE PREFEITO</t>
  </si>
  <si>
    <t>JULIO PAULO MARCELLINI</t>
  </si>
  <si>
    <t>VILA PAIVA</t>
  </si>
  <si>
    <t>MURER SOUTH AMERICA LTDA</t>
  </si>
  <si>
    <t>MURER SOUTH AMERICA</t>
  </si>
  <si>
    <t>DESEMBARGADOR WESTPHALEN</t>
  </si>
  <si>
    <t>CONJ 1003 ANDAR 10 COND ATEM ED</t>
  </si>
  <si>
    <t>REBOUÇAS</t>
  </si>
  <si>
    <t>MV SISTEMAS LTDA</t>
  </si>
  <si>
    <t>MV</t>
  </si>
  <si>
    <t>FARIA SANTOS</t>
  </si>
  <si>
    <t>COND 501</t>
  </si>
  <si>
    <t>MWM - TUPY DO BRASIL LTDA.</t>
  </si>
  <si>
    <t>MWM MOTORES E GERADORES</t>
  </si>
  <si>
    <t>DAS NACOES UNIDAS 22002</t>
  </si>
  <si>
    <t>: PREDIO B;</t>
  </si>
  <si>
    <t>MWSC COMERCIO DE EQUIPAMENTOS MEDICOS LTDA</t>
  </si>
  <si>
    <t>MEDICALWAYSC</t>
  </si>
  <si>
    <t>LOJA 02 BLOCO 01</t>
  </si>
  <si>
    <t>SAO JUDAS</t>
  </si>
  <si>
    <t>MYRALIS INDUSTRIA FARMACEUTICA LTDA</t>
  </si>
  <si>
    <t>MYRALIS</t>
  </si>
  <si>
    <t>Fabricação de alimentos dietéticos e complementos alimentares</t>
  </si>
  <si>
    <t>ROGELIA GALLARDO ALONSO</t>
  </si>
  <si>
    <t>DISTRITO INDUSTRIAL JULIANO SERENI</t>
  </si>
  <si>
    <t>AGUAI</t>
  </si>
  <si>
    <t>MZ SEGURANCA PRIVADA LTDA</t>
  </si>
  <si>
    <t>DO PARQUE</t>
  </si>
  <si>
    <t>NACIONAL COMERCIAL HOSPITALAR S.A.</t>
  </si>
  <si>
    <t>ALICE DE MOURA BRAGHETTO</t>
  </si>
  <si>
    <t>CITY RIBEIRAO</t>
  </si>
  <si>
    <t>NACIONAL GAS BUTANO DISTRIBUIDORA LTDA</t>
  </si>
  <si>
    <t>NACIONAL PROTECAO LTDA</t>
  </si>
  <si>
    <t>NACIONAL PROTECAO</t>
  </si>
  <si>
    <t>NACIONAL SAFETY EQUIPAMENTOS DE SEGURANCA LTDA</t>
  </si>
  <si>
    <t>NACIONAL SAFETY EQUIPAMENTOS DE SEGURANCA</t>
  </si>
  <si>
    <t>JARDIM COLINA VERDE</t>
  </si>
  <si>
    <t>NACIONAL SINALIZACAO DE TRANSITO LTDA</t>
  </si>
  <si>
    <t>PUBLICITARIO ANTONIO ROCHA</t>
  </si>
  <si>
    <t>NADIR FIGUEIREDO S.A.</t>
  </si>
  <si>
    <t>JULIO</t>
  </si>
  <si>
    <t>JARDIM LAZZARESCHI</t>
  </si>
  <si>
    <t>NAKATA AUTOMOTIVA LTDA</t>
  </si>
  <si>
    <t>PRESIDENTE MEDICI</t>
  </si>
  <si>
    <t>PAVLH C</t>
  </si>
  <si>
    <t>ALIANCA</t>
  </si>
  <si>
    <t>NALCO BRASIL LTDA.</t>
  </si>
  <si>
    <t>NALCO BRASIL</t>
  </si>
  <si>
    <t>6 ANDAR</t>
  </si>
  <si>
    <t>NAQUA SOLUCOES EM AGUAS LTDA</t>
  </si>
  <si>
    <t>NAQUA SOLUCOES EM AGUAS</t>
  </si>
  <si>
    <t>SALA 1502</t>
  </si>
  <si>
    <t>NASCIMENTO TRANSPORTES LTDA</t>
  </si>
  <si>
    <t>NASCIMENTO TRANSPORTES</t>
  </si>
  <si>
    <t>P25</t>
  </si>
  <si>
    <t>QUADRAP 89 LOTE 40</t>
  </si>
  <si>
    <t>NATEK NATUREZA E TECNOLOGIA, INDUSTRIA E COMERCIO DE PRODUTOS BIOTECNOLOGICOS LTDA</t>
  </si>
  <si>
    <t>NATEK</t>
  </si>
  <si>
    <t>EMPRESARIO WALDEMAR PEREIRA DO EGITO</t>
  </si>
  <si>
    <t>QUADRA209 LOTE 0699</t>
  </si>
  <si>
    <t>MANGABEIRA</t>
  </si>
  <si>
    <t>NATO RECURSOS HUMANOS E ESTAGIOS LTDA</t>
  </si>
  <si>
    <t>MONSENHOR VERAS</t>
  </si>
  <si>
    <t>APT 206</t>
  </si>
  <si>
    <t>NATULAB LABORATORIO S.A</t>
  </si>
  <si>
    <t>NATULAB MEDICAMENTOS</t>
  </si>
  <si>
    <t>JOSE ROCHA GALVAO</t>
  </si>
  <si>
    <t>GALPAOIII</t>
  </si>
  <si>
    <t>SALGADEIRA</t>
  </si>
  <si>
    <t>NATURA COSMETICOS S/A</t>
  </si>
  <si>
    <t>NATURA</t>
  </si>
  <si>
    <t>ALEXANDRE COLARES</t>
  </si>
  <si>
    <t>PQ ANHANGUERA</t>
  </si>
  <si>
    <t>NAUTILLUS CONSTRUCOES E COMERCIO LTDA</t>
  </si>
  <si>
    <t xml:space="preserve"> KM 2 5 CENTRO COMERCIAL MM502 SALA 102</t>
  </si>
  <si>
    <t>RECREIO IPITANGA</t>
  </si>
  <si>
    <t>NAUTILUS EQUIPAMENTOS INDUSTRIAIS LTDA</t>
  </si>
  <si>
    <t>PREFEITO GERALDO RAMOS GONCALVES</t>
  </si>
  <si>
    <t xml:space="preserve"> AREA 02</t>
  </si>
  <si>
    <t>TANQUE PRETO</t>
  </si>
  <si>
    <t>NAZARE PAULISTA</t>
  </si>
  <si>
    <t>NAVA SOCIEDADE INDIVIDUAL DE ADVOCACIA</t>
  </si>
  <si>
    <t>DR JOAO MENDES</t>
  </si>
  <si>
    <t>ANDAR 13 CONJ 1301</t>
  </si>
  <si>
    <t>NCC CERTIFICACOES DO BRASIL LTDA.</t>
  </si>
  <si>
    <t>OROSIMBO MAIA</t>
  </si>
  <si>
    <t>SALA 101A114 E 211A215</t>
  </si>
  <si>
    <t>NCG GASES LTDA</t>
  </si>
  <si>
    <t>LUIS DE OLIVEIRA LIMA</t>
  </si>
  <si>
    <t>4-64</t>
  </si>
  <si>
    <t>PARQUE PAULISTA</t>
  </si>
  <si>
    <t>NEC LATIN AMERICA S.A.</t>
  </si>
  <si>
    <t>BLOCO I ANDAR 15 CONJ 1051 AO 1056</t>
  </si>
  <si>
    <t>NELSON IRRIGACAO BRASIL LTDA.</t>
  </si>
  <si>
    <t>BENEDITA MANO SCHINCARIOL</t>
  </si>
  <si>
    <t>GALPAO100</t>
  </si>
  <si>
    <t>NEO STOCK BRASIL PRODUTOS PARA SAUDE LTDA.</t>
  </si>
  <si>
    <t>NEO STOCK BRASIL</t>
  </si>
  <si>
    <t>NEOENERGIA S.A</t>
  </si>
  <si>
    <t>DO FLAMENGO</t>
  </si>
  <si>
    <t>NEOVIA INFRAESTRUTURA RODOVIARIA LTDA</t>
  </si>
  <si>
    <t>NEOVIA CONSERVACAO</t>
  </si>
  <si>
    <t>BOM JESUS</t>
  </si>
  <si>
    <t>SALA 1001 ANDAR 10 COND AR 3000 - CABRAL COR</t>
  </si>
  <si>
    <t>NEOVIA SOLUTIONS BRASIL SERVICOS DE LOGISTICA LTDA.</t>
  </si>
  <si>
    <t>MADRID</t>
  </si>
  <si>
    <t>GALPAO14PARTEB</t>
  </si>
  <si>
    <t>NESTLE BRASIL LTDA.</t>
  </si>
  <si>
    <t>EDIF TORRE SIGMA ANDAR 19 AO 28</t>
  </si>
  <si>
    <t>NET BENEFICIOS LTDA</t>
  </si>
  <si>
    <t>ANDAR 19 SALA 196</t>
  </si>
  <si>
    <t>NET TELECOM INFORMATICA LTDA</t>
  </si>
  <si>
    <t>ARMANDO ITALO SETTI</t>
  </si>
  <si>
    <t>ANDAR 13 SALA 131</t>
  </si>
  <si>
    <t>BAETA NEVES</t>
  </si>
  <si>
    <t>NETAFIM BRASIL SISTEMAS E EQUIPAMENTOS DE IRRIGACAO LTDA.</t>
  </si>
  <si>
    <t>SALVADOR SCAGLIONI</t>
  </si>
  <si>
    <t>JARDIM ORESTES LOPES DE CAMARGO</t>
  </si>
  <si>
    <t>NETWORLD TELECOMUNICACOES DO BRASIL LTDA</t>
  </si>
  <si>
    <t>NWI TELECOM</t>
  </si>
  <si>
    <t>NETZSCH DO BRASIL INDUSTRIA E COMERCIO LTDA</t>
  </si>
  <si>
    <t>HERMANN WEEGE</t>
  </si>
  <si>
    <t>NEUROVIRTUAL TECHNOLOGIES COMERCIO DE PRODUTOS MEDICOS E SERVICOS LTDA</t>
  </si>
  <si>
    <t>RIO NOVO</t>
  </si>
  <si>
    <t>NEW DENTAL CARE LTDA</t>
  </si>
  <si>
    <t>NEW DENTAL CARE</t>
  </si>
  <si>
    <t>VISC DE INHOMERIM</t>
  </si>
  <si>
    <t>ANEXO 565</t>
  </si>
  <si>
    <t>NEW TURTLE INDUSTRIA E COMERCIO DE PECAS DE PLASTICOS E METAIS LTDA</t>
  </si>
  <si>
    <t>JSN</t>
  </si>
  <si>
    <t>IONEJI MATSUBAYASHI</t>
  </si>
  <si>
    <t>NEWLINE ILUMINACAO LTDA</t>
  </si>
  <si>
    <t>NEWLINE ILUMINACAO</t>
  </si>
  <si>
    <t>SONIA</t>
  </si>
  <si>
    <t>NEWMED PRODUTOS PARA SAUDE LTDA</t>
  </si>
  <si>
    <t>NEXA RECURSOS MINERAIS S.A.</t>
  </si>
  <si>
    <t>Produção de zinco em formas primárias</t>
  </si>
  <si>
    <t>BH/BRASILIA BR 040 KM 284,5</t>
  </si>
  <si>
    <t>CMM</t>
  </si>
  <si>
    <t>TRES MARIAS</t>
  </si>
  <si>
    <t>NEXT SEGURANCA E TECNOLOGIA LTDA</t>
  </si>
  <si>
    <t>NEXT SEGURANCA E TECNOLOGOGIA</t>
  </si>
  <si>
    <t>JONES MELO</t>
  </si>
  <si>
    <t>NARANDIBA</t>
  </si>
  <si>
    <t>NEXTI DESENVOLVIMENTO DE SISTEMAS S.A.</t>
  </si>
  <si>
    <t>NEXTI</t>
  </si>
  <si>
    <t>NG SOLAR LTDA</t>
  </si>
  <si>
    <t>NGC DISTRIBUIDORA DE GAS LTDA</t>
  </si>
  <si>
    <t>NGR CONSULTORIA EM INFORMATICA LTDA.</t>
  </si>
  <si>
    <t>NGR GLOBAL</t>
  </si>
  <si>
    <t>JOSE ROCHA BOMFIM</t>
  </si>
  <si>
    <t>BLOCO D SALA 221</t>
  </si>
  <si>
    <t>LOTEAMENTO CENTER SANTA GENEBRA</t>
  </si>
  <si>
    <t>NIAZI CHOHFI ARTEFATOS TEXTEIS LTDA.</t>
  </si>
  <si>
    <t>NIAZI CHOHFI</t>
  </si>
  <si>
    <t>VINTE E CINCO DE MARCO</t>
  </si>
  <si>
    <t>NICE BRASIL INDUSTRIA E COMERCIO DE ELETRONICOS E AUTOMACAO LTDA</t>
  </si>
  <si>
    <t>IRMA RITA</t>
  </si>
  <si>
    <t>LOTE 12 QUADRA06</t>
  </si>
  <si>
    <t>NIHON KOHDEN BRASIL IMPORTACAO, EXPORTACAO E COMERCIO DE EQUIPAMENTOS MEDICOS LTDA.</t>
  </si>
  <si>
    <t>JUPITER</t>
  </si>
  <si>
    <t>NILFISK EQUIPAMENTOS DE LIMPEZA LTDA</t>
  </si>
  <si>
    <t>JOSE ALVES DE OLIVEIRA</t>
  </si>
  <si>
    <t>NILKO TECNOLOGIA LTDA</t>
  </si>
  <si>
    <t>ANEXO 1472</t>
  </si>
  <si>
    <t>NIMBI S.A.</t>
  </si>
  <si>
    <t>NIPONPARTS COMERCIAL AUTOMOTIVA LTDA.</t>
  </si>
  <si>
    <t>CAMPISTA</t>
  </si>
  <si>
    <t>VILA ROSALIA</t>
  </si>
  <si>
    <t>NISSAN DO BRASIL AUTOMOVEIS LTDA</t>
  </si>
  <si>
    <t>ROSEIRA DE SAO SEBASTIAO</t>
  </si>
  <si>
    <t>NISSAN</t>
  </si>
  <si>
    <t>POLO INDUSTRIAL</t>
  </si>
  <si>
    <t>RESENDE</t>
  </si>
  <si>
    <t>NITERRA DO BRASIL LTDA.</t>
  </si>
  <si>
    <t>RODOVIA PROFESSOR ALFREDO ROLIM DE MOURA</t>
  </si>
  <si>
    <t>KM 61</t>
  </si>
  <si>
    <t>NOBEL DO BRASIL LTDA</t>
  </si>
  <si>
    <t>NOBEL MATRIZ</t>
  </si>
  <si>
    <t>SERRA NEGRA</t>
  </si>
  <si>
    <t>QUADRA03 LOTE 01B1</t>
  </si>
  <si>
    <t>EMPRESARIAL ANHANGUERA</t>
  </si>
  <si>
    <t>NOEM MEDICAL IMPORTACAO E EXPORTACAO DE PRODUTOS MEDICOS-HOSPITALARES LTDA</t>
  </si>
  <si>
    <t>NOEM MEDICAL</t>
  </si>
  <si>
    <t>PROFESSOR LUIZ AUGUSTO DE OLIVEIRA</t>
  </si>
  <si>
    <t>COND EDIFI AVENIDA PLAZA SALA 24</t>
  </si>
  <si>
    <t>CHACARA MONJOLINHO</t>
  </si>
  <si>
    <t>NOKIA SOLUTIONS AND NETWORKS DO BRASIL TELECOMUNICACOES LTDA.</t>
  </si>
  <si>
    <t>NOKIA SOLUTIONS AND NETWORKS DO BRASIL TELECOMUNICACOE</t>
  </si>
  <si>
    <t>TERREOPRE 19 ESPACOS 3 E 4</t>
  </si>
  <si>
    <t>NORA REFEICOES COLETIVAS LTDA</t>
  </si>
  <si>
    <t>NORA ALIMENTOS</t>
  </si>
  <si>
    <t>MUNICIPAL DO UNA</t>
  </si>
  <si>
    <t>NOSSA SENHORA DO PERPETUO SOCORRO</t>
  </si>
  <si>
    <t>NORBRASIL SANEAMENTO LTDA.</t>
  </si>
  <si>
    <t>HERBERT ALFRED LANDSBERGER</t>
  </si>
  <si>
    <t>NORDESTE MEDICAL, REPRESENTACAO, IMPORTACAO E EXPORTACAO DE PRODUTOS HOSPITALARES LTDA</t>
  </si>
  <si>
    <t>NORDESTE MEDICAL</t>
  </si>
  <si>
    <t>GENERAL GOES MONTEIRO</t>
  </si>
  <si>
    <t>NORDEX CONSULTORIA, ASSESSORIA E TREINAMENTO LTDA.</t>
  </si>
  <si>
    <t>PEREIRA BARRETO</t>
  </si>
  <si>
    <t>SALA 2006 ANDAR 20</t>
  </si>
  <si>
    <t>NORDEX ENERGY BRASIL - COMERCIO E INDUSTRIA DE EQUIPAMENTOS LTDA</t>
  </si>
  <si>
    <t>NORDEX ENERGY BRASIL</t>
  </si>
  <si>
    <t>NORDMARKET COMERCIO DE PRODUTOS HOSPITALARES LTDA</t>
  </si>
  <si>
    <t>NORDMARKET</t>
  </si>
  <si>
    <t>JOAO WALLIG</t>
  </si>
  <si>
    <t>SUBSL 03</t>
  </si>
  <si>
    <t>NORTEC QUIMICA S.A.</t>
  </si>
  <si>
    <t>NORTEC</t>
  </si>
  <si>
    <t>DEZESSETE</t>
  </si>
  <si>
    <t xml:space="preserve"> A B C D DISTRITO INDUSTRIAL</t>
  </si>
  <si>
    <t>MANTIQUIRA</t>
  </si>
  <si>
    <t>NORTHWARE COMERCIO E SERVICOS LTDA</t>
  </si>
  <si>
    <t>NORTHWARE</t>
  </si>
  <si>
    <t>SCN QUADRA 1 N 79</t>
  </si>
  <si>
    <t>BLOCO F SALA 1410 A A 1414 EDIF AMERICA OFFICE TOWER</t>
  </si>
  <si>
    <t>NORTON LTDA</t>
  </si>
  <si>
    <t>NORTON</t>
  </si>
  <si>
    <t>CORONEL MORAIS</t>
  </si>
  <si>
    <t>CANINDÉ</t>
  </si>
  <si>
    <t>NOSSA SERVICO TEMPORARIO E GESTAO DE PESSOAS LTDA</t>
  </si>
  <si>
    <t>RH NOSSA</t>
  </si>
  <si>
    <t>LAMENHA LINS</t>
  </si>
  <si>
    <t>NOVA ABC COLETA DE RESIDUOS LTDA</t>
  </si>
  <si>
    <t>NOVA ABC</t>
  </si>
  <si>
    <t>ALDA</t>
  </si>
  <si>
    <t>NOVA CITTAMOBI DESENVOLVIMENTO EM TECNOLOGIA LTDA</t>
  </si>
  <si>
    <t>CONJ 242 E 244</t>
  </si>
  <si>
    <t>NOVA MEDICA COMERCIO E IMPORTACAO DE PRODUTOS PARA SAUDE LTDA</t>
  </si>
  <si>
    <t>NOVA MEDICA HEALTH SOLUTIONS</t>
  </si>
  <si>
    <t>HAROLDO VELOSO</t>
  </si>
  <si>
    <t xml:space="preserve"> JD UBERABA L 527CDE QD U</t>
  </si>
  <si>
    <t>TAPANA</t>
  </si>
  <si>
    <t>NOVA S.A.</t>
  </si>
  <si>
    <t>NOVAMAX ESTACIONAMENTOS LTDA.</t>
  </si>
  <si>
    <t>FERNANDO FERRARI</t>
  </si>
  <si>
    <t>GOIABEIRAS</t>
  </si>
  <si>
    <t>NOVARTIS BIOCIENCIAS SA</t>
  </si>
  <si>
    <t>PROFESSOR VICENTE RAO 90</t>
  </si>
  <si>
    <t>NOVITA RESTAURANTES LTDA</t>
  </si>
  <si>
    <t>CAPITAO CASSIANO RICARDO DE TOLEDO</t>
  </si>
  <si>
    <t>SALA 1215</t>
  </si>
  <si>
    <t>CHACARA URBANA</t>
  </si>
  <si>
    <t>NOVO NORDISK FARMACEUTICA DO BRASIL LTDA</t>
  </si>
  <si>
    <t>ANDAR 1 CONJ B101</t>
  </si>
  <si>
    <t>NOVO NORDISK PRODUCAO FARMACEUTICA DO BRASIL LTDA.</t>
  </si>
  <si>
    <t>NP TECNOLOGIA E GESTAO DE DADOS LTDA</t>
  </si>
  <si>
    <t>NP TECNOLOGIA</t>
  </si>
  <si>
    <t>IZABEL A REDENTORA</t>
  </si>
  <si>
    <t>EDIF LOEWEN SALA 117</t>
  </si>
  <si>
    <t>NS KOTE TECNOLOGIA E INVESTIMENTOS LTDA</t>
  </si>
  <si>
    <t>BLOCO A SALA 31</t>
  </si>
  <si>
    <t>NSA TECNOLOGIA E INOVACOES LTDA</t>
  </si>
  <si>
    <t>NSA TECNOLOGIA</t>
  </si>
  <si>
    <t>FRANCISCO NUNES</t>
  </si>
  <si>
    <t>NSA V.A. SERVICOS LTDA</t>
  </si>
  <si>
    <t>NSA SEMPRE QUALI</t>
  </si>
  <si>
    <t>HENRIQUETA MENDES GUERRA</t>
  </si>
  <si>
    <t>CONJ 124</t>
  </si>
  <si>
    <t>NSGROUP PARTICIPACOES SOCIETARIAS LTDA</t>
  </si>
  <si>
    <t>NICOLAS MORENO MUNHOZ</t>
  </si>
  <si>
    <t>2-50</t>
  </si>
  <si>
    <t>JARDIM CONTORNO</t>
  </si>
  <si>
    <t>NUBE NUCLEO BRASILEIRO DE ESTAGIOS LTDA</t>
  </si>
  <si>
    <t>BR DE ITAPETININGA</t>
  </si>
  <si>
    <t>SALA 24 ANDAR 2</t>
  </si>
  <si>
    <t>NUCLEO DE ESPECIALIDADES APLICADAS EM SERVICOS E COMERCIO DE PRODUTOS MEDICOS LTDA</t>
  </si>
  <si>
    <t>N E A</t>
  </si>
  <si>
    <t>FRANCISCO DE MORAIS</t>
  </si>
  <si>
    <t>NUTRIENTES MED DISTRIBUIDORA DE MEDICAMENTOS LTDA</t>
  </si>
  <si>
    <t>NUTRIENTES MED</t>
  </si>
  <si>
    <t>ANEL VIARIO</t>
  </si>
  <si>
    <t>LOTE TERRENO 4 QUATRO</t>
  </si>
  <si>
    <t>MARACANAU</t>
  </si>
  <si>
    <t>NUTRIEX INDUSTRIA DE COSMETICOS LTDA</t>
  </si>
  <si>
    <t>NUTRIEX</t>
  </si>
  <si>
    <t>5, C / RUA 6, C/ RUA 4, C/RUA7</t>
  </si>
  <si>
    <t>QUADRAAR01 LOTE 0C GALPAO01</t>
  </si>
  <si>
    <t>SETOR ARAGUAIA</t>
  </si>
  <si>
    <t>NUTRIPHARMA FARMACIA DE MANIPULACAO E DROGARIA LTDA</t>
  </si>
  <si>
    <t>REDENCAO</t>
  </si>
  <si>
    <t>NUTRIPORT COMERCIAL LTDA.</t>
  </si>
  <si>
    <t>NUTRIPORT</t>
  </si>
  <si>
    <t>GALPAO13 E 14</t>
  </si>
  <si>
    <t>VILA RIBEIRO DE BARROS</t>
  </si>
  <si>
    <t>NUTRITION COMERCIO DE PRODUTOS ALIMENTICIOS LTDA</t>
  </si>
  <si>
    <t>BIOEXATA SUPLEMENTOS</t>
  </si>
  <si>
    <t>MARIO YPIRANGA</t>
  </si>
  <si>
    <t>ADRIANOPOLIS</t>
  </si>
  <si>
    <t>O FAZENDAO COMERCIO DE MATERIAIS DE CONSTRUCAO LTDA</t>
  </si>
  <si>
    <t>O FAZENDAO MATERIAL DE CONSTRUCAO</t>
  </si>
  <si>
    <t>ENGENHEIRO RAYMUNDO CARLOS NERY</t>
  </si>
  <si>
    <t>CAJAZEIRA X</t>
  </si>
  <si>
    <t>OBER SA INDUSTRIA E COMERCIO</t>
  </si>
  <si>
    <t>OBER</t>
  </si>
  <si>
    <t>INDUSTRIAL OSCAR BERGGREN</t>
  </si>
  <si>
    <t>PARQUE INDUSTRIAL RECANTO</t>
  </si>
  <si>
    <t>OBJETIVA DIST.IMPORT.E EXPORT.LTDA</t>
  </si>
  <si>
    <t>OBJETIVA DISTRIBUIDORA</t>
  </si>
  <si>
    <t>SECUNDARIA 3 (DISTRITO INDUSTRIAL)</t>
  </si>
  <si>
    <t>QUADRA: 5; LOTE: 19 E 20;</t>
  </si>
  <si>
    <t>OBRADEC REVESTIMENTOS LTDA</t>
  </si>
  <si>
    <t>OBRADEC REVESTIMENTOS</t>
  </si>
  <si>
    <t>MATEUS JUNQUEIRA</t>
  </si>
  <si>
    <t>OBSERVATORIO SOCIAL DO BRASIL - JUNDIAI/SP</t>
  </si>
  <si>
    <t>OSJUNDIAI</t>
  </si>
  <si>
    <t>RANGEL PESTANA 533</t>
  </si>
  <si>
    <t>ODEBRECHT ENGENHARIA E CONSTRUCAO S.A. EM RECUPERACAO JUDICIAL</t>
  </si>
  <si>
    <t>ANDAR 4 - PARTE V CONJ 44 EDIF B1- AROEIRA</t>
  </si>
  <si>
    <t>OFFICE SERVICE TERCEIRIZACAO DE MAO DE OBRA LTDA</t>
  </si>
  <si>
    <t>GRUPO DAMASCENO</t>
  </si>
  <si>
    <t>44 B</t>
  </si>
  <si>
    <t>OI S.A. - EM RECUPERACAO JUDICIAL</t>
  </si>
  <si>
    <t>OI</t>
  </si>
  <si>
    <t>DO LAVRADIO</t>
  </si>
  <si>
    <t>OLEAK INDUSTRIA E COMERCIO LTDA</t>
  </si>
  <si>
    <t>OLEAK</t>
  </si>
  <si>
    <t>RONDONIA</t>
  </si>
  <si>
    <t>JARDIM MARIA TEREZA</t>
  </si>
  <si>
    <t>OLIDEF CZ IND E COM DE APARELHOS HOSPITALARES LTDA</t>
  </si>
  <si>
    <t>PATRIARCA</t>
  </si>
  <si>
    <t>PARQUE RIBEIRAO PRETO</t>
  </si>
  <si>
    <t>OLISERV PRESTACAO DE SERVICOS LTDA</t>
  </si>
  <si>
    <t>OLISERV</t>
  </si>
  <si>
    <t>NOVA GUAIANAZES</t>
  </si>
  <si>
    <t>CASA 3</t>
  </si>
  <si>
    <t>GUAIANAZES</t>
  </si>
  <si>
    <t>OLMIR IORIS &amp; CIA LTDA</t>
  </si>
  <si>
    <t>OLMI ELETRODOMESTICOS</t>
  </si>
  <si>
    <t>116 N</t>
  </si>
  <si>
    <t>SETOR 02 LOTE RT1D QUADRA02</t>
  </si>
  <si>
    <t>MODULO 02</t>
  </si>
  <si>
    <t>JUINA</t>
  </si>
  <si>
    <t>OLSEN INDUSTRIA E COMERCIO SA</t>
  </si>
  <si>
    <t>OLSEN SA</t>
  </si>
  <si>
    <t>IVO LUCHI</t>
  </si>
  <si>
    <t>OLYMPUS OPTICAL DO BRASIL LTDA.</t>
  </si>
  <si>
    <t>OLYMPUS</t>
  </si>
  <si>
    <t>CAPITAO ANTONIO ROSA</t>
  </si>
  <si>
    <t>ANDAR 3 SALA 316</t>
  </si>
  <si>
    <t>OMEGA ENGENHARIA E AUTOMACAO INDUSTRIAL LTDA</t>
  </si>
  <si>
    <t>OMEGA SERVICOS DE ENGENHARIA E AUTOMACAO</t>
  </si>
  <si>
    <t>WALTER HORATIO PATER</t>
  </si>
  <si>
    <t>OMNILINK TECNOLOGIA S.A.</t>
  </si>
  <si>
    <t>OMNILINK</t>
  </si>
  <si>
    <t>ANDAR 13 SALA 1301 E 1304</t>
  </si>
  <si>
    <t>ONCOVIT DISTRIBUIDORA DE MEDICAMENTOS LTDA</t>
  </si>
  <si>
    <t>JOSE VIVACQUA</t>
  </si>
  <si>
    <t>JABOUR</t>
  </si>
  <si>
    <t>ONDREPSB-SERVICO DE GUARDA E VIGILANCIA LTDA</t>
  </si>
  <si>
    <t>HERCILIO LUZ</t>
  </si>
  <si>
    <t>ONGC CAMPOS LTDA.</t>
  </si>
  <si>
    <t xml:space="preserve"> SALAS 518 E 519 BLOCO 1</t>
  </si>
  <si>
    <t>ONZE E ONZE INTERMEDIACAO E VENDAS LTDA</t>
  </si>
  <si>
    <t>AVILA E GHETTI</t>
  </si>
  <si>
    <t>APT 102 B</t>
  </si>
  <si>
    <t>ONZE ENERGIA LTDA</t>
  </si>
  <si>
    <t>ONZE ENERGIA</t>
  </si>
  <si>
    <t>SHIS QI 26 BLOCO B SALA</t>
  </si>
  <si>
    <t>SETOR DE HABITACOES INDIVIDUAIS SUL</t>
  </si>
  <si>
    <t>OPENPORT SISTEMAS LTDA</t>
  </si>
  <si>
    <t>OPENPORT</t>
  </si>
  <si>
    <t>EDIF TRADE CENTER SALA 818-820-822 E 824</t>
  </si>
  <si>
    <t>OPERATOR ASSESSORIA E ANALISES AMBIENTAIS LTDA.</t>
  </si>
  <si>
    <t>OPERATOR</t>
  </si>
  <si>
    <t>ITAFARMA</t>
  </si>
  <si>
    <t>JD DO RIO COTIA</t>
  </si>
  <si>
    <t>OPHTALMED DISTRIBUIDORA LTDA</t>
  </si>
  <si>
    <t>OPHTALMED DISTRIBUIDORA</t>
  </si>
  <si>
    <t>JOAO DE MAGALHAES</t>
  </si>
  <si>
    <t>PASSO DA AREIA</t>
  </si>
  <si>
    <t>OPTEK - INDUSTRIA, COMERCIO, IMPORTACAO E EXPORTACAO DE PRODUTOS METALURGICOS LTDA</t>
  </si>
  <si>
    <t>OPTEK</t>
  </si>
  <si>
    <t>GUACARI</t>
  </si>
  <si>
    <t>ANEXO 1 TERREO1 E 2 ANDAR</t>
  </si>
  <si>
    <t>OPTIBUS BRASIL SISTEMAS E SOLUCOES EM TRANSPORTE LTDA</t>
  </si>
  <si>
    <t>DAS MARGARIDAS</t>
  </si>
  <si>
    <t>OPUS MEDICAL ENGENHARIA HOSPITALAR LTDA</t>
  </si>
  <si>
    <t>RIO PARANAPANEMA</t>
  </si>
  <si>
    <t>OPUSPAC INDUSTRIA E COMERCIO DE MAQUINAS LTDA</t>
  </si>
  <si>
    <t>HUMBERTO PELA</t>
  </si>
  <si>
    <t>LEITAO</t>
  </si>
  <si>
    <t>OQTIS INDUSTRIA DE EQUIPAMENTOS HOSPITALARES LTDA</t>
  </si>
  <si>
    <t>AREA RURAL DE FARROUPILHA</t>
  </si>
  <si>
    <t>ORGANON FARMACEUTICA LTDA.</t>
  </si>
  <si>
    <t>ORGANON</t>
  </si>
  <si>
    <t>JARDIM MARTINELLI SOUSAS</t>
  </si>
  <si>
    <t>ORIENTEME SERVICOS DE TECNOLOGIA S.A.</t>
  </si>
  <si>
    <t>ORIENTEME</t>
  </si>
  <si>
    <t>2143591.5</t>
  </si>
  <si>
    <t>CONJ 1103</t>
  </si>
  <si>
    <t>ORION MATRIZES LTDA</t>
  </si>
  <si>
    <t>ORION MATRIZES</t>
  </si>
  <si>
    <t>JOSE SASSI</t>
  </si>
  <si>
    <t>ORION SERVICOS DE INSPECAO E CONSULTORIA LTDA</t>
  </si>
  <si>
    <t>ORION INSPECOES E CONSULTORIA</t>
  </si>
  <si>
    <t>DO FUNDAO</t>
  </si>
  <si>
    <t xml:space="preserve"> RUA HELIO DE ALMEIDA 0 PREDIO 3 INCUBADORA DE EMPRESAS COPPE/UFRJ</t>
  </si>
  <si>
    <t>CIDADE UNIVERSITARIA</t>
  </si>
  <si>
    <t>ORLANDO RAMIRES EMBALAGENS</t>
  </si>
  <si>
    <t>ORLANDO RAMIRES EMBALAGENS - ME</t>
  </si>
  <si>
    <t>GUAIAUNA</t>
  </si>
  <si>
    <t>ORMAZABAL DO BRASIL EQUIPAMENTOS DE DISTRIBUICAO DE ENERGIA ELETRICA LTDA</t>
  </si>
  <si>
    <t>ORMAZABAL DO BRASIL</t>
  </si>
  <si>
    <t>ANDAR 15 CONJ 151 E 152</t>
  </si>
  <si>
    <t>ORNAGUE CONSTRUTORA E SERVICOS LTDA</t>
  </si>
  <si>
    <t>CONSTRUTORA ORNAGUE</t>
  </si>
  <si>
    <t>ADVOGADO DOUTOR NILO MACHADO</t>
  </si>
  <si>
    <t>ORTEGEL TELECOM - COMERCIO DE TELEFONIA E INFORMATICA LTDA</t>
  </si>
  <si>
    <t>GASPARINO LUNARDI</t>
  </si>
  <si>
    <t>VILA QUITAUNA</t>
  </si>
  <si>
    <t>ORTHO PAUHER INDUSTRIA COMERCIO E DISTRIBUICOES LTDA</t>
  </si>
  <si>
    <t>BANDEIRANTE</t>
  </si>
  <si>
    <t xml:space="preserve"> EDIF ESPECIAL 94 ANEXO 82 104 ESQUERDA 515 A B C AV SAO MIGUEL FUNDOS 112 RUA DE DESPACHOS</t>
  </si>
  <si>
    <t>AFOGADOS</t>
  </si>
  <si>
    <t>ORTOART MATERIAIS CIRURGICOS LTDA</t>
  </si>
  <si>
    <t>ORTOART MATERIAIS CIRURGICOS</t>
  </si>
  <si>
    <t>WINSTON CHURCHILL</t>
  </si>
  <si>
    <t>CONJ 208 ANDAR 02 COND CONDOMINIO PIEMONTE BLOCO ALA PIEMONTE VERSATI</t>
  </si>
  <si>
    <t>CAPAO RASO</t>
  </si>
  <si>
    <t>ORTOSINTESE INDUSTRIA E COMERCIO LTDA</t>
  </si>
  <si>
    <t>PROF AFFONSO JOSE FIORAVANTI</t>
  </si>
  <si>
    <t>LOTEAMENTO CITY JARAGUA</t>
  </si>
  <si>
    <t>ORTOVEL VEICULOS E PECAS LTDA</t>
  </si>
  <si>
    <t>ORTOVEL</t>
  </si>
  <si>
    <t>PQ. INDL LAGOINHA</t>
  </si>
  <si>
    <t>OSASMAC COMERCIO DE PECAS E SERVICOS LTDA</t>
  </si>
  <si>
    <t>SERGIO PORTO</t>
  </si>
  <si>
    <t>VILA FINZETTO</t>
  </si>
  <si>
    <t>OSMAR MAXIMO SEVERINO</t>
  </si>
  <si>
    <t>MAXIMO PROFIT</t>
  </si>
  <si>
    <t>ALDO GIANINI</t>
  </si>
  <si>
    <t>FUNDOSFUNDOS</t>
  </si>
  <si>
    <t>VILA NOVA CURUCA</t>
  </si>
  <si>
    <t>OSRAM COMERCIO DE SOLUCOES DE ILUMINACAO LTDA.</t>
  </si>
  <si>
    <t>ANDAR 8 - TORRE 1 SALA 815 E 886 EDIF JACARANDA</t>
  </si>
  <si>
    <t>OTONI SEGURANCA E SERVICOS LTDA</t>
  </si>
  <si>
    <t>OTONI SEGURANCA E SERVICOS</t>
  </si>
  <si>
    <t>CONSELHEIRO JOSE FERNANDES</t>
  </si>
  <si>
    <t>OTTOBOCK INDUSTRIA, COMERCIO, IMPORTACAO E EXPORTACAO DE PRODUTOS ORTOPEDICOS E CADEIRAS DE RODAS LTDA</t>
  </si>
  <si>
    <t>MARIA TEREZA</t>
  </si>
  <si>
    <t>OURO FINO TECNOLOGIAS AMBIENTAIS LTDA</t>
  </si>
  <si>
    <t>ANTENOR GENIZELLI FILHO</t>
  </si>
  <si>
    <t>DISR. INDL. E COML. FLAMINIO DE FREITAS LEVY</t>
  </si>
  <si>
    <t>CORDEIROPOLIS</t>
  </si>
  <si>
    <t>OUROFINO S.A.</t>
  </si>
  <si>
    <t>Comércio atacadista de medicamentos e drogas de uso veterinário</t>
  </si>
  <si>
    <t>ANHANGUERA SP 330, SP 298</t>
  </si>
  <si>
    <t>SETOR OUROFINO S.A. BLOCO C ANDAR 2</t>
  </si>
  <si>
    <t>OUTOTEC TECNOLOGIA BRASIL LTDA</t>
  </si>
  <si>
    <t>OUTOTEC BRASIL</t>
  </si>
  <si>
    <t>LMG 841 KM 18</t>
  </si>
  <si>
    <t>VOLTA GRANDE</t>
  </si>
  <si>
    <t>NAZARENO</t>
  </si>
  <si>
    <t>OX GEARS COMERCIO DE ARTIGOS MILITARES LTDA</t>
  </si>
  <si>
    <t>OX GEARS</t>
  </si>
  <si>
    <t>CENTRAL AREA ESPECIAL 19</t>
  </si>
  <si>
    <t>BLOCO J/K SALA 109 PARTE B</t>
  </si>
  <si>
    <t>OXY-SYSTEM EQUIPAMENTOS MEDICOS LTDA.</t>
  </si>
  <si>
    <t>PDE MACHADO</t>
  </si>
  <si>
    <t>BOSQUE DA SAUDE</t>
  </si>
  <si>
    <t>OXYMED COMERCIO E LOCACAO DE EQUIPAMENTOS MEDICO HOSPITALARES S.A</t>
  </si>
  <si>
    <t>GUSTAVO DA SILVEIRA</t>
  </si>
  <si>
    <t>QUADRA16</t>
  </si>
  <si>
    <t>VILA SANTA CATARINA</t>
  </si>
  <si>
    <t>OXYNOBRE GASES INDUSTRIAIS LTDA</t>
  </si>
  <si>
    <t>OXYNOBRE GASES INDUSTRIAIS</t>
  </si>
  <si>
    <t>PRIMARIA 1</t>
  </si>
  <si>
    <t>QUADRA3 LOTE 14 A 21 E 49 A 56</t>
  </si>
  <si>
    <t>DISTRITO AGROINDUSTRIAL DE ITUMBIARA - DIAGRI</t>
  </si>
  <si>
    <t>OZLI DO BRASIL ILUMINACAO LTDA.</t>
  </si>
  <si>
    <t>Comércio atacadista de lustres, luminárias e abajures</t>
  </si>
  <si>
    <t>PARAISO (POLVILHO)</t>
  </si>
  <si>
    <t>P &amp; B DIGITAL COMERCIO E SERVICOS LTDA</t>
  </si>
  <si>
    <t>P &amp; B DIGITAL</t>
  </si>
  <si>
    <t>GAL MAC ARTHUR</t>
  </si>
  <si>
    <t>VILA LAGEADO</t>
  </si>
  <si>
    <t>P.Q.A. PRODUTOS QUIMICOS ARACRUZ S/A</t>
  </si>
  <si>
    <t>ZRGP II</t>
  </si>
  <si>
    <t xml:space="preserve"> CENTRO EMPRESARIAL GALPAO I</t>
  </si>
  <si>
    <t>VILA DO RIACHO</t>
  </si>
  <si>
    <t>P.T.I. CONEXOES LTDA</t>
  </si>
  <si>
    <t>VEREADOR ANTONIO DE CASTRO</t>
  </si>
  <si>
    <t>BRCAO 493/494/506/518</t>
  </si>
  <si>
    <t>LOTEAMENTO NOVA ESPIRITO SANTO</t>
  </si>
  <si>
    <t>PACAEMBU AUTOPECAS LTDA</t>
  </si>
  <si>
    <t>WALFRIDO DE GRAMMONT</t>
  </si>
  <si>
    <t>PACAEMBU CONSTRUTORA S.A.</t>
  </si>
  <si>
    <t>PACIFIC BANK BRAZIL S.A.</t>
  </si>
  <si>
    <t xml:space="preserve"> BLC 2 SAL 0209</t>
  </si>
  <si>
    <t>PACIFICO ENERGIA VAREJISTA LTDA</t>
  </si>
  <si>
    <t>PACIFICO ENERGIA</t>
  </si>
  <si>
    <t>PACKSEVEN - INDUSTRIA E COMERCIO LTDA</t>
  </si>
  <si>
    <t>PACKSEVEN</t>
  </si>
  <si>
    <t>BARAO DE MAUA</t>
  </si>
  <si>
    <t>PARQUE INDUSTRIAL GETULIO VARGAS</t>
  </si>
  <si>
    <t>PADO S/A INDUSTRIAL, COMERCIAL E IMPORTADORA</t>
  </si>
  <si>
    <t>PADO S/A</t>
  </si>
  <si>
    <t>ANDAR 8 CONJ 81 SALA 815</t>
  </si>
  <si>
    <t>PAIVA LIMA SERVICOS ESPECIALIZADOS EM LIMPEZA LTDA</t>
  </si>
  <si>
    <t>CAUAXI</t>
  </si>
  <si>
    <t>PAN MEDICA ADMINIST MEDICA E COMERCIAL LTDA</t>
  </si>
  <si>
    <t>PAN MEDICA</t>
  </si>
  <si>
    <t>9 AND CJ 910</t>
  </si>
  <si>
    <t>PANASONIC DO BRASIL LIMITADA</t>
  </si>
  <si>
    <t>EDUARDO GOMES PINTO</t>
  </si>
  <si>
    <t xml:space="preserve"> AREA A</t>
  </si>
  <si>
    <t>PONTE ALTA</t>
  </si>
  <si>
    <t>PANDROL INDUSTRIA E SOLUCOES FERROVIARIAS LTDA</t>
  </si>
  <si>
    <t>PANDROL SOUTH AMERICA</t>
  </si>
  <si>
    <t>DAS INDUSTRIAS (CRUZEIRO)</t>
  </si>
  <si>
    <t>PANDURATA ALIMENTOS LTDA</t>
  </si>
  <si>
    <t>FRITZ REIMANN</t>
  </si>
  <si>
    <t>PANORAMA COMERCIO DE PRODUTOS MEDICOS E FARMACEUTICOS LTDA</t>
  </si>
  <si>
    <t>PANORAMA</t>
  </si>
  <si>
    <t>PRESIDENTE COSTA E SILVA</t>
  </si>
  <si>
    <t>MONDUBIM</t>
  </si>
  <si>
    <t>PANTANAL GESTAO E TECNOLOGIA LTDA</t>
  </si>
  <si>
    <t>PANTANAL TECNOLOGIA</t>
  </si>
  <si>
    <t>PROFESSORA TEREZA LOBO (LOT CONSIL)</t>
  </si>
  <si>
    <t>QUADRA02 SALA 02-04-05-06-07-09-10</t>
  </si>
  <si>
    <t>PAPELARIA ATLASLTDA</t>
  </si>
  <si>
    <t>PAQUES BRASIL SISTEMAS PARA TRATAMENTO DE EFLUENTES LTDA</t>
  </si>
  <si>
    <t>FRANCISCO CARLOS DE CASTRO NEVES</t>
  </si>
  <si>
    <t>PARADIGMA BUSINESS SOLUTIONS LTDA</t>
  </si>
  <si>
    <t>JOSE CARLOS DAUX SC 401</t>
  </si>
  <si>
    <t>CONJ 01 BLOCO 07</t>
  </si>
  <si>
    <t>SANTO ANTONIO DE LISBOA</t>
  </si>
  <si>
    <t>PARASON MACHINERY (INDIA) PRIVATE LIMITED.</t>
  </si>
  <si>
    <t>PARASON MACHINE</t>
  </si>
  <si>
    <t>28, CASA PARASON, VENKATESH NAGAR,</t>
  </si>
  <si>
    <t>JALNA ROAD, AURANGABA</t>
  </si>
  <si>
    <t>AURANGABAD</t>
  </si>
  <si>
    <t>PARKER HANNIFIN INDUSTRIA E COMERCIO LTDA</t>
  </si>
  <si>
    <t>JOEL DE PAULA</t>
  </si>
  <si>
    <t>EUGENIO DE MELLO</t>
  </si>
  <si>
    <t>PARKS SA COMUNICACOES DIGITAIS</t>
  </si>
  <si>
    <t>QUADRAC</t>
  </si>
  <si>
    <t>PARTNER ENGENHARIA &amp; GERENCIAMENTO LTDA</t>
  </si>
  <si>
    <t>CONJ: 909;</t>
  </si>
  <si>
    <t>PASCHOAL COMERCIO DE PRODUTOS E SERVICOS LTDA</t>
  </si>
  <si>
    <t>LICITASUL</t>
  </si>
  <si>
    <t>SANTA FE ALTA</t>
  </si>
  <si>
    <t xml:space="preserve"> SC 163 KM 117</t>
  </si>
  <si>
    <t>ITAPIRANGA</t>
  </si>
  <si>
    <t>PASSALACQUA &amp; CIA LTDA</t>
  </si>
  <si>
    <t>GENERAL CELSO DE MELLO REZENDE</t>
  </si>
  <si>
    <t>ANEXO .</t>
  </si>
  <si>
    <t>PARQUE INDUSTRIAL LAGOINHA</t>
  </si>
  <si>
    <t>PASSALACQUA INDUSTRIA E COMERCIO LTDA</t>
  </si>
  <si>
    <t>Fabricação de colchões</t>
  </si>
  <si>
    <t>PERU</t>
  </si>
  <si>
    <t>PASSARELLI ENGENHARIA E CONSTRUCAO LTDA.</t>
  </si>
  <si>
    <t>PASTRE IMPLEMENTOS RODOVIARIOS LTDA</t>
  </si>
  <si>
    <t>BR 116 KM 74</t>
  </si>
  <si>
    <t>QUATRO BARRAS</t>
  </si>
  <si>
    <t>PAT TRAFFIC - SISTEMAS DE TRANSPORTE INTELIGENTE LTDA</t>
  </si>
  <si>
    <t>2384068.5</t>
  </si>
  <si>
    <t>DR. JESUINO MACIEL</t>
  </si>
  <si>
    <t>PAULISER PECAS E ACESSORIOS LTDA</t>
  </si>
  <si>
    <t>PAULISER AUTO PECAS</t>
  </si>
  <si>
    <t>ROSALI</t>
  </si>
  <si>
    <t>VILA MARANDUBA</t>
  </si>
  <si>
    <t>PAULISTA OBRAS E PAVIMENTACAO LTDA</t>
  </si>
  <si>
    <t>RICARDO DE LEMOS</t>
  </si>
  <si>
    <t>SILVEIRA</t>
  </si>
  <si>
    <t>PAULO R.CAPUTTI - UTILIDADES DOMESTICAS</t>
  </si>
  <si>
    <t>MARILLAR</t>
  </si>
  <si>
    <t>PAVIDEZ ENGENHARIA LTDA</t>
  </si>
  <si>
    <t>PAVIDEZ</t>
  </si>
  <si>
    <t>VEREADOR DR. ANTERO VERISSIMO DA COSTA</t>
  </si>
  <si>
    <t>JARDIM ALTAMIRA</t>
  </si>
  <si>
    <t>MUZAMBINHO</t>
  </si>
  <si>
    <t>PAVION DO BRASIL NANO TECNOLOGIA LTDA</t>
  </si>
  <si>
    <t>PAVION SOLUCOES TECNOLOGICAS</t>
  </si>
  <si>
    <t>04 LOTE</t>
  </si>
  <si>
    <t>PARQUE SANTA RITA DE CASSIA</t>
  </si>
  <si>
    <t>VALPARAISO DE GOIAS</t>
  </si>
  <si>
    <t>PAY LESS VIAGENS E TURISMO LTDA</t>
  </si>
  <si>
    <t>PAY LESS</t>
  </si>
  <si>
    <t>MADEIRA DE FREITAS</t>
  </si>
  <si>
    <t>PRAIA DO CANTO</t>
  </si>
  <si>
    <t>PAYPER DO BRASIL TECNOLOGIA DE ENSAQUE E COMERCIO DE MAQUINAS E EQUIPAMENTOS LTDA</t>
  </si>
  <si>
    <t>PAYPER DO BRASIL</t>
  </si>
  <si>
    <t>THOMEKITI KIRA</t>
  </si>
  <si>
    <t>CONJ 119</t>
  </si>
  <si>
    <t>PDV DESIGN SERVICES LTDA</t>
  </si>
  <si>
    <t>Design de produto</t>
  </si>
  <si>
    <t>SALA 57</t>
  </si>
  <si>
    <t>PE COM PE CALCADOS LTDA</t>
  </si>
  <si>
    <t>MANOEL COTTAS DE AZEVEDO</t>
  </si>
  <si>
    <t>71/91</t>
  </si>
  <si>
    <t>JARDIM KLAYTON</t>
  </si>
  <si>
    <t>PELEGRINI &amp; RODRIGUES AUDITORES INDEPENDENTES S/S</t>
  </si>
  <si>
    <t>BANCARIO SUL - EDIFICIO PRIME BUSINESS CONVENIENCE</t>
  </si>
  <si>
    <t>QUADRA02 BLOCO E NUMERO 12 SALA 601</t>
  </si>
  <si>
    <t>SETOR BANCARIO SUL</t>
  </si>
  <si>
    <t>PELLAH ALIMENTOS LTDA</t>
  </si>
  <si>
    <t>PELLAH ALIMENTOS</t>
  </si>
  <si>
    <t>LAUREANO GARCIA</t>
  </si>
  <si>
    <t>2-76</t>
  </si>
  <si>
    <t>DIST.IND.MARCUS VINICIUS FELIX MACHADO</t>
  </si>
  <si>
    <t>PELLICIA COMERCIO E SERVICOS DE REFRIGERACAO E AR CONDICIONADO LTDA</t>
  </si>
  <si>
    <t>CAPITAO JOAO RAMOS</t>
  </si>
  <si>
    <t>JARDIM VILA FORMOSA</t>
  </si>
  <si>
    <t>PENASCAL ENGENHARIA E CONSTRUCAO LTDA</t>
  </si>
  <si>
    <t>SALA 406</t>
  </si>
  <si>
    <t>ENSEADA</t>
  </si>
  <si>
    <t>PENSALAB EQUIPAMENTOS INDUSTRIAIS S.A.</t>
  </si>
  <si>
    <t>PEPSICO DO BRASIL LTDA</t>
  </si>
  <si>
    <t>ANDAR 7 CONJ 1</t>
  </si>
  <si>
    <t>PERKINELMER DO BRASIL ANALITICA LTDA</t>
  </si>
  <si>
    <t>SAMARITA</t>
  </si>
  <si>
    <t>PEROXIDOS DO BRASIL LTDA</t>
  </si>
  <si>
    <t>JOAO LUNARDELLI</t>
  </si>
  <si>
    <t>PERTECH DO BRASIL LTDA.</t>
  </si>
  <si>
    <t>PERTECH DO BRASIL LTDA</t>
  </si>
  <si>
    <t>Fabricação de resinas termofixas</t>
  </si>
  <si>
    <t>PERTO S A PERIFERICOS PARA AUTOMACAO</t>
  </si>
  <si>
    <t>PETRANOVA SANEAMENTO E CONSTRUCOES LTDA</t>
  </si>
  <si>
    <t>DOS MIGRANTES</t>
  </si>
  <si>
    <t>PARQUE MEIA LUA</t>
  </si>
  <si>
    <t>PETROLEO BRASILEIRO S A PETROBRAS</t>
  </si>
  <si>
    <t>PETROBRAS - EDISE</t>
  </si>
  <si>
    <t>Fabricação de produtos do refino de petróleo</t>
  </si>
  <si>
    <t>PETRONAS LUBRIFICANTES BRASIL S.A</t>
  </si>
  <si>
    <t>PETRONAS LUBRICANTS BRAZIL</t>
  </si>
  <si>
    <t>TRAJANO DE ARAUJO VIANA</t>
  </si>
  <si>
    <t>PEUGEOT-CITROEN DO BRASIL AUTOMOVEIS LTDA</t>
  </si>
  <si>
    <t>RENATO MONTEIRO</t>
  </si>
  <si>
    <t>: E 6200 (PARTE);</t>
  </si>
  <si>
    <t>POLO URBO AGRO INDUSTRIAL</t>
  </si>
  <si>
    <t>PORTO REAL</t>
  </si>
  <si>
    <t>PG SERVICOS DE LIMPEZA LTDA</t>
  </si>
  <si>
    <t>ARTICO</t>
  </si>
  <si>
    <t>JARDIM REGINA ALICE</t>
  </si>
  <si>
    <t>PGBR RODYO'S AUDITORES INDEPENDENTES SS</t>
  </si>
  <si>
    <t>PGBR RODYOS</t>
  </si>
  <si>
    <t>PGP INDUSTRIA E COMERCIO DE PLASTICOS LTDA</t>
  </si>
  <si>
    <t>PH CIENTIFICA APARELHOS CIENTIFICOS LTDA</t>
  </si>
  <si>
    <t>RAPHAEL FRANCISCO GRECA</t>
  </si>
  <si>
    <t>BRCAO 03</t>
  </si>
  <si>
    <t>SAO GABRIEL</t>
  </si>
  <si>
    <t>PH MIDIA INFORMATICA LTDA</t>
  </si>
  <si>
    <t>PH MIDIA</t>
  </si>
  <si>
    <t>PADRE JOAO BATISTA REUS</t>
  </si>
  <si>
    <t>CAMINHO NOVO</t>
  </si>
  <si>
    <t>PHABRICA DE PRODUCOES SERVICOS DE PROPAGANDA E PUBLICIDADE LTDA</t>
  </si>
  <si>
    <t>PHABRICA DE PRODUCOES</t>
  </si>
  <si>
    <t>DIAS VIEIRA</t>
  </si>
  <si>
    <t>PHARMACIA BRASIL LTDA.</t>
  </si>
  <si>
    <t>KM 32 5 SALA PHARMACIA</t>
  </si>
  <si>
    <t>PHARMAESTHETICS DO BRASIL - INDUSTRIA DE MEDICAMENTOS LTDA</t>
  </si>
  <si>
    <t>PHARMAESTHETICS</t>
  </si>
  <si>
    <t>ANTONIO ZIELONKA</t>
  </si>
  <si>
    <t>ESTANCIA PINHAIS</t>
  </si>
  <si>
    <t>PHARMEDICE MANIPULACOES ESPECIALIZADAS LTDA</t>
  </si>
  <si>
    <t>PHARMEDICE</t>
  </si>
  <si>
    <t>PHD ONLINE LTDA</t>
  </si>
  <si>
    <t>PHD ONLINE</t>
  </si>
  <si>
    <t>Comércio atacadista de jóias, relógios e bijuterias, inclusive pedras preciosas e semipreciosas lapidadas</t>
  </si>
  <si>
    <t>ITAMARATI DE MINAS</t>
  </si>
  <si>
    <t>VILA PONTE RASA</t>
  </si>
  <si>
    <t>PHENIX - COMERCIO, LOCACOES, LOGISTICA, SERVICOS &amp; TRANSPORTES LTDA</t>
  </si>
  <si>
    <t>EDUC PAULO FREIRE</t>
  </si>
  <si>
    <t>PHILCO ELETRONICOS SA</t>
  </si>
  <si>
    <t>NOSSA SENHORA DA LUZ</t>
  </si>
  <si>
    <t>PHILIPS DO BRASIL LTDA</t>
  </si>
  <si>
    <t>CONJ 201 202 203 E 204 ANDAR 2</t>
  </si>
  <si>
    <t>PHM CONSTRUCOES E COMBATE A INCENDIO LTDA</t>
  </si>
  <si>
    <t>PHM ENGENHARIA</t>
  </si>
  <si>
    <t>SERGIO DE CARVALHO</t>
  </si>
  <si>
    <t xml:space="preserve"> OUTROS GALPAO</t>
  </si>
  <si>
    <t>PHOBOS TECNOLOGIA E SISTEMAS LTDA</t>
  </si>
  <si>
    <t>CONJ 61 SALA 1</t>
  </si>
  <si>
    <t>PHS INDUSTRIA E COMERCIO DE TUBOS E CONEXOES LTDA</t>
  </si>
  <si>
    <t>PHS HIDROAMBIENTAL</t>
  </si>
  <si>
    <t>DO FILIPAO</t>
  </si>
  <si>
    <t>JARDIM SANTA RITA DE CASSIA</t>
  </si>
  <si>
    <t>PHYTORESTORE BRASIL COMERCIO E SERVICOS DE FITORREMEDIACAO S.A.</t>
  </si>
  <si>
    <t>PIATTINO DIGITAL SERVICES LTDA</t>
  </si>
  <si>
    <t>PIATTINO</t>
  </si>
  <si>
    <t>GIOVANNI GRONCHI</t>
  </si>
  <si>
    <t>PICCIN MAQUINAS AGRICOLAS LTDA.</t>
  </si>
  <si>
    <t>PICCIN</t>
  </si>
  <si>
    <t>SP 318 KM 245 - FAZENDA SANTA ALICE</t>
  </si>
  <si>
    <t>CXPST 263 CEP 13560-970</t>
  </si>
  <si>
    <t>DISTRITO DE AGUA VERMELHA</t>
  </si>
  <si>
    <t>PICOLO SOCIEDADE INDIVIDUAL DE ADVOCACIA</t>
  </si>
  <si>
    <t>EDU CHAVES</t>
  </si>
  <si>
    <t>SALA 105</t>
  </si>
  <si>
    <t>VILA BASTOS</t>
  </si>
  <si>
    <t>PICPAY INSTITUICAO DE PAGAMENTO S/A</t>
  </si>
  <si>
    <t>PICPAY</t>
  </si>
  <si>
    <t>COND ATLAS OFFICE PARK ANDAR 1A 2A 3A 3B CONJ 22A 23A 43B 44B</t>
  </si>
  <si>
    <t>PIERALISI DO BRASIL LTDA</t>
  </si>
  <si>
    <t>ANEXO 198</t>
  </si>
  <si>
    <t>PIL PIL INFORMATICA LTDA</t>
  </si>
  <si>
    <t>PIL INFORMATICA</t>
  </si>
  <si>
    <t>UMARIZAL</t>
  </si>
  <si>
    <t>PILATI MOVEIS LTDA</t>
  </si>
  <si>
    <t>PADRE FEIJO</t>
  </si>
  <si>
    <t>A 870</t>
  </si>
  <si>
    <t>SAO MARCOS</t>
  </si>
  <si>
    <t>PIOVAN DO BRASIL INDUSTRIA E COMERCIO LTDA</t>
  </si>
  <si>
    <t>CONSTANTE PIOVAN</t>
  </si>
  <si>
    <t>INDUSTRIAL ANHANGUERA</t>
  </si>
  <si>
    <t>PIRANI ADMINISTRADORA E CORRETORA DE SEGUROS LTDA</t>
  </si>
  <si>
    <t>ANDAR 6 ANDAR CJ. 62</t>
  </si>
  <si>
    <t>PIRY INFORMATICA LTDA</t>
  </si>
  <si>
    <t>PIRY SISTEMAS</t>
  </si>
  <si>
    <t>PEDRO FLORES</t>
  </si>
  <si>
    <t>JD RUSSO</t>
  </si>
  <si>
    <t>PISANI PLASTICOS S.A</t>
  </si>
  <si>
    <t>BR 116, KM 146,3</t>
  </si>
  <si>
    <t>PISSININ PALACIO DAS TINTAS LTDA</t>
  </si>
  <si>
    <t>PALACIO DAS TINTAS</t>
  </si>
  <si>
    <t>Comércio varejista de tintas e materiais para pintura</t>
  </si>
  <si>
    <t>VILA MIRIAM</t>
  </si>
  <si>
    <t>PIXEON MEDICAL SYSTEMS S.A. COMERCIO E DESENVOLVIMENTO DE SOFTWARE</t>
  </si>
  <si>
    <t>ESPIRITO SANTO</t>
  </si>
  <si>
    <t>SALA 501A 508 SALA 601 A 608 SALA 701 A 708 SALA 801 A 808 SALA 905 A 908</t>
  </si>
  <si>
    <t>PIZZIMENTI FERRAGENS E FERRAMENTAS LTDA</t>
  </si>
  <si>
    <t>127 A</t>
  </si>
  <si>
    <t>PJUS INVESTIMENTOS EM DIREITOS CREDITORIOS LTDA.</t>
  </si>
  <si>
    <t>PKF AFFIANCE BRAZIL AUDITORES INDEPENDENTES LTDA</t>
  </si>
  <si>
    <t>ALVES GUIMARAES</t>
  </si>
  <si>
    <t>PLACO DO BRASIL LTDA</t>
  </si>
  <si>
    <t>PLACO DO BRASIL</t>
  </si>
  <si>
    <t>VALENTINA MELLO FREIRE BORENSTEIN - DONA LOLOYLA</t>
  </si>
  <si>
    <t>PLANALTO INDUSTRIA E COMERCIO LIMITADA</t>
  </si>
  <si>
    <t>BR 282 KM 346</t>
  </si>
  <si>
    <t>BRCAO INDUSTRIAL</t>
  </si>
  <si>
    <t>MACROZONA DE EXPANSAO URBANA</t>
  </si>
  <si>
    <t>PLANALTO INDUSTRIA MECANICA LTDA</t>
  </si>
  <si>
    <t>CONDE MATARAZZO</t>
  </si>
  <si>
    <t>ANEXO: I-RUA 14 QD92 N 182; ANEXO: II-RUA 12 QD99 N 295;</t>
  </si>
  <si>
    <t>SETOR SANTOS DUMONT</t>
  </si>
  <si>
    <t>PLANETA CONSTRUCOES CIVIS COMERCIO E SERVICOS DE INFORMATICA E CONDICIONADORES DE AR LTDA</t>
  </si>
  <si>
    <t>PLANETA CONSTRUCOES CIVIS COMERCIO E SERVICOS</t>
  </si>
  <si>
    <t>DEDIMES CECHINEL</t>
  </si>
  <si>
    <t>LOTE LINHA 135</t>
  </si>
  <si>
    <t>RESIDENCIAL BARAO MELGACO I</t>
  </si>
  <si>
    <t>VILHENA</t>
  </si>
  <si>
    <t>PLANTAO MEDICO EMPREENDIMENTOS LTDA</t>
  </si>
  <si>
    <t>GAL ATALIBA LEONEL</t>
  </si>
  <si>
    <t>PLASBOHN INDUSTRIA DE PLASTICOS LTDA</t>
  </si>
  <si>
    <t>3658275.5</t>
  </si>
  <si>
    <t>KM 47 FUNDOS</t>
  </si>
  <si>
    <t>PLASCAR INDUSTRIA DE COMPONENTES PLASTICOS LTDA</t>
  </si>
  <si>
    <t>PLASCAR COMPONENTES PLASTICOS</t>
  </si>
  <si>
    <t>WILHELM WINTER</t>
  </si>
  <si>
    <t>PLASKEM EMBALAGENS LTDA</t>
  </si>
  <si>
    <t>PLASKEM</t>
  </si>
  <si>
    <t>PLASNOVA LOUVEIRA INDUSTRIA E COMERCIO LTDA</t>
  </si>
  <si>
    <t>FRANCISCO PAGOTTO</t>
  </si>
  <si>
    <t>PLASSON DO BRASIL LTDA</t>
  </si>
  <si>
    <t>OTAVIO DASSOLER</t>
  </si>
  <si>
    <t>CXPST 3518</t>
  </si>
  <si>
    <t>LINHA BATISTA</t>
  </si>
  <si>
    <t>PLASTCOR DO BRASIL LTDA</t>
  </si>
  <si>
    <t>PLASTCOR</t>
  </si>
  <si>
    <t>CRISTIANO GREVE</t>
  </si>
  <si>
    <t>JD. SENADOR VERGUEIRO</t>
  </si>
  <si>
    <t>PLASTICOS MARADEI INDUSTRIA E COMERCIO LTDA</t>
  </si>
  <si>
    <t>DO RUFINO</t>
  </si>
  <si>
    <t>VL STA ANTONIA</t>
  </si>
  <si>
    <t>PLASTICOS MAUA LTDA</t>
  </si>
  <si>
    <t>QUEIROZ DOS SANTOS</t>
  </si>
  <si>
    <t>PLASTICOS NOVEL SAO PAULO LTDA.</t>
  </si>
  <si>
    <t>GALPAO09 10 11 E 12</t>
  </si>
  <si>
    <t>PLASTILIT PRODUTOS PLASTICOS DO PARANA S/A</t>
  </si>
  <si>
    <t>PLASTMIX COMERCIO LTDA</t>
  </si>
  <si>
    <t>PLASTMIX</t>
  </si>
  <si>
    <t>PARAIBA DO SUL</t>
  </si>
  <si>
    <t>PLASUTIL-INDUSTRIA E COMERCIO DE PLASTICOS LTDA</t>
  </si>
  <si>
    <t>PRES CASTELO BRANCO</t>
  </si>
  <si>
    <t>SALA 131 133 134 EDIF BRASILIA SQUARE T 2</t>
  </si>
  <si>
    <t>PARQUE RESIDENCIAL DA LAPA</t>
  </si>
  <si>
    <t>PLAXMETAL S/A - INDUSTRIA DE CADEIRAS CORPORATIVAS</t>
  </si>
  <si>
    <t>PLAXMETAL</t>
  </si>
  <si>
    <t>KM 42</t>
  </si>
  <si>
    <t>INDUSTRIAL DAVIDE ZORZI</t>
  </si>
  <si>
    <t>PLESTIN PLASTICOS ESTAMPADOS INDUSTRIAIS LTDA</t>
  </si>
  <si>
    <t>LOURENCO BELLOLI</t>
  </si>
  <si>
    <t>GALPAO1-2-3</t>
  </si>
  <si>
    <t>VILA MENCK</t>
  </si>
  <si>
    <t>PLUMA AGROAVICOLA LTDA</t>
  </si>
  <si>
    <t>Produção de ovos</t>
  </si>
  <si>
    <t>PR 281, KM 516,4</t>
  </si>
  <si>
    <t>LINHA SANTO IZIDORO</t>
  </si>
  <si>
    <t>DOIS VIZINHOS</t>
  </si>
  <si>
    <t>PLUVI IRRIGACAO LTDA</t>
  </si>
  <si>
    <t>PLUVI</t>
  </si>
  <si>
    <t>QUADRA29 LOTE 03</t>
  </si>
  <si>
    <t>JD SANTO ANTONIO</t>
  </si>
  <si>
    <t>PLUXEE INSTITUICAO DE PAGAMENTO BRASIL S.A.</t>
  </si>
  <si>
    <t>BLOCO A CONJ 901 PARTE ANDAR 9 EDIF BIRMANN 21</t>
  </si>
  <si>
    <t>PLUXEE SERVICOS TECNOLOGICOS BRASIL LTDA</t>
  </si>
  <si>
    <t>FOCO GROUP.</t>
  </si>
  <si>
    <t>BLOCO 01 ANDAR 3 SALA B 3</t>
  </si>
  <si>
    <t>PMD ELETRO LTDA</t>
  </si>
  <si>
    <t>BASILIO SELANI</t>
  </si>
  <si>
    <t>JOSE RIBEIRO</t>
  </si>
  <si>
    <t>PMH PRODUTOS MEDICOS HOSPITALARES LTDA</t>
  </si>
  <si>
    <t>DR. GERINO DE SOUZA FILHO</t>
  </si>
  <si>
    <t>LOTE GRANJAS R. IPITANGA QUADRAB000 LOTE 4 E 5 GALPAO17</t>
  </si>
  <si>
    <t>DE INDUSTRIA E ABASTECIMENTO TRECHO 17 RUA 08</t>
  </si>
  <si>
    <t>LOTE 170</t>
  </si>
  <si>
    <t>POIATTI CONSTRUTORA E SERVICOS DE TERCEIRIZACAO LTDA</t>
  </si>
  <si>
    <t>AUGUSTO TOLLE</t>
  </si>
  <si>
    <t>SLJ;</t>
  </si>
  <si>
    <t>POLAR INDUSTRIA E COMERCIO DE PAPEIS E DESCARTAVEIS LTDA.</t>
  </si>
  <si>
    <t>POLAR PAPEIS</t>
  </si>
  <si>
    <t>JOAQUINA TEOFILO DO ESPIRITO SANTO</t>
  </si>
  <si>
    <t>POLAR TECNICA COMERCIAL E INDUSTRIAL LTDA</t>
  </si>
  <si>
    <t>POLEODUTO INDUSTRIA E COMERCIO DE ELETRO-MECANICOS LTDA</t>
  </si>
  <si>
    <t>ADILIA BARBOSA NEVES</t>
  </si>
  <si>
    <t>POLICIA MILITAR DO ESTADO DE SAO PAULO</t>
  </si>
  <si>
    <t>CENTRO INTEGRADO DE APOIO PATRIMONIAL</t>
  </si>
  <si>
    <t>POLICLIN S A SERVICOS MEDICO HOSPITALARES</t>
  </si>
  <si>
    <t>HOSPITAL POLICLIN</t>
  </si>
  <si>
    <t>9 DE JULHO</t>
  </si>
  <si>
    <t>JARDIM APOLO</t>
  </si>
  <si>
    <t>POLIERG INDUSTRIA E COMERCIO LTDA</t>
  </si>
  <si>
    <t>POLIFITEMA INDUSTRIA E COMERCIO LTDA</t>
  </si>
  <si>
    <t>DO ORATORIO</t>
  </si>
  <si>
    <t>POLITEC IMPORTACAO E COMERCIO LTDA.</t>
  </si>
  <si>
    <t>POLITEC SAUDE</t>
  </si>
  <si>
    <t>SALA 601 E 602</t>
  </si>
  <si>
    <t>POLITEJO BRASIL - INDUSTRIA DE PLASTICOS LTDA.</t>
  </si>
  <si>
    <t>OSWALDO SACHI</t>
  </si>
  <si>
    <t>POLO SEGURANCA ESPECIALIZADA LTDA</t>
  </si>
  <si>
    <t>MOREIRA DA COSTA</t>
  </si>
  <si>
    <t>POLY TERMINAIS PORTUARIOS SA</t>
  </si>
  <si>
    <t>POLY TERMINAIS</t>
  </si>
  <si>
    <t>JOSE LUIZ MARCELINO</t>
  </si>
  <si>
    <t>CORDEIROS</t>
  </si>
  <si>
    <t>PONTAL SERVICOS EM COMUNICACAO DIGITAL LTDA</t>
  </si>
  <si>
    <t>PONTALTECH</t>
  </si>
  <si>
    <t>RAMOS DE AZEVEDO</t>
  </si>
  <si>
    <t>ANDAR 8 CONJ 850/840/830</t>
  </si>
  <si>
    <t>PONTAMED FARMACEUTICA LTDA</t>
  </si>
  <si>
    <t>PONTAMED</t>
  </si>
  <si>
    <t>PADRE ARNALDO JANSSEN</t>
  </si>
  <si>
    <t>CARA-CARA</t>
  </si>
  <si>
    <t>PONTUAL DISTRIBUIDORA LTDA</t>
  </si>
  <si>
    <t>PONTUAL DISTRIBUIDORA</t>
  </si>
  <si>
    <t>112 SUL RUA SR 3</t>
  </si>
  <si>
    <t>CONJ 05 LOTE 03 SALA 02</t>
  </si>
  <si>
    <t>PORSANI BRASIL COMERCIO DE EMBALAGENS LTDA</t>
  </si>
  <si>
    <t>MARIA CAMPOS</t>
  </si>
  <si>
    <t>PORT DISTRIBUIDORA DE INFORMATICA E PAPELARIA LTDA</t>
  </si>
  <si>
    <t>PORT. DISTRIBUIDORA</t>
  </si>
  <si>
    <t>AEROPORTO INTERNACIONAL DE BRASILIA, AREAS EXTERNAS UC4.047</t>
  </si>
  <si>
    <t>ARMZ 03 LOTE UC 4047</t>
  </si>
  <si>
    <t>PORT SANI LOCACAO DE EQUIPAMENTOS LTDA</t>
  </si>
  <si>
    <t>PORT SANI LOCACAO</t>
  </si>
  <si>
    <t>DO SACRAMENTO</t>
  </si>
  <si>
    <t xml:space="preserve"> ANTIGO 87</t>
  </si>
  <si>
    <t>PORTAL DAS BOMBAS HIDRAULICAS LTDA</t>
  </si>
  <si>
    <t>FLORENCIO DE ABREU</t>
  </si>
  <si>
    <t>PORTAL EQUIPAMENTOS HOSPITALARES LTDA</t>
  </si>
  <si>
    <t>PORTAL EQUIPAMENTOS HOSPITALARES</t>
  </si>
  <si>
    <t>GO 418</t>
  </si>
  <si>
    <t>QUADRACHAC LOTE 008</t>
  </si>
  <si>
    <t>PORTO ASSUNCAO ENGENHARIA LTDA</t>
  </si>
  <si>
    <t>SALA 404 405 E 406</t>
  </si>
  <si>
    <t>PORTO SEGURO COMPANHIA DE SEGUROS GERAIS</t>
  </si>
  <si>
    <t xml:space="preserve"> RUA GUAIANASES, 1238</t>
  </si>
  <si>
    <t>PORTO SOLUCOES TECNOLOGICAS LTDA</t>
  </si>
  <si>
    <t>D. G. PRINT</t>
  </si>
  <si>
    <t>EDISON BENEDITO ANDREAZZA</t>
  </si>
  <si>
    <t>PARQUE SAO CAMILO</t>
  </si>
  <si>
    <t>PORTOCEL-TERMINAL ESPECIALIZADO DE BARRA DO RIACHO S/A</t>
  </si>
  <si>
    <t>LOC BARRA DO RIACHO</t>
  </si>
  <si>
    <t>TERMINAL PORTUARIO</t>
  </si>
  <si>
    <t>BARRA DO RIACHO</t>
  </si>
  <si>
    <t>POSITIVO TECNOLOGIA S.A.</t>
  </si>
  <si>
    <t>JOAO BETTEGA</t>
  </si>
  <si>
    <t>CIDADE INDUSTRIAL DE CURITIBA</t>
  </si>
  <si>
    <t>POTENCIA ENGENHARIA LTDA</t>
  </si>
  <si>
    <t>POTENCIA</t>
  </si>
  <si>
    <t>JOSE ALVES MOREIRA</t>
  </si>
  <si>
    <t>LOTE 176</t>
  </si>
  <si>
    <t>POTENZA ENGENHARIA E CONSTRUCAO LTDA</t>
  </si>
  <si>
    <t>EUGENIO DE FREITAS</t>
  </si>
  <si>
    <t>VILA GUILHERME</t>
  </si>
  <si>
    <t>POTNA PARTICIPACOES LTDA</t>
  </si>
  <si>
    <t xml:space="preserve"> SALA 1018T-1</t>
  </si>
  <si>
    <t>POTY RENT A CAR LTDA</t>
  </si>
  <si>
    <t>POTY RENT CAR VEICULOS</t>
  </si>
  <si>
    <t>POWER - SEGURANCA E VIGILANCIA LTDA</t>
  </si>
  <si>
    <t>CAPITAO TITO</t>
  </si>
  <si>
    <t>POWERFLEET BRASIL LTDA</t>
  </si>
  <si>
    <t>POWERFLEET BRASIL</t>
  </si>
  <si>
    <t>BLOCO 2 ANDAR 3</t>
  </si>
  <si>
    <t>POWERLIFT EQUIPAMENTOS LTDA</t>
  </si>
  <si>
    <t>GIBRALTAR</t>
  </si>
  <si>
    <t>POWERSAFE IMPORTACAO, EXPORTACAO LTDA.</t>
  </si>
  <si>
    <t>Fabricação de pilhas, baterias e acumuladores elétricos, exceto para veículos automotores</t>
  </si>
  <si>
    <t>SENADOR VERGUEIRO</t>
  </si>
  <si>
    <t>PP&amp;C AUDITORES INDEPENDENTES S/S</t>
  </si>
  <si>
    <t>ANDAR 1 CONJ 11 SALA 1</t>
  </si>
  <si>
    <t>PR2 - IMPORTACAO E EXPORTACAO LTDA</t>
  </si>
  <si>
    <t>PR2</t>
  </si>
  <si>
    <t>TERREOLESTE 13</t>
  </si>
  <si>
    <t>PRADO CHAVES ARQUIVOS E SISTEMAS LTDA</t>
  </si>
  <si>
    <t>PRADO CHAVES</t>
  </si>
  <si>
    <t>PRAMED COMERCIO DE PRODUTOS HOSPITALARES LTDA</t>
  </si>
  <si>
    <t>PRAMED HOSPITALAR</t>
  </si>
  <si>
    <t>18 A</t>
  </si>
  <si>
    <t>CONJUNTO INDUSTRIAL</t>
  </si>
  <si>
    <t>PRATIQUE COMUNICACAO E MARKETING LTDA</t>
  </si>
  <si>
    <t>PRATIQUE</t>
  </si>
  <si>
    <t>DOUTOR CELSO CHARURI</t>
  </si>
  <si>
    <t>JARDIM MARIA VIRGINIA</t>
  </si>
  <si>
    <t>PREFEITURA MUNICIPAL DE TATUI</t>
  </si>
  <si>
    <t>TATUI GABINETE DO PREFEITO</t>
  </si>
  <si>
    <t>DOMINGOS BASSI</t>
  </si>
  <si>
    <t>CECAP</t>
  </si>
  <si>
    <t>PRENSMAQ MAQUINAS E EQUIPAMENTOS PARA RECICLAGEM LTDA</t>
  </si>
  <si>
    <t>PRENSMAQ MAQUINAS E EQUIPAMENTOS</t>
  </si>
  <si>
    <t>FREDERICO AUGUSTO RITTER</t>
  </si>
  <si>
    <t>PRESSSEG SERVICOS DE SEGURANCA LTDA</t>
  </si>
  <si>
    <t>PREST SERVICOS DE SISTEMAS DE SEGURANCA LTDA</t>
  </si>
  <si>
    <t>PRESTSERV SERVICOS E CONSULTORIA</t>
  </si>
  <si>
    <t>AURELINO FROES MOREIRA</t>
  </si>
  <si>
    <t xml:space="preserve"> EMPRESARIAL EVO SALA 416</t>
  </si>
  <si>
    <t>BURAQUINHO</t>
  </si>
  <si>
    <t>PRESTACOM PRESTADORA DE SERVICOS LTDA</t>
  </si>
  <si>
    <t>PRESTACOM</t>
  </si>
  <si>
    <t>MANOEL EVARISTO</t>
  </si>
  <si>
    <t>PRESTCON - PRESTACAO DE SERVICOS CONTAGEM LTDA</t>
  </si>
  <si>
    <t>ITABERA</t>
  </si>
  <si>
    <t>PRESYS INSTRUMENTOS E SISTEMAS LTDA</t>
  </si>
  <si>
    <t>PRESYS</t>
  </si>
  <si>
    <t>LUIS DA COSTA RAMOS</t>
  </si>
  <si>
    <t>PREVINI - CONSULTORIA EM SEGURANCA E MEDICINA DO TRABALHO LTDA</t>
  </si>
  <si>
    <t>CORONEL JOSE PEREIRA LIMA</t>
  </si>
  <si>
    <t>PRF TECNOLOGIA E SERVICOS LTDA</t>
  </si>
  <si>
    <t>PAYTARGET</t>
  </si>
  <si>
    <t>PEREIRA ESTEFANO</t>
  </si>
  <si>
    <t>CONJ 1302</t>
  </si>
  <si>
    <t>PRICEWATERHOUSECOOPERS CONTADORES PUBLICOS LTDA.</t>
  </si>
  <si>
    <t>ANDAR 17 - PARTES 1 E 2 EDIF ADALMIRO DELLAPE BAP</t>
  </si>
  <si>
    <t>PRIDE INNOVATIONS S.A.</t>
  </si>
  <si>
    <t>PRIDE INNOVATIONS</t>
  </si>
  <si>
    <t>MAASTRICHT</t>
  </si>
  <si>
    <t>TERREOLOJA 01 SALA 01</t>
  </si>
  <si>
    <t>CONDOMINIO RESIDENCIAL EUROVILLE</t>
  </si>
  <si>
    <t>PRIME CONSULTORIA E ASSESSORIA EMPRESARIAL LTDA</t>
  </si>
  <si>
    <t>CANOPO</t>
  </si>
  <si>
    <t>PRIME CONTABILIDADE S/S LTDA.</t>
  </si>
  <si>
    <t>PAULISTA 2439</t>
  </si>
  <si>
    <t>CONJ 121</t>
  </si>
  <si>
    <t>PRIME DISTRIBUIDORA DE MEDICAMENTOS LTDA</t>
  </si>
  <si>
    <t>PRIME DISTRIBUIDORA DE MEDICAMENTOS</t>
  </si>
  <si>
    <t>DO SEST SENAT</t>
  </si>
  <si>
    <t xml:space="preserve"> MODULO 08 DO GALPAO1 PARTE A SALA 1 EMP. VBI LOG ARATU</t>
  </si>
  <si>
    <t>CIA I</t>
  </si>
  <si>
    <t>SIMOES FILHO</t>
  </si>
  <si>
    <t>PRIME ENGENHARIA E COMERCIO LTDA</t>
  </si>
  <si>
    <t>CONJ 81</t>
  </si>
  <si>
    <t>PRIMUS COMERCIO DE PRODUTOS ODONTOMEDICOS LTDA</t>
  </si>
  <si>
    <t>PRODOMED</t>
  </si>
  <si>
    <t>MANOEL PEDRO VILABOIM</t>
  </si>
  <si>
    <t>OLIMPICO</t>
  </si>
  <si>
    <t>PRIMUS ON LINE COMERCIO E SERVICOS DE INFORMATICA LTDA</t>
  </si>
  <si>
    <t>CAETANO MONTEIRO</t>
  </si>
  <si>
    <t>LOJA 203</t>
  </si>
  <si>
    <t>PENDITIBA</t>
  </si>
  <si>
    <t>PRIOM TECNOLOGIA EM EQUIPAMENTOS LTDA</t>
  </si>
  <si>
    <t>PRIOM TECNOLOGIA EM EQUIPAMENTOS</t>
  </si>
  <si>
    <t>TAQUARUCU</t>
  </si>
  <si>
    <t>VILA PARQUE JABAQUARA</t>
  </si>
  <si>
    <t>PRIORI SERVICOS E SOLUCOES, CONTABILIDADE S/S</t>
  </si>
  <si>
    <t>PRIORI SERVICOS E SOLUCOES</t>
  </si>
  <si>
    <t>JOSE LAURENTINO SANTIAGO</t>
  </si>
  <si>
    <t>RIO DA PRAIA</t>
  </si>
  <si>
    <t>BERTIOGA</t>
  </si>
  <si>
    <t>PRIVASI FRANCHISING LTDA</t>
  </si>
  <si>
    <t>SAFEBRAS</t>
  </si>
  <si>
    <t>CONSTITUICAO</t>
  </si>
  <si>
    <t>SUBSL SALA 02</t>
  </si>
  <si>
    <t>PRO ANALISE QUIMICA E DIAGNOSTICA LTDA</t>
  </si>
  <si>
    <t>DONA MARGARIDA</t>
  </si>
  <si>
    <t>PRO AUTO VEICULOS E PECAS LTDA</t>
  </si>
  <si>
    <t>PRO AUTO MITSUBISHI</t>
  </si>
  <si>
    <t>PRO SOLUS DO BRASIL S/A</t>
  </si>
  <si>
    <t>PRO SOLUS</t>
  </si>
  <si>
    <t>PRESIDENTE TANCREDO DE ALMEIDA NEVES</t>
  </si>
  <si>
    <t>LOTE LT 156-A-2</t>
  </si>
  <si>
    <t>PRO SOLUTTI CONSULTORIA E INVESTIMENTOS EM ATIVOS JUDICIAIS LTDA.</t>
  </si>
  <si>
    <t>CONJ 710</t>
  </si>
  <si>
    <t>PRO-LIFE EQUIPAMENTOS MEDICOS LTDA</t>
  </si>
  <si>
    <t>CONJ GIARDINO 12</t>
  </si>
  <si>
    <t>PROATIVA PLANEJAMENTO DE OBRAS &amp; HOME CENTER LTDA</t>
  </si>
  <si>
    <t>PROATIVA PLANEJAMENTO DE OBRAS E CONSTRUCOES</t>
  </si>
  <si>
    <t>ENGENHEIRO OSCAR KESSELRING</t>
  </si>
  <si>
    <t>PROBAC DO BRASIL PRODUTOS BACTERIOLOGICOS LTDA</t>
  </si>
  <si>
    <t>PROBAC</t>
  </si>
  <si>
    <t>JAGUARIBE</t>
  </si>
  <si>
    <t>PROBIOMAS PRODUTOS E SERVICOS AMBIENTAIS LTDA</t>
  </si>
  <si>
    <t>PROBIOMA</t>
  </si>
  <si>
    <t>Conservação de florestas nativas</t>
  </si>
  <si>
    <t>PAU BRASIL</t>
  </si>
  <si>
    <t>CAETE</t>
  </si>
  <si>
    <t>PROCISA DO BRASIL PROJETOS, CONSTRUCOES E INSTALACOES LTDA.</t>
  </si>
  <si>
    <t>TTE LYCURGO LOPES DA CRUZ</t>
  </si>
  <si>
    <t>PROCORPUS COMERCIO DE APARELHOS ORTOPEDICOS LTDA</t>
  </si>
  <si>
    <t>ANGEL'S DIVER</t>
  </si>
  <si>
    <t>MIGUEL ANTONIO FORASTIERI</t>
  </si>
  <si>
    <t>JD DR LUCIANO</t>
  </si>
  <si>
    <t>PRODATA MOBILITY BRASIL S.A.</t>
  </si>
  <si>
    <t>CONJ 1601</t>
  </si>
  <si>
    <t>PRODIET NUTRICAO CLINICA S.A</t>
  </si>
  <si>
    <t>PRODIET MEDICAL NUTRITION</t>
  </si>
  <si>
    <t>GENERAL POTIGUARA</t>
  </si>
  <si>
    <t>BRCAO 20/21 COND INDUSTRIAL CONESUL C</t>
  </si>
  <si>
    <t>NOVO MUNDO</t>
  </si>
  <si>
    <t>PRODUTOS QUIMICOS GUACU INDUSTRIA E COMERCIO LTDA</t>
  </si>
  <si>
    <t>DR. JOSE LANZI</t>
  </si>
  <si>
    <t>ESTIVA GERBI</t>
  </si>
  <si>
    <t>PRODUTOS ROCHE QUIMICOS E FARMACEUTICOS S A</t>
  </si>
  <si>
    <t>ANDAR TERREO 3 4 E 5</t>
  </si>
  <si>
    <t>PROFARMA DISTRIBUIDORA DE PRODUTOS FARMACEUTICOS SA</t>
  </si>
  <si>
    <t xml:space="preserve"> BLC P SAL 301</t>
  </si>
  <si>
    <t>PROGEN S.A.</t>
  </si>
  <si>
    <t>DO AROUCHE</t>
  </si>
  <si>
    <t>ANDAR 3 4 5 6</t>
  </si>
  <si>
    <t>PROHOSPITAL COMERCIO HOLANDA LTDA</t>
  </si>
  <si>
    <t>CAPITAO HUGO BEZERRA</t>
  </si>
  <si>
    <t>BARROSO</t>
  </si>
  <si>
    <t>PROJESAN SANEAMENTO AMBIENTAL LTDA</t>
  </si>
  <si>
    <t>PROJESAN WATER &amp; CO.</t>
  </si>
  <si>
    <t>PROJINOX INDUSTRIA E COMERCIO LTDA</t>
  </si>
  <si>
    <t>PROJINOX</t>
  </si>
  <si>
    <t>Produção de artefatos estampados de metal</t>
  </si>
  <si>
    <t>DO FRONIA KIROL FILHO</t>
  </si>
  <si>
    <t>JARDIM MARIA DE LOURDES</t>
  </si>
  <si>
    <t>PROMAX PRODUTOS MAXIMOS S A INDUSTRIA E COMERCIO</t>
  </si>
  <si>
    <t>PROMAX BARDAHL</t>
  </si>
  <si>
    <t>DOUTOR ANTONIO LEME NUNES GALVAO (VL AMERICAS)</t>
  </si>
  <si>
    <t>PROMEFARMA MEDICAMENTOS E PRODUTOS HOSPITALARES LTDA</t>
  </si>
  <si>
    <t>JOAO AMARAL DE ALMEIDA</t>
  </si>
  <si>
    <t>PROMEGA BIOTECNOLOGIA DO BRASIL LTDA.</t>
  </si>
  <si>
    <t>BARAO DE TRIUNFO</t>
  </si>
  <si>
    <t>SALA 1.401 1.402 E 1.403</t>
  </si>
  <si>
    <t>PROMETEON TYRE GROUP INDUSTRIA BRASIL LTDA.</t>
  </si>
  <si>
    <t>GIOVANNI BATTISTA PIRELLI</t>
  </si>
  <si>
    <t>BLOCO PORTAS A B E C</t>
  </si>
  <si>
    <t>VILA HOMERO THON</t>
  </si>
  <si>
    <t>PROMINAS BRASIL EQUIPAMENTOS LTDA</t>
  </si>
  <si>
    <t>VILA MORUMBI</t>
  </si>
  <si>
    <t>PROMINENT BRASIL LTDA</t>
  </si>
  <si>
    <t>JOSE MEDEIROS E ALBUQUERQUE</t>
  </si>
  <si>
    <t>ANEXO 365 FUNDOSR A D VIL 115 E 135</t>
  </si>
  <si>
    <t>PROMOB SOFTWARES S.A.</t>
  </si>
  <si>
    <t>DOS CINAMOMOS</t>
  </si>
  <si>
    <t>PROMONT SOLUCOES LTDA</t>
  </si>
  <si>
    <t>PROMONT</t>
  </si>
  <si>
    <t>VEREADOR ALCIDES NASCIMENTO</t>
  </si>
  <si>
    <t>PRONATEC EQUIPAMENTOS INDUSTRIA E COMERCIO LTDA</t>
  </si>
  <si>
    <t>PRONEP SAO PAULO - SERVICOS ESPECIALIZADOS DOMICILIARES E HOSPITALARES LTDA</t>
  </si>
  <si>
    <t>PRONEP SAO PAULO</t>
  </si>
  <si>
    <t>DOMINGOS DE MORAIS</t>
  </si>
  <si>
    <t>LOJA A</t>
  </si>
  <si>
    <t>PROPAY S.A.</t>
  </si>
  <si>
    <t>CONJ 91 A 96</t>
  </si>
  <si>
    <t>PROPELLER REPRESENTACOES E SERVICOS TECNICOS LTDA</t>
  </si>
  <si>
    <t>PROPELLER ENGENHARIA</t>
  </si>
  <si>
    <t>GUILHERME ZILMANN</t>
  </si>
  <si>
    <t>CASA 173</t>
  </si>
  <si>
    <t>PROREGI INDUSTRIA, COMERCIO E IMPORTACAO LTDA</t>
  </si>
  <si>
    <t>PROREGI</t>
  </si>
  <si>
    <t>PROSANIT SISTEMA DE ALIMENTACAO LTDA</t>
  </si>
  <si>
    <t>PROSANIT SISTEMA DE ALIMENTACAO</t>
  </si>
  <si>
    <t>Fornecimento de alimentos preparados preponderantemente para consumo domiciliar</t>
  </si>
  <si>
    <t>JARDIM SANTANA</t>
  </si>
  <si>
    <t>PROSEGUR BRASIL S/A TRANSPORTADORA DE VALORES E SEGURANCA</t>
  </si>
  <si>
    <t>GUARATA</t>
  </si>
  <si>
    <t>PROSEK EQUIPAMENTOS DE SEGURANCA LTDA</t>
  </si>
  <si>
    <t>PROSEK</t>
  </si>
  <si>
    <t>PROSPER BR SERVICOS EMPRESARIAIS E DE TERCEIRIZACAO LTDA</t>
  </si>
  <si>
    <t>PROSPER BR</t>
  </si>
  <si>
    <t>SALA 1706</t>
  </si>
  <si>
    <t>PROSPER COMERCIO E DISTRIBUICAO LTDA</t>
  </si>
  <si>
    <t>PROSPER COMERCIO E DISTRIBUICAO</t>
  </si>
  <si>
    <t>QUADRA: H13; LOTE: 18; FUNDOS: LOJA B;</t>
  </si>
  <si>
    <t>PROTEC EXPORT INDUSTRIA, COMERCIO, IMPORTACAO E EXPORTACAO DE EQUIPAMENTOS MEDICOS HOSPITALARES LTDA</t>
  </si>
  <si>
    <t>BUNJIRO NAKAO</t>
  </si>
  <si>
    <t>CHACARA REMANSO</t>
  </si>
  <si>
    <t>PROTEFORT CALCADOS PROFISSIONAIS LTDA</t>
  </si>
  <si>
    <t>PROTEFORT CALCADOS PROFISSIONAIS</t>
  </si>
  <si>
    <t>LUIZ SPINELLI</t>
  </si>
  <si>
    <t>PROTEGE PROTECAO E TRANSPORTE DE VALORES LTDA</t>
  </si>
  <si>
    <t>PROTEGE S/A PROTECAO E TRANSPORTE DE VALORES</t>
  </si>
  <si>
    <t>PROTEGE- SISTEMA DE PROTECAO ATMOSFERICA LTDA</t>
  </si>
  <si>
    <t>PROTEGE ENERGIA</t>
  </si>
  <si>
    <t>PROVIDER TECNOLOGIA E SISTEMAS LTDA</t>
  </si>
  <si>
    <t>DIOGO JACOME</t>
  </si>
  <si>
    <t>ANDAR 18 CONJ 1804</t>
  </si>
  <si>
    <t>PRYOR S.A.</t>
  </si>
  <si>
    <t>ANDAR 7 CONJ 72 SALA 02</t>
  </si>
  <si>
    <t>PS PLATAFORMA DIGITAL LTDA</t>
  </si>
  <si>
    <t>MARIA ADELAIDE DE CARVALHO</t>
  </si>
  <si>
    <t>PUMATRONIX EQUIPAMENTOS ELETRONICOS LTDA</t>
  </si>
  <si>
    <t>PUMATRONIX</t>
  </si>
  <si>
    <t>BARTOLOMEU LOURENCO DE GUSMAO</t>
  </si>
  <si>
    <t>PUMPS BRASIL LTDA</t>
  </si>
  <si>
    <t>PUMPS BRASIL</t>
  </si>
  <si>
    <t>LINO BUZATTO</t>
  </si>
  <si>
    <t>ANEXO 812</t>
  </si>
  <si>
    <t>JARDIM PINHEIROS</t>
  </si>
  <si>
    <t>PUTZMEISTER BRASIL LTDA</t>
  </si>
  <si>
    <t>DO MINGU</t>
  </si>
  <si>
    <t>PARQUE RIO ABAIXO</t>
  </si>
  <si>
    <t>PW SERVICE LTDA</t>
  </si>
  <si>
    <t>CORONEL JOSE DOMINGUES DE VASCONCELOS</t>
  </si>
  <si>
    <t>APT 93</t>
  </si>
  <si>
    <t>VILA ADYANA</t>
  </si>
  <si>
    <t>PX CONSULTORIA E INVESTIMENTOS EM ATIVOS JUDICIAIS LTDA</t>
  </si>
  <si>
    <t>ANDAR 1 PARTE</t>
  </si>
  <si>
    <t>QCOMM COMUNICACAO LTDA</t>
  </si>
  <si>
    <t>QCOMM</t>
  </si>
  <si>
    <t>Atividades de rádio</t>
  </si>
  <si>
    <t>DOUTOR MIRANDA DE AZEVEDO</t>
  </si>
  <si>
    <t>APT 135</t>
  </si>
  <si>
    <t>QUALIPLAX INDUSTRIA DE PLASTICOS LTDA</t>
  </si>
  <si>
    <t>QUALIPLAX</t>
  </si>
  <si>
    <t>JOSE AMANCIO DA ROSA</t>
  </si>
  <si>
    <t>TORRES</t>
  </si>
  <si>
    <t>QUALITE SEGURANCA ALIMENTAR LTDA</t>
  </si>
  <si>
    <t>QUALITE</t>
  </si>
  <si>
    <t>ALVARO ALVIM</t>
  </si>
  <si>
    <t>QUALITRONIX TECNOLOGIA LTDA</t>
  </si>
  <si>
    <t>QUALITRONIX</t>
  </si>
  <si>
    <t>SAPUCAI</t>
  </si>
  <si>
    <t>BOA VISTA 2</t>
  </si>
  <si>
    <t>QUALITY ARTE DESIGN LTDA</t>
  </si>
  <si>
    <t>QUALITY SOLUTION</t>
  </si>
  <si>
    <t>SHC SUL CR 502 BLOCO C LOJA 36 ENTRADA PELA W2</t>
  </si>
  <si>
    <t>QUALITY CLIMA AR CONDICIONADO LTDA</t>
  </si>
  <si>
    <t>QUALITY</t>
  </si>
  <si>
    <t>AMBROSIA DO MEXICO</t>
  </si>
  <si>
    <t>JARDIM CIDADE PIRITUBA</t>
  </si>
  <si>
    <t>QUANTUM ATIVOS JUDICIAIS LTDA</t>
  </si>
  <si>
    <t>QUANTUM ATIVOS JUDICIAIS</t>
  </si>
  <si>
    <t>SIA TRECHO 1</t>
  </si>
  <si>
    <t>BLOCO 3 SALA 309 EDIF PRACA CAPITAL</t>
  </si>
  <si>
    <t>QUARKS SERVICOS MEDICOS LTDA</t>
  </si>
  <si>
    <t>JOSEFINA GASPARIAN</t>
  </si>
  <si>
    <t xml:space="preserve"> L/ 5</t>
  </si>
  <si>
    <t>QUIMBIOL ANALISES AMBIENTAIS LTDA</t>
  </si>
  <si>
    <t>APT 54</t>
  </si>
  <si>
    <t>QUIMICA AMPARO LTDA</t>
  </si>
  <si>
    <t>WALDYR BEIRA</t>
  </si>
  <si>
    <t>ANEXO ATE O NUMERO 2.300</t>
  </si>
  <si>
    <t>FIGUEIRA</t>
  </si>
  <si>
    <t>R &amp; J MOVEIS LTDA</t>
  </si>
  <si>
    <t>WORK MOVEIS</t>
  </si>
  <si>
    <t>R J SERVICOS LTDA</t>
  </si>
  <si>
    <t>R J PRODUTOS E SERVICOS</t>
  </si>
  <si>
    <t>C 146</t>
  </si>
  <si>
    <t>QUADRA338 LOTE 21</t>
  </si>
  <si>
    <t>R M HOSPITALAR LTDA</t>
  </si>
  <si>
    <t>R M HOSPITALAR</t>
  </si>
  <si>
    <t>SONNEMBERG</t>
  </si>
  <si>
    <t>QD 147 LT 17</t>
  </si>
  <si>
    <t>B. CIDADE JARDIM</t>
  </si>
  <si>
    <t>R NETO DO BRASIL PECAS AUTOMOTIVAS LTDA</t>
  </si>
  <si>
    <t>WEGA MOTORS</t>
  </si>
  <si>
    <t>MARIO URIARTE</t>
  </si>
  <si>
    <t>R RODRIGUES FERNANDES LTDA</t>
  </si>
  <si>
    <t>SAGA SOLAR</t>
  </si>
  <si>
    <t>SAO GERALDO DO ARAGUAIA</t>
  </si>
  <si>
    <t>R V DAMBROS ADMINISTRACAO DE IMOVEIS LTDA</t>
  </si>
  <si>
    <t>DAMEDI</t>
  </si>
  <si>
    <t>SALA 1 PAVMTO2</t>
  </si>
  <si>
    <t>R W ENGENHARIA TERMICA LTDA.</t>
  </si>
  <si>
    <t>R W ENGENHARIA TERMICA</t>
  </si>
  <si>
    <t>APT 124 TORRE 09 COND RESID. UNICO</t>
  </si>
  <si>
    <t>PONTE GRANDE</t>
  </si>
  <si>
    <t>R. GONCALVES SUPRIMENTOS MEDICOS LTDA</t>
  </si>
  <si>
    <t>SUPRIMED</t>
  </si>
  <si>
    <t>R.ZATAR REPRESENTACAO COMERCIAL LTDA</t>
  </si>
  <si>
    <t>R.ZATAR REPRESENTACOES</t>
  </si>
  <si>
    <t>PEDRO MOACYR</t>
  </si>
  <si>
    <t>R2 SOLUCOES EM RADIOFARMACIA LTDA</t>
  </si>
  <si>
    <t>R2</t>
  </si>
  <si>
    <t>PROVENZANO</t>
  </si>
  <si>
    <t>R2 VENTURES SERVICOS DE MARKETING E TECNOLOGIA LTDA</t>
  </si>
  <si>
    <t>CONJ 41</t>
  </si>
  <si>
    <t>RA DE G CANUTO COMERCIO E MANUTENCAO INDUSTRIAL</t>
  </si>
  <si>
    <t>MARCTRONIC SOLUCOES INDUSTRIAIS</t>
  </si>
  <si>
    <t>JARDIM SANTO AFONSO</t>
  </si>
  <si>
    <t>RAAC AUDITORES E CONSULTORES INDEPENDENTES SOCIEDADE SIMPLES</t>
  </si>
  <si>
    <t>EDIF WALL STREET TORRE WEST ANDAR 1 SALA 127/128</t>
  </si>
  <si>
    <t>PARALELA</t>
  </si>
  <si>
    <t>RADARHOSP PRODUTOS PROFISSIONAIS LTDA</t>
  </si>
  <si>
    <t>RADAR HOSPITALAR</t>
  </si>
  <si>
    <t>RADIOPHARMACUS S/A</t>
  </si>
  <si>
    <t>DO PASSEIO</t>
  </si>
  <si>
    <t xml:space="preserve"> SAL 501</t>
  </si>
  <si>
    <t>RAFAEL OLIVEIRA FERREIRA 36627376806</t>
  </si>
  <si>
    <t>APT 1101</t>
  </si>
  <si>
    <t>RAIA DROGASIL S/A</t>
  </si>
  <si>
    <t>RD SAUDE</t>
  </si>
  <si>
    <t>CORIFEU DE AZEVEDO MARQUES 3097</t>
  </si>
  <si>
    <t>VILA BUTANTA</t>
  </si>
  <si>
    <t>RAIN BIRD BRASIL LIMITADA</t>
  </si>
  <si>
    <t>BR-365</t>
  </si>
  <si>
    <t>KM 622</t>
  </si>
  <si>
    <t>CONJUNTO ALVORADA</t>
  </si>
  <si>
    <t>RAIZEN ENERGIA S.A</t>
  </si>
  <si>
    <t>ANDAR 11 PARTE V</t>
  </si>
  <si>
    <t>RAIZEN MACHINE SCP</t>
  </si>
  <si>
    <t>JOSE THEODORO RIBEIRO</t>
  </si>
  <si>
    <t>ILHA DA FIGUEIRA</t>
  </si>
  <si>
    <t>RAMUZA INDUSTRIA E COMERCIO DE BALANCAS LTDA</t>
  </si>
  <si>
    <t>RAMUZA LTDA</t>
  </si>
  <si>
    <t>MARICA MARQUES</t>
  </si>
  <si>
    <t>FAZENDINHA</t>
  </si>
  <si>
    <t>RANDONCORP S.A.</t>
  </si>
  <si>
    <t>RANDON CAXIAS</t>
  </si>
  <si>
    <t>ABRAMO RANDON</t>
  </si>
  <si>
    <t>INTERLAGOS</t>
  </si>
  <si>
    <t>RANIERI DOS SANTOS GOMES LTDA</t>
  </si>
  <si>
    <t>R &amp; JUNIOR DISTRIBUIDORA</t>
  </si>
  <si>
    <t>PREFEITURA WALL FERRAZ (BR-316)</t>
  </si>
  <si>
    <t>RAP APARECIDA SRP COMERCIO DE MEDICAMENTOS LTDA</t>
  </si>
  <si>
    <t>RODRIGUES CEZAR</t>
  </si>
  <si>
    <t>VILA DOS LAVRADORES</t>
  </si>
  <si>
    <t>RAVEX EQUIPAMENTOS AUTOMOTIVOS LTDA</t>
  </si>
  <si>
    <t>RAVEX</t>
  </si>
  <si>
    <t>SALA 12</t>
  </si>
  <si>
    <t>MEIA PRAIA</t>
  </si>
  <si>
    <t>ITAPEMA</t>
  </si>
  <si>
    <t>RAYMA - INDUSTRIA E COMERCIO DE BOMBAS LTDA</t>
  </si>
  <si>
    <t>SITIO SAO JOSE</t>
  </si>
  <si>
    <t>VEREDA</t>
  </si>
  <si>
    <t>RAYQUIMICA LTDA</t>
  </si>
  <si>
    <t>RAYQUIMICA</t>
  </si>
  <si>
    <t>QUADRACH LOTE 466</t>
  </si>
  <si>
    <t>CHACARA DE RECREIO SAO JOAQUIM</t>
  </si>
  <si>
    <t>RAZERA AGRICOLA LTDA</t>
  </si>
  <si>
    <t>RAZERA FENDT</t>
  </si>
  <si>
    <t>RS-135</t>
  </si>
  <si>
    <t>KM 10.5 PAVLH 02</t>
  </si>
  <si>
    <t>RB SERVICOS EMPRESARIAIS LTDA</t>
  </si>
  <si>
    <t>REDE BENEFICIOS</t>
  </si>
  <si>
    <t>DOUTOR RAMOS DE AZEVEDO</t>
  </si>
  <si>
    <t>CONJ 601/616 ANDAR 6 INTEIRO EDIF GUARULHOS CENTRAL OF</t>
  </si>
  <si>
    <t>RBB COMERCIO DE MATERIAIS PARA CONSTRUCAO LTDA</t>
  </si>
  <si>
    <t>SENADOR FLAQUER</t>
  </si>
  <si>
    <t>RC MOVEIS E EQUIPAMENTOS HOSPITALARES LTDA</t>
  </si>
  <si>
    <t>R.C. MOVEIS HOSPITALARES.</t>
  </si>
  <si>
    <t>MOISES FORTI</t>
  </si>
  <si>
    <t>RC SERVICOS DE SEGURANCA - SAO PAULO LTDA</t>
  </si>
  <si>
    <t>RCA SERVICOS DE LIMPEZA PREDIAL LTDA</t>
  </si>
  <si>
    <t>RCA</t>
  </si>
  <si>
    <t>VILA GREGO</t>
  </si>
  <si>
    <t>RCL COMERCIO DE MATERIAIS DE CONSTRUCAO E SERVICOS LTDA</t>
  </si>
  <si>
    <t>RCL COMERCIO DE MATERIAIS DE CONSTRUCAO E SERVICOS</t>
  </si>
  <si>
    <t>CARAIBAS</t>
  </si>
  <si>
    <t>QUADRA54 LOTE 17</t>
  </si>
  <si>
    <t>JARDIM HELVECIA</t>
  </si>
  <si>
    <t>RCL-COMERCIO E SERVICOS LTDA</t>
  </si>
  <si>
    <t>DOS CISNES</t>
  </si>
  <si>
    <t>SLJ: SLJ 01;</t>
  </si>
  <si>
    <t>CIDADE UNIVERSITARIA PEDRA BRANCA</t>
  </si>
  <si>
    <t>RCORE INSUMOS MEDICOS LTDA</t>
  </si>
  <si>
    <t>RCORE</t>
  </si>
  <si>
    <t>RD TELECOM LTDA</t>
  </si>
  <si>
    <t>JET TELECOM</t>
  </si>
  <si>
    <t>QUADRA17 LOTE 07</t>
  </si>
  <si>
    <t>JD NOVO MUNDO</t>
  </si>
  <si>
    <t>RD7 PRODUCOES DE EVENTOS INTELIGENTES LTDA</t>
  </si>
  <si>
    <t>RD7 PRODUCOES</t>
  </si>
  <si>
    <t>SCIA QUADRA 14 CONJUNTO 1</t>
  </si>
  <si>
    <t>LOTE 01 PARTE B</t>
  </si>
  <si>
    <t>REAG INVESTIMENTOS SA</t>
  </si>
  <si>
    <t>GABRIEL MONTEIRO DA SILVA</t>
  </si>
  <si>
    <t>REAL DIAGNOSTICA COMERCIO DE PRODUTOS E EQUIPAMENTOS LABORATORIAIS LTDA</t>
  </si>
  <si>
    <t>REAL DIAGNOSTICA</t>
  </si>
  <si>
    <t>PADRE MORETTI</t>
  </si>
  <si>
    <t>REALPAV COMERCIO DE PECAS, SERVICOS E EQUIPAMENTOS LTDA</t>
  </si>
  <si>
    <t>REALPAV COMERCIAL</t>
  </si>
  <si>
    <t>REALY PRODUCOES AUDIOVISUAIS LTDA</t>
  </si>
  <si>
    <t>REALY PRODUCOES</t>
  </si>
  <si>
    <t>Produção de filmes para publicidade</t>
  </si>
  <si>
    <t>SRTVS QUADRA 7 01 CONJUNTO L</t>
  </si>
  <si>
    <t>BLOCO 1 SALA 717 PARTE A146</t>
  </si>
  <si>
    <t>RECARGAPAY INSTITUICAO DE PAGAMENTO LTDA</t>
  </si>
  <si>
    <t>RECARGAPAY</t>
  </si>
  <si>
    <t>ANDAR 1 CONJ 1-106 PARTE SALA RECARGAPAY</t>
  </si>
  <si>
    <t>RECKITT BENCKISER ( BRASIL ) LTDA.</t>
  </si>
  <si>
    <t>JARDIM ARPOADOR</t>
  </si>
  <si>
    <t>RECON TECNOLOGIA LTDA</t>
  </si>
  <si>
    <t>MARQUES DO HERVAL</t>
  </si>
  <si>
    <t>CASA 02</t>
  </si>
  <si>
    <t>RECONSTRUIR COMERCIO DE MATERIAIS DE CONSTRUCAO E ACESSORIOS LTDA</t>
  </si>
  <si>
    <t>BORGES DE MEDEIROS</t>
  </si>
  <si>
    <t>RECRUSUL S/A</t>
  </si>
  <si>
    <t>RED HAT BRASIL LTDA</t>
  </si>
  <si>
    <t>ANDAR 24 E 25 CONJ 2401 E 2501</t>
  </si>
  <si>
    <t>REDE NACIONAL DE ENSINO E PESQUISA - RNP</t>
  </si>
  <si>
    <t>SALA 1103</t>
  </si>
  <si>
    <t>REDEMPRESA TECNOLOGIA LTDA</t>
  </si>
  <si>
    <t>REDEMPRESA</t>
  </si>
  <si>
    <t>REDNOV FERRAMENTAS LTDA.</t>
  </si>
  <si>
    <t>REDNOV FERRAMENTAS LTDA</t>
  </si>
  <si>
    <t>BERTA METTE</t>
  </si>
  <si>
    <t>REHAU INDUSTRIA LTDA</t>
  </si>
  <si>
    <t>CRISTIANO ANTONIO FREDERICO FETTER</t>
  </si>
  <si>
    <t>SALA A B</t>
  </si>
  <si>
    <t>REIBRAG FERRAMENTARIA E PECAS DE PRECISAO LTDA EPP</t>
  </si>
  <si>
    <t>JOAO HEMENEGILDO DE OLIVEIRA</t>
  </si>
  <si>
    <t>GUARIPOCABA</t>
  </si>
  <si>
    <t>REIS E SGOBBI ENGENHARIA LTDA</t>
  </si>
  <si>
    <t>DOZE DE OUTUBRO</t>
  </si>
  <si>
    <t>RENAN CORREA SANDRES ARRUDA-ARQUITETURA E INTERIORES</t>
  </si>
  <si>
    <t>CONJ 411</t>
  </si>
  <si>
    <t>RENATA PEREIRA DA SILVA DESCARTAVEIS LTDA</t>
  </si>
  <si>
    <t>REAL COMFORT DESCARTAVEIS</t>
  </si>
  <si>
    <t>VARZEA ALEGRE</t>
  </si>
  <si>
    <t>CIDADE JARDIM CUMBICA</t>
  </si>
  <si>
    <t>RENAULT DO BRASIL COMERCIO E PARTICIPACOES LTDA</t>
  </si>
  <si>
    <t>CONJ 101 A 104</t>
  </si>
  <si>
    <t>RENNER SAYERLACK S/A</t>
  </si>
  <si>
    <t>ESTADUAL, RS-118 KM 18</t>
  </si>
  <si>
    <t>RENOAIR ENERGIAS RENOVAVEIS DO BRASIL LTDA</t>
  </si>
  <si>
    <t>RENOAIR ENERGIAS RENOVAVEIS</t>
  </si>
  <si>
    <t>CAROLINA CASTELLI</t>
  </si>
  <si>
    <t>RENOVA COMERCIO DE PRODUTOS DE USO PESSOAL LTDA.</t>
  </si>
  <si>
    <t>JOSE BERNARDO PINTO</t>
  </si>
  <si>
    <t>RENOVA TRATAMENTO DE RESIDUOS LTDA</t>
  </si>
  <si>
    <t>Tratamento e disposição de resíduos perigosos</t>
  </si>
  <si>
    <t>TAKARA BELMONT</t>
  </si>
  <si>
    <t>CENTRO INDUSTRIAL DE ARUJA</t>
  </si>
  <si>
    <t>RENOVAR ENGENHARIA LTDA</t>
  </si>
  <si>
    <t>RENOVAR ENGENHARIA</t>
  </si>
  <si>
    <t>SOF SUL QUADRA 13 CONJUNTO B LOTE 04/06 LOJA</t>
  </si>
  <si>
    <t>RENOVAURB COMERCIO DE PRODUTOS E SERVICOS DE SINALIZACAO VIARIA LTDA</t>
  </si>
  <si>
    <t>RENOVAURB SOLUCOES URBANAS</t>
  </si>
  <si>
    <t>COMENDADOR ANTONIO ANTUNES</t>
  </si>
  <si>
    <t>ALAMBARI</t>
  </si>
  <si>
    <t>RENTAL COMPUTER LTDA</t>
  </si>
  <si>
    <t>RENTAL COMPUTER</t>
  </si>
  <si>
    <t>ALM BRASIL</t>
  </si>
  <si>
    <t>SALA 407</t>
  </si>
  <si>
    <t>REPREMIG REPRESENTACAO E COMERCIO DE MINAS GERAIS LTDA</t>
  </si>
  <si>
    <t>VICENTINA COUTINHO CAMARGOS</t>
  </si>
  <si>
    <t>ALVARO CAMARGOS</t>
  </si>
  <si>
    <t>RESFRI AR CLIMATIZADORES E EQUIPAMENTOS LTDA</t>
  </si>
  <si>
    <t>RESFRI AR</t>
  </si>
  <si>
    <t>PRESIDENTE JUSCELINO KUBITSCHEK DE OLIVEIRA</t>
  </si>
  <si>
    <t xml:space="preserve"> BR 116 KM 40</t>
  </si>
  <si>
    <t>VENETO</t>
  </si>
  <si>
    <t>VACARIA</t>
  </si>
  <si>
    <t>RESOLV FACILITIES SERVICOS DE LIMPEZA LTDA.</t>
  </si>
  <si>
    <t>CARLOS CONSONI</t>
  </si>
  <si>
    <t>RESTAURANTE CORNAZZANI &amp; SOUZA LTDA</t>
  </si>
  <si>
    <t>JIN-JIN</t>
  </si>
  <si>
    <t>PASSEIO DOS FLAMBOYANTS</t>
  </si>
  <si>
    <t>LOJA 16</t>
  </si>
  <si>
    <t>PQ. FABER</t>
  </si>
  <si>
    <t>RESTAURANTE TENDA PAULISTA REFEICOES LTDA</t>
  </si>
  <si>
    <t>CERQ CESAR</t>
  </si>
  <si>
    <t>RETESP LTDA</t>
  </si>
  <si>
    <t>RETESP</t>
  </si>
  <si>
    <t>MOACYR AMORIN DA SILVA</t>
  </si>
  <si>
    <t>PARQUE INDUSTRIAL EMPRESARIO WILIAM DIB JORGE</t>
  </si>
  <si>
    <t>PENAPOLIS</t>
  </si>
  <si>
    <t>RETIFICA JF LTDA</t>
  </si>
  <si>
    <t>RETIFICA JF</t>
  </si>
  <si>
    <t>Recondicionamento e recuperação de motores para veículos automotores</t>
  </si>
  <si>
    <t>CURVELO</t>
  </si>
  <si>
    <t>REVAL ATACADO DE PAPELARIA LTDA</t>
  </si>
  <si>
    <t>PAPELARIA REVAL</t>
  </si>
  <si>
    <t>RG SEGURANCA E VIGILANCIA LTDA</t>
  </si>
  <si>
    <t>RG SEGURANCA</t>
  </si>
  <si>
    <t>SERRA DOURADA</t>
  </si>
  <si>
    <t>QUADRA98 LOTE 47</t>
  </si>
  <si>
    <t>SANTA GENOVEVA</t>
  </si>
  <si>
    <t>RHIO MAQUINAS LTDA</t>
  </si>
  <si>
    <t>RHIO MAQUINAS</t>
  </si>
  <si>
    <t>GETULIO BORGES RODRIGUES</t>
  </si>
  <si>
    <t>RHODIA BRASIL S.A.</t>
  </si>
  <si>
    <t>BLOCO B ANDAR 1 SUBSL BLOCO A ANDAR 3 PARTE</t>
  </si>
  <si>
    <t>RHOSSE INSTRUMENTOS E EQUIPAMENTOS CIRURGICOS LTDA</t>
  </si>
  <si>
    <t>RHOSSE</t>
  </si>
  <si>
    <t>SEBASTIAO MARTINS VIANA</t>
  </si>
  <si>
    <t>RIBCO DO BRASIL IMPORTACAO E EXPORTACAO LTDA</t>
  </si>
  <si>
    <t>RIBCO DO BRASIL</t>
  </si>
  <si>
    <t>JOSE MARIA LEONARDI</t>
  </si>
  <si>
    <t>LETRA B</t>
  </si>
  <si>
    <t>JARDIM SAO JORGE</t>
  </si>
  <si>
    <t>RIBEIRAO DIESEL S A VEICULOS</t>
  </si>
  <si>
    <t>ANHANGUERA - AV. MARGINAL</t>
  </si>
  <si>
    <t>KM 314/600MTS</t>
  </si>
  <si>
    <t>JARDIM PORTO SEGURO</t>
  </si>
  <si>
    <t>RICAMBI TRATORPECAS LTDA.</t>
  </si>
  <si>
    <t>RICAMBI</t>
  </si>
  <si>
    <t>BARUEL</t>
  </si>
  <si>
    <t>RICCEL COMERCIO DE DESCARTAVEIS LTDA</t>
  </si>
  <si>
    <t>MADRE DE DEUS</t>
  </si>
  <si>
    <t>RICOH BRASIL S.A.</t>
  </si>
  <si>
    <t>CONJ 141A A 144A</t>
  </si>
  <si>
    <t>RIMA INDUSTRIAL S/A</t>
  </si>
  <si>
    <t>Produção de ferroligas</t>
  </si>
  <si>
    <t>INDL DE BOCAIUVA</t>
  </si>
  <si>
    <t>DIST INDUSTRIAL</t>
  </si>
  <si>
    <t>BOCAIUVA</t>
  </si>
  <si>
    <t>RIMO ELETRICA E ILUMINACAO LTDA.</t>
  </si>
  <si>
    <t>RIMO ELETRICA</t>
  </si>
  <si>
    <t>GUARICANGA</t>
  </si>
  <si>
    <t>RINA BRASIL SERVICOS TECNICOS LTDA.</t>
  </si>
  <si>
    <t>RINA BRASIL</t>
  </si>
  <si>
    <t>ANEXO CENTRO NEGOC REGUS ANDAR 5 SALA 5010 E 5032</t>
  </si>
  <si>
    <t>RINNAI BRASIL TECNOLOGIA DE AQUECIMENTO LTDA.</t>
  </si>
  <si>
    <t>TENENTE ONOFRE RODRIGUES DE AGUIAR</t>
  </si>
  <si>
    <t>RIO MAR SERVICOS DE SEGURANCA EMPRESARIAL LTDA</t>
  </si>
  <si>
    <t>RIO MAR VIGILANCIA</t>
  </si>
  <si>
    <t>CAPANEMA</t>
  </si>
  <si>
    <t>CONJ MEDICI I</t>
  </si>
  <si>
    <t>MARAMBAIA</t>
  </si>
  <si>
    <t>RIO MINAS - TERCEIRIZACAO E ADMINISTRACAO DE SERVICOS LTDA</t>
  </si>
  <si>
    <t>GRUPO RMT SERVICOS</t>
  </si>
  <si>
    <t>RIO+ SANEAMENTO BL3 S.A</t>
  </si>
  <si>
    <t xml:space="preserve"> BLC 1 SAL 201 BLC 1 SAL 202</t>
  </si>
  <si>
    <t>RIOBAHIAFARMA COMERCIO E DISTRIBUICAO DE PRODUTOS MEDICOS E COSMETICOS LTDA</t>
  </si>
  <si>
    <t>RIOBAHIAFARMA</t>
  </si>
  <si>
    <t>DO LUXEMBURGO</t>
  </si>
  <si>
    <t xml:space="preserve"> GALPAO 01</t>
  </si>
  <si>
    <t>RIOVIVO AMBIENTAL LTDA</t>
  </si>
  <si>
    <t>RIOVIVO</t>
  </si>
  <si>
    <t>Tratamento e disposição de resíduos não-perigosos</t>
  </si>
  <si>
    <t>PEDRO STEFFEN</t>
  </si>
  <si>
    <t>STEFFEN</t>
  </si>
  <si>
    <t>BRUSQUE</t>
  </si>
  <si>
    <t>RIVULIS PLASTRO IRRIGACAO LTDA.</t>
  </si>
  <si>
    <t>LINEU ANTERINO MARIANO</t>
  </si>
  <si>
    <t>RKG METALURGICA LTDA</t>
  </si>
  <si>
    <t>RKG METALURGICA</t>
  </si>
  <si>
    <t>Obras de montagem industrial</t>
  </si>
  <si>
    <t>AUGUSTO DE LELLO</t>
  </si>
  <si>
    <t>RKS INDUSTRIA E COMERCIO DE CALCADOS LTDA</t>
  </si>
  <si>
    <t>Fabricação de tênis de qualquer material</t>
  </si>
  <si>
    <t>EPITACIO PESSOA</t>
  </si>
  <si>
    <t>VILA ANDRE DE FREITAS</t>
  </si>
  <si>
    <t>NOVA SERRANA</t>
  </si>
  <si>
    <t>RLZ INFORMATICA LTDA.</t>
  </si>
  <si>
    <t>RLZ INFORMATICA</t>
  </si>
  <si>
    <t>ANTONIO PEREIRA BRAGA</t>
  </si>
  <si>
    <t>RM CONSULTORIA E TREINAMENTO S/S LTDA</t>
  </si>
  <si>
    <t>RIO DE JANEIRO 195</t>
  </si>
  <si>
    <t>APT 51</t>
  </si>
  <si>
    <t>ROAL INDUSTRIA METALURGICA LTDA</t>
  </si>
  <si>
    <t>HORIZAU ANTONIO LUCCHESI</t>
  </si>
  <si>
    <t>NOVO DISTRITO INDUSTRIAL</t>
  </si>
  <si>
    <t>DESVIO RIZZO</t>
  </si>
  <si>
    <t>ROBERT BOSCH LIMITADA</t>
  </si>
  <si>
    <t>ANHANGUERA KM 98</t>
  </si>
  <si>
    <t>KM 98</t>
  </si>
  <si>
    <t>JARDIM EULINA</t>
  </si>
  <si>
    <t>ROCA BRASIL LTDA.</t>
  </si>
  <si>
    <t>CELITE</t>
  </si>
  <si>
    <t>ILHA GRANDE</t>
  </si>
  <si>
    <t>BAMBUI</t>
  </si>
  <si>
    <t>ROCESTER EQUIPAMENTOS LTDA</t>
  </si>
  <si>
    <t>PARQUE INDUSTRIAL JUNDIAI</t>
  </si>
  <si>
    <t>ROCHA &amp; ARAUJO ARQUITETURA E CONSTRUCAO LTDA</t>
  </si>
  <si>
    <t>NOVA YORK</t>
  </si>
  <si>
    <t>RODFLEX BRASIL LTDA</t>
  </si>
  <si>
    <t>RODFLEX</t>
  </si>
  <si>
    <t>RODIC INDUSTRIA E COMERCIO DE GERADORES DE ENERGIA SUSTENTAVEL LTDA</t>
  </si>
  <si>
    <t>SALA 93</t>
  </si>
  <si>
    <t>SAO PELEGRINO</t>
  </si>
  <si>
    <t>RODOCAP IMPLEMENTOS RODOVIARIOS LTDA</t>
  </si>
  <si>
    <t>JOAO BAPTISTA MENDES FERRAZ</t>
  </si>
  <si>
    <t>PORTAL DAS LARANJEIRAS</t>
  </si>
  <si>
    <t>RODOPARANA IMPLEMENTOS RODOVIARIOS LTDA</t>
  </si>
  <si>
    <t>RODOPARANA</t>
  </si>
  <si>
    <t>RODORIB TECNOLOGIA RODOVIARIA LTDA</t>
  </si>
  <si>
    <t>KM 319 MAIS 948 METROS</t>
  </si>
  <si>
    <t>AVELINO ALVES PALMA</t>
  </si>
  <si>
    <t>ROF INDUSTRIA, COMERCIO E SERVICO LTDA.</t>
  </si>
  <si>
    <t>ROF</t>
  </si>
  <si>
    <t>ROGAMA DISTRIBUIDORA E SERVICOS LTDA</t>
  </si>
  <si>
    <t>ROGAMA</t>
  </si>
  <si>
    <t>PARANAENSE</t>
  </si>
  <si>
    <t>ROGERIO S. ZARAMELLO</t>
  </si>
  <si>
    <t>BENEDITO PEREIRA DA SILVA</t>
  </si>
  <si>
    <t>VILA IMPERIO</t>
  </si>
  <si>
    <t>ROHDEN PORTAS E ARTEFATOS DE MADEIRA LTDA</t>
  </si>
  <si>
    <t>Fabricação de esquadrias de madeira e de peças de madeira para instalações industriais e comerciais</t>
  </si>
  <si>
    <t>SALETE</t>
  </si>
  <si>
    <t>ROLAMENTOS CBF LTDA.</t>
  </si>
  <si>
    <t>VITORINO CARMILO</t>
  </si>
  <si>
    <t>ROMANELLI EXPORTACAO E IMPORTACAO LTDA</t>
  </si>
  <si>
    <t>ROMANELLI EXPORTACAO E IMPORTACAO</t>
  </si>
  <si>
    <t>VILA ATALAIA</t>
  </si>
  <si>
    <t>ROMHER INDUSTRIA E COMERCIO LTDA</t>
  </si>
  <si>
    <t>ALLCLEAN</t>
  </si>
  <si>
    <t>MONTESINA</t>
  </si>
  <si>
    <t>VILA CELESTE</t>
  </si>
  <si>
    <t>ROMI S.A.</t>
  </si>
  <si>
    <t>PEROLA BYNGTON 56</t>
  </si>
  <si>
    <t>VILA ROMI</t>
  </si>
  <si>
    <t>ROMME CONSTRUTORA LTDA</t>
  </si>
  <si>
    <t>ROMME CONSTRUTORA</t>
  </si>
  <si>
    <t>JOAO PUTTINI</t>
  </si>
  <si>
    <t>RONDAVE LTDA</t>
  </si>
  <si>
    <t>VILA APARECIDA</t>
  </si>
  <si>
    <t>RONTAN ELETRO METALURGICA LTDA - EM RECUPERACAO JUDICIAL</t>
  </si>
  <si>
    <t>PROF MANUEL JOSE CHAVES</t>
  </si>
  <si>
    <t>RORAIMA ENERGIA S.A</t>
  </si>
  <si>
    <t>CAPITAO ENE GARCEZ</t>
  </si>
  <si>
    <t>RORIZ COMERCIO E IMPORTACAO LTDA</t>
  </si>
  <si>
    <t>RORIZ</t>
  </si>
  <si>
    <t>DO LIBANO</t>
  </si>
  <si>
    <t>QUADRA47 LOTE 01</t>
  </si>
  <si>
    <t>ROSICLEIDE OLIVEIRA DA SILVA 82173168215</t>
  </si>
  <si>
    <t>DA PAZ</t>
  </si>
  <si>
    <t>TERRA FIRME</t>
  </si>
  <si>
    <t>ROSICLER CIRURGICA LTDA.</t>
  </si>
  <si>
    <t>ROSPER INDUSTRIA METALURGICA LTDA</t>
  </si>
  <si>
    <t>JOAO NINCAO</t>
  </si>
  <si>
    <t>CAPUAVA</t>
  </si>
  <si>
    <t>ROSSETTI EQUIPAMENTOS RODOVIARIOS LTDA</t>
  </si>
  <si>
    <t>ROSSETTI</t>
  </si>
  <si>
    <t>ROTOVAC INDUSTRIA E COMERCIO DE PLASTICOS LTDA</t>
  </si>
  <si>
    <t>WALLACE SIMONSEN</t>
  </si>
  <si>
    <t>ROVEMA PARTICIPACOES S/A</t>
  </si>
  <si>
    <t>GRUPO ROVEMA</t>
  </si>
  <si>
    <t>SALA PRINCIPAL</t>
  </si>
  <si>
    <t>SAO JOAO BOSCO</t>
  </si>
  <si>
    <t>ROXTEC LATIN AMERICA LTDA.</t>
  </si>
  <si>
    <t>ROXTEC LATIN AMERICA</t>
  </si>
  <si>
    <t xml:space="preserve"> BLC 07 SAL 433 BLC 07 SAL 434</t>
  </si>
  <si>
    <t>RPC INFORMATICA LTDA</t>
  </si>
  <si>
    <t>RPL ROLAMENTOS PAULISTA LTDA</t>
  </si>
  <si>
    <t>RPL</t>
  </si>
  <si>
    <t>RS8 BRASIL LTDA</t>
  </si>
  <si>
    <t>YARA</t>
  </si>
  <si>
    <t>RTA REDE DE TECNOLOGIA AVANCADA LTDA - EM RECUPERACAO JUDICIAL</t>
  </si>
  <si>
    <t>RTS RIO S/A</t>
  </si>
  <si>
    <t>RTS</t>
  </si>
  <si>
    <t xml:space="preserve"> LOT 3</t>
  </si>
  <si>
    <t>RUD CORRENTES INDUSTRIAIS LTDA</t>
  </si>
  <si>
    <t>ANDREAS FLORIAN RIEGER</t>
  </si>
  <si>
    <t>RUHRPUMPEN DO BRASIL INDUSTRIA E COMERCIO DE BOMBAS HIDRAULICAS LTDA.</t>
  </si>
  <si>
    <t>BIXIRA</t>
  </si>
  <si>
    <t>CONJ 2</t>
  </si>
  <si>
    <t>RUMO S.A</t>
  </si>
  <si>
    <t>EMILIO BERTOLINI</t>
  </si>
  <si>
    <t>VILA OFICINAS</t>
  </si>
  <si>
    <t>RUSSELL BEDFORD GM AUDITORES INDEPENDENTES S/S</t>
  </si>
  <si>
    <t>RUSSELL BEDFORD BRASIL AUDITORES INDEPENDENTES S/S</t>
  </si>
  <si>
    <t>RUSSER BRASIL LTDA</t>
  </si>
  <si>
    <t>ANTONIA MARTINS LUIS</t>
  </si>
  <si>
    <t>DISTRITO INDUSTRIAL JOAO NAREZZI</t>
  </si>
  <si>
    <t>S &amp; T COMERCIO DE PRODUTOS DE LIMPEZA, DESCARTAVEIS E INFORMATICA LTDA</t>
  </si>
  <si>
    <t>MANOEL VIEIRA</t>
  </si>
  <si>
    <t>LOTE: 03;</t>
  </si>
  <si>
    <t>ARACOIABA DA SERRA</t>
  </si>
  <si>
    <t>S 3 INDUSTRIAL LIMITADA</t>
  </si>
  <si>
    <t>S A PAULISTA DE CONSTRUCOES E COMERCIO</t>
  </si>
  <si>
    <t>S.A. PAULISTA</t>
  </si>
  <si>
    <t>7 ANDAR-ED. CORPORATE</t>
  </si>
  <si>
    <t>S R CARAZZATTO</t>
  </si>
  <si>
    <t>PROTEZZA</t>
  </si>
  <si>
    <t>S R PRODUTOS HOSPITALARES SA</t>
  </si>
  <si>
    <t>CJTO 21</t>
  </si>
  <si>
    <t>VL OLIMPIA</t>
  </si>
  <si>
    <t>S. R. ROMANELLI FILHO - EQUIPAMENTOS RODOVIARIOS</t>
  </si>
  <si>
    <t>PR 862 CONTORNO NORTE KM 09</t>
  </si>
  <si>
    <t>GLEBA PRIMAVERA</t>
  </si>
  <si>
    <t>S.M.C. ENGENHARIA E CONSULTORIA LTDA.</t>
  </si>
  <si>
    <t>SALA 706 EDIF NETWORKING BUSINESS TOWER</t>
  </si>
  <si>
    <t>S.O.S SUL RESGATE - COMERCIO E SERVICOS DE SEGURANCA E SINALIZACAO LTDA</t>
  </si>
  <si>
    <t>CASA DO BOMBEIRO</t>
  </si>
  <si>
    <t>COMENDADOR FRANCO</t>
  </si>
  <si>
    <t>CASA 2</t>
  </si>
  <si>
    <t>JARDIM DAS AMERICAS</t>
  </si>
  <si>
    <t>S.R. SARTORI JUNIOR LTDA</t>
  </si>
  <si>
    <t>PAPA PIO XII</t>
  </si>
  <si>
    <t>S.S. MAQUINAS LTDA</t>
  </si>
  <si>
    <t>AGUAS DE CHAPECO</t>
  </si>
  <si>
    <t>SAAE - SANEAMENTO AMBIENTAL DE ATIBAIA</t>
  </si>
  <si>
    <t>ROBERTO GOMES PEDROSA</t>
  </si>
  <si>
    <t xml:space="preserve"> -</t>
  </si>
  <si>
    <t>CIDADE SATELITE</t>
  </si>
  <si>
    <t>SAAE SERVICO AUTONOMO DE AGUA E ESGOTO DE JACAREI</t>
  </si>
  <si>
    <t>MIGUEL LEITE DO AMPARO</t>
  </si>
  <si>
    <t>JARDIM PEREIRA DO AMPARO</t>
  </si>
  <si>
    <t>SAAEDOCO SERVICO AUTONOMO DE AGUA E ESGOTOS DE DOIS CORREGOS</t>
  </si>
  <si>
    <t>JOAO DE OLIVEIRA SIMOES</t>
  </si>
  <si>
    <t>SAAY'S SOLUCOES AMBIENTAIS LTDA</t>
  </si>
  <si>
    <t>SAAY'S SOLUCOES AMBIENTAIS</t>
  </si>
  <si>
    <t>FERNANDO KRAUSS</t>
  </si>
  <si>
    <t>GASPAR MIRIM</t>
  </si>
  <si>
    <t>SABARA QUIMICOS E INGREDIENTES S/A</t>
  </si>
  <si>
    <t>SABARA</t>
  </si>
  <si>
    <t>BR 101 NORTE KM 38</t>
  </si>
  <si>
    <t>ITAPISSUMA</t>
  </si>
  <si>
    <t>SABIN MEDICINA DIAGNOSTICA S.A</t>
  </si>
  <si>
    <t>SABIN</t>
  </si>
  <si>
    <t>SC/NORTE, QUADRA 05, BLOCO A</t>
  </si>
  <si>
    <t>SABO INDUSTRIA E COMERCIO DE AUTOPECAS LTDA</t>
  </si>
  <si>
    <t>RETENTORES SABO</t>
  </si>
  <si>
    <t>MATEO FORTE</t>
  </si>
  <si>
    <t>SACHO - AUDITORES INDEPENDENTES</t>
  </si>
  <si>
    <t>CHACARA TATUAPE</t>
  </si>
  <si>
    <t>SAEMJA-AGENCIA REGULADORA DO SERVICO DE AGUA, ESGOTO E SANEAMENTO DO MUNICIPIO DE JAHU</t>
  </si>
  <si>
    <t>SAFE SUPORTE A VIDA E COMERCIO INTERNACIONAL LTDA</t>
  </si>
  <si>
    <t>SAFE SOLUCOES TECNOLOGICAS</t>
  </si>
  <si>
    <t>PROFESSOR MARIO RAMOS</t>
  </si>
  <si>
    <t>BONGI</t>
  </si>
  <si>
    <t>SAFETLINE EQUIPAMENTOS DE SEGURANCA LTDA</t>
  </si>
  <si>
    <t>JORNALISTA FRANCISCO AGUIRRE PROENCA KM 13</t>
  </si>
  <si>
    <t xml:space="preserve"> SP 101 KM 13.2</t>
  </si>
  <si>
    <t>CHACARAS ASSAY</t>
  </si>
  <si>
    <t>SAFETY EPI'S E ARTIGOS DE COURO LTDA</t>
  </si>
  <si>
    <t>SAFETY EPI</t>
  </si>
  <si>
    <t>Fabricação de roupas de proteção e segurança e resistentes a fogo</t>
  </si>
  <si>
    <t>JOAO JOSE DE SOUZA</t>
  </si>
  <si>
    <t>VILA ESPERANCA</t>
  </si>
  <si>
    <t>CRISTINA</t>
  </si>
  <si>
    <t>SAFETYTRAB COMERCIO E SERVICOS LTDA</t>
  </si>
  <si>
    <t>SAFETYTRAB</t>
  </si>
  <si>
    <t>PEREIRA DA SILVA</t>
  </si>
  <si>
    <t>JARDIM SANTA ROSALIA</t>
  </si>
  <si>
    <t>SAGA ENERGIA FOTOVOLTAICA LTDA</t>
  </si>
  <si>
    <t>SAINT-GOBAIN DO BRASIL PRODUTOS INDUSTRIAIS E PARA CONSTRUCAO LTDA</t>
  </si>
  <si>
    <t>EDIF TORRE TORINO ANDAR 1 CONJ 11</t>
  </si>
  <si>
    <t>ISOVER</t>
  </si>
  <si>
    <t>JOAO ALFREDO</t>
  </si>
  <si>
    <t>WEBER QUARTZOLIT</t>
  </si>
  <si>
    <t>SAINT-GOBAIN PAM</t>
  </si>
  <si>
    <t>SALES EQUIPAMENTOS E PRODUTOS DE HIGIENE PROFISSIONAL LTDA</t>
  </si>
  <si>
    <t>PROF HASEGAWA</t>
  </si>
  <si>
    <t>SALINA CORP LTDA</t>
  </si>
  <si>
    <t>SALINA CORP</t>
  </si>
  <si>
    <t>ACSV SE 12 (106 SUL N 50) AV JK</t>
  </si>
  <si>
    <t>LOTE 24 SALA 05A</t>
  </si>
  <si>
    <t>SALK MEDICAL SERVICOS E COMERCIO DE PRODUTOS PARA SAUDE LTDA</t>
  </si>
  <si>
    <t>SALK MEDICAL</t>
  </si>
  <si>
    <t>EXPEDICIONARIO ANTONIO MACHADO</t>
  </si>
  <si>
    <t>SALLUM E TORRES COMERCIO DE PRODUTOS E SERVICOS ALIMENTICIOS LTDA</t>
  </si>
  <si>
    <t>MARQUES DE ITU</t>
  </si>
  <si>
    <t>VILA BUARQUE</t>
  </si>
  <si>
    <t>SALVER CONSTRUTORA E INCORPORADORA LTDA</t>
  </si>
  <si>
    <t>SALVER CONSTRUTORA E INCORPORADORA</t>
  </si>
  <si>
    <t>LEONEL THIESEN</t>
  </si>
  <si>
    <t>ITUPORANGA</t>
  </si>
  <si>
    <t>SAMPA SANEAMENTO AMBIENTAL LTDA</t>
  </si>
  <si>
    <t>MARIA LOPES MONTEIRO</t>
  </si>
  <si>
    <t>SAMPLA DO BRASIL INDUSTRIA E COMERCIO DE CORREIAS LTDA</t>
  </si>
  <si>
    <t>PEDRO EROLES, SP 88, KM 33</t>
  </si>
  <si>
    <t>CAPUTERA</t>
  </si>
  <si>
    <t>SAMSUNG ELECTRONICS CO.LTD.</t>
  </si>
  <si>
    <t>(MAETAN-DONG) SAMSUNG-RO, YOUNGTONG-GU</t>
  </si>
  <si>
    <t>GYEONGGI-DO</t>
  </si>
  <si>
    <t>SAMTRONIC INDUSTRIA E COMERCIO LTDA</t>
  </si>
  <si>
    <t>SAMTRONIC LIMITADA</t>
  </si>
  <si>
    <t>VENDA DA ESPERANCA</t>
  </si>
  <si>
    <t>SANBIO CIENTIFICA COMERCIO E IMPORTACAO DE PRODUTOS CIENTIFICOS LTDA</t>
  </si>
  <si>
    <t>MAURO KREPSKI</t>
  </si>
  <si>
    <t>SANCHES &amp; SANCHES RODOS DE ALUMINIO LTDA</t>
  </si>
  <si>
    <t>SANCHES &amp; SANCHES RODOS</t>
  </si>
  <si>
    <t>HUBERT DE CASTILHO</t>
  </si>
  <si>
    <t>PQ INDUSTRIAL JD MUNDO NOVO</t>
  </si>
  <si>
    <t>URUPES</t>
  </si>
  <si>
    <t>SANDPLAST COMERCIO DE PLASTICOS LTDA</t>
  </si>
  <si>
    <t>DR DEODATO WERTHEIMER</t>
  </si>
  <si>
    <t>BRAZ CUBAS</t>
  </si>
  <si>
    <t>SANDRA SUELY DE FARIAS</t>
  </si>
  <si>
    <t>VITORIA BEBEDOUROS</t>
  </si>
  <si>
    <t>CORONEL JOVINIANO BRANDAO</t>
  </si>
  <si>
    <t>SANDVIK COROMANT DO BRASIL INDUSTRIA E COMERCIO DE FERRAMENTAS LTDA</t>
  </si>
  <si>
    <t xml:space="preserve"> GLEBA A2C COND JOATE PARK MODULO 1</t>
  </si>
  <si>
    <t>SANEADE COMERCIO DE PRODUTOS DE SANEAMENTO LTDA</t>
  </si>
  <si>
    <t>LUISA DARIVA</t>
  </si>
  <si>
    <t>APT 1001 ANDAR 10 COND MAI TERRACES BLOCO - TORRE A</t>
  </si>
  <si>
    <t>CAMPINA DO SIQUEIRA</t>
  </si>
  <si>
    <t>SANEAMENTO AMBIENTAL AGUAS DO BRASIL SA</t>
  </si>
  <si>
    <t>MARQUES DE PARANA</t>
  </si>
  <si>
    <t>SANEAMENTO BASICO DO MUNICIPIO DE MAUA SAMA</t>
  </si>
  <si>
    <t>SAMA</t>
  </si>
  <si>
    <t>VILA MAGINE</t>
  </si>
  <si>
    <t>SANEAMENTO BRASIL INDUSTRIA E COMERCIO DE CONEXOES S.A.</t>
  </si>
  <si>
    <t>CONEXOES CHIVA</t>
  </si>
  <si>
    <t>LEONILDA SIBILA NADOLNY</t>
  </si>
  <si>
    <t>CENTRO INDUSTRIAL MAUA</t>
  </si>
  <si>
    <t>SANEAR - SANEAMENTO E SERVICOS LTDA</t>
  </si>
  <si>
    <t>SANEAR SANEAMENTO</t>
  </si>
  <si>
    <t>GUIMARAES JUNIOR</t>
  </si>
  <si>
    <t>ANEXO 1</t>
  </si>
  <si>
    <t>SAO DIOGO I</t>
  </si>
  <si>
    <t>SANEAR ENGENHARIA E CONSTRUCAO LTDA</t>
  </si>
  <si>
    <t>SANEAR</t>
  </si>
  <si>
    <t>JARDIM VINTE E CINCO DE AGOSTO</t>
  </si>
  <si>
    <t>SANEAR SAUDE AMBIENTAL LTDA</t>
  </si>
  <si>
    <t>SANEAR FACILITIES</t>
  </si>
  <si>
    <t>CANDIDO RISSUT</t>
  </si>
  <si>
    <t>QUADRA19 LOTE PT06A</t>
  </si>
  <si>
    <t>SANEBAVI - SANEAMENTO BASICO VINHEDO</t>
  </si>
  <si>
    <t>SANEBAVI</t>
  </si>
  <si>
    <t>VILA PLANALTO</t>
  </si>
  <si>
    <t>SANERG SANEAMENTO E PRESTACAO DE SERVICOS LTDA</t>
  </si>
  <si>
    <t>ABAST CENTER BRASIL SANERG</t>
  </si>
  <si>
    <t>MANOEL PEDRO JUNIOR</t>
  </si>
  <si>
    <t>SANERIO CONSTRUCOES LTDA - EM RECUPERACAO JUDICIAL</t>
  </si>
  <si>
    <t>AYRTON SENNA</t>
  </si>
  <si>
    <t>BL 01 SL 103 A 107</t>
  </si>
  <si>
    <t>SANEVAP - SANEAMENTO DO VALE DO PARAIBA S.A.</t>
  </si>
  <si>
    <t>ANDAR 6 CONJ 62 SALA 1</t>
  </si>
  <si>
    <t>SANIGRAN LTDA</t>
  </si>
  <si>
    <t>SANIGRAN</t>
  </si>
  <si>
    <t>JACOB GUBAUA</t>
  </si>
  <si>
    <t xml:space="preserve"> PREDIO</t>
  </si>
  <si>
    <t>LAMENHA GRANDE</t>
  </si>
  <si>
    <t>ALMIRANTE TAMANDARE</t>
  </si>
  <si>
    <t>SANKO DO BRASIL SA INSTALACAO SERVICOS TECNICOS</t>
  </si>
  <si>
    <t>LOEFGREEN</t>
  </si>
  <si>
    <t>CJTOS. 111 A 114</t>
  </si>
  <si>
    <t>SANOFI MEDLEY FARMACEUTICA LTDA</t>
  </si>
  <si>
    <t>CORONEL-PM NELSON TRANCHESI</t>
  </si>
  <si>
    <t>SANREMO S/A</t>
  </si>
  <si>
    <t>SANTA ANGELA EMPREENDIMENTO IMOBILIARIO LTDA</t>
  </si>
  <si>
    <t>PROF. PEDRO CLARISMUNDO FORNARI</t>
  </si>
  <si>
    <t>DO ENGORDADOURO</t>
  </si>
  <si>
    <t>SANTA CATARINA TRIBUNAL DE JUSTICA</t>
  </si>
  <si>
    <t>TRIBUNAL JUSTICA SANTA CATARINA</t>
  </si>
  <si>
    <t>ALVARO MILLEN DA SILVEIRA</t>
  </si>
  <si>
    <t>SANTA IZABEL AGRO INDUSTRIA LTDA</t>
  </si>
  <si>
    <t>DOLORES MARTINS RUBINHO</t>
  </si>
  <si>
    <t>SANTANA EQUIPAMENTOS LTDA</t>
  </si>
  <si>
    <t>SANTANA EQUIPAMENTOS</t>
  </si>
  <si>
    <t>Aluguel de andaimes</t>
  </si>
  <si>
    <t>JOAO BATISTA PEDROSO</t>
  </si>
  <si>
    <t>RESIDENCIAL FLAMBOYANT</t>
  </si>
  <si>
    <t>SANTHER FABRICA DE PAPEL SANTA THEREZINHA S/A</t>
  </si>
  <si>
    <t>ARACATI</t>
  </si>
  <si>
    <t>SANTIL COMERCIAL ELETRICA LTDA</t>
  </si>
  <si>
    <t>NOSSA SENH.DO O</t>
  </si>
  <si>
    <t>SANTO ANTONIO PRBI ALIMENTOS LTDA</t>
  </si>
  <si>
    <t>PREFEITO JOSE MORALES AGUDO</t>
  </si>
  <si>
    <t>DISTRITO INDUSTRIAL III</t>
  </si>
  <si>
    <t>PARAPUA</t>
  </si>
  <si>
    <t>SANTOS FRANCO INDUSTRIA E COMERCIO DE CONEXOES LTDA</t>
  </si>
  <si>
    <t>CORONEL IVON CESAR PIMENTEL</t>
  </si>
  <si>
    <t>13-80</t>
  </si>
  <si>
    <t>SANUTRIN ALIMENTACAO PARA ESTUDANTES LTDA</t>
  </si>
  <si>
    <t>SANUTRIN REFEICOES</t>
  </si>
  <si>
    <t>SANTA EROTILDES</t>
  </si>
  <si>
    <t>REMEDIOS</t>
  </si>
  <si>
    <t>SANY IMPORTACAO E EXPORTACAO DA AMERICA DO SUL LTDA</t>
  </si>
  <si>
    <t>SANY DO BRASIL LTDA</t>
  </si>
  <si>
    <t>DOUTOR ROMEU CARLOS PETRILLI</t>
  </si>
  <si>
    <t>SAO JOAO ALIMENTOS LTDA</t>
  </si>
  <si>
    <t>ARROZ PATEKO</t>
  </si>
  <si>
    <t>SAO PAULO SECRETARIA DA ADMINISTRACAO PENITENCIARIA</t>
  </si>
  <si>
    <t>DIVISAO ADM COORDENADORIA DE SAUDE DO SISTEMA PENIT.</t>
  </si>
  <si>
    <t>GENERAL ATALIBA LEONEL</t>
  </si>
  <si>
    <t>PENITENCIARIA FEMININA SANT ANA</t>
  </si>
  <si>
    <t>SAO PAULO SECRETARIA DA SEGURANCA PUBLICA</t>
  </si>
  <si>
    <t>PMESP-APMBB ACADEMIA DE POLICIA MILITAR DO BARRO BRANCO</t>
  </si>
  <si>
    <t>AGUA FRIA</t>
  </si>
  <si>
    <t>TUCURUVI</t>
  </si>
  <si>
    <t>SAO PAULO TRANSPORTE S.A.</t>
  </si>
  <si>
    <t>SPTRANS</t>
  </si>
  <si>
    <t>SAO PAULO TRIBUNAL DE JUSTICA</t>
  </si>
  <si>
    <t>SP TJ</t>
  </si>
  <si>
    <t>DA SE</t>
  </si>
  <si>
    <t>SAPORE S.A.</t>
  </si>
  <si>
    <t>ANTONIO ARTIOLI 570</t>
  </si>
  <si>
    <t>EDIF ALTDORF BLOCO G COND SWISS PARK OFFICE</t>
  </si>
  <si>
    <t>SATEC INDUSTRIA E COMERCIO DE EQUIPAMENTOS DE PESAGEM LTDA.</t>
  </si>
  <si>
    <t>MARQUES DE CARAVELAS</t>
  </si>
  <si>
    <t>SBPR SISTEMA BRASILEIRO DE PROTECAO RESPIRATORIA LTDA.</t>
  </si>
  <si>
    <t>AIR SAFETY</t>
  </si>
  <si>
    <t>CONCEICAO SAMMARTINO</t>
  </si>
  <si>
    <t>SC MEDICAL INDUSTRIA COMERCIO E SERVICOS LTDA</t>
  </si>
  <si>
    <t>CLETO DA SILVA</t>
  </si>
  <si>
    <t>SC SEG SERVICOS ESPECIALIZADOS LTDA</t>
  </si>
  <si>
    <t>SC SEG SERVICOS ESPECIALIZADOS</t>
  </si>
  <si>
    <t>JOAO PEDRO MARTINS</t>
  </si>
  <si>
    <t>LETRA C</t>
  </si>
  <si>
    <t>SCANIA LATIN AMERICA LTDA</t>
  </si>
  <si>
    <t>JOSE ODORIZZI</t>
  </si>
  <si>
    <t>VL EURO</t>
  </si>
  <si>
    <t>SCHMIEDT HOLDING LTDA</t>
  </si>
  <si>
    <t>SCHMIEDT HOLDING</t>
  </si>
  <si>
    <t>DOUTOR MAURICIO CARDOSO</t>
  </si>
  <si>
    <t>APT 601</t>
  </si>
  <si>
    <t>JARDIM MAUA</t>
  </si>
  <si>
    <t>SCHNEIDER ELECTRIC BRASIL AUTOMACAO DE PROCESSOS LTDA.</t>
  </si>
  <si>
    <t>SCHNEIDER ELECTRIC SYSTEMS BRASIL.</t>
  </si>
  <si>
    <t>ANDAR 31 EDIF EZ TOWERS</t>
  </si>
  <si>
    <t>SCHNELL BRASIL S.A. - INDUSTRIA DE MAQUINAS</t>
  </si>
  <si>
    <t>PAULO VOLTOLINI</t>
  </si>
  <si>
    <t>RIBEIRAO CAVALO</t>
  </si>
  <si>
    <t>SCHULZ S/A</t>
  </si>
  <si>
    <t>SCHULZ</t>
  </si>
  <si>
    <t>SCHUNK DO BRASIL ELETROGRAFITES LTDA.</t>
  </si>
  <si>
    <t>SCHUNK DO BRASIL LTDA.</t>
  </si>
  <si>
    <t>DO EMBU</t>
  </si>
  <si>
    <t>MOINHO VELHO</t>
  </si>
  <si>
    <t>SCHUSTER COMERCIO DE EQUIPAMENTOS ODONTOLOGICOS S.A</t>
  </si>
  <si>
    <t>SCHUSTER INDUSTRIAL E COMERCIAL</t>
  </si>
  <si>
    <t>BR-158</t>
  </si>
  <si>
    <t>LOTE 01/02</t>
  </si>
  <si>
    <t>PINHEIRO MACHADO</t>
  </si>
  <si>
    <t>SCHWING EQUIPAMENTOS INDUSTRIAIS LTDA</t>
  </si>
  <si>
    <t>SCHWING STETTER</t>
  </si>
  <si>
    <t>KM 56+475 MTS</t>
  </si>
  <si>
    <t>SCOLTT SEGURANCA DE VALORES LTDA</t>
  </si>
  <si>
    <t>SCOLTT SEGURANCA DE VALORES</t>
  </si>
  <si>
    <t>GERMANO LOPES CORDEIRO</t>
  </si>
  <si>
    <t>SCORPIOS INDUSTRIA METALURGICA LTDA</t>
  </si>
  <si>
    <t>PLATINA</t>
  </si>
  <si>
    <t>PROSPERIDADE</t>
  </si>
  <si>
    <t>SCPOLIAS INDUSTRIA E COMERCIO DE POLIAS LTDA</t>
  </si>
  <si>
    <t>SCPOLIAS</t>
  </si>
  <si>
    <t>JOSEFINA SACHET MILANEZ</t>
  </si>
  <si>
    <t>CARAVAGGIO</t>
  </si>
  <si>
    <t>SD SOLUTIONS COMERCIAL LTDA</t>
  </si>
  <si>
    <t>SKYPIX PROFESSIONAL LIGHT LINE</t>
  </si>
  <si>
    <t>CUSTODIO DE AGUIAR</t>
  </si>
  <si>
    <t>BALNEARIO MAR PAULISTA</t>
  </si>
  <si>
    <t>SDC TECHNOLOGY AND ENTERPRISE SOLUTIONS LTDA</t>
  </si>
  <si>
    <t>SALA 500 CONJ 091</t>
  </si>
  <si>
    <t>SAVASSI</t>
  </si>
  <si>
    <t>SEAL VALVE VALVULAS E EQUIPAMENTOS INDUSTRIAIS LTDA</t>
  </si>
  <si>
    <t>DOS FLANBOYANT</t>
  </si>
  <si>
    <t>ANEXO 470</t>
  </si>
  <si>
    <t>PARQUE CIDADE JARDIM</t>
  </si>
  <si>
    <t>SEARA ALIMENTOS LTDA</t>
  </si>
  <si>
    <t>Comércio atacadista de carnes bovinas e suínas e derivados</t>
  </si>
  <si>
    <t xml:space="preserve"> 1 ANDAR</t>
  </si>
  <si>
    <t>SEBOLD COMERCIAL ATACADO DE PRODUTOS, ALIMENTOS E EQUIPAMENTOS LTDA</t>
  </si>
  <si>
    <t>SEBOLD COMERCIAL</t>
  </si>
  <si>
    <t>TREZE DE JUNHO</t>
  </si>
  <si>
    <t>FLOR DE NAPOLIS</t>
  </si>
  <si>
    <t>SECATTO &amp; CRUZ PRODUCAO E PROJETOS PROMOCIONAIS LTDA.</t>
  </si>
  <si>
    <t>SECATTO &amp; CRUZ</t>
  </si>
  <si>
    <t>ESPERANCA</t>
  </si>
  <si>
    <t>SALA 5A</t>
  </si>
  <si>
    <t>SECCOL CONTROLE E CERTIFICACAO LTDA</t>
  </si>
  <si>
    <t>SECCOL CONTROLE E CERTIFICACAO</t>
  </si>
  <si>
    <t>DA RAIA</t>
  </si>
  <si>
    <t>JD ATLANTICO</t>
  </si>
  <si>
    <t>SECHERON EQUIPAMENTOS FERROVIARIOS DO BRASIL LTDA</t>
  </si>
  <si>
    <t>SECHERON HASLER DO BRASIL</t>
  </si>
  <si>
    <t>SECRETARIA DA CULTURA, ECONOMIA E INDUSTRIA CRIATIVAS</t>
  </si>
  <si>
    <t>SP SC GABINETE DO SECRETARIO</t>
  </si>
  <si>
    <t>EDIF JULIO PRESTES</t>
  </si>
  <si>
    <t>SECRETARIA DA FAZENDA E PLANEJAMENTO</t>
  </si>
  <si>
    <t>SECRETARIA DA FAZENDA</t>
  </si>
  <si>
    <t>DIRETORIA GERAL DE FINANCAS - DGFIN</t>
  </si>
  <si>
    <t>SECRETARIA DA JUSTICA E CIDADANIA</t>
  </si>
  <si>
    <t>DO COLEGIO</t>
  </si>
  <si>
    <t>SECRETARIA DA SAUDE</t>
  </si>
  <si>
    <t>NS 01, PRACA DOS GIRASSOIS</t>
  </si>
  <si>
    <t>SECRETARIA DE COMUNICACAO</t>
  </si>
  <si>
    <t>SECRETARIA DE DESENVOLVIMENTO ECONOMICO</t>
  </si>
  <si>
    <t>SECR. DE DESENV. ECONOM., CIENCIA, TECNOL. E INOVACAO</t>
  </si>
  <si>
    <t>ESCOLA POLITECNICA</t>
  </si>
  <si>
    <t>RIO PEQUENO</t>
  </si>
  <si>
    <t>SECRETARIA DE ESTADO DA ADMINISTRACAO PENITENCIARIA</t>
  </si>
  <si>
    <t>SEAP</t>
  </si>
  <si>
    <t>CENTRO ADMINISTRATIVO</t>
  </si>
  <si>
    <t>BLOCO II 4 ANDAR</t>
  </si>
  <si>
    <t>SECRETARIA DE ESTADO DA CULTURA</t>
  </si>
  <si>
    <t>SEEC</t>
  </si>
  <si>
    <t>EBANO PEREIRA</t>
  </si>
  <si>
    <t>SECRETARIA DE ESTADO DE ESPORTES</t>
  </si>
  <si>
    <t>SEESP</t>
  </si>
  <si>
    <t>PAPA JOAO PAULO II</t>
  </si>
  <si>
    <t>EDIF MINAS ANDAR 8</t>
  </si>
  <si>
    <t>SERRA VERDE</t>
  </si>
  <si>
    <t>SECRETARIA DE ESTADO DE PLANEJAMENTO E GESTAO - SEPLAG</t>
  </si>
  <si>
    <t>SEPLAG - RJ</t>
  </si>
  <si>
    <t>ERASMO BRAGA</t>
  </si>
  <si>
    <t xml:space="preserve"> EDIF ESTACIO DE SA ANDAR 8 9 E 10</t>
  </si>
  <si>
    <t>SECRETARIA DE ESTADO DOS TRANSPORTES METROPOLITANOS</t>
  </si>
  <si>
    <t>SECRETARIA DOS TRANSPORTES METROPOLITANOS</t>
  </si>
  <si>
    <t>10 ANDAR - BLOCO</t>
  </si>
  <si>
    <t>SECRETARIA DE MEIO AMBIENTE INFRAESTRUTURA E LOGISTICA</t>
  </si>
  <si>
    <t>SECRETARIA DE INFRAESTRUTURA E MEIO AMBIENTE</t>
  </si>
  <si>
    <t>PROFESSOR FREDERICO HERMAN JUNIOR</t>
  </si>
  <si>
    <t>SECRETARIA DE TURISMO E VIAGENS</t>
  </si>
  <si>
    <t>SECRETARIA GERAL DE GOVERNO</t>
  </si>
  <si>
    <t>SGG</t>
  </si>
  <si>
    <t>BORGES DE MEDEIROS 1501</t>
  </si>
  <si>
    <t>ANDAR: 21;</t>
  </si>
  <si>
    <t>PRAIA DE BELAS</t>
  </si>
  <si>
    <t>SECRETARIA MUNICIPAL DAS SUBPREFEITURAS</t>
  </si>
  <si>
    <t>SMPR</t>
  </si>
  <si>
    <t>SECRETARIA MUNICIPAL DE ESPORTES E LAZER _ SEME</t>
  </si>
  <si>
    <t>IRAE</t>
  </si>
  <si>
    <t>SECRETARIA MUNICIPAL DE HABITACAO</t>
  </si>
  <si>
    <t>SP SEHAB G GAB DO SECRETARIO</t>
  </si>
  <si>
    <t>SECRETARIA MUNICIPAL DE SAUDE</t>
  </si>
  <si>
    <t>SEMSA</t>
  </si>
  <si>
    <t>QUADRA046 LOTE 030</t>
  </si>
  <si>
    <t>PARAUAPEBAS</t>
  </si>
  <si>
    <t>SECURITY SEGURANCA LTDA</t>
  </si>
  <si>
    <t>APINAJES</t>
  </si>
  <si>
    <t>SEEL SERVICOS ESPECIAIS DE ENGENHARIA LTDA</t>
  </si>
  <si>
    <t>SALA 1701</t>
  </si>
  <si>
    <t>SEFCOM - COMERCIAL E PRESTADORA DE SERVICOS LTDA</t>
  </si>
  <si>
    <t>OSVALDO BATISTA DA SILVA</t>
  </si>
  <si>
    <t>DONA IRENE</t>
  </si>
  <si>
    <t>SEGETI CONSULTORIA CONTABIL E COMPLIANCE LTDA</t>
  </si>
  <si>
    <t>ANDAR QUINTO</t>
  </si>
  <si>
    <t>LUZ</t>
  </si>
  <si>
    <t>SEGINFO COMERCIO &amp; SERVICOS EMPRESARIAIS LTDA</t>
  </si>
  <si>
    <t>SEGINFO.PE COMERCIO &amp; SERVICOS</t>
  </si>
  <si>
    <t>GALPAOG3 D ANEXO B</t>
  </si>
  <si>
    <t>SESI</t>
  </si>
  <si>
    <t>BAYEUX</t>
  </si>
  <si>
    <t>SEGPARTNERS BRASIL CORRETORA DE SEGUROS S/A</t>
  </si>
  <si>
    <t>2150976.5</t>
  </si>
  <si>
    <t>STA ISABEL</t>
  </si>
  <si>
    <t>CONJ 45</t>
  </si>
  <si>
    <t>SEGPLUS - SISTEMAS DE SEGURANCA LTDA</t>
  </si>
  <si>
    <t>SEGPLUS - SISTEMA DE SEGURANCA</t>
  </si>
  <si>
    <t>GREGORIO FRANCISCO FERREIRA, 34</t>
  </si>
  <si>
    <t>FORQUILHAS</t>
  </si>
  <si>
    <t>SEGURADORA LIDER DO CONSORCIO DO SEGURO DPVAT SA</t>
  </si>
  <si>
    <t xml:space="preserve"> PAV 19</t>
  </si>
  <si>
    <t>SEKO DO BRASIL COMERCIO E INDUSTRIA DE SISTEMAS DE DOSAGEM LTDA.</t>
  </si>
  <si>
    <t>SEKO DO BRASIL</t>
  </si>
  <si>
    <t>ANITA MALFATTI</t>
  </si>
  <si>
    <t>SELETA INDUSTRIA E COMERCIO DE PLASTICOS EIRELI</t>
  </si>
  <si>
    <t>SUELI APARECIDA LEITE NOGUEIRA</t>
  </si>
  <si>
    <t>RIBEIRAO DOS PORCOS</t>
  </si>
  <si>
    <t>SEM PARAR INSTITUICAO DE PAGAMENTO LTDA</t>
  </si>
  <si>
    <t>ANDAR 17 18 19 E 26 PARTE</t>
  </si>
  <si>
    <t>SEMANTIX TECNOLOGIA EM SISTEMA DE INFORMACAO S.A.</t>
  </si>
  <si>
    <t>SEMANTIX AI</t>
  </si>
  <si>
    <t>SEMOG CONSTRUTORA E SERVICOS TERCEIRIZADOS EIRELI</t>
  </si>
  <si>
    <t>CONSTRUTORA SEMOG</t>
  </si>
  <si>
    <t>912 SUL AVENIDA 95</t>
  </si>
  <si>
    <t>CONJ: QC 02 ; SALA: 04;</t>
  </si>
  <si>
    <t>SENDAS DISTRIBUIDORA S/A</t>
  </si>
  <si>
    <t>ASSAI ATACADISTA</t>
  </si>
  <si>
    <t xml:space="preserve"> LOT 2 PAL 48959 ANEXO A</t>
  </si>
  <si>
    <t>SENIOR AUDITORES INDEPENDENTES S/S</t>
  </si>
  <si>
    <t>SENIOR AUDITORES E CONSULTORES</t>
  </si>
  <si>
    <t>ARTHUR THOMAS</t>
  </si>
  <si>
    <t>EDIF JOANNA DE ANGELIS SALA 402-A</t>
  </si>
  <si>
    <t>SENNINGER IRRIGATION INTERNATIONAL, LLC</t>
  </si>
  <si>
    <t>OLD WINTER GARDEN ROAD</t>
  </si>
  <si>
    <t>ORLANDO, FLORIDA</t>
  </si>
  <si>
    <t>SENTAX DO BRASIL MANUTENCAO DE SISTEMAS DE HIGIENE LTDA</t>
  </si>
  <si>
    <t>UNIFLOR</t>
  </si>
  <si>
    <t>SEPARAR PRODUTOS E SERVICOS LTDA</t>
  </si>
  <si>
    <t xml:space="preserve"> LOT 02 PAL 45461</t>
  </si>
  <si>
    <t>BANGU</t>
  </si>
  <si>
    <t>SERC HOLDING LTDA</t>
  </si>
  <si>
    <t>CONCREFIBER HOLDING</t>
  </si>
  <si>
    <t>MANOEL BARBOSA FILHO</t>
  </si>
  <si>
    <t>LOTE 11</t>
  </si>
  <si>
    <t>GRANJA OLGA III</t>
  </si>
  <si>
    <t>SERES - SERVICOS DE RECRUTAMENTO E SELECAO DE PESSOAL S.A.</t>
  </si>
  <si>
    <t>ALCINDO GUANABARA</t>
  </si>
  <si>
    <t>ANDAR 2 ANDAR 3</t>
  </si>
  <si>
    <t>SERGIPE GAS S/A - SERGAS</t>
  </si>
  <si>
    <t>SERGAS</t>
  </si>
  <si>
    <t>EMPRESARIO JOSE CARLOS SILVA</t>
  </si>
  <si>
    <t>FAROLANDIA</t>
  </si>
  <si>
    <t>SERGIPE JUSTICA ESTADUAL DE SEGUNDA INSTANCIA</t>
  </si>
  <si>
    <t>TRIBUNAL DE JUSTICA DO ESTADO DE SERGIPE</t>
  </si>
  <si>
    <t>FAUSTO CARDOSO</t>
  </si>
  <si>
    <t>SERTRADING SERVICOS DE IMPORTACAO E EXPORTACAO LTDA.</t>
  </si>
  <si>
    <t>JUSCELINO KUBITSCHEK</t>
  </si>
  <si>
    <t xml:space="preserve"> TORRE II 12 ANDAR SALA 02</t>
  </si>
  <si>
    <t>SERVAL SERVICOS E LIMPEZA LTDA.</t>
  </si>
  <si>
    <t>SERVAL</t>
  </si>
  <si>
    <t>DELMIRO DE FARIAS</t>
  </si>
  <si>
    <t>RODOLFO TEOFILO</t>
  </si>
  <si>
    <t>SERVENG CIVILSAN S A EMPRESAS ASSOCIADAS DE ENGENHARIA</t>
  </si>
  <si>
    <t>SERVENG CIVILSAN ESCRITORIO CENTRAL</t>
  </si>
  <si>
    <t>JOSE PEREIRA JORGE</t>
  </si>
  <si>
    <t>SETOR 28</t>
  </si>
  <si>
    <t>SERVGAS DISTRIBUIDORA DE GAS S/A</t>
  </si>
  <si>
    <t>SANTA CLARA,</t>
  </si>
  <si>
    <t>VILA PARAISO</t>
  </si>
  <si>
    <t>SERVICE IT SECURITY LTDA.</t>
  </si>
  <si>
    <t>SERVICE IT SECURITY</t>
  </si>
  <si>
    <t>SALA 308</t>
  </si>
  <si>
    <t>SERVICO AUTONOMO DE AGUA E ESGOTO</t>
  </si>
  <si>
    <t>SAAE</t>
  </si>
  <si>
    <t>COMENDADOR CAMILLO JULIO</t>
  </si>
  <si>
    <t>JARDIM IBITI DO PACO</t>
  </si>
  <si>
    <t>WINIFRIDA</t>
  </si>
  <si>
    <t>BARRA BONITA</t>
  </si>
  <si>
    <t>1500 A</t>
  </si>
  <si>
    <t>VILA LUTFALLA</t>
  </si>
  <si>
    <t>NONO VENTURA</t>
  </si>
  <si>
    <t>JOSE DOS SANTOS LOPES</t>
  </si>
  <si>
    <t>EDIF TERREO</t>
  </si>
  <si>
    <t>DE CARLI</t>
  </si>
  <si>
    <t>SERVICO AUTONOMO DE AGUA E ESGOTO - SAAE</t>
  </si>
  <si>
    <t>SAAE - PARAISOPOLIS</t>
  </si>
  <si>
    <t>PARAISOPOLIS</t>
  </si>
  <si>
    <t>SERVICO AUTONOMO DE AGUA E ESGOTO DE BROTAS - SAAEB</t>
  </si>
  <si>
    <t>FRANCISCA RIBEIRO DOS REIS</t>
  </si>
  <si>
    <t>SERVICO AUTONOMO DE AGUA E ESGOTO DE LINHARES</t>
  </si>
  <si>
    <t>BARRA DE SAO FRANCISCO</t>
  </si>
  <si>
    <t>LINHARES</t>
  </si>
  <si>
    <t>SERVICO AUTONOMO DE AGUA E ESGOTO DE SALTO - SAAE SALTO</t>
  </si>
  <si>
    <t>RUA 9 DE JULHO 1053</t>
  </si>
  <si>
    <t>SERVICO AUTONOMO DE AGUA E ESGOTO SAAE</t>
  </si>
  <si>
    <t>LUCAS EVANGELISTA</t>
  </si>
  <si>
    <t>ATERRADO</t>
  </si>
  <si>
    <t>VOLTA REDONDA</t>
  </si>
  <si>
    <t>SERVICO AUTONOMO DE AGUA E ESGOTOS DE JABOTICABAL</t>
  </si>
  <si>
    <t>SAAEJ</t>
  </si>
  <si>
    <t>JORNALISTA CLAUDIO LUIS BERCHIELLI</t>
  </si>
  <si>
    <t>SERVICO AUTONOMO DE AGUA E ESGOTOS DE MOGI MIRIM</t>
  </si>
  <si>
    <t>SAAE MOGI MIRIM</t>
  </si>
  <si>
    <t>ARTHUR CANDIDO DE ALMEIDA</t>
  </si>
  <si>
    <t>TERREOPREDIO ADMINSTRATIVO</t>
  </si>
  <si>
    <t>LOTEAMENTO NOVA MOGI</t>
  </si>
  <si>
    <t>SERVICO AUTONOMO MUNICIPAL DE AGUA E ESGOTO</t>
  </si>
  <si>
    <t>SAMAE</t>
  </si>
  <si>
    <t>EXPEDICIONARIO</t>
  </si>
  <si>
    <t>SERVICO DE AGUA E ESGOTO DE ARTUR NOGUEIRA</t>
  </si>
  <si>
    <t>SAEAN</t>
  </si>
  <si>
    <t>ADHEMAR DE BARROS</t>
  </si>
  <si>
    <t>WADA</t>
  </si>
  <si>
    <t>SERVICO DE AGUA E ESGOTO DO MUNICIPIO DE ARARAS - SAEMA</t>
  </si>
  <si>
    <t>SAEMA</t>
  </si>
  <si>
    <t>CIRO LAGAZZI</t>
  </si>
  <si>
    <t>JARDIM CANDIDA</t>
  </si>
  <si>
    <t>SERVICO DE AGUA E ESGOTO DO MUNICIPIO DE BARIRI SAEMBA</t>
  </si>
  <si>
    <t>7 DE SETEMBRO</t>
  </si>
  <si>
    <t>SERVICO DE APOIO AS MICRO E PEQUENAS EMPRESAS DE SE</t>
  </si>
  <si>
    <t>SEBRAE SE</t>
  </si>
  <si>
    <t>SERVICO DE SANEAMENTO AMBIENTAL AGUAS DO PANTANAL</t>
  </si>
  <si>
    <t>AGUAS DO PANTANAL</t>
  </si>
  <si>
    <t>CACERES</t>
  </si>
  <si>
    <t>SERVICO FEDERAL DE PROCESSAMENTO DE DADOS (SERPRO)</t>
  </si>
  <si>
    <t>SERPRO SEDE</t>
  </si>
  <si>
    <t>DE GRANDE AREA NORTE</t>
  </si>
  <si>
    <t>Q.601</t>
  </si>
  <si>
    <t>LOTE V</t>
  </si>
  <si>
    <t>SERVICO MUNICIPAL DE AGUA E ESGOTO</t>
  </si>
  <si>
    <t>SERVICO MUNICIPAL DE AGUA, SANEAMENTO BASICO E INFRA-ESTRUTURA</t>
  </si>
  <si>
    <t>SEMASA</t>
  </si>
  <si>
    <t>HEITOR LIBERATO</t>
  </si>
  <si>
    <t>BAIRRO VILA OPERARIA</t>
  </si>
  <si>
    <t>SERVICO MUNICIPAL DE SANEAMENTO AMBIENTAL DE SANTO ANDRE - SEMASA</t>
  </si>
  <si>
    <t>JOSE CABALLERO</t>
  </si>
  <si>
    <t>VL BASTOS</t>
  </si>
  <si>
    <t>SERVICO NACIONAL DE APRENDIZAGEM COMERCIAL SENAC</t>
  </si>
  <si>
    <t>ADMINISTRACAO REGIONAL</t>
  </si>
  <si>
    <t>DR. VILA NOVA</t>
  </si>
  <si>
    <t>TERREO E 7 AO 10 AND</t>
  </si>
  <si>
    <t>SENAC PE</t>
  </si>
  <si>
    <t>VISCONDE DE SUASSUNA</t>
  </si>
  <si>
    <t>SERVICO NACIONAL DE APRENDIZAGEM INDUSTRIAL</t>
  </si>
  <si>
    <t>SENAI - DEPARTAMENTO REGIONAL DE SAO PAULO</t>
  </si>
  <si>
    <t>3. ANDAR</t>
  </si>
  <si>
    <t>SERVICO SOCIAL DO COMERCIO SESC</t>
  </si>
  <si>
    <t>SESC PINHEIROS</t>
  </si>
  <si>
    <t>SESAMM - SERVICOS DE SANEAMENTO DE MOGI MIRIM S.A.</t>
  </si>
  <si>
    <t>DR. AMADOR JORGE DE SIQUEIRA FRANCO</t>
  </si>
  <si>
    <t xml:space="preserve"> KM. 4</t>
  </si>
  <si>
    <t>CHACARA SAO MARCELO</t>
  </si>
  <si>
    <t>SESCON SERVICOS CONTABEIS LTDA</t>
  </si>
  <si>
    <t>SESCON CONTABILIDADE</t>
  </si>
  <si>
    <t>01 LOTES 13/14 SRN-A</t>
  </si>
  <si>
    <t>SEVEN GEL INDUSTRIA E COMERCIO LTDA</t>
  </si>
  <si>
    <t>SEVEN GEL</t>
  </si>
  <si>
    <t>JOAO STOPPA</t>
  </si>
  <si>
    <t>DISTRITO INDUSTRIAL WALDEMAR BALBO JUNIOR (CRUZ DA</t>
  </si>
  <si>
    <t>SEVMAX VIGILANCIA E SEGURANCA LTDA</t>
  </si>
  <si>
    <t>DO PACO</t>
  </si>
  <si>
    <t>ITINGA</t>
  </si>
  <si>
    <t>SEW-EURODRIVE BRASIL LTDA</t>
  </si>
  <si>
    <t>JOSE RUBIM</t>
  </si>
  <si>
    <t>GALPAOPREDIO 130 SALA 1</t>
  </si>
  <si>
    <t>CALDEIRA</t>
  </si>
  <si>
    <t>SF DISTRIBUIDORA DE PESCADOS LTDA</t>
  </si>
  <si>
    <t>SF DISTRIBUIDORA DE PESCADOS</t>
  </si>
  <si>
    <t>Comércio atacadista de pescados e frutos do mar</t>
  </si>
  <si>
    <t>OITI</t>
  </si>
  <si>
    <t>LOJA 2</t>
  </si>
  <si>
    <t>PARQUE BITARU</t>
  </si>
  <si>
    <t>SFA BRASIL EQUIPAMENTOS SANITARIOS LTDA.</t>
  </si>
  <si>
    <t>SFA BRASIL</t>
  </si>
  <si>
    <t>DR AMANCIO DE CARVALHO</t>
  </si>
  <si>
    <t>SFERREIRA INDUSTRIA LTDA</t>
  </si>
  <si>
    <t>JARDIM PILAR</t>
  </si>
  <si>
    <t>SGE PRIZMA PARTICIPACOES S/A</t>
  </si>
  <si>
    <t>DA ASSEMBLEIA</t>
  </si>
  <si>
    <t xml:space="preserve"> SAL 3218 SAL 3219</t>
  </si>
  <si>
    <t>SGM CONSULTORES ASSOCIADOS LTDA</t>
  </si>
  <si>
    <t>ITACEMA</t>
  </si>
  <si>
    <t>ANDAR 1 CONJ 11 EDIF ESTHER</t>
  </si>
  <si>
    <t>SHA COMERCIO DE ALIMENTOS LTDA</t>
  </si>
  <si>
    <t>LUCAS NOGUEIRA GARCES</t>
  </si>
  <si>
    <t>CIDADE NOVA JACAREI</t>
  </si>
  <si>
    <t>SHALON FIOS CIRURGICOS LTDA</t>
  </si>
  <si>
    <t>SHALON MEDICAL</t>
  </si>
  <si>
    <t>HERMOGENES COELHO</t>
  </si>
  <si>
    <t>QUADRA2 LOTE 6 AO 21 ANEXO Q 1 L 0 N 3419</t>
  </si>
  <si>
    <t>RESIDENCIAL ALTO DA BOA VISTA</t>
  </si>
  <si>
    <t>SAO LUIS DE MONTES BELOS</t>
  </si>
  <si>
    <t>SHARK MAQUINAS PARA CONSTRUCAO LTDA</t>
  </si>
  <si>
    <t>SHARK MAQUINAS</t>
  </si>
  <si>
    <t>STA MARINA</t>
  </si>
  <si>
    <t>SHELL BRASIL PETROLEO LTDA</t>
  </si>
  <si>
    <t xml:space="preserve"> BLC 2 SAL 2301 BLC 2 SAL 2401 BLC 2 SAL 2501 BLC 2 SAL 3201 BLC 2 SAL 3301 BLC 2 SAL 3401</t>
  </si>
  <si>
    <t>SHERWIN-WILLIAMS DO BRASIL INDUSTRIA E COMERCIO LTDA.</t>
  </si>
  <si>
    <t>IBIRAMA</t>
  </si>
  <si>
    <t>JD S J TADEU</t>
  </si>
  <si>
    <t>SHIMADZU DO BRASIL COMERCIO LTDA.</t>
  </si>
  <si>
    <t>SHINBRO INTERNACIONAL - COMERCIO, IMPORTACAO E EXPORTACAO LTDA</t>
  </si>
  <si>
    <t>BSZ CIRURGICA</t>
  </si>
  <si>
    <t>CORIFEU DE AZEVEDO MARQUES</t>
  </si>
  <si>
    <t>JARDIM ITAPUA</t>
  </si>
  <si>
    <t>SICK SOLUCAO EM SENSORES LTDA.</t>
  </si>
  <si>
    <t>DOS IMARES</t>
  </si>
  <si>
    <t>SICMOL S/A</t>
  </si>
  <si>
    <t>XAVIER DE ALMEIDA</t>
  </si>
  <si>
    <t>QUADRA24 LOTE 02E</t>
  </si>
  <si>
    <t>POLO EMPRESARIAL GOIAS - ETAPA X</t>
  </si>
  <si>
    <t>SIDERQUIMICA INDUSTRIA E COMERCIO DE PRODUTOS QUIMICOS S.A</t>
  </si>
  <si>
    <t>SIDRASUL SISTEMAS HIDRAULICOS LTDA</t>
  </si>
  <si>
    <t>SIDRASUL COMERCIAL E IMPORTADORA</t>
  </si>
  <si>
    <t>VEREADOR ABRAAO JOAO FRANCISCO</t>
  </si>
  <si>
    <t>CARVALHO</t>
  </si>
  <si>
    <t>SIEMENS HEALTHCARE DIAGNOSTICOS LTDA.</t>
  </si>
  <si>
    <t>SIEMENS HEALTHINEERS</t>
  </si>
  <si>
    <t>JARDIM SANTO ELIAS</t>
  </si>
  <si>
    <t>SIEMENS MOBILITY SOLUCOES DE MOBILIDADE LTDA.</t>
  </si>
  <si>
    <t>EDIF 01 ANDAR 1 SETOR PARTE B</t>
  </si>
  <si>
    <t>SIERDOVSKI TECNOLOGIA LTDA</t>
  </si>
  <si>
    <t>MSERVICE</t>
  </si>
  <si>
    <t>CAPITAO ROCHA</t>
  </si>
  <si>
    <t>SIGMA INDUSTRIA E COMERCIO DE METAIS SANITARIOS LTDA</t>
  </si>
  <si>
    <t>SIGMA</t>
  </si>
  <si>
    <t>MASATO SAKAI</t>
  </si>
  <si>
    <t>JARDIM TRIANGULO</t>
  </si>
  <si>
    <t>SIGMA METAIS PROMOCOES DE VENDAS LTDA</t>
  </si>
  <si>
    <t>SIGMA PROMOCOES</t>
  </si>
  <si>
    <t>BOX 5</t>
  </si>
  <si>
    <t>SIGMA TOOLS COMERCIO DE MAQUINAS, EQUIPAMENTOS E ACESSORIOS LTDA</t>
  </si>
  <si>
    <t>SIGMA TOOLS</t>
  </si>
  <si>
    <t>SIL TECNOLOGIA EM SOFTWARE LTDA</t>
  </si>
  <si>
    <t>JOAO MANOEL</t>
  </si>
  <si>
    <t>BLOCO A SALA 1107</t>
  </si>
  <si>
    <t>SILCARE SOLUCOES MEDICAS LTDA</t>
  </si>
  <si>
    <t>SILCARE SOLUCOES MEDICAS</t>
  </si>
  <si>
    <t>Serviços móveis de atendimento a urgências, exceto por UTI móvel</t>
  </si>
  <si>
    <t>SANTA RITA DE CASSIA</t>
  </si>
  <si>
    <t>VILA PEDRO MOREIRA</t>
  </si>
  <si>
    <t>SILGAN DISPENSING SYSTEMS AND PACKAGING DO BRASIL INDUSTRIA DE EMBALAGENS LTDA.</t>
  </si>
  <si>
    <t>KM: 35; LETRA: A;</t>
  </si>
  <si>
    <t>SILOMAX INDUSTRIA E COMERCIO LTDA.</t>
  </si>
  <si>
    <t>PARQUE INDUSTRIAL CAFEZAL</t>
  </si>
  <si>
    <t>SILPA LTDA</t>
  </si>
  <si>
    <t>SILSUL COMERCIO LTDA</t>
  </si>
  <si>
    <t>JULIO DE CASTILHOS</t>
  </si>
  <si>
    <t>SIMONE CRISTINA CORREA - COUROS</t>
  </si>
  <si>
    <t>SIMPLE SOLUTIONS SERVICOS EM TECNOLOGIA DA INFORMACAO LTDA</t>
  </si>
  <si>
    <t>SIMPLE SOLUTIONS</t>
  </si>
  <si>
    <t>DAMAS</t>
  </si>
  <si>
    <t>VILA CERES</t>
  </si>
  <si>
    <t>SIMPRESS COMERCIO LOCACAO E SERVICOS LTDA</t>
  </si>
  <si>
    <t>ASIA (POLO EMPRESARIAL)</t>
  </si>
  <si>
    <t>CONJ 1 ANDAR 1 E 2</t>
  </si>
  <si>
    <t>SINAL VITAL COMERCIAL DE PRODUTOS MEDICOS E SERVICOS LTDA</t>
  </si>
  <si>
    <t>GENERAL BELFORD</t>
  </si>
  <si>
    <t>ROCHA</t>
  </si>
  <si>
    <t>SINDICATO DAS IND DE PREP E AC DE COUROS, DE CALC, BOLSAS, CARTEIRAS E LUVAS, FABR EM COURO E SINTETICOS DO MUNICIPIO DE BOCAINA</t>
  </si>
  <si>
    <t>SINDACOUROS BOCAINA</t>
  </si>
  <si>
    <t>Entidade Sindical</t>
  </si>
  <si>
    <t>PREFEITO JOSE GONCALVES DE OLIVEIRA NETO</t>
  </si>
  <si>
    <t>SALA 2 - FUNDOS</t>
  </si>
  <si>
    <t>SINGULAR MEDICAMENTOS ESPECIAIS LTDA</t>
  </si>
  <si>
    <t>SINGULAR MEDICAMENTOS ESPECIAIS</t>
  </si>
  <si>
    <t>FERNANDO FALCAO</t>
  </si>
  <si>
    <t>ANDAR 19</t>
  </si>
  <si>
    <t>VILA CLAUDIA</t>
  </si>
  <si>
    <t>SINTEK COMERCIO DE ELETRO ELETRONICOS E PRESTACAO DE SERVICOS LTDA</t>
  </si>
  <si>
    <t>QNM 4 CONJUNTO O LOTE 36 SALA</t>
  </si>
  <si>
    <t>202 B</t>
  </si>
  <si>
    <t>CEILANDIA NORTE (CEILANDIA)</t>
  </si>
  <si>
    <t>SIRONA DENTAL COMERCIO DE PRODUTOS E SISTEMAS ODONTOLOGICOS LTDA.</t>
  </si>
  <si>
    <t>SENADOR CARLOS GOMES DE OLIVEIRA</t>
  </si>
  <si>
    <t xml:space="preserve"> UNIDADE 63 CD 02</t>
  </si>
  <si>
    <t>SIS - SISTEMAS DE SEGURANCA E INFORMATICA LTDA</t>
  </si>
  <si>
    <t>DAS MARRECAS</t>
  </si>
  <si>
    <t xml:space="preserve"> SAL 712</t>
  </si>
  <si>
    <t>SISHOSP SOLUCOES EM INFORMATICA LTDA</t>
  </si>
  <si>
    <t>SISNAC PRODUTOS PARA SAUDE LTDA</t>
  </si>
  <si>
    <t>SETOR A</t>
  </si>
  <si>
    <t>SISNERGY - SOLUCOES E SISTEMAS INTEGRADOS LTDA.</t>
  </si>
  <si>
    <t>EXPRESSA FRANCISCO CLEUTON LOPES</t>
  </si>
  <si>
    <t>SISPACK MEDICAL LTDA.</t>
  </si>
  <si>
    <t>DOZE DE SETEMBRO</t>
  </si>
  <si>
    <t>SISPRO SERVICOS E TECNOLOGIA DA INFORMACAO LTDA</t>
  </si>
  <si>
    <t>SISTEMA DE AGUA, ESGOTO E SANEAMENTO AMBIENTAL - SAESA</t>
  </si>
  <si>
    <t>SAESA-SCS</t>
  </si>
  <si>
    <t>FERNANDO SIMONSEN</t>
  </si>
  <si>
    <t>SISTEMARE SEGURANCA E VIGILANCIA LTDA</t>
  </si>
  <si>
    <t>SISTEMARE SEGURANCA E VIGILANCIA</t>
  </si>
  <si>
    <t>JOAO SCHAFFER JUNIOR</t>
  </si>
  <si>
    <t>SITIO SAO FRANCISCO &amp; CARVALHOS BUFFET LTDA</t>
  </si>
  <si>
    <t>SITIO SAO FRANCISCO</t>
  </si>
  <si>
    <t>MANUEL BORBA</t>
  </si>
  <si>
    <t>ANDAR 9 CONJ 93</t>
  </si>
  <si>
    <t>SITRAN EMPRESA DE SEGURANCA LTDA</t>
  </si>
  <si>
    <t>ADE CONJUNTO 14 LOTE</t>
  </si>
  <si>
    <t>SK2 INDUSTRIA COMERCIO E SERVICOS DE USINAGEM LTDA</t>
  </si>
  <si>
    <t>JOSE CANDIDO MACHADO</t>
  </si>
  <si>
    <t>SKA AUTOMACAO DE ENGENHARIAS LTDA</t>
  </si>
  <si>
    <t>SKYBOX TECNOLOGIA E SEGURANCA PARA GUARDA DE DOCUMENTOS LTDA</t>
  </si>
  <si>
    <t>SKYBOX</t>
  </si>
  <si>
    <t>WALDOMIRO CORREA DE CAMARGO</t>
  </si>
  <si>
    <t>KM 60.50 GALPAOUNICO</t>
  </si>
  <si>
    <t>VILA MARTINS</t>
  </si>
  <si>
    <t>SLC AGRICOLA S.A.</t>
  </si>
  <si>
    <t>DOUTOR NILO PECANHA</t>
  </si>
  <si>
    <t>SALA 301</t>
  </si>
  <si>
    <t>CHACARA DAS PEDRAS</t>
  </si>
  <si>
    <t>SLIMP DISTRIBUIDORA DE MATERIAIS DE CONSTRUCAO LTDA</t>
  </si>
  <si>
    <t>LINHA JOAO ALVES</t>
  </si>
  <si>
    <t>SMA BRASIL TECNOLOGIA SOLAR LTDA</t>
  </si>
  <si>
    <t>ANDAR 5 SALA 539</t>
  </si>
  <si>
    <t>SMC ENGENHARIA LTDA.</t>
  </si>
  <si>
    <t>SMC ENGENHARIA &amp; CONSULTORIA</t>
  </si>
  <si>
    <t>DOM JOSE PEREIRA ALVES</t>
  </si>
  <si>
    <t>CXPST 51</t>
  </si>
  <si>
    <t>CORDEIRO</t>
  </si>
  <si>
    <t>SMEDMIX SERVICOS COMBINADOS EM SAUDE LTDA</t>
  </si>
  <si>
    <t>SALA 04 BOX 3E</t>
  </si>
  <si>
    <t>FRAZATTO</t>
  </si>
  <si>
    <t>SMITH &amp; NEPHEW COMERCIO DE PRODUTOS MEDICOS LTDA.</t>
  </si>
  <si>
    <t>ANDAR 23 TORRE C COND ROCHAVERA CORPORATE TOWERS CRISTAL TOWER</t>
  </si>
  <si>
    <t>SND DISTRIBUICAO DE PRODUTOS DE INFORMATICA S/A</t>
  </si>
  <si>
    <t>CONJ 2005 - B ANDAR 5</t>
  </si>
  <si>
    <t>18 DO FORTE EMPRESARIAL - ALPHAVILLE</t>
  </si>
  <si>
    <t>SNUMAM SERTEC ELETRONICA LTDA</t>
  </si>
  <si>
    <t>PQ JABUTICABEIRAS</t>
  </si>
  <si>
    <t>SOCIEDADE ALFA LTDA</t>
  </si>
  <si>
    <t>TENNANT COMPANY</t>
  </si>
  <si>
    <t>BR DE CAMPINAS</t>
  </si>
  <si>
    <t>ANEXO 707 719 725 733</t>
  </si>
  <si>
    <t>SOCIEDADE DE ABASTECIMENTO DE AGUA E SANEAMENTO SA</t>
  </si>
  <si>
    <t>SANASA CAMPINAS</t>
  </si>
  <si>
    <t>DA SAUDADE</t>
  </si>
  <si>
    <t>PONTE PRETA</t>
  </si>
  <si>
    <t>SOCIEDADE MICHELIN DE PARTICIPACOES INDUST E COMERCIO LTDA</t>
  </si>
  <si>
    <t>BLOCO/4 - 101 A 332</t>
  </si>
  <si>
    <t>SODEXO DO BRASIL COMERCIAL S.A.</t>
  </si>
  <si>
    <t>SODEXO</t>
  </si>
  <si>
    <t>SODIMAC BRASIL PARTICIPACOES LTDA.</t>
  </si>
  <si>
    <t>DOS PATRIOTAS</t>
  </si>
  <si>
    <t>SODRE SL DIAGNOSTICOS E PESQUISAS LABORATORIAIS LTDA</t>
  </si>
  <si>
    <t>LABORATORIO SODRE</t>
  </si>
  <si>
    <t>LUIZ GAMA</t>
  </si>
  <si>
    <t>SALA 01 R.XAVANTES 106</t>
  </si>
  <si>
    <t>JARDIM ARAPUA</t>
  </si>
  <si>
    <t>SOE ORGANIZACAO DE EVENTOS LTDA</t>
  </si>
  <si>
    <t>SAPOTTI EVENTOS</t>
  </si>
  <si>
    <t>ANTONIO CARLOS MAGALHAES</t>
  </si>
  <si>
    <t>LOJA 3</t>
  </si>
  <si>
    <t>SOEG ALPHAVILLE VEICULOS S/A</t>
  </si>
  <si>
    <t>H.VILLE/ALPHAVILLE</t>
  </si>
  <si>
    <t>ALDEINHA</t>
  </si>
  <si>
    <t>SOFAPE FABRICANTE DE FILTROS S.A.</t>
  </si>
  <si>
    <t>KM 213,8</t>
  </si>
  <si>
    <t>JD. CUMBICA</t>
  </si>
  <si>
    <t>SOFTYS BRASIL LTDA.</t>
  </si>
  <si>
    <t>CONJ 11 BLOCO C</t>
  </si>
  <si>
    <t>SOLAR AR CONDICIONADO COMERCIAL LTDA</t>
  </si>
  <si>
    <t>ANTONIO MUNHOZ BONILHA</t>
  </si>
  <si>
    <t>SOLDA TOPO SERVICOS DE SOLDAS E CAPACITACAO PROFISSIONAL LTDA</t>
  </si>
  <si>
    <t>SOLDA TOPO</t>
  </si>
  <si>
    <t>INFANTE D HENRIQUE</t>
  </si>
  <si>
    <t>LOTE: LOTE 08 QD 04;</t>
  </si>
  <si>
    <t>PRAIAS DO MUTARY</t>
  </si>
  <si>
    <t>SANTA CRUZ CABRALIA</t>
  </si>
  <si>
    <t>SOLDATEC GASES MEDICINAIS E INDUSTRIAIS LTDA</t>
  </si>
  <si>
    <t>JOSE REMIGIO PREZIA</t>
  </si>
  <si>
    <t>SOLENIS ESPECIALIDADES QUIMICAS LTDA.</t>
  </si>
  <si>
    <t xml:space="preserve"> 11 ANDAR CONJUNTO 111</t>
  </si>
  <si>
    <t>SOLERI DO BRASIL LTDA</t>
  </si>
  <si>
    <t>JAMES CLERK MAXWELL</t>
  </si>
  <si>
    <t>LOJA 04 QUADRAL</t>
  </si>
  <si>
    <t>SOLIDA CONSTRUCAO LTDA EM RECUPERACAO JUDICIAL EM RECUPERACAO JUDICIAL</t>
  </si>
  <si>
    <t>SOLIDA AMBIENTAL</t>
  </si>
  <si>
    <t>SENADOR LEMOS</t>
  </si>
  <si>
    <t>EDIF VILLAGE BOULEVARD SALA 1805</t>
  </si>
  <si>
    <t>SOLOS SOLUTION COMERCIO DE PRODUTOS AGRICOLAS LTDA</t>
  </si>
  <si>
    <t>FRANCISCO GALASSI</t>
  </si>
  <si>
    <t>MORADA DA COLINA</t>
  </si>
  <si>
    <t>SOLOVIA ENGENHARIA E CONSTRUCOES LTDA.</t>
  </si>
  <si>
    <t>SOLOVIA</t>
  </si>
  <si>
    <t>CONJ: 25;</t>
  </si>
  <si>
    <t>SOLUCOES SANEAMENTO MATERIAIS HIDRAULICOS LTDA</t>
  </si>
  <si>
    <t>SOLUCOES SANEAMENTO MATERIAIS HIDRAULICOS</t>
  </si>
  <si>
    <t>BENEDITO ZANCANER</t>
  </si>
  <si>
    <t>JARDIM DO LAGO</t>
  </si>
  <si>
    <t>CATANDUVA</t>
  </si>
  <si>
    <t>SOLUCOES SERVICOS TERCEIRIZADOS LTDA.</t>
  </si>
  <si>
    <t>SOLUCOES</t>
  </si>
  <si>
    <t>SILVIO ROMERO</t>
  </si>
  <si>
    <t>CONJ 56</t>
  </si>
  <si>
    <t>SOLUMED DISTRIBUIDORA DE MEDICAMENTOS E PRODUTOS PARA SAUDE LTDA</t>
  </si>
  <si>
    <t>JOAO PINHEIRO</t>
  </si>
  <si>
    <t>BORTOLAN</t>
  </si>
  <si>
    <t>SOLUS TECNOLOGIA EM SISTEMAS LTDA</t>
  </si>
  <si>
    <t>SOLUS TECNOLOGIA</t>
  </si>
  <si>
    <t>SUBSL SUBSOLO</t>
  </si>
  <si>
    <t>SOLUTION 4FLEET CONSULTORIA EMPRESARIAL S.A.</t>
  </si>
  <si>
    <t>JOAO BRICOLA</t>
  </si>
  <si>
    <t>SOLVAY DO BRASIL LTDA.</t>
  </si>
  <si>
    <t>KM.38 DA ESTRADA DE FERRO SANTOS-JUNDIAI</t>
  </si>
  <si>
    <t>VILA ELCLOR</t>
  </si>
  <si>
    <t>SOLVENTUM INTELLECTUAL PROPERTIES COMPANY</t>
  </si>
  <si>
    <t>SOLVENTUM</t>
  </si>
  <si>
    <t>AVENIDA CONWAY E, 2510</t>
  </si>
  <si>
    <t>EDIFICIO 3M CENTER 55144</t>
  </si>
  <si>
    <t>MAPLEWOOD</t>
  </si>
  <si>
    <t>SOLVERH CONSULTORIA LTDA</t>
  </si>
  <si>
    <t>SOLVERH</t>
  </si>
  <si>
    <t>ANDAR 5 SALA 517 QUADRAF000 LOTE 00002</t>
  </si>
  <si>
    <t>SOMA - SERVICOS, ORGANIZACAO E MEIO AMBIENTE LTDA</t>
  </si>
  <si>
    <t>SOMA - CONSULTORIA AMBIENTAL</t>
  </si>
  <si>
    <t>PRESIDENTE RODRIGO OTAVIO</t>
  </si>
  <si>
    <t>SOMA/RS PRODUTOS HOSPITALARES LTDA.</t>
  </si>
  <si>
    <t>DA ARROZEIRA</t>
  </si>
  <si>
    <t>SOMAH INVESTIMENTOS E PARTICIPACOES S.A.</t>
  </si>
  <si>
    <t xml:space="preserve"> PAV 20 PARTE</t>
  </si>
  <si>
    <t>SOMAPAY SOCIEDADE DE CREDITO DIRETO S.A.</t>
  </si>
  <si>
    <t>SOMAPAY</t>
  </si>
  <si>
    <t>WASHINGTON SOARES</t>
  </si>
  <si>
    <t xml:space="preserve"> LOJA 802</t>
  </si>
  <si>
    <t>SAPIRANGA / COITE</t>
  </si>
  <si>
    <t>SONANGOL HIDROCARBONETOS BRASIL LTDA</t>
  </si>
  <si>
    <t xml:space="preserve"> BL 02 SALAS 209 A 216</t>
  </si>
  <si>
    <t>SONOSCAPE MEDICAL SINGAPORE PTE. LTD.</t>
  </si>
  <si>
    <t>SONOSCAPE</t>
  </si>
  <si>
    <t>2 HAVELOCK ROAD 04-07</t>
  </si>
  <si>
    <t>HAVELOCK2 059763</t>
  </si>
  <si>
    <t>CINGAPURA</t>
  </si>
  <si>
    <t>SONOVA DO BRASIL PRODUTOS AUDIOLOGICOS LTDA</t>
  </si>
  <si>
    <t>AUDIUM/ CENTRO AUDITIVO PHONAK</t>
  </si>
  <si>
    <t>BLOCO A ANDAR 4 CONJ 02 E 03</t>
  </si>
  <si>
    <t>SOPHO BUSINESS COMMUNICATIONS - SOLUCOES EMPRESARIAIS LTDA</t>
  </si>
  <si>
    <t>SOPHO BUSINESS</t>
  </si>
  <si>
    <t>SOPRANO INDUSTRIA ELETROMETALURGICA LTDA</t>
  </si>
  <si>
    <t>ERS-122</t>
  </si>
  <si>
    <t>SOROCAPAX TAPETES HIGIENE CONSERVACAO E SEGURANCA LTDA</t>
  </si>
  <si>
    <t>SOROCAPAX TAPETES HIGIENE CONSERVACAO E SEGURANCA</t>
  </si>
  <si>
    <t>Comércio atacadista de artigos de tapeçaria; persianas e cortinas</t>
  </si>
  <si>
    <t>JOSE MARCHI</t>
  </si>
  <si>
    <t>SOS GAS DISTRIBUIDORA LTDA</t>
  </si>
  <si>
    <t>LEOGAS</t>
  </si>
  <si>
    <t>ANTONIO FERNANDES DE ALMEIDA</t>
  </si>
  <si>
    <t>INDUSTRIAS</t>
  </si>
  <si>
    <t>SOS TECNOLOGIA E GESTAO DA INFORMACAO LTDA</t>
  </si>
  <si>
    <t>SOS DOCS</t>
  </si>
  <si>
    <t>SIA TRECHO 8</t>
  </si>
  <si>
    <t>LOTE 145/175</t>
  </si>
  <si>
    <t>SOTER CONSULTORIA, AR CONDICIONADO, ELETRICA E PREDIAL LTDA</t>
  </si>
  <si>
    <t>SOTER CONSULTORIA AR CONDICIONADO E ELETRICA PREDIAL</t>
  </si>
  <si>
    <t>SALVADOR SIMOES</t>
  </si>
  <si>
    <t>SOTEROS TECNOLOGIA LTDA</t>
  </si>
  <si>
    <t>SOTEROS</t>
  </si>
  <si>
    <t>BALDICERO FILOMENO</t>
  </si>
  <si>
    <t>COSTEIRA DO RIBEIRAO</t>
  </si>
  <si>
    <t>SOTHIS TECNOLOGIA E SERVICOS DE TELECOMUNICACOES LTDA</t>
  </si>
  <si>
    <t>SOTREQ S/A</t>
  </si>
  <si>
    <t>KM 111,5</t>
  </si>
  <si>
    <t>JARDIM MANCHESTER</t>
  </si>
  <si>
    <t>SOUTH32 MINERALS SA</t>
  </si>
  <si>
    <t>BLOCO: 01; : SALAS 501 502 E 503;</t>
  </si>
  <si>
    <t>SOUZA COMPEC ENGENHARIA E CONSTRUCOES LTDA</t>
  </si>
  <si>
    <t>AMARO CAVALHEIRO</t>
  </si>
  <si>
    <t>ANDAR 2 CONJ 31 E 32</t>
  </si>
  <si>
    <t>SOWX TECNOLOGIA DE INFORMACAO LTDA</t>
  </si>
  <si>
    <t>IVOTI</t>
  </si>
  <si>
    <t>SP ATACADO E DISTRIBUICAO LTDA</t>
  </si>
  <si>
    <t>ARMARINHO SAO PAULO</t>
  </si>
  <si>
    <t>Comércio atacadista de artigos de armarinho</t>
  </si>
  <si>
    <t>CNG 5 - LOTES 5, 6, 13 E 14</t>
  </si>
  <si>
    <t>SP FLEX MANGUEIRAS E FERRAMENTAS LTDA</t>
  </si>
  <si>
    <t>SPFLEX MANGUEIRAS E FERRAMENTAS</t>
  </si>
  <si>
    <t>SPACE PLAN SERVICOS, PLANEJAMENTO E GERENCIAMENTO DE PROJETOS LTDA</t>
  </si>
  <si>
    <t>SPAL INDUSTRIA BRASILEIRA DE BEBIDAS S/A</t>
  </si>
  <si>
    <t>SPAL</t>
  </si>
  <si>
    <t>ENGENHEIRO ALBERTO DE ZAGOTTIS</t>
  </si>
  <si>
    <t>SPE TIETA LTDA.</t>
  </si>
  <si>
    <t xml:space="preserve"> EDIF HANGAR BUSINESS PARK HANGAR 3 SALA 301</t>
  </si>
  <si>
    <t>SPEED COMERCIAL IMPORTADORA &amp; EXPORTADORA DE PRODUTOS AUTOMOTIVOS LTDA</t>
  </si>
  <si>
    <t>OMG COMERCIAL IMPORTADORA</t>
  </si>
  <si>
    <t>JACARANDA LOTE 27 LOJA</t>
  </si>
  <si>
    <t>SPEEDMAXX INDUSTRIA E COMERCIO DE PNEUS REMOLDADOS LTDA</t>
  </si>
  <si>
    <t>SPEEDMAXX</t>
  </si>
  <si>
    <t>SEBASTIAO NEPOMUCENO PINTO</t>
  </si>
  <si>
    <t>SERRINHA</t>
  </si>
  <si>
    <t>CONTENDA</t>
  </si>
  <si>
    <t>SPHEROS DO BRASIL - S/A</t>
  </si>
  <si>
    <t>Fabricação de aparelhos e equipamentos de ar condicionado para uso não-industrial</t>
  </si>
  <si>
    <t>PREFEITO SAMUEL BATISTA CRUZ</t>
  </si>
  <si>
    <t>CANIVETE</t>
  </si>
  <si>
    <t>SPINE &amp; HEAD COMERCIO DE PRODUTOS HOSPITALARES LTDA</t>
  </si>
  <si>
    <t>SPINE &amp; HEAD</t>
  </si>
  <si>
    <t>SALA 1808 E 1809 EDIF CENTRAL OFFICE</t>
  </si>
  <si>
    <t>SPINNER INDUSTRIA E COMERCIO LTDA</t>
  </si>
  <si>
    <t>DARIO BORGES DE LIS</t>
  </si>
  <si>
    <t>CONJ CDI</t>
  </si>
  <si>
    <t>SPRAYING SYSTEMS DO BRASIL LTDA</t>
  </si>
  <si>
    <t>MIRO VETORAZZO</t>
  </si>
  <si>
    <t>DEMARCHI</t>
  </si>
  <si>
    <t>SPRING WIRELESS (BRASIL) SERVICOS EM TECNOLOGIA DA INFORMACAO LTDA.</t>
  </si>
  <si>
    <t>SPRING WIRELESS (BRASIL)</t>
  </si>
  <si>
    <t>SPSP - SISTEMA DE PRESTACAO DE SEGURANCA PATRIMONIAL LTDA</t>
  </si>
  <si>
    <t>SILVIO BERTONHA</t>
  </si>
  <si>
    <t>RESIDENCIAL VALE VERDE</t>
  </si>
  <si>
    <t>SRMAIS COMERCIO E SERVICOS LTDA</t>
  </si>
  <si>
    <t>GRUPO SR+</t>
  </si>
  <si>
    <t>SS INDUSTRIA METALURGICA DE TELAS LTDA</t>
  </si>
  <si>
    <t>INSUL ARAMES E TELAS</t>
  </si>
  <si>
    <t>Fabricação de produtos de trefilados de metal, exceto padronizados</t>
  </si>
  <si>
    <t>TAUFIK GERMANO</t>
  </si>
  <si>
    <t>NOEMIA</t>
  </si>
  <si>
    <t>CACHOEIRA DO SUL</t>
  </si>
  <si>
    <t>SS3 TECNOLOGIA LTDA</t>
  </si>
  <si>
    <t>SS3 TECNOLOGIA</t>
  </si>
  <si>
    <t>CONJ 912 E 913 BLOCO 1</t>
  </si>
  <si>
    <t>ST FLEX BORRACHAS E METAIS LTDA</t>
  </si>
  <si>
    <t>STAFF AUDITORIA &amp; ASSESSORIA</t>
  </si>
  <si>
    <t>STAFF</t>
  </si>
  <si>
    <t>DOUTOR LAS CASAS DOS SANTOS</t>
  </si>
  <si>
    <t>APT 06A AP 61</t>
  </si>
  <si>
    <t>STAFF'S RECURSOS HUMANOS LTDA</t>
  </si>
  <si>
    <t>VILA SANTA CRUZ</t>
  </si>
  <si>
    <t>STAMACO COMERCIAL IMPORTADORA LTDA</t>
  </si>
  <si>
    <t>STAMACO</t>
  </si>
  <si>
    <t>SALA 301 302 303 304 312</t>
  </si>
  <si>
    <t>STANLEY DO BRASIL LTDA.</t>
  </si>
  <si>
    <t>ANDAR 5 CONJ 505 PARTE</t>
  </si>
  <si>
    <t>STAR - SERVICOS ESPECIALIZADOS DE MAO DE OBRA LTDA</t>
  </si>
  <si>
    <t>STAR - SERVICOS ESPECIALIZADOS</t>
  </si>
  <si>
    <t>DOUTOR ENEAS PINHEIRO</t>
  </si>
  <si>
    <t>STAR COMERCIO LTDA</t>
  </si>
  <si>
    <t>STAR COMERCIO</t>
  </si>
  <si>
    <t>ALTO MADEIRA</t>
  </si>
  <si>
    <t>STARK COMERCIAL ODONTO-MEDICA LTDA</t>
  </si>
  <si>
    <t>SALA 1206</t>
  </si>
  <si>
    <t>STARRETT INDUSTRIA E COMERCIO LTDA</t>
  </si>
  <si>
    <t>LAROY S. STARRETT 1880</t>
  </si>
  <si>
    <t>PINHEIRINHO</t>
  </si>
  <si>
    <t>START PRO TELECOMUNICACOES LTDA</t>
  </si>
  <si>
    <t>START PRO TELECOMUNICACOES</t>
  </si>
  <si>
    <t>MANUEL JORGE RIBEIRO</t>
  </si>
  <si>
    <t>VILA SALETE</t>
  </si>
  <si>
    <t>STARTGI TECNOLOGIA LTDA</t>
  </si>
  <si>
    <t>RCI CONSULTING</t>
  </si>
  <si>
    <t>HENRIQUE MONTEIRO</t>
  </si>
  <si>
    <t>STARTUBO INDUSTRIA COMERCIO IMPORTACAO E EXPORTACAO LTDA</t>
  </si>
  <si>
    <t>MONSENHOR BRUNO NARDINI</t>
  </si>
  <si>
    <t>ANEXO PREDIO-5</t>
  </si>
  <si>
    <t>VILA DAINESE</t>
  </si>
  <si>
    <t>STATKRAFT ENERGIAS RENOVAVEIS S/A</t>
  </si>
  <si>
    <t>KM 5 SALA 325 ANDAR 3 PAVMTOJURERE A</t>
  </si>
  <si>
    <t>STAVIAS STANOSKI TERRAPLENAGEM PAVIMENTACAO E OBRAS LTD</t>
  </si>
  <si>
    <t>STAVIAS</t>
  </si>
  <si>
    <t>FAUSTO SANTOMAURO KM 7</t>
  </si>
  <si>
    <t>CXPST 283</t>
  </si>
  <si>
    <t>ASSISTENCIA</t>
  </si>
  <si>
    <t>STECK INDUSTRIA ELETRICA LTDA</t>
  </si>
  <si>
    <t>ANDAR 3 CONJ 33 SALA 1</t>
  </si>
  <si>
    <t>STEFANINI CONSULTORIA E ASSESSORIA EM INFORMATICA S.A.</t>
  </si>
  <si>
    <t>JARDIM ALICE</t>
  </si>
  <si>
    <t>STELLANTIS AUTOMOVEIS BRASIL LTDA.</t>
  </si>
  <si>
    <t>ROD BR-101 - NORTE</t>
  </si>
  <si>
    <t>: KM 13 AO 15; : PARTE;</t>
  </si>
  <si>
    <t>NOVA GOIANA</t>
  </si>
  <si>
    <t>GOIANA</t>
  </si>
  <si>
    <t>FIASA</t>
  </si>
  <si>
    <t>PAULO CAMILO</t>
  </si>
  <si>
    <t>BETIM</t>
  </si>
  <si>
    <t>STERIALE BRASIL COMERCIO DE PRODUTOS MEDICO, HOSPITALAR E ODONTOLOGICO LTDA</t>
  </si>
  <si>
    <t>STERIALE DO BRASIL LTDA</t>
  </si>
  <si>
    <t>STERICYCLE GESTAO DE RESIDUOS INDUSTRIAIS LTDA.</t>
  </si>
  <si>
    <t>FERNANDES VIEIRA</t>
  </si>
  <si>
    <t>STERIS SOLUTIONS DO BRASIL IMPORTACAO E COMERCIALIZACAO DE PRODUTOS DA SAUDE LTDA.</t>
  </si>
  <si>
    <t>BEM-TE-VI</t>
  </si>
  <si>
    <t>ANDAR 3O CONJ 31 E 32</t>
  </si>
  <si>
    <t>STOCK MED S/A EM RECUPERACAO JUDICIAL</t>
  </si>
  <si>
    <t>4108057.8</t>
  </si>
  <si>
    <t>PAUL HARRIS</t>
  </si>
  <si>
    <t>STONE INSTITUICAO DE PAGAMENTO S.A</t>
  </si>
  <si>
    <t>ANDAR 4 SALA 3</t>
  </si>
  <si>
    <t>STONE SOLUCOES EM SERVICOS PREDIAIS LTDA</t>
  </si>
  <si>
    <t>STONE SOLUCOES EM SERVICOS</t>
  </si>
  <si>
    <t>CONJ 501</t>
  </si>
  <si>
    <t>STOP ACO INDUSTRIA E COMERCIO LTDA</t>
  </si>
  <si>
    <t>STOP ACO</t>
  </si>
  <si>
    <t>DR. MIGUEL GUIMARAES</t>
  </si>
  <si>
    <t>ANEXO 220</t>
  </si>
  <si>
    <t>STORAGE &amp; LOGISTICS IMPORTACAO E EXPORTACAO LTDA</t>
  </si>
  <si>
    <t>RIO PRETO</t>
  </si>
  <si>
    <t>SALA 01-A</t>
  </si>
  <si>
    <t>STRATA ENGENHARIA LTDA</t>
  </si>
  <si>
    <t>CASTELO DE SINTRA</t>
  </si>
  <si>
    <t>STRATALIS BRASIL CONSULTORIA LTDA</t>
  </si>
  <si>
    <t>ANDAR 7 CONJ 72 SALA 55</t>
  </si>
  <si>
    <t>STRONG DO BRASIL COMERCIO IMPORTACAO E EXPORTACAO LTDA</t>
  </si>
  <si>
    <t>CONJ 511 SALA 02</t>
  </si>
  <si>
    <t>STRYKER DO BRASIL LTDA.</t>
  </si>
  <si>
    <t>URUSSUI</t>
  </si>
  <si>
    <t>CONJ 61A64 71A74 81A84 LOJA 1A E 1B</t>
  </si>
  <si>
    <t>STUDIO VEICULOS E PECAS LTDA</t>
  </si>
  <si>
    <t>STYLUX BRASIL SISTEMAS DE ILUMINACAO E ENERGIA S.A.</t>
  </si>
  <si>
    <t>CONJ 403</t>
  </si>
  <si>
    <t>SUBLIME INTERMEDIACOES E PROMOCOES LTDA</t>
  </si>
  <si>
    <t>SUBLIME INTERMEDIACOES</t>
  </si>
  <si>
    <t>QUADRA224 LOTE 1/2 SALA 01 ANDAR TERREO</t>
  </si>
  <si>
    <t>SUDESTE TRANSPORTES COLETIVOS LTDA</t>
  </si>
  <si>
    <t>Transporte rodoviário coletivo de passageiros, com itinerário fixo, municipal</t>
  </si>
  <si>
    <t>SALDANHA DA GAMA</t>
  </si>
  <si>
    <t>SUDOESTE INFORMATICA E CONSULTORIA LTDA</t>
  </si>
  <si>
    <t>TECH PULSE SOLUCOES TECNOLOGICAS</t>
  </si>
  <si>
    <t>AVENIDA DA FRANCA</t>
  </si>
  <si>
    <t xml:space="preserve"> 2 ANDAR</t>
  </si>
  <si>
    <t>SUECA ROLAMENTOS E SOLUCOES INDUSTRIAIS LTDA</t>
  </si>
  <si>
    <t>SUECA SOLUCOES INDUSTRIAIS</t>
  </si>
  <si>
    <t>SULMEDICAL INDUSTRIA E COMERCIO LTDA</t>
  </si>
  <si>
    <t>SULMEDICAL</t>
  </si>
  <si>
    <t>2155 D</t>
  </si>
  <si>
    <t>UNIVERSITARIO</t>
  </si>
  <si>
    <t>SULPECAS COMERCIO IND E REPRES DE PECAS E MAQUINAS LTDA</t>
  </si>
  <si>
    <t>SULPECAS</t>
  </si>
  <si>
    <t>DES BENVINDO VALENTE</t>
  </si>
  <si>
    <t>SULZER PUMPS WASTEWATER BRASIL LTDA</t>
  </si>
  <si>
    <t>SULZER PUMPS</t>
  </si>
  <si>
    <t>ACYR GUIMARAES</t>
  </si>
  <si>
    <t>CONJ 1901</t>
  </si>
  <si>
    <t>SUMITOMO INDUSTRIAS PESADAS DO BRASIL LTDA.</t>
  </si>
  <si>
    <t>SUMITOMO</t>
  </si>
  <si>
    <t>ITAIM MIRIM</t>
  </si>
  <si>
    <t>SUMMIT BRAZIL, LLC</t>
  </si>
  <si>
    <t>874 WALKER ROAD, SUITE C,</t>
  </si>
  <si>
    <t>SUN BUSINESS INDUSTRIA COMERCIO SERVICO E REPRESENTACOES DE MOVEIS LTDA</t>
  </si>
  <si>
    <t>SUN BUSINESS</t>
  </si>
  <si>
    <t>CONJ 394 B</t>
  </si>
  <si>
    <t>SUN FARMACEUTICA DO BRASIL LTDA</t>
  </si>
  <si>
    <t>SUN PHARMA</t>
  </si>
  <si>
    <t>GO080</t>
  </si>
  <si>
    <t>KM 02 QUADRACH LOTE 1 E 2</t>
  </si>
  <si>
    <t>FAZ PLANICIE</t>
  </si>
  <si>
    <t>SUNCO ENERGY BRASIL MAURITI 6 PARTICIPACOES SOCIETARIAS LTDA.</t>
  </si>
  <si>
    <t>ANDAR 8 CONJ 802 SALA 6 TORRE MARBLE COND ROCHAVERA CORP TOWER</t>
  </si>
  <si>
    <t>SUNERGIA ENERGIA SOLAR LTDA</t>
  </si>
  <si>
    <t>SUNERGIA</t>
  </si>
  <si>
    <t>SERRA DE BRAGANCA</t>
  </si>
  <si>
    <t>SUNITY COMERCIALIZADORA DE ENERGIA S.A.</t>
  </si>
  <si>
    <t>SUNITY</t>
  </si>
  <si>
    <t>CONJ 24 TORRE 4</t>
  </si>
  <si>
    <t>SUPER ATACADAO MARAJO LTDA</t>
  </si>
  <si>
    <t>MARAJO REPRESENTACOES</t>
  </si>
  <si>
    <t>QUADRA03 LOTE 05-06 LOJA 05</t>
  </si>
  <si>
    <t>JARDIM JOCKEI CLUBE</t>
  </si>
  <si>
    <t>SUPER ESTAGIOS LTDA</t>
  </si>
  <si>
    <t>COPAIBA LOTE</t>
  </si>
  <si>
    <t xml:space="preserve"> TORRE B SALA 1306</t>
  </si>
  <si>
    <t>SUPER SAFETY IMPORTACAO E EXPORTACAO LTDA.</t>
  </si>
  <si>
    <t>SUPER SAFETY IMPORTACAO E EXPORTACAO</t>
  </si>
  <si>
    <t>SUPERA FARMA LABORATORIOS S.A.</t>
  </si>
  <si>
    <t>SUPERBASE &amp; CONCRESUL LTDA</t>
  </si>
  <si>
    <t>REVOLUCIONARIOS DE 32</t>
  </si>
  <si>
    <t>JARDIM BELVEDERE</t>
  </si>
  <si>
    <t>SUPERDIN MATERIAIS MEDICOS E HOSPITALARES LTDA</t>
  </si>
  <si>
    <t>SUPERDIN</t>
  </si>
  <si>
    <t>ARMZ 02 C SALA 18</t>
  </si>
  <si>
    <t>SUPERFLEX PRODUTOS DE BORRACHA LTDA</t>
  </si>
  <si>
    <t>SUPERFLEX PNEUS</t>
  </si>
  <si>
    <t>SUPERGASBRAS ENERGIA LTDA</t>
  </si>
  <si>
    <t>BR-381 FERNAO DIAS</t>
  </si>
  <si>
    <t>S/N:</t>
  </si>
  <si>
    <t>KM: 485,3;</t>
  </si>
  <si>
    <t>SUPERIOR INDUSTRIES DO BRASIL LTDA</t>
  </si>
  <si>
    <t>JOAO SQUILASSI</t>
  </si>
  <si>
    <t>DISTRITO INDUSTRIAL DE RAFARD DOUTOR ALCIDES BRUN</t>
  </si>
  <si>
    <t>RAFARD</t>
  </si>
  <si>
    <t>SUPERMED COMERCIO E IMPORTACAO DE PRODUTOS MEDICOS E HOSPITALARES LTDA</t>
  </si>
  <si>
    <t>SUPERMED</t>
  </si>
  <si>
    <t>ENGENHEIRO ARMANDO DE ARRUDA PEREIRA</t>
  </si>
  <si>
    <t>BLOCO 4 PAVMTO3 SALA 301</t>
  </si>
  <si>
    <t>SUPERMEDICA DISTRIBUIDORA HOSPITALAR LTDA</t>
  </si>
  <si>
    <t>SUPERMEDICA HOSPITALAR</t>
  </si>
  <si>
    <t>C159</t>
  </si>
  <si>
    <t>QUADRA297 LOTE 08/09/18/19 E 20</t>
  </si>
  <si>
    <t>BRO JARDIM AMERICA</t>
  </si>
  <si>
    <t>SUPORTE SERVICOS DE SEGURANCA LTDA</t>
  </si>
  <si>
    <t>VINTE E CINCO DE DEZEMBRO</t>
  </si>
  <si>
    <t>MONTE CASTELO</t>
  </si>
  <si>
    <t>SUPPLEX COMERCIO E SERVICOS LTDA</t>
  </si>
  <si>
    <t>PHARMAPPLEX DISTRIBUIDORA</t>
  </si>
  <si>
    <t>RUY FRAZAO SOARES</t>
  </si>
  <si>
    <t xml:space="preserve"> SALAS 202 E 203</t>
  </si>
  <si>
    <t>SUPPORT PRODUTOS NUTRICIONAIS LTDA</t>
  </si>
  <si>
    <t>ANDAR 20 CONJ 201</t>
  </si>
  <si>
    <t>SUPRI ARTIGOS MEDICO-HOSPITALARES LTDA</t>
  </si>
  <si>
    <t>SUPRIR INDUSTRIA DE METAIS LTDA</t>
  </si>
  <si>
    <t>KM 307</t>
  </si>
  <si>
    <t>SUPRISUL SUPRIMENTOS MEDICOS LTDA</t>
  </si>
  <si>
    <t>DOS ESTADOS</t>
  </si>
  <si>
    <t>LOJA 11</t>
  </si>
  <si>
    <t>SURYA DENTAL COMERCIO DE PRODUTOS ODONTOLOGICOS E FARMACEUTICOS S/A</t>
  </si>
  <si>
    <t>MELVIM JONES</t>
  </si>
  <si>
    <t>PARQUE INDUSTRIAL BANDEIRANTES</t>
  </si>
  <si>
    <t>SUSTENTARE SANEAMENTO S/A</t>
  </si>
  <si>
    <t>ENGENHEIRO ANTONIO JOVINO</t>
  </si>
  <si>
    <t>ANDAR 6 CONJ 64</t>
  </si>
  <si>
    <t>SUZANO S.A.</t>
  </si>
  <si>
    <t>SUZANO PAPEL E CELULOSE</t>
  </si>
  <si>
    <t>EDIF LENA EMPRESARIAL APT 10 ANDAR SALA 1009</t>
  </si>
  <si>
    <t>SVA TECNOLOGIA E SISTEMAS S/A</t>
  </si>
  <si>
    <t>LEVINDO LOPES</t>
  </si>
  <si>
    <t>SALA 1401</t>
  </si>
  <si>
    <t>SWAN INSTRUMENTOS ANALITICOS DO BRASIL LTDA</t>
  </si>
  <si>
    <t>SWAN DO BRASIL</t>
  </si>
  <si>
    <t>SWILE DO BRASIL S.A.</t>
  </si>
  <si>
    <t>ANDAR 3 PARTE E 4 ANDAR EDIF JARDINS J.SAFRA CORP</t>
  </si>
  <si>
    <t>SYLVAMO DO BRASIL LTDA.</t>
  </si>
  <si>
    <t>RODOVIA SP 340 KM 171</t>
  </si>
  <si>
    <t>VILA CHAMPION</t>
  </si>
  <si>
    <t>SYSTAGENIX BRASIL IMPORTACAO E COMERCIO DE PRODUTOS MEDICO-HOSPITALARES LTDA</t>
  </si>
  <si>
    <t>SYSTECH SISTEMAS E TECNOLOGIA EM INFORMATICA LTDA</t>
  </si>
  <si>
    <t>SYSTECH INFORMATICA</t>
  </si>
  <si>
    <t>SHCSW CCSW 05 LOTE 02</t>
  </si>
  <si>
    <t>BLOCO 01 LOJA 25/29/87 SEMI ENTERRADO</t>
  </si>
  <si>
    <t>SYSTEM KGV INSTALACOES LTDA</t>
  </si>
  <si>
    <t>Tratamentos térmicos, acústicos ou de vibração</t>
  </si>
  <si>
    <t>JOSE EID MALUF</t>
  </si>
  <si>
    <t>BLOCO: 22; CONJ: 41;</t>
  </si>
  <si>
    <t>AMERICANOPOLIS</t>
  </si>
  <si>
    <t>T &amp; M ELETROHIDRAULICA LTDA</t>
  </si>
  <si>
    <t>T &amp; M ELETROHIDRAULICA</t>
  </si>
  <si>
    <t>AQUARIO</t>
  </si>
  <si>
    <t>LOJA 1</t>
  </si>
  <si>
    <t>T &amp; S ENGENHARIA TELEMATICA E SISTEMAS LTDA</t>
  </si>
  <si>
    <t>T &amp; S ENGENHARIA</t>
  </si>
  <si>
    <t>1 (ACAMP TAMBORIL) LOTE 06</t>
  </si>
  <si>
    <t>T M SEIXAS ALVES SOUZA LTDA</t>
  </si>
  <si>
    <t>DALMEIDA SOLUCOES</t>
  </si>
  <si>
    <t>PADRE JULIO MARIA LOMBAERD</t>
  </si>
  <si>
    <t>T.T.S. TECNO TROLLEY SYSTEM DO BRASIL LTDA.</t>
  </si>
  <si>
    <t>T.T.S. DO BRASIL LTDA</t>
  </si>
  <si>
    <t>JARDIM PORTAO VERMELHO</t>
  </si>
  <si>
    <t>TABONE INDUSTRIA E COMERCIO DE PLASTICOS LTDA</t>
  </si>
  <si>
    <t>GERSON ANDREIS</t>
  </si>
  <si>
    <t>TAC MOTORS INDUSTRIA AUTOMOTIVA S/A.</t>
  </si>
  <si>
    <t>TECNOLOGIA AUTOMOTIVA CATARINENSE S.A</t>
  </si>
  <si>
    <t>VIA DAS TORRES</t>
  </si>
  <si>
    <t>COND ARATU PARK CENTER</t>
  </si>
  <si>
    <t>CIA SUL CENTRO IND ARATU SUL</t>
  </si>
  <si>
    <t>TAF DISTRIBUIDORA DE ALIMENTOS E BEBIDAS LTDA</t>
  </si>
  <si>
    <t>TAF ATACADO</t>
  </si>
  <si>
    <t>VIDAL PROCOPIO LOHN</t>
  </si>
  <si>
    <t>TAGOUT TREINAMENTO E COMERCIO DE EQUIPAMENTOS DE PROTECAO DE SEGURANCA INDUSTRIAL LTDA</t>
  </si>
  <si>
    <t>TAGOUT</t>
  </si>
  <si>
    <t>JOSE GALLO (JARDIM SAO LUCAS)</t>
  </si>
  <si>
    <t>TAGUS-TEC SERVICOS TECNOLOGICOS LTDA</t>
  </si>
  <si>
    <t>TAGUS-TEC</t>
  </si>
  <si>
    <t>ANDAR 1 - PARTE</t>
  </si>
  <si>
    <t>TAHECH ADVOGADOS</t>
  </si>
  <si>
    <t>SALA 301-302-303-304</t>
  </si>
  <si>
    <t>CIDADE DOS LAGOS</t>
  </si>
  <si>
    <t>TALMEX DO BRASIL COMERCIO DE METAIS LTDA</t>
  </si>
  <si>
    <t>ANSELMO DE LIMA FILHO</t>
  </si>
  <si>
    <t>TAM AVIACAO EXECUTIVA E TAXI AEREO S/A</t>
  </si>
  <si>
    <t>Serviço de táxi aéreo e locação de aeronaves com tripulação</t>
  </si>
  <si>
    <t>JORGE FALEIROS</t>
  </si>
  <si>
    <t>TARGA PECAS E ACESSORIOS LTDA</t>
  </si>
  <si>
    <t>OTTO NIEMEYER</t>
  </si>
  <si>
    <t>CAVALHADA</t>
  </si>
  <si>
    <t>TATI'S MOVEIS E DECORACOES LTDA</t>
  </si>
  <si>
    <t>TATI S MOVEIS PLANEJADOS</t>
  </si>
  <si>
    <t>INOCENCIO SERAFICO</t>
  </si>
  <si>
    <t>VILA ALFREDO RIBEIRO</t>
  </si>
  <si>
    <t>TAXMAP PLANEJAMENTO E CONSULTORIA TRIBUTARIA LTDA.</t>
  </si>
  <si>
    <t>TAXMAP TRIBUTOS</t>
  </si>
  <si>
    <t>CONJ 83</t>
  </si>
  <si>
    <t>TAYCO EQUIPAMENTOS DE SEGURANCA LTDA</t>
  </si>
  <si>
    <t>TAYCO</t>
  </si>
  <si>
    <t>MARGINAL EMICOL - RUA DOIS</t>
  </si>
  <si>
    <t>QUADRAC LOTE 06 07 E 08 COND WEST PARK</t>
  </si>
  <si>
    <t>JARDIM EMICOL</t>
  </si>
  <si>
    <t>TBS SERVICOS DE INSTALACAO E MANUTENCAO LTDA</t>
  </si>
  <si>
    <t>TBS INSTALACAO E MANUTENCAO</t>
  </si>
  <si>
    <t>CARINHOSA</t>
  </si>
  <si>
    <t>SIDROLANDIA</t>
  </si>
  <si>
    <t>TCI BPO - TECNOLOGIA, CONHECIMENTO E INFORMACAO LTDA - EM RECUPERACAO JUDICIAL EM RECUPERACAO JUDICIAL EM RECUPERACAO JUDICIAL</t>
  </si>
  <si>
    <t>BLOCO C SALA B CONJ 211</t>
  </si>
  <si>
    <t>TCP COMERCIO E LOCACAO DE ARTIGOS MEDICOS E HOSPITALARES LTDA</t>
  </si>
  <si>
    <t>TCP HEALTH SOLUTIONS</t>
  </si>
  <si>
    <t>AMADOR BUENO DA VEIGA</t>
  </si>
  <si>
    <t>TCR IMAGIOLOGIA LTDA</t>
  </si>
  <si>
    <t>TCR IMAGEM</t>
  </si>
  <si>
    <t>Serviços de tomografia</t>
  </si>
  <si>
    <t>PRESIDENTE ITAMAR FRANCO</t>
  </si>
  <si>
    <t>SAO MATEUS</t>
  </si>
  <si>
    <t>TD CONSTRUCOES, REDES E INSTALACOES DE GAS LTDA</t>
  </si>
  <si>
    <t>TDEC REDES DE COMPUTADORES LTDA</t>
  </si>
  <si>
    <t>OSCAR FREIRE</t>
  </si>
  <si>
    <t>CONJ 61/62/63/64/65/66</t>
  </si>
  <si>
    <t>TE CONNECTIVITY BRASIL INDUSTRIA DE ELETRONICOS LTDA</t>
  </si>
  <si>
    <t>TE CONNECTIVITY BRASIL</t>
  </si>
  <si>
    <t>SALA 31 ANDAR 3</t>
  </si>
  <si>
    <t>TECFLUX LTDA.</t>
  </si>
  <si>
    <t>TECFLUX</t>
  </si>
  <si>
    <t>JARDIM MARILU</t>
  </si>
  <si>
    <t>TECFRIL REFRIGERACAO E PECAS LTDA</t>
  </si>
  <si>
    <t>DESEMBARGADOR FREITAS</t>
  </si>
  <si>
    <t>TECH-END SERVICOS INDUSTRIAIS LTDA</t>
  </si>
  <si>
    <t>TECH WIND SERVICES</t>
  </si>
  <si>
    <t xml:space="preserve"> SALA 1804 TORRE B</t>
  </si>
  <si>
    <t>TECHSCAN IMPORTADORA E SERVICOS LTDA</t>
  </si>
  <si>
    <t>TECHSCAN</t>
  </si>
  <si>
    <t>CONSELHEIRO JOAO ALFREDO</t>
  </si>
  <si>
    <t>TECIDOS E ARMARINHOS MIGUEL BARTOLOMEU S/A</t>
  </si>
  <si>
    <t>TAMBASA ATACADISTAS</t>
  </si>
  <si>
    <t>MUNICIPAL MANOEL JACINTO COELHO JR</t>
  </si>
  <si>
    <t>TAPERA</t>
  </si>
  <si>
    <t>TECK PRINTS BRINDES, SERVICOS DE IMPRESSAO E DISTRIBUICAO LTDA</t>
  </si>
  <si>
    <t>TECK PRINTS</t>
  </si>
  <si>
    <t>TECLA CONSTRUCOES LTDA</t>
  </si>
  <si>
    <t>ELOI MENDES</t>
  </si>
  <si>
    <t>JARDIM PARAGUACU</t>
  </si>
  <si>
    <t>TECME DO BRASIL COMERCIO E IMPORTACAO LTDA.</t>
  </si>
  <si>
    <t>TECME DO BRASIL</t>
  </si>
  <si>
    <t>FRANCISCO PRESTES MAIA</t>
  </si>
  <si>
    <t>SALA 81</t>
  </si>
  <si>
    <t>TECNA COMERCIO, IMPORTACAO E EXPORTACAO LTDA</t>
  </si>
  <si>
    <t>TECNA DIAGNOSTICA</t>
  </si>
  <si>
    <t>JOAO TIBIRICA</t>
  </si>
  <si>
    <t>TECNETWORKING SERVICOS E SOLUCOES EM TI LTDA</t>
  </si>
  <si>
    <t>TECNET CORPORATION DO BRASIL</t>
  </si>
  <si>
    <t>TIMBO</t>
  </si>
  <si>
    <t>ABREU E LIMA</t>
  </si>
  <si>
    <t>TECNIPLAS EQUIPAMENTOS EM COMPOSITOS LTDA</t>
  </si>
  <si>
    <t>VEREADOR JOSE DE MORAES</t>
  </si>
  <si>
    <t>KM: 2,8;</t>
  </si>
  <si>
    <t>PEDREGULHO</t>
  </si>
  <si>
    <t>TECNISAN TECNICA DE SERVICOS E COMERCIO LTDA</t>
  </si>
  <si>
    <t>DIAS DA CRUZ</t>
  </si>
  <si>
    <t xml:space="preserve"> SAL 202</t>
  </si>
  <si>
    <t>MEIER</t>
  </si>
  <si>
    <t>TECNO FLUIDOS SISTEMAS DE CONDUCAO LTDA</t>
  </si>
  <si>
    <t>FORTE DO LEME</t>
  </si>
  <si>
    <t>LOTE 2 QUADRAB</t>
  </si>
  <si>
    <t>PARQUE SAO LOURENCO</t>
  </si>
  <si>
    <t>TECNO MOBILE COMERCIO E DESENVOLVIMENTO DE SOFTWARE E LOCACAO DE EQUIPAMENTOS LTDA</t>
  </si>
  <si>
    <t>TECNO MOBILE TECNOLOGIA EM TRANSPORTE</t>
  </si>
  <si>
    <t>QUADRA 1 CONJUNTO A LOTE</t>
  </si>
  <si>
    <t xml:space="preserve"> PARTE E</t>
  </si>
  <si>
    <t>SETOR DE INDUSTRIAS BERNARDO SAYAO (NUCLEO BANDEIR</t>
  </si>
  <si>
    <t>TECNOGRAPH LTDA</t>
  </si>
  <si>
    <t>TECNO GRAPH</t>
  </si>
  <si>
    <t>ETIOPIA</t>
  </si>
  <si>
    <t>TECNOMAD LTDA</t>
  </si>
  <si>
    <t>CANCIONEIRO POPULAR</t>
  </si>
  <si>
    <t>CHACARA SANTO ANTONIO</t>
  </si>
  <si>
    <t>TECNOPAV ENGENHARIA LTDA</t>
  </si>
  <si>
    <t>SALA 1002</t>
  </si>
  <si>
    <t>TECNOPLAST INDUSTRIA E COMERCIO S.A.</t>
  </si>
  <si>
    <t>TECNOPLAST</t>
  </si>
  <si>
    <t>PROFESSOR FRANCISCO MORATO</t>
  </si>
  <si>
    <t>BLOCO D</t>
  </si>
  <si>
    <t>TECNOVAL - EQUIPAMENTOS INDUSTRIAIS LTDA</t>
  </si>
  <si>
    <t>TECNOVAL</t>
  </si>
  <si>
    <t>FRANCISCO LORENZATO</t>
  </si>
  <si>
    <t>DUMONT</t>
  </si>
  <si>
    <t>TECNOWATT ILUMINACAO LTDA</t>
  </si>
  <si>
    <t>CENTRO IND CONTAGEM</t>
  </si>
  <si>
    <t>TEGMA GESTAO LOGISTICA S.A.</t>
  </si>
  <si>
    <t>NICOLA DEMARCHI</t>
  </si>
  <si>
    <t>TEISON BRASIL LTDA</t>
  </si>
  <si>
    <t>TEISON BRASIL</t>
  </si>
  <si>
    <t>SALA 2211</t>
  </si>
  <si>
    <t>TELAVITA SERVICOS DE SAUDE LTDA</t>
  </si>
  <si>
    <t>TELAVITA</t>
  </si>
  <si>
    <t>Atividades de psicologia e psicanálise</t>
  </si>
  <si>
    <t>BELA CINTRA</t>
  </si>
  <si>
    <t>CONJ 82 APT 8</t>
  </si>
  <si>
    <t>TELCABOS TELECOMUNICACOES E INFORMATICA LTDA</t>
  </si>
  <si>
    <t>CAPITAO GUSTAVO</t>
  </si>
  <si>
    <t>JOAQUIM TAVORA</t>
  </si>
  <si>
    <t>TELD ECO CHARGER LTDA</t>
  </si>
  <si>
    <t>CONJ 722/723</t>
  </si>
  <si>
    <t>TELEFONICA BRASIL S.A.</t>
  </si>
  <si>
    <t>ENGENHEIRO LUIZ CARLOS BERRINI</t>
  </si>
  <si>
    <t>TELEMATICA SISTEMAS INTELIGENTES LTDA</t>
  </si>
  <si>
    <t>PROFESSOR MAX ZENDRON</t>
  </si>
  <si>
    <t>VILA SAO JORGE</t>
  </si>
  <si>
    <t>TELLUS RIO COMERCIO, IMPORTACAO E EXPORTACAO LTDA</t>
  </si>
  <si>
    <t>EVANDRO LINS E SILVA</t>
  </si>
  <si>
    <t xml:space="preserve"> SAL 1004</t>
  </si>
  <si>
    <t>TELTEX TECNOLOGIA S.A</t>
  </si>
  <si>
    <t>TELTEX TECNOLOGIA</t>
  </si>
  <si>
    <t>FRANCA PINTO</t>
  </si>
  <si>
    <t>Nº1089</t>
  </si>
  <si>
    <t>TEM DE TUDO COMERCIO EM GERAL LTDA</t>
  </si>
  <si>
    <t>TEM DE TUDO</t>
  </si>
  <si>
    <t>DOUTOR SILVERIO FONTES</t>
  </si>
  <si>
    <t>TEMART DISTRIBUIDORA DE MATERIAIS DE CONSTRUCAO LTDA</t>
  </si>
  <si>
    <t>TEMART DISTRIBUIDORA</t>
  </si>
  <si>
    <t>DOUTOR EDGARD MAGALHAES NORONHA</t>
  </si>
  <si>
    <t>TEMART INDUSTRIA METALURGICA LTDA</t>
  </si>
  <si>
    <t>TEMART</t>
  </si>
  <si>
    <t>OURO VERDE DE MINAS</t>
  </si>
  <si>
    <t>JARDIM IMPERADOR</t>
  </si>
  <si>
    <t>TENDA NEGOCIOS IMOBILIARIOS S.A</t>
  </si>
  <si>
    <t>TENDENCIA INFORMACOES E SISTEMAS LTDA</t>
  </si>
  <si>
    <t>TEQUALY TECNICA INDUSTRIAL LTDA</t>
  </si>
  <si>
    <t>TEQUALY</t>
  </si>
  <si>
    <t>FRANCISCO SOBANIA</t>
  </si>
  <si>
    <t>TEREOS ACUCAR E ENERGIA BRASIL S.A.</t>
  </si>
  <si>
    <t>GUARANI S.A.</t>
  </si>
  <si>
    <t>VIA DE ACESSO GUERINO BERTOCO</t>
  </si>
  <si>
    <t>AREA RURAL DE OLIMPIA</t>
  </si>
  <si>
    <t>TERMOMECANICA SAO PAULO S A</t>
  </si>
  <si>
    <t>Metalurgia do cobre</t>
  </si>
  <si>
    <t>: 2700; : R.12 DE OUTUBRO 148;</t>
  </si>
  <si>
    <t>TERNIUM BRASIL LTDA.</t>
  </si>
  <si>
    <t>Produção de semi-acabados de aço</t>
  </si>
  <si>
    <t>JOAO XXIII</t>
  </si>
  <si>
    <t>TERRA UTIL -COMERCIO DE MAQUINAS, FERRAMENTAS E UTILIDADES LTDA</t>
  </si>
  <si>
    <t>BC FERRAMENTARIA</t>
  </si>
  <si>
    <t>LOTE 510/540</t>
  </si>
  <si>
    <t>TERRA VERDE TERRAPLENAGEM E OBRAS LTDA</t>
  </si>
  <si>
    <t>SALVADOR COELHO NETO</t>
  </si>
  <si>
    <t>TERRITORIO HV VENDA E LOCACAO DE EQUIPAMENTOS HOSPITALARES E VETERINARIOS LTDA</t>
  </si>
  <si>
    <t>TERUMI YAMASHITA</t>
  </si>
  <si>
    <t>COMERCIAL NADESHIKO</t>
  </si>
  <si>
    <t>VILA VITORIA</t>
  </si>
  <si>
    <t>PONTA PORA</t>
  </si>
  <si>
    <t>TERUMO BCT TECNOLOGIA MEDICA LTDA.</t>
  </si>
  <si>
    <t>TERUMO MEDICAL DO BRASIL LTDA.</t>
  </si>
  <si>
    <t>TERUMO</t>
  </si>
  <si>
    <t>GENERAL GENTIL FALCAO</t>
  </si>
  <si>
    <t xml:space="preserve"> 9 ANDAR CONJ. 91 E 92 CONJUNTO EMPRESARIAL E CULTURAL JOAO DOMINGUES DE ARAUJO</t>
  </si>
  <si>
    <t>BROOKLIN NOVO</t>
  </si>
  <si>
    <t>TERUSLOG TRANSPORTES E LOGISTICA LTDA</t>
  </si>
  <si>
    <t>TERUSLOG</t>
  </si>
  <si>
    <t>ARI BARROSO</t>
  </si>
  <si>
    <t>SALA 220</t>
  </si>
  <si>
    <t>JARDIM PINHAL</t>
  </si>
  <si>
    <t>TESA BRASIL LTDA</t>
  </si>
  <si>
    <t>SALA 1901 ANDAR 19 COND LAIS PERETTI CT EMPR</t>
  </si>
  <si>
    <t>TESSENDERLO KERLEY BRASIL LTDA</t>
  </si>
  <si>
    <t>TKI BRASIL</t>
  </si>
  <si>
    <t>DOUTOR JOSE BONIFACIO COUTINHO NOGUEIRA</t>
  </si>
  <si>
    <t>TERREO. EDIF GALLERIA PLAZA</t>
  </si>
  <si>
    <t>JARDIM MADALENA</t>
  </si>
  <si>
    <t>TESTO DO BRASIL - INSTRUMENTOS DE MEDICAO LTDA</t>
  </si>
  <si>
    <t>TESTO DO BRASIL</t>
  </si>
  <si>
    <t>GUAPURUVU</t>
  </si>
  <si>
    <t>CONJ 01 A 06</t>
  </si>
  <si>
    <t>LOTEAMENTO ALPHAVILLE CAMPINAS</t>
  </si>
  <si>
    <t>TEVX MOTORS GROUP LTDA</t>
  </si>
  <si>
    <t>TEVX HIGER</t>
  </si>
  <si>
    <t>DOUTOR CARDOSO DE MELO</t>
  </si>
  <si>
    <t>N.1450</t>
  </si>
  <si>
    <t>CONJ 601</t>
  </si>
  <si>
    <t>TEXEL TECNOLOGIA DA INFORMACAO LTDA</t>
  </si>
  <si>
    <t>DOS BAMBUS,</t>
  </si>
  <si>
    <t>QUADRAH LOTE 11</t>
  </si>
  <si>
    <t>TEXSA DO BRASIL LTDA</t>
  </si>
  <si>
    <t>TEXSA</t>
  </si>
  <si>
    <t>FLORIVALDO RICIERI TAMPELINI</t>
  </si>
  <si>
    <t>DATA 1 QUADRA 3</t>
  </si>
  <si>
    <t>PARQUE INDUSTRIAL I</t>
  </si>
  <si>
    <t>UMUARAMA</t>
  </si>
  <si>
    <t>TEXTIL J SERRANO LTDA</t>
  </si>
  <si>
    <t>ANDAR 4 SALA 2</t>
  </si>
  <si>
    <t>TFM USINAGEM &amp; MANUTENCAO INDUSTRIAL LTDA</t>
  </si>
  <si>
    <t>PROJETADA - PARQUE INDUSTRIAL</t>
  </si>
  <si>
    <t>BRIQUITUBA</t>
  </si>
  <si>
    <t>THAURUS SERVICOS TERCEIRIZADOS LTDA</t>
  </si>
  <si>
    <t>THAURUS SERVICOS TERCEIRIZADOS</t>
  </si>
  <si>
    <t>MASSUD AMIN</t>
  </si>
  <si>
    <t>ANDAR 6 SALA 601</t>
  </si>
  <si>
    <t>CORNELIO PROCOPIO</t>
  </si>
  <si>
    <t>THE MAGIC NUTS COMERCIAL LTDA</t>
  </si>
  <si>
    <t>THEMA INDUSTRIA COMERCIO ASSESSORIA E MAN ELETRICA LTDA</t>
  </si>
  <si>
    <t>THEMA</t>
  </si>
  <si>
    <t>MANOEL ALVES GARCIA</t>
  </si>
  <si>
    <t>ANEXO PORTAO 01</t>
  </si>
  <si>
    <t>THERMIT DO BRASIL INDUSTRIA E COMERCIO LTDA</t>
  </si>
  <si>
    <t>Metalurgia do pó</t>
  </si>
  <si>
    <t>SGT SILVIO HOLLENBACH</t>
  </si>
  <si>
    <t>BARROS FILHO</t>
  </si>
  <si>
    <t>THERMO FISHER SCIENTIFIC BRASIL INSTRUMENTOS DE PROCESSO LTDA</t>
  </si>
  <si>
    <t>SANTA CLARA</t>
  </si>
  <si>
    <t>LOTE 04 QUADRA A2</t>
  </si>
  <si>
    <t>THERMO STAR EQUIPAMENTOS LTDA</t>
  </si>
  <si>
    <t>THERMO STAR</t>
  </si>
  <si>
    <t>SC 108</t>
  </si>
  <si>
    <t>KM 47 50 GALPAOB E C</t>
  </si>
  <si>
    <t>INDUSTRIAL ZEFERINO KUKLINSKI</t>
  </si>
  <si>
    <t>THERMODIN INSTRUMENTOS DE MEDICAO EIRELI</t>
  </si>
  <si>
    <t>THERMODIN INSTRUMENTOS DE MEDICAO</t>
  </si>
  <si>
    <t>MOXEI</t>
  </si>
  <si>
    <t>THERMON AR CONDICIONADO LTDA</t>
  </si>
  <si>
    <t>MARIA CURUPAITI</t>
  </si>
  <si>
    <t>VILA ESTER</t>
  </si>
  <si>
    <t>THINK EPI COMERCIO CONSTRUCOES E REFORMAS LTDA</t>
  </si>
  <si>
    <t>THINK EPI</t>
  </si>
  <si>
    <t>ITABERABA</t>
  </si>
  <si>
    <t>NOSSA SENHORA DO O</t>
  </si>
  <si>
    <t>THYSSENKRUPP BRASIL LTDA.</t>
  </si>
  <si>
    <t>Fabricação de rolamentos para fins industriais</t>
  </si>
  <si>
    <t>KARL HULLER</t>
  </si>
  <si>
    <t>EDIF A</t>
  </si>
  <si>
    <t>CANHEMA</t>
  </si>
  <si>
    <t>THYSSENKRUPP METALURGICA CAMPO LIMPO LTDA</t>
  </si>
  <si>
    <t>ALFRIED KRUPP</t>
  </si>
  <si>
    <t>TICKET SERVICOS SA</t>
  </si>
  <si>
    <t>Operadoras de cartões de débito</t>
  </si>
  <si>
    <t>ANDAR 3 E 6 BLOCO TORRE II</t>
  </si>
  <si>
    <t>TIETE VEICULOS LTDA</t>
  </si>
  <si>
    <t>MARGINAL DIREITA DO RIO TIETE</t>
  </si>
  <si>
    <t>TIGRE FERRAMENTAS PARA CONSTRUCAO CIVIL S.A</t>
  </si>
  <si>
    <t>LANDMANN</t>
  </si>
  <si>
    <t>CONJ 2 SALA 1</t>
  </si>
  <si>
    <t>TIGRE MATERIAIS E SOLUCOES PARA CONSTRUCAO LTDA.</t>
  </si>
  <si>
    <t>TIGRE</t>
  </si>
  <si>
    <t>ANDAR 1 - 2 E 3</t>
  </si>
  <si>
    <t>ATIRADORES</t>
  </si>
  <si>
    <t>TIM S A</t>
  </si>
  <si>
    <t xml:space="preserve"> BLC 001 SALAS 0501 A 1208</t>
  </si>
  <si>
    <t>TIMBER CONSTRUCOES LTDA</t>
  </si>
  <si>
    <t>TIMBER CONSTRUCOES</t>
  </si>
  <si>
    <t>SALA 1504</t>
  </si>
  <si>
    <t>TINFOMAR SOLUCOES EM TECNOLOGIA E PROCESSAMENTO DE DADOS LTDA</t>
  </si>
  <si>
    <t>INPULSO TECNOLOGIA</t>
  </si>
  <si>
    <t>BARAO DE PARANAPIACABA</t>
  </si>
  <si>
    <t>SALA 1903 E 1904</t>
  </si>
  <si>
    <t>ENCRUZILHADA</t>
  </si>
  <si>
    <t>TINTAS CORAL LTDA</t>
  </si>
  <si>
    <t>TINTAS MC LTDA</t>
  </si>
  <si>
    <t>PROFESSOR ABRAAO DE MORAIS</t>
  </si>
  <si>
    <t>TIVIT TERCEIRIZACAO DE PROCESSOS, SERVICOS E TECNOLOGIA S.A.</t>
  </si>
  <si>
    <t>BENTO BRANCO DE ANDRADE FILHO</t>
  </si>
  <si>
    <t>TK ELEVADORES BRASIL LTDA</t>
  </si>
  <si>
    <t>Fabricação de máquinas, equipamentos e aparelhos para transporte e elevação de pessoas, peças e acessórios</t>
  </si>
  <si>
    <t>COLUMBIA CITY</t>
  </si>
  <si>
    <t>GUAIBA</t>
  </si>
  <si>
    <t>TKA GUINDASTES INDUSTRIA E COMERCIO LTDA</t>
  </si>
  <si>
    <t>TKA GUINDASTES</t>
  </si>
  <si>
    <t>RS 122 KM 91+500</t>
  </si>
  <si>
    <t>TKL IMPORTACAO E EXPORTACAO DE PRODUTOS MEDICOS E HOSPITALARES LTDA</t>
  </si>
  <si>
    <t>ENGENHEIRO JULIO CESAR DE SOUZA ARAUJO</t>
  </si>
  <si>
    <t xml:space="preserve"> MODULO A</t>
  </si>
  <si>
    <t>TKS SEGURANCA PRIVADA LTDA</t>
  </si>
  <si>
    <t>ALUIZIO DE AZEVEDO</t>
  </si>
  <si>
    <t>TMK ENGENHARIA S.A.</t>
  </si>
  <si>
    <t>MARACANA</t>
  </si>
  <si>
    <t>TOCCATO TECNOLOGIA EM SISTEMAS LTDA</t>
  </si>
  <si>
    <t>SC 401</t>
  </si>
  <si>
    <t>SALA 404</t>
  </si>
  <si>
    <t>TODAPE TRANSPORTE RODOVIARIO DE CARGAS LTDA</t>
  </si>
  <si>
    <t>OCEANO PACIFICO</t>
  </si>
  <si>
    <t>TOLEDO DO BRASIL INDUSTRIA DE BALANCAS LTDA</t>
  </si>
  <si>
    <t>MANOEL CREMONESI</t>
  </si>
  <si>
    <t>JARDIM BELITA</t>
  </si>
  <si>
    <t>TOLEDO FERRARI CONSTRUTORA E INCORPORADORA LTDA</t>
  </si>
  <si>
    <t>TOLEDO FERRARI</t>
  </si>
  <si>
    <t>TOMAZINE INDUSTRIA E COMERCIO LTDA</t>
  </si>
  <si>
    <t>TOMAZINE</t>
  </si>
  <si>
    <t>ROGERIO HERMITA CALVO</t>
  </si>
  <si>
    <t>JARDIM SAPOPEMBA</t>
  </si>
  <si>
    <t>TOP DISTRIBUIDORA E LOGISTICA LTDA</t>
  </si>
  <si>
    <t>TOP DISTRIBUICAO</t>
  </si>
  <si>
    <t>Comércio atacadista de produtos alimentícios em geral, com atividade de fracionamento e acondicionamento associada</t>
  </si>
  <si>
    <t>GABRIEL HENRIQUE DE ARAUJO</t>
  </si>
  <si>
    <t>QUADRAAREA LOTE 00 GALPAO06 LOJA 01</t>
  </si>
  <si>
    <t>RESIDENCIAL GOIANIA VIVA</t>
  </si>
  <si>
    <t>TOP LIMPE COMERCIO DE MATERIAIS DE LIMPEZA LTDA</t>
  </si>
  <si>
    <t>LAMARAO</t>
  </si>
  <si>
    <t>EDIF MARCONDES GALPAOB</t>
  </si>
  <si>
    <t>PERNAMBUES</t>
  </si>
  <si>
    <t>TOP SERVICE SERVICOS E SISTEMAS S/A</t>
  </si>
  <si>
    <t>TOP SERVICE, PREDIAL, IN-HAUS, FORTALEZA, RUDDER</t>
  </si>
  <si>
    <t>TOP SERVICOS E REVESTIMENTOS - LTDA</t>
  </si>
  <si>
    <t>TOP PINTURAS E REVESTIMENTOS</t>
  </si>
  <si>
    <t>Serviços de pintura de edifícios em geral</t>
  </si>
  <si>
    <t>CORONEL WALDEMAR BASGAL</t>
  </si>
  <si>
    <t>LOJA 15</t>
  </si>
  <si>
    <t>PIEDADE</t>
  </si>
  <si>
    <t>TOPCLIMA SISTEMAS DE REFRIGERACAO EIRELI</t>
  </si>
  <si>
    <t>TOPCLIMA</t>
  </si>
  <si>
    <t>LEITAO DA SILVA</t>
  </si>
  <si>
    <t>ANDAR 1 SALA 201</t>
  </si>
  <si>
    <t>PRAIA DO SUA</t>
  </si>
  <si>
    <t>TOPFLEX COMERCIO E SERVICOS LTDA.</t>
  </si>
  <si>
    <t>ADAMO ZAMBELLI</t>
  </si>
  <si>
    <t>LOTE GB QUADRAGB LOTE GLEBA</t>
  </si>
  <si>
    <t>CALCAREA</t>
  </si>
  <si>
    <t>TORAY DO BRASIL LTDA</t>
  </si>
  <si>
    <t>TORC TERRAPLENAGEM OBRAS RODOVIARIAS E CONSTRUCOES LTDA</t>
  </si>
  <si>
    <t>ANDAR 7 AO 12</t>
  </si>
  <si>
    <t>TORESIN &amp; CAVALCANTE SERVICOS EM LICITACOES LTDA</t>
  </si>
  <si>
    <t>CAVALCANTE CONSULTORES</t>
  </si>
  <si>
    <t>SALA 1503</t>
  </si>
  <si>
    <t>TORIBA VEICULOS LTDA</t>
  </si>
  <si>
    <t>FUAD LUTFALLA</t>
  </si>
  <si>
    <t>ANEXO S/N</t>
  </si>
  <si>
    <t>VILA MARIA TRINDADE</t>
  </si>
  <si>
    <t>TORINO INFORMATICA LTDA..</t>
  </si>
  <si>
    <t>RITA DE CARVALHO MONTEIRO</t>
  </si>
  <si>
    <t>BRCAO 110 E 130</t>
  </si>
  <si>
    <t>RETIRO SAO JOAO</t>
  </si>
  <si>
    <t>TORK EXPRESS DO BRASIL LTDA</t>
  </si>
  <si>
    <t>TORK EXPRESS DO BRASIL</t>
  </si>
  <si>
    <t>MESSIAS BALBINO DA SILVA</t>
  </si>
  <si>
    <t>QUADRAA LOTE 3-4</t>
  </si>
  <si>
    <t>LOTEAMENTO INDUSTRIAL PALMEIRAS</t>
  </si>
  <si>
    <t>RIO DAS PEDRAS</t>
  </si>
  <si>
    <t>TORRES VALPORTO COMERCIO E DISTRIBUICAO DE PRODUTOS MEDICOS LTDA</t>
  </si>
  <si>
    <t>KM 9 GALPAO1 E 2 SALA 20</t>
  </si>
  <si>
    <t>SAO JOAO DE MERITI</t>
  </si>
  <si>
    <t>TOTAL TELAS INDUSTRIA E COMERCIO DE ARAMES E TELAS LTDA.</t>
  </si>
  <si>
    <t>TOTAL TELAS</t>
  </si>
  <si>
    <t>NEEMIAS ABREU TOLEDO</t>
  </si>
  <si>
    <t>TOTVS S.A.</t>
  </si>
  <si>
    <t>BRAZ LEME</t>
  </si>
  <si>
    <t>TOYAMA DO BRASIL MAQUINAS LTDA.</t>
  </si>
  <si>
    <t>DOMINGOS RAMPELOTTI</t>
  </si>
  <si>
    <t xml:space="preserve"> AREA D1 GALPAO 03 MODULO 01 A 04</t>
  </si>
  <si>
    <t>TOYOTA DO BRASIL LTDA</t>
  </si>
  <si>
    <t>MAX MANGELS SENIOR</t>
  </si>
  <si>
    <t>SALA TOYOTA</t>
  </si>
  <si>
    <t>TP-LINK INDUSTRIA DO BRASIL LTDA</t>
  </si>
  <si>
    <t>BLOCO Q</t>
  </si>
  <si>
    <t>TPV DO BRASIL INDUSTRIA DE ELETRONICOS LTDA</t>
  </si>
  <si>
    <t>ANEXO BLOCO A E L ANDAR 2</t>
  </si>
  <si>
    <t>TRACBEL AGRO COMERCIO DE MAQUINAS AGRICOLAS LTDA</t>
  </si>
  <si>
    <t>MARIO FERREIRA DE ANDRADE</t>
  </si>
  <si>
    <t>JARDIM PATRIARCA</t>
  </si>
  <si>
    <t>TRACBEL SA</t>
  </si>
  <si>
    <t>TRADEFOOD DISTRIBUIDORA DE ALIMENTOS LTDA</t>
  </si>
  <si>
    <t>TRADEFOOF DISTRIBUIDORA DE ALIMENTOS</t>
  </si>
  <si>
    <t>WILLY CONRADO BOHLEN</t>
  </si>
  <si>
    <t>TRAMONTINA SA CUTELARIA</t>
  </si>
  <si>
    <t>Fabricação de artigos de cutelaria</t>
  </si>
  <si>
    <t>IVO TRAMONTINA</t>
  </si>
  <si>
    <t>TRIANGULO</t>
  </si>
  <si>
    <t>CARLOS BARBOSA</t>
  </si>
  <si>
    <t>TRANS-SUL EMPRESA DE TRANSPORTES DE CARGAS LTDA</t>
  </si>
  <si>
    <t>TRANS-SUL TRANSPORTES</t>
  </si>
  <si>
    <t>JOAO DE OLIVEIRA REMIAO</t>
  </si>
  <si>
    <t>LOMBA PINHEIRO</t>
  </si>
  <si>
    <t>TRANSCOR INDUSTRIA DE PIGMENTOS E CORANTES LTDA</t>
  </si>
  <si>
    <t>TRANSFORM TECNOLOGIA DE PONTA LTDA</t>
  </si>
  <si>
    <t>TRANSFORM TECNOLOGIA DE PONTA</t>
  </si>
  <si>
    <t>DOUTOR FAUSTO RIBEIRO DE CARVALHO</t>
  </si>
  <si>
    <t>JARDIM ORLANDINA</t>
  </si>
  <si>
    <t>TRANSMAI EQUIPAMENTOS MEDICOS HOSPITALARES LTDA</t>
  </si>
  <si>
    <t>MARIA ESTELA</t>
  </si>
  <si>
    <t>JARDIM MARIA ESTELA</t>
  </si>
  <si>
    <t>TRANSMISSORA ALIANCA DE ENERGIA ELETRICA S/A</t>
  </si>
  <si>
    <t xml:space="preserve"> BLC 6 SALA 201</t>
  </si>
  <si>
    <t>TRANSNACIONAL TRANSPORTES URBANOS LTDA</t>
  </si>
  <si>
    <t>TRANSNACIONAL</t>
  </si>
  <si>
    <t>DR. JOAO MEDEIROS FILHO</t>
  </si>
  <si>
    <t>PAJUCARA</t>
  </si>
  <si>
    <t>TRANSRODRIGUES LTDA.</t>
  </si>
  <si>
    <t>RF TRANSPORTES</t>
  </si>
  <si>
    <t>DOUTOR EMERICK</t>
  </si>
  <si>
    <t>TRANSVIAS CONSTRUCOES E TERRAPLENAGEM LTDA</t>
  </si>
  <si>
    <t>ANDAR 06 CONJ 61/63/64 COND METRO OFFICE BUTANTA</t>
  </si>
  <si>
    <t>TRAVAGIN &amp; TRAVAGIN LTDA</t>
  </si>
  <si>
    <t>PAPELARIA IDEAL.</t>
  </si>
  <si>
    <t>SP 215</t>
  </si>
  <si>
    <t>TRAVELEX CORRETORA DE SEGUROS LTDA</t>
  </si>
  <si>
    <t>ANDAR 5 CONJ 51 E 52 EDIF BERRINI ONE</t>
  </si>
  <si>
    <t>TREEBUUCHET O COMERCIO DE EQUIPAMENTOS DE PROTECAO INDIVIDUAIS LTDA</t>
  </si>
  <si>
    <t>TREEBUUCHET</t>
  </si>
  <si>
    <t>PEDRO ALVARES CABRAL</t>
  </si>
  <si>
    <t>TRELLEBORG DO BRASIL SOLUCOES EM VEDACAO LTDA.</t>
  </si>
  <si>
    <t>DOUTOR SEBASTIAO HENRIQUE DA CUNHA PONTES</t>
  </si>
  <si>
    <t xml:space="preserve"> 8500 GALPAOQ4</t>
  </si>
  <si>
    <t>TREND MEDICAL LTDA</t>
  </si>
  <si>
    <t>TREND MEDICAL</t>
  </si>
  <si>
    <t>COND SAN JOSE</t>
  </si>
  <si>
    <t>TRES FAZENDAS COMERCIAL DE CEREAIS LTDA</t>
  </si>
  <si>
    <t>Comércio atacadista de cereais e leguminosas beneficiados, farinhas, amidos e féculas, com atividade de fracionamento e acondicionamento associada</t>
  </si>
  <si>
    <t>JARDIM SANTA MARTA (FAZENDINHA)</t>
  </si>
  <si>
    <t>TRIA DO BRASIL INDUSTRIA E COMERCIO DE MAQUINAS LTDA</t>
  </si>
  <si>
    <t>Fabricação de máquinas e equipamentos para a indústria do plástico, peças e acessórios</t>
  </si>
  <si>
    <t>JOAO LOURENCON</t>
  </si>
  <si>
    <t>VALE VERDE</t>
  </si>
  <si>
    <t>TRIBOLTEC ENGENHARIA INDUSTRIAL E CIVIL LTDA</t>
  </si>
  <si>
    <t>TRITON MAQUINAS AGRICOLAS LTDA</t>
  </si>
  <si>
    <t>TRITON.AGRO</t>
  </si>
  <si>
    <t>VILA ALEMANHA</t>
  </si>
  <si>
    <t>LUZERNA</t>
  </si>
  <si>
    <t>TRIVALE INSTITUICAO DE PAGAMENTO LTDA</t>
  </si>
  <si>
    <t>JACARANDA</t>
  </si>
  <si>
    <t>TRON CONTROLES ELETRICOS LTDA</t>
  </si>
  <si>
    <t>TRON</t>
  </si>
  <si>
    <t>CAPIBERIBE</t>
  </si>
  <si>
    <t>TROPDAN INDUSTRIA E COMERCIO DE PRODUTOS ALIMENTICIOS LTDA - EM RECUPERACAO JUDICIAL</t>
  </si>
  <si>
    <t>TROPDAN</t>
  </si>
  <si>
    <t>SECUNDARIA CJ-05 TOSHIKO FUKUDA</t>
  </si>
  <si>
    <t>CAJATI</t>
  </si>
  <si>
    <t>TROPICAL BIOENERGIA S.A.</t>
  </si>
  <si>
    <t>TROPICAL BIOENERGIA</t>
  </si>
  <si>
    <t>GO 410 KM 51 A ESQUERDA</t>
  </si>
  <si>
    <t>FAZENDA CANADA</t>
  </si>
  <si>
    <t>EDEIA</t>
  </si>
  <si>
    <t>TROPOS LAB LABORATORIO DE NEGOCIOS INOVADORES LTDA</t>
  </si>
  <si>
    <t>TROPOS LAB</t>
  </si>
  <si>
    <t>DOS GUAJAJARAS 410</t>
  </si>
  <si>
    <t>TROUPE BRASIL LTDA</t>
  </si>
  <si>
    <t>TROUPE BRASIL</t>
  </si>
  <si>
    <t>Artes cênicas, espetáculos e atividades complementares não especificadas anteriormente</t>
  </si>
  <si>
    <t>PROF ZEFERINO VAZ</t>
  </si>
  <si>
    <t>KM 146 700</t>
  </si>
  <si>
    <t>TRUCKVAN INDUSTRIA E COMERCIO LTDA</t>
  </si>
  <si>
    <t>KM 211</t>
  </si>
  <si>
    <t>TRULY TECNOLOGIA E INOVACAO LTDA</t>
  </si>
  <si>
    <t>TRULY TECNOLOGIA E INOVACAO</t>
  </si>
  <si>
    <t>TSP TEXTURA S.A.</t>
  </si>
  <si>
    <t>MOLD-TECH TSP</t>
  </si>
  <si>
    <t>JOAO SANTANA LEITE</t>
  </si>
  <si>
    <t>JARDIM PARNAIBA</t>
  </si>
  <si>
    <t>TUBARAO SANEAMENTO S.A.</t>
  </si>
  <si>
    <t>ALTAMIRO GUIMARAES</t>
  </si>
  <si>
    <t>TUBOS IPIRANGA INDUSTRIA E COMERCIO LTDA</t>
  </si>
  <si>
    <t>LEMOS TORRES</t>
  </si>
  <si>
    <t>TUBOS TIGRE-ADS DO BRASIL LIMITADA</t>
  </si>
  <si>
    <t>PENNWALT</t>
  </si>
  <si>
    <t>TUPAN GASES LTDA</t>
  </si>
  <si>
    <t>TUPAN GASES</t>
  </si>
  <si>
    <t>MARECHAL-DO-AR EDUARDO GOMES</t>
  </si>
  <si>
    <t>RESIDENCIAL RESERVA TUPA</t>
  </si>
  <si>
    <t>TUPA</t>
  </si>
  <si>
    <t>TUPAN INDUSTRIA E COMERCIO LTDA</t>
  </si>
  <si>
    <t>VICENTE RODRIGUES DA SILVA</t>
  </si>
  <si>
    <t>ANEXO A 1050</t>
  </si>
  <si>
    <t>TUV NORD BRASIL AVALIACOES DA QUALIDADE LTDA</t>
  </si>
  <si>
    <t>TUV NORD BRASIL</t>
  </si>
  <si>
    <t>TVG COMERCIO E SERVICOS DE TUBOS E CONEXOES DE PEAD LTDA</t>
  </si>
  <si>
    <t>TVG COMERCIO E SERVICOS</t>
  </si>
  <si>
    <t>SOLD JOSE ANTONIO MOREIRA</t>
  </si>
  <si>
    <t>UDINESE METAIS LTDA</t>
  </si>
  <si>
    <t>ULTRA MASTER PLUG COMERCIO E INDUSTRIA DE EQUIPAMENTOS DE PROTECAO INDIVIDUAL LTDA</t>
  </si>
  <si>
    <t>ULTRA MASTER PLUG</t>
  </si>
  <si>
    <t>CARAMURU</t>
  </si>
  <si>
    <t>ULTRA MEDKA PRODUTOS PARA SAUDE LTDA</t>
  </si>
  <si>
    <t>ULTRA MEDKA PRODUTOS PARA SAUDE</t>
  </si>
  <si>
    <t>RAFAEL VAZ E SILVA</t>
  </si>
  <si>
    <t xml:space="preserve"> PISO SUPERIOR</t>
  </si>
  <si>
    <t>ULTRA SAFE COMERCIO, IMPORTACAO E EXPORTACAO LTDA</t>
  </si>
  <si>
    <t>DOM BENTO PICKEL</t>
  </si>
  <si>
    <t>PARQUE CASA VERDE</t>
  </si>
  <si>
    <t>ULTRADENT DO BRASIL PRODUTOS ODONTOLOGICOS LTDA.</t>
  </si>
  <si>
    <t>EZEQUIEL MANTOANELLI</t>
  </si>
  <si>
    <t>JARDIM PANORAMA</t>
  </si>
  <si>
    <t>ULTRAFAR COMERCIO DE PRODUTOS FARMACEUTICOS LTDA</t>
  </si>
  <si>
    <t>ULTRAFARM</t>
  </si>
  <si>
    <t>JAPIIM</t>
  </si>
  <si>
    <t>ULTRAFARMA SAUDE LTDA</t>
  </si>
  <si>
    <t>UNI HOSPITALAR LTDA</t>
  </si>
  <si>
    <t>UNI HOSPITALAR</t>
  </si>
  <si>
    <t>ALAGOAS</t>
  </si>
  <si>
    <t xml:space="preserve"> 241 E 231</t>
  </si>
  <si>
    <t>UNIAO BANDEIRANTE DE EDUCACAO E CULTURA S.A.</t>
  </si>
  <si>
    <t>MARIA CANDIDA</t>
  </si>
  <si>
    <t>UNIAO EDUCACIONAL, CULTURAL E TECNOLOGICA IMPACTA - UNI.IMPACTA</t>
  </si>
  <si>
    <t>FIT POLO PAULISTA</t>
  </si>
  <si>
    <t>ANDAR 17 CONJ 1701</t>
  </si>
  <si>
    <t>UNIAO QUIMICA FARMACEUTICA NACIONAL S A</t>
  </si>
  <si>
    <t>GENOM</t>
  </si>
  <si>
    <t>CORONEL LUIZ TENORIO DE BRITO</t>
  </si>
  <si>
    <t>EMBU-GUACU</t>
  </si>
  <si>
    <t>UNICA GESTAO E SERVICOS LTDA</t>
  </si>
  <si>
    <t>UNICA</t>
  </si>
  <si>
    <t xml:space="preserve"> TORRE A SALA 1710</t>
  </si>
  <si>
    <t>UNIDAS LOCADORA S.A.</t>
  </si>
  <si>
    <t>SALA 32 E 33</t>
  </si>
  <si>
    <t>UNIEPRE ESPACO DE EDUCACAO INFANTIL</t>
  </si>
  <si>
    <t>UNIEPRE</t>
  </si>
  <si>
    <t>Educação infantil - creche</t>
  </si>
  <si>
    <t>JOSE MARGARIDO</t>
  </si>
  <si>
    <t>UNIFORMY CONFECCOES LTDA</t>
  </si>
  <si>
    <t>GABRIEL SOTO</t>
  </si>
  <si>
    <t>CONEGO ARLINDO JOSE ZANOTO</t>
  </si>
  <si>
    <t>UNIFORTE INDUSTRIA E COMERCIO DE FERRAGENS LTDA</t>
  </si>
  <si>
    <t>Fabricação de produtos de trefilados de metal padronizados</t>
  </si>
  <si>
    <t>UNILEVER BRASIL INDUSTRIAL LTDA</t>
  </si>
  <si>
    <t xml:space="preserve"> ALA A-1 ANDAR 3</t>
  </si>
  <si>
    <t>UNIMED DE BAURU COOPERATIVA DE TRABALHO MEDICO</t>
  </si>
  <si>
    <t>UNIMED</t>
  </si>
  <si>
    <t>Planos de saúde</t>
  </si>
  <si>
    <t>GUSTAVO MACIEL</t>
  </si>
  <si>
    <t>11-30</t>
  </si>
  <si>
    <t>UNIMED NACIONAL - COOPERATIVA CENTRAL</t>
  </si>
  <si>
    <t>UNIMED CNU</t>
  </si>
  <si>
    <t>ANDAR 8 9 10 11 1214 15 16</t>
  </si>
  <si>
    <t>UNIMED-RIO PARTICIPACOES E INVESTIMENTOS S/A</t>
  </si>
  <si>
    <t>DO OUVIDOR</t>
  </si>
  <si>
    <t xml:space="preserve"> SAL 1001</t>
  </si>
  <si>
    <t>UNIPAR CARBOCLORO S.A.</t>
  </si>
  <si>
    <t>ANDAR 22 SALA DJANIRA</t>
  </si>
  <si>
    <t>UNIPART CENTRO DE COPIAS E LOCACAO LTDA</t>
  </si>
  <si>
    <t>CLONARTE</t>
  </si>
  <si>
    <t>UNITED IMAGING HEALTHCARE DO BRASIL LTDA</t>
  </si>
  <si>
    <t>CONJ 111</t>
  </si>
  <si>
    <t>UNITED MEDICAL LTDA</t>
  </si>
  <si>
    <t>KNIGHT THERAPEUTICS</t>
  </si>
  <si>
    <t>QUADRALOTE LOTE 001C - PARTE 8</t>
  </si>
  <si>
    <t>FAZENDA SANTO ANTONIO</t>
  </si>
  <si>
    <t>UNIVERSAL ENGENHARIA E CONSTRUCOES LTDA</t>
  </si>
  <si>
    <t>UNIVERSAL</t>
  </si>
  <si>
    <t>GUANAS</t>
  </si>
  <si>
    <t>UNIVERSAL SEGURANCA LTDA</t>
  </si>
  <si>
    <t>UNIVERSAL SEGURANCA</t>
  </si>
  <si>
    <t>QUADRA10</t>
  </si>
  <si>
    <t>JARDIM TROPICAL</t>
  </si>
  <si>
    <t>UNIVERSIDADE DE SAO PAULO</t>
  </si>
  <si>
    <t>REITORIA DA UNIVERSIDADE DE SAO PAULO</t>
  </si>
  <si>
    <t>DA REITORIA</t>
  </si>
  <si>
    <t>ESCOLA SUPERIOR DE AGRICULTURA LUIZ DE QUEIROZ</t>
  </si>
  <si>
    <t>AVENIDA PADUA DIAS</t>
  </si>
  <si>
    <t>SAO DIMAS</t>
  </si>
  <si>
    <t>FACULDADE DE ODONTOLOGIA DE BAURU</t>
  </si>
  <si>
    <t>DR OCTAVIO PINHEIRO BRISOLLA</t>
  </si>
  <si>
    <t>9-75</t>
  </si>
  <si>
    <t>VILA NOVA CIDADE UNIVERSITARA</t>
  </si>
  <si>
    <t>UNIVERSIDADE ESTADUAL DE CAMPINAS</t>
  </si>
  <si>
    <t>UNIVERSIDADE PATATIVA DO ASSARE</t>
  </si>
  <si>
    <t>UPA (UNIVERSIDADE PATATIVA DO ASSARE)</t>
  </si>
  <si>
    <t>CATULO DA PAIXAO CEARENSE</t>
  </si>
  <si>
    <t>SALA 1504 EDIF PATIO CORPORATE</t>
  </si>
  <si>
    <t>UNIVERSO ONLINE S/A</t>
  </si>
  <si>
    <t>DIVISAO UOL</t>
  </si>
  <si>
    <t>ANDAR 13 CONJ 131 ANEXO TORRE NORTE</t>
  </si>
  <si>
    <t>UNNIMAX ADMINISTRADORA DE BENEFICIOS LTDA</t>
  </si>
  <si>
    <t>UNNIMAX ADMINISTRADORA DE BENEFICIOS</t>
  </si>
  <si>
    <t>ANDAR 7 CONJ 72</t>
  </si>
  <si>
    <t>UP BRASIL - POLICARD SYSTEMS E SERVICOS S.A.</t>
  </si>
  <si>
    <t>LOJA: 06; : PRATIC SHOPPING;</t>
  </si>
  <si>
    <t>UPSIDE FINANCAS CORPORATIVAS LTDA.</t>
  </si>
  <si>
    <t>UP SIDE CONSULTORIA E ASSESSORIA</t>
  </si>
  <si>
    <t>BR DO TRIUNFO</t>
  </si>
  <si>
    <t>ANDAR 3 CONJ 301 A 305</t>
  </si>
  <si>
    <t>URBAN OBRAS E COMERCIO LTDA</t>
  </si>
  <si>
    <t>URBAN</t>
  </si>
  <si>
    <t>SALA 2407 ANDAR 24 EDIF TREND TOWER</t>
  </si>
  <si>
    <t>URBANIZADORA MUNICIPAL SA URBAM</t>
  </si>
  <si>
    <t>RICARDO EDWARDS</t>
  </si>
  <si>
    <t>VL INDUSTRIAL</t>
  </si>
  <si>
    <t>USEGAS DISTRIBUIDORA DE GAS LTDA</t>
  </si>
  <si>
    <t>ADAO DIBAS</t>
  </si>
  <si>
    <t>CAMPINA DAS PEDRAS</t>
  </si>
  <si>
    <t>USIBRAS USINAGEM E EQUIPAMENTOS INDUSTRIAIS LTDA</t>
  </si>
  <si>
    <t>SEBASTIAO HORACIO TEIXEIRA</t>
  </si>
  <si>
    <t>CRUZEIRO DA SERRA</t>
  </si>
  <si>
    <t>PATROCINIO</t>
  </si>
  <si>
    <t>USICITY PAVIMENTACAO LTDA</t>
  </si>
  <si>
    <t>USICITY</t>
  </si>
  <si>
    <t>PARQUE DAS NACOES UNIDAS</t>
  </si>
  <si>
    <t>USIMECA - INDUSTRIA MECANICA S.A.</t>
  </si>
  <si>
    <t>USIMECA</t>
  </si>
  <si>
    <t>PRESIDENTE DUTRA, KM 181 - PARTE</t>
  </si>
  <si>
    <t>POSSE</t>
  </si>
  <si>
    <t>USINA DE TALENTOS, TREINAMENTO E DESENVOLVIMENTO PROFISSIONAL LTDA</t>
  </si>
  <si>
    <t>USINA DE TALENTOS</t>
  </si>
  <si>
    <t>BARAO DE ATIBAIA</t>
  </si>
  <si>
    <t>SALA 11A</t>
  </si>
  <si>
    <t>VILA ITAPURA</t>
  </si>
  <si>
    <t>UTM ENGENHARIA LTDA</t>
  </si>
  <si>
    <t>UTM ENGENHARIA</t>
  </si>
  <si>
    <t>MEDIANEIRA</t>
  </si>
  <si>
    <t>V. C. M. THEODORO LTDA</t>
  </si>
  <si>
    <t>TEKNOLUVAS EQUIPAMENTOS DE PROTECAO INDIVIDUAL</t>
  </si>
  <si>
    <t>BENEDITO DUGOLIM</t>
  </si>
  <si>
    <t>IRMAOS FRANCESCHI</t>
  </si>
  <si>
    <t>V.M. SERVICE - VALVULAS INDUSTRIAIS LTDA</t>
  </si>
  <si>
    <t>ARARAQUARA,</t>
  </si>
  <si>
    <t>JARDIM LEOCADIA</t>
  </si>
  <si>
    <t>VALCAN EPI LTDA</t>
  </si>
  <si>
    <t>VALCAN EPI</t>
  </si>
  <si>
    <t>MANOEL LUIZ DE PAIVA</t>
  </si>
  <si>
    <t>VALE COMERCIO DE MOTOS LTDA</t>
  </si>
  <si>
    <t>VALE CENTER MOTOS</t>
  </si>
  <si>
    <t>Comércio a varejo de motocicletas e motonetas novas</t>
  </si>
  <si>
    <t>NOVE DE MAIO</t>
  </si>
  <si>
    <t>498 N</t>
  </si>
  <si>
    <t>SETOR 01 QUADRA02 LOTE 14</t>
  </si>
  <si>
    <t>MODULO 01</t>
  </si>
  <si>
    <t>VALE FERTILIZANTES S.A.</t>
  </si>
  <si>
    <t>FOSFERTIL</t>
  </si>
  <si>
    <t>ESTRADA DA CANA</t>
  </si>
  <si>
    <t>INDL DE UBERABA</t>
  </si>
  <si>
    <t>VALE S.A.</t>
  </si>
  <si>
    <t>Extração de minério de ferro</t>
  </si>
  <si>
    <t xml:space="preserve"> SAL 901 1101 1601 PARTE 1701 1801</t>
  </si>
  <si>
    <t>VALEO SISTEMAS AUTOMOTIVOS LTDA.</t>
  </si>
  <si>
    <t>TERMICO MOTOR MATRIZ</t>
  </si>
  <si>
    <t>ITATIBA - BRAGANCA PAULISTA ESTRADA VELHA</t>
  </si>
  <si>
    <t>KM 97 SAIDA 102</t>
  </si>
  <si>
    <t>LT. JD. MONTE VERDE</t>
  </si>
  <si>
    <t>VALID CERTIFICADORA DIGITAL LTDA.</t>
  </si>
  <si>
    <t>VALID CERTIFICADORA</t>
  </si>
  <si>
    <t>SALA 102 ANDAR 5</t>
  </si>
  <si>
    <t>VALID SOLUCOES S A</t>
  </si>
  <si>
    <t>VALID</t>
  </si>
  <si>
    <t>LAURA MAIELLO KOOK</t>
  </si>
  <si>
    <t>IPANEMA DAS PEDRAS</t>
  </si>
  <si>
    <t>VALLITECH SERVICOS METALURGICOS LTDA</t>
  </si>
  <si>
    <t>JOAO RODRIGUES DE OLIVEIRA</t>
  </si>
  <si>
    <t>140-C</t>
  </si>
  <si>
    <t>JARDIM GUAIRACA</t>
  </si>
  <si>
    <t>VALLOUREC SOLUCOES TUBULARES DO BRASIL S.A.</t>
  </si>
  <si>
    <t>OLINTO MEIRELES</t>
  </si>
  <si>
    <t>BAIRRO DAS INDUSTRIAS I</t>
  </si>
  <si>
    <t>VALMET CELULOSE, PAPEL E ENERGIA LTDA</t>
  </si>
  <si>
    <t>VALMET</t>
  </si>
  <si>
    <t>BLOCO PREDIO P-70</t>
  </si>
  <si>
    <t>VALTRA MASSEY - PECAS AGRICOLAS E SERVICOS LTDA</t>
  </si>
  <si>
    <t>VM AGRICOLA</t>
  </si>
  <si>
    <t>ULISSES POMPEU DE CAMPOS</t>
  </si>
  <si>
    <t>1133-A</t>
  </si>
  <si>
    <t>VARZEA GRANDE</t>
  </si>
  <si>
    <t>VAMOS LOCACAO DE CAMINHOES, MAQUINAS E EQUIPAMENTOS S.A.</t>
  </si>
  <si>
    <t>ANDAR 9 SALA 2</t>
  </si>
  <si>
    <t>VAPZA ALIMENTOS S/A</t>
  </si>
  <si>
    <t>VAPZA</t>
  </si>
  <si>
    <t>AMAZONAS DE SOUZA AZEVEDO</t>
  </si>
  <si>
    <t>JARDIM SOCIAL</t>
  </si>
  <si>
    <t>VASCONCELOS INDUSTRIA FARMACEUTICA E COMERCIO LTDA</t>
  </si>
  <si>
    <t>VMG FARMACEUTICA</t>
  </si>
  <si>
    <t>CAETANO PIRRI</t>
  </si>
  <si>
    <t>MILIONARIOS</t>
  </si>
  <si>
    <t>VATECH BRASIL EQUIPAMENTOS DE ODONTOLOGIA &amp; MEDICINA, IMPORTACAO, DISTRIBUICAO E CENTRO DE ASSISTENCIA TECNICA LTDA.</t>
  </si>
  <si>
    <t>VATECH BRASIL</t>
  </si>
  <si>
    <t>AURELIANO GUIMARAES</t>
  </si>
  <si>
    <t>ANDAR 4 E 10 CJ 403 A 405 CONJ 1004 E 1008 A 1011</t>
  </si>
  <si>
    <t>VB-SERVICOS COMERCIO E ADMINISTRACAO LTDA</t>
  </si>
  <si>
    <t>ANDAR 18 PARTE</t>
  </si>
  <si>
    <t>VC PROMOCOES E EVENTOS LTDA</t>
  </si>
  <si>
    <t>VC EVENTOS</t>
  </si>
  <si>
    <t>DOUTOR PONTES NETO</t>
  </si>
  <si>
    <t xml:space="preserve"> SALA F</t>
  </si>
  <si>
    <t>ENGENHEIRO LUCIANO CAVALCANTE</t>
  </si>
  <si>
    <t>VCH - IMPORTADORA, EXPORTADORA E DISTRIBUICAO DE PRODUTOS LTDA</t>
  </si>
  <si>
    <t>VCI BRASIL LTDA.</t>
  </si>
  <si>
    <t>VCI BRASIL</t>
  </si>
  <si>
    <t xml:space="preserve"> CONJUNTO 403</t>
  </si>
  <si>
    <t>VCW VALVULAS - INDUSTRIA, COMERCIO E REPRESENTACAO LTDA</t>
  </si>
  <si>
    <t>VCW VALVULAS</t>
  </si>
  <si>
    <t>VECTOR INSTALACAO E MANUTENCAO LTDA</t>
  </si>
  <si>
    <t>VECTOR ELEVADORES</t>
  </si>
  <si>
    <t>CAPISTRANO DE ABREU</t>
  </si>
  <si>
    <t>VECTORA INDUSTRIA DE EQUIPAMENTOS ELETROELETRONICOS LTDA</t>
  </si>
  <si>
    <t>VECTORA INDUSTRIA</t>
  </si>
  <si>
    <t>II DISTRITO INDUSTRIAL</t>
  </si>
  <si>
    <t>VECTRA WORK CONFECCOES LIMITADA</t>
  </si>
  <si>
    <t>VECTRA WORK</t>
  </si>
  <si>
    <t>CESARIO DE ABREU</t>
  </si>
  <si>
    <t>DOS ABREUS</t>
  </si>
  <si>
    <t>VEDACIT DO NORDESTE S/A</t>
  </si>
  <si>
    <t>DR ALTINO TEIXEIRA</t>
  </si>
  <si>
    <t>PORTOSECO PIRAJA</t>
  </si>
  <si>
    <t>VEDAPACK EMBALAGENS INDUSTRIAIS LTDA</t>
  </si>
  <si>
    <t>VEDAPACK</t>
  </si>
  <si>
    <t>BISPO DOM JOAO DA MATTA</t>
  </si>
  <si>
    <t>LARANJAL</t>
  </si>
  <si>
    <t>VEDASYSTEM - SISTEMAS DE VEDACOES LTDA</t>
  </si>
  <si>
    <t>*******</t>
  </si>
  <si>
    <t>CORONEL LUIZ JOSE DOS SANTOS</t>
  </si>
  <si>
    <t>LOJA 02 BLOCO BOQUEIRAO CT CMR</t>
  </si>
  <si>
    <t>VEDATEC INDUSTRIA DE VEDACOES LTDA</t>
  </si>
  <si>
    <t>VEDATEC</t>
  </si>
  <si>
    <t>ARTHUR PEREIRA</t>
  </si>
  <si>
    <t>JARDIM TRANSILVANIA</t>
  </si>
  <si>
    <t>VEDVAL COMERCIO DE VALVULAS E ACESSORIOS LTDA</t>
  </si>
  <si>
    <t>VEDVAL</t>
  </si>
  <si>
    <t>JOSE DE PAIVA ROXO</t>
  </si>
  <si>
    <t>VEGA BRASIL INDUSTRIA E COMERCIO LTDA.</t>
  </si>
  <si>
    <t>COND E-BUSINESS PARK EDIF PREDIO 19 CONJ 5</t>
  </si>
  <si>
    <t>VEGATEC SOLUCOES EM MANUTENCAO LTDA</t>
  </si>
  <si>
    <t>VEGATEC</t>
  </si>
  <si>
    <t>TIJUCO PRETO</t>
  </si>
  <si>
    <t>VENANCIO PRODUTOS FARMACEUTICOS LTDA.</t>
  </si>
  <si>
    <t>DROGARIA VENANCIO</t>
  </si>
  <si>
    <t>NOSSA SENHORA DE COPACABANA</t>
  </si>
  <si>
    <t xml:space="preserve"> 980-A</t>
  </si>
  <si>
    <t>VENDDOR TECNOLOGIA S/A</t>
  </si>
  <si>
    <t>VENDDOR</t>
  </si>
  <si>
    <t>GOVERNADOR JOSE VARELA</t>
  </si>
  <si>
    <t>APT 101 LOTE QUADRA 06 BLOCO A COND CONJUNTO RESIDENCIAL</t>
  </si>
  <si>
    <t>CAPIM MACIO</t>
  </si>
  <si>
    <t>VENEZA EQUIPAMENTOS PESADOS S/A</t>
  </si>
  <si>
    <t>VENEZA EQUIPAMENTOS</t>
  </si>
  <si>
    <t>VENTISOL INDUSTRIA E COMERCIO S.A.</t>
  </si>
  <si>
    <t>VENTISOL S.A.</t>
  </si>
  <si>
    <t>JOSE TCHOLAKAN</t>
  </si>
  <si>
    <t>ARIRIU</t>
  </si>
  <si>
    <t>VENTOO CAPITAL CONSULTORIA EM GESTAO DE ATIVOS JUDICIAIS LTDA</t>
  </si>
  <si>
    <t>485960.38</t>
  </si>
  <si>
    <t>ANDAR 1 CONJ 12</t>
  </si>
  <si>
    <t>VEOLIA WATER TECHNOLOGIES AND SOLUTIONS BRASIL TRATAMENTO DE AGUAS LTDA</t>
  </si>
  <si>
    <t>COND ATLAS OFFICE PARK CONJ 42 BLOCO B</t>
  </si>
  <si>
    <t>VEPAN ELETRO TECNICA LTDA</t>
  </si>
  <si>
    <t>FLOR DE NOIVA</t>
  </si>
  <si>
    <t>QUINTA DA B VISTA</t>
  </si>
  <si>
    <t>VEPER - SERVICOS DE VIGILANCIA LTDA</t>
  </si>
  <si>
    <t>VERIFONE DO BRASIL LTDA</t>
  </si>
  <si>
    <t>ANDAR: 10; CONJ: 101 E 102;</t>
  </si>
  <si>
    <t>VERITAS FACILITIES LTDA</t>
  </si>
  <si>
    <t>VERITAS FACILITIES</t>
  </si>
  <si>
    <t>CONJ 512/311</t>
  </si>
  <si>
    <t>VERMEER EQUIPAMENTOS E TECNOLOGIAS LTDA</t>
  </si>
  <si>
    <t>VERMEER BRAZIL</t>
  </si>
  <si>
    <t>FRANCISCO JULIATO</t>
  </si>
  <si>
    <t>VERO S.A.</t>
  </si>
  <si>
    <t>CONJ 1401 BLOCO A E DEP 05 EDIF BIRMANN 21</t>
  </si>
  <si>
    <t>VERSATIUM COMERCIO E SERVICOS LTDA</t>
  </si>
  <si>
    <t>VERSATIUM</t>
  </si>
  <si>
    <t>QUADRA28 LOTE P LOJA 02</t>
  </si>
  <si>
    <t>PARQUE SAO BERNARDO</t>
  </si>
  <si>
    <t>VERT SOLUCOES EM INFORMATICA LTDA</t>
  </si>
  <si>
    <t>VERT SOLUCOES EM TI</t>
  </si>
  <si>
    <t>SCN QUADRA 1 BLOCO G</t>
  </si>
  <si>
    <t>SALA 1204 EDIF ROSSI ESPLANADA BUSINESS</t>
  </si>
  <si>
    <t>VERTSA CONSTRUCOES LTDA</t>
  </si>
  <si>
    <t>S PAULINO</t>
  </si>
  <si>
    <t>VERZANI &amp; SANDRINI S.A.</t>
  </si>
  <si>
    <t>MARINA</t>
  </si>
  <si>
    <t>VESPER TRANSPORTES LTDA</t>
  </si>
  <si>
    <t>Transporte rodoviário coletivo de passageiros, sob regime de fretamento, intermunicipal, interestadual e internacional</t>
  </si>
  <si>
    <t>ANGELO SANTA ROSA</t>
  </si>
  <si>
    <t>JARDIM CELINA</t>
  </si>
  <si>
    <t>VESSEL ENGENHARIA LTDA</t>
  </si>
  <si>
    <t>VESSEL ENGENHARIA</t>
  </si>
  <si>
    <t>ANEXO 332-334-338 E 340</t>
  </si>
  <si>
    <t>VESTE SEGURO COMERCIO LTDA</t>
  </si>
  <si>
    <t>ADOLFO LUTZ</t>
  </si>
  <si>
    <t>VETRO PLASTICOS REFORCADOS LTDA</t>
  </si>
  <si>
    <t>OLAVIO APREIA</t>
  </si>
  <si>
    <t>AREA I</t>
  </si>
  <si>
    <t>IBATE</t>
  </si>
  <si>
    <t>VFM - DISTRIBUIDORA LTDA.</t>
  </si>
  <si>
    <t>VFM - DISTRIBUIDORA</t>
  </si>
  <si>
    <t>PADRE JOSE DE ANCHIETA</t>
  </si>
  <si>
    <t>BARAUNA</t>
  </si>
  <si>
    <t>VIACAO COMETA S A</t>
  </si>
  <si>
    <t>NILTON COELHO DE ANDRAD</t>
  </si>
  <si>
    <t>VL MARIA</t>
  </si>
  <si>
    <t>VIACAO LIRIO DOS VALES LTDA</t>
  </si>
  <si>
    <t>PAULO BONINO</t>
  </si>
  <si>
    <t>BAIRRO DO ECO</t>
  </si>
  <si>
    <t>VIAENCOSTA ENGENHARIA AMBIENTAL LTDA</t>
  </si>
  <si>
    <t>VIAENCOSTA</t>
  </si>
  <si>
    <t>ANTONIO LUMACK DO MONTE</t>
  </si>
  <si>
    <t xml:space="preserve"> SALA 0202 EDF EMP CENTER III</t>
  </si>
  <si>
    <t>VIAPOL LTDA</t>
  </si>
  <si>
    <t>Fabricação de impermeabilizantes, solventes e produtos afins</t>
  </si>
  <si>
    <t>VITO ARDITO (KM 118,5)</t>
  </si>
  <si>
    <t>JD CAMPO GRANDE</t>
  </si>
  <si>
    <t>CACAPAVA</t>
  </si>
  <si>
    <t>VIATRIS BRASIL IMPORTADORA E DISTRIBUIDORA DE MEDICAMENTOS LTDA</t>
  </si>
  <si>
    <t>GALPAO3-A SALA 25</t>
  </si>
  <si>
    <t>VIBRA ENERGIA S.A</t>
  </si>
  <si>
    <t>CORREIA VASQUES</t>
  </si>
  <si>
    <t>VIBROPAC INDUSTRIA E COMERCIO DE EQUIPAMENTOS LTDA</t>
  </si>
  <si>
    <t>PASADENA</t>
  </si>
  <si>
    <t>LOTE 16 PQ IND S JOSE QUADRA AR</t>
  </si>
  <si>
    <t>VIC PHARMA INDUSTRIA E COMERCIO LTDA</t>
  </si>
  <si>
    <t>VIC PHARMA</t>
  </si>
  <si>
    <t>GERALDO ROSA</t>
  </si>
  <si>
    <t>PARQUE INDUSTRIAL TAQUARITINGA SETOR A NORTE</t>
  </si>
  <si>
    <t>VICAP INDUSTRIA E COMERCIO DE PLASTICOS LTDA</t>
  </si>
  <si>
    <t>RUDOLFO SCHRAMM</t>
  </si>
  <si>
    <t>VICENTINOS ELETRIC LTDA</t>
  </si>
  <si>
    <t>4127-B</t>
  </si>
  <si>
    <t>VIDA &amp; ENERGIA DISTRIBUIDORA DE GAS LIQUEFEITO DE PETROLEO LTDA.</t>
  </si>
  <si>
    <t>VIDAGAS</t>
  </si>
  <si>
    <t>PLN 410</t>
  </si>
  <si>
    <t>VIDA PRODUTOS MEDICOS E ODONTOLOGICOS LTDA</t>
  </si>
  <si>
    <t>VIDA PRODUTOS MEDICOS E ODONTOLOGICOS</t>
  </si>
  <si>
    <t>UBIRAJARA</t>
  </si>
  <si>
    <t>VIDABRAS - COMERCIAL DO BRASIL LTDA</t>
  </si>
  <si>
    <t>VIDABRAS</t>
  </si>
  <si>
    <t>PADRE ALARICO ZACHARIAS</t>
  </si>
  <si>
    <t>VIDALINK DO BRASIL SA</t>
  </si>
  <si>
    <t>ANDAR TERREO 1 ANDAR MEZANINO 1 ANDAR TERREO 3 ANDAR MEZANINO 3</t>
  </si>
  <si>
    <t>VIEMAQ EQUIPAMENTOS LTDA</t>
  </si>
  <si>
    <t>VIEMAQ</t>
  </si>
  <si>
    <t>KM: 279; : AREA INDUSTRIAL;</t>
  </si>
  <si>
    <t>IMBITUBA</t>
  </si>
  <si>
    <t>VIGENT CONSTRUCOES LTDA</t>
  </si>
  <si>
    <t>VIGENT CONSTRUCOES</t>
  </si>
  <si>
    <t>CHACARAS MARCO</t>
  </si>
  <si>
    <t>VIGILANTE DA GLICOSE COMERCIO DE PRODUTOS PARA DIABETICOS LTDA</t>
  </si>
  <si>
    <t>VIGILANTE DA GLICOSE</t>
  </si>
  <si>
    <t>SALA I TERREO QUADRA008 LOTE 008</t>
  </si>
  <si>
    <t>VIGOR ALIMENTOS S.A</t>
  </si>
  <si>
    <t>Comércio atacadista de leite e laticínios</t>
  </si>
  <si>
    <t>JOAQUIM CARLOS</t>
  </si>
  <si>
    <t>VILLARES METALS SA</t>
  </si>
  <si>
    <t>ALFREDO DUMONT VILLARES</t>
  </si>
  <si>
    <t>PREDIO ADMINISTRATIVO</t>
  </si>
  <si>
    <t>JD SANTA CAROLINA</t>
  </si>
  <si>
    <t>VIMASTER INDUSTRIA E COMERCIO DE COMPONENTES DE VIDRO LTDA.</t>
  </si>
  <si>
    <t>KM 81.5</t>
  </si>
  <si>
    <t>VINCOLOG - VELOCIDADE, INTELIGENCIA E CONEXAO LOGISTICA LTDA</t>
  </si>
  <si>
    <t>VINCOLOG</t>
  </si>
  <si>
    <t>SOLUCOES DO LAR</t>
  </si>
  <si>
    <t>BLOCO 02 GALPAO08</t>
  </si>
  <si>
    <t>VINICIUS BORLENGHI DE GODOY</t>
  </si>
  <si>
    <t>SUATEC SERVICO TECNICO ESPECIALIZADO EM AR CONDICIONADO</t>
  </si>
  <si>
    <t>VILA HELIOPOLIS</t>
  </si>
  <si>
    <t>VIP VEICULOS ESPECIAIS COMERCIAL LTDA</t>
  </si>
  <si>
    <t>Serviços de instalação, manutenção e reparação de acessórios para veículos automotores</t>
  </si>
  <si>
    <t>JOAO DIAS TEIXEIRA</t>
  </si>
  <si>
    <t>VIPLAS INDUSTRIA E COMERCIO DE PLASTICOS LTDA</t>
  </si>
  <si>
    <t>VIPLAS</t>
  </si>
  <si>
    <t>SMLN MI TRECHO 07</t>
  </si>
  <si>
    <t>LOTE 54-C</t>
  </si>
  <si>
    <t>SETOR DE MANSOES DO LAGO NORTE</t>
  </si>
  <si>
    <t>VIPOSA S.A</t>
  </si>
  <si>
    <t>VIPOSA</t>
  </si>
  <si>
    <t>DR MOACIR SAMPAIO</t>
  </si>
  <si>
    <t>BERGER</t>
  </si>
  <si>
    <t>VIQUA INDUSTRIA DE PLASTICOS LTDA</t>
  </si>
  <si>
    <t>VIRTUE DIAGNOSTICS DO BRASIL PARTICIPACOES LTDA</t>
  </si>
  <si>
    <t>ANDAR 21 CONJ 21D SALA 65</t>
  </si>
  <si>
    <t>VISAN SEGURANCA PRIVADA LTDA EM RECUPERACAO JUDICIAL</t>
  </si>
  <si>
    <t>VISAN SEGURANCA PRIVADA</t>
  </si>
  <si>
    <t>LOTE 860</t>
  </si>
  <si>
    <t>VISAO GLOBAL TECNOLOGIA LTDA</t>
  </si>
  <si>
    <t xml:space="preserve"> SAL 0831</t>
  </si>
  <si>
    <t>VISIUM BIOSSEGURANCA LTDA</t>
  </si>
  <si>
    <t>BIOVIS</t>
  </si>
  <si>
    <t>DR. ARI GERALDO ASSUNCAO</t>
  </si>
  <si>
    <t>JD. N. SRA. APARECIDA</t>
  </si>
  <si>
    <t>VITAQUIMICA INDUSTRIA E COMERCIO DE PRODUTOS QUIMICOS LTDA</t>
  </si>
  <si>
    <t>ANTONIO BROILO</t>
  </si>
  <si>
    <t>VITASON'S CENTRO DE APOIO AUDITIVO LTDA</t>
  </si>
  <si>
    <t>LOJA SALA 301</t>
  </si>
  <si>
    <t>VITOR MANZINI POINT SUPER LANCHES LTDA</t>
  </si>
  <si>
    <t>VITOR MANZINI POINT</t>
  </si>
  <si>
    <t>VITOR MANZINI</t>
  </si>
  <si>
    <t>VITRALAB EQUIPAMENTOS E SUPRIMENTOS PARA LABORATORIOS E HOSPITAIS LTDA</t>
  </si>
  <si>
    <t>BLOCO</t>
  </si>
  <si>
    <t>VITTUDE TECNOLOGIA S.A.</t>
  </si>
  <si>
    <t>VITTUDE</t>
  </si>
  <si>
    <t>CONJ 155 TORRE NORTE</t>
  </si>
  <si>
    <t>VIVA MOTO EXPRESS LTDA</t>
  </si>
  <si>
    <t>GROUP VIVA</t>
  </si>
  <si>
    <t>CANUTO SARAIVA</t>
  </si>
  <si>
    <t>VIVA PRODUTOS HOSPITALARES LTDA</t>
  </si>
  <si>
    <t>VIVA MEDICAMENTOS</t>
  </si>
  <si>
    <t xml:space="preserve"> QD26 LT 12</t>
  </si>
  <si>
    <t>JARDIM SANTO ANTONIO</t>
  </si>
  <si>
    <t>VIVANT LOCACAO E TRANSPORTE AQUATICO LTDA.</t>
  </si>
  <si>
    <t>VIVANT</t>
  </si>
  <si>
    <t>Outros transportes aquaviários não especificados anteriormente</t>
  </si>
  <si>
    <t>CONJ 305</t>
  </si>
  <si>
    <t>VIVISOL BRASIL EQUIPAMENTOS MEDICOS HOSPITALARES LTDA</t>
  </si>
  <si>
    <t>VIVISOL BRASIL</t>
  </si>
  <si>
    <t>CONDE DE SAO JOAQUIM</t>
  </si>
  <si>
    <t>VLI MULTIMODAL S.A.</t>
  </si>
  <si>
    <t>ANDAR 6 PARTE</t>
  </si>
  <si>
    <t>VMI SISTEMAS DE SEGURANCA LTDA</t>
  </si>
  <si>
    <t>VMI SEGURANCA</t>
  </si>
  <si>
    <t xml:space="preserve"> QUINHAO 3</t>
  </si>
  <si>
    <t>VMI TECNOLOGIAS LTDA.</t>
  </si>
  <si>
    <t>VMI MEDICA</t>
  </si>
  <si>
    <t>LAFAEITE FRANCISCO DOS SANTOS</t>
  </si>
  <si>
    <t>VMLX ELETRONICOS LTDA</t>
  </si>
  <si>
    <t>VMLX</t>
  </si>
  <si>
    <t>LUIZ CIRIMBELLI</t>
  </si>
  <si>
    <t>IMIGRANTES</t>
  </si>
  <si>
    <t>TURVO</t>
  </si>
  <si>
    <t>VOETUR TURISMO E REPRESENTACOES LTDA</t>
  </si>
  <si>
    <t>VOETUR VIAGENS</t>
  </si>
  <si>
    <t>SCN QUADRA 5 BLOCO A</t>
  </si>
  <si>
    <t>SALA 417</t>
  </si>
  <si>
    <t>VOGELSANG BRASIL LTDA.</t>
  </si>
  <si>
    <t xml:space="preserve"> UNITEC 3 SALA 208</t>
  </si>
  <si>
    <t>VOITH HYDRO LTDA</t>
  </si>
  <si>
    <t>PARQUE NACOES UNIDAS</t>
  </si>
  <si>
    <t>VOITH PAPER MAQUINAS E EQUIPAMENTOS LTDA</t>
  </si>
  <si>
    <t>VOLARE COMERCIO E DISTRIBUICAO DE VEICULOS E PECAS LTDA</t>
  </si>
  <si>
    <t>VOLARE</t>
  </si>
  <si>
    <t>PRESIDENTE TANCREDO NEVES</t>
  </si>
  <si>
    <t>VILA NANCY</t>
  </si>
  <si>
    <t>VOLDA ELETRICIDADE LTDA</t>
  </si>
  <si>
    <t>DOURADOS</t>
  </si>
  <si>
    <t>VOLGA NE ENGENHARIA INDUSTRIA E COMERCIO LTDA</t>
  </si>
  <si>
    <t>VOLGA ENGENHARIA</t>
  </si>
  <si>
    <t>FERNANDO SIMOES BARBOSA</t>
  </si>
  <si>
    <t>CONJ GALERIA STO ANTONIO SALA 1116</t>
  </si>
  <si>
    <t>VOLKSWAGEN DO BRASIL INDUSTRIA DE VEICULOS AUTOMOTORES LTDA</t>
  </si>
  <si>
    <t xml:space="preserve"> KM 23,5 ALA 17</t>
  </si>
  <si>
    <t>VOLKSWAGEN TRUCK &amp; BUS INDUSTRIA E COMERCIO DE VEICULOS LTDA</t>
  </si>
  <si>
    <t>VOLKSWAGEN TRUCK &amp; BUS INDUSTRIA E COMERCIO DE VEICULOS</t>
  </si>
  <si>
    <t>VOLKSWAGEN</t>
  </si>
  <si>
    <t xml:space="preserve"> 7, 8 E 9 ANDARES</t>
  </si>
  <si>
    <t>VOLPI CLIMATIZACAO LTDA</t>
  </si>
  <si>
    <t>VOLPI CLIMATIZACAO</t>
  </si>
  <si>
    <t>DINARTE DA COSTA</t>
  </si>
  <si>
    <t>SASSI</t>
  </si>
  <si>
    <t>CARAZINHO</t>
  </si>
  <si>
    <t>VOLTALIA ENERGIA DO BRASIL LTDA.</t>
  </si>
  <si>
    <t xml:space="preserve"> 14 15 E 16 ANDARES</t>
  </si>
  <si>
    <t>VOLUS INSTITUICAO DE PAGAMENTO LTDA</t>
  </si>
  <si>
    <t>VOLUS</t>
  </si>
  <si>
    <t>ROSULINO FERREIRA GUIMARAES</t>
  </si>
  <si>
    <t>VOLVO DO BRASIL VEICULOS LTDA</t>
  </si>
  <si>
    <t>JUSCELINO K DE OLIVEIRA</t>
  </si>
  <si>
    <t>LAT DIREITA</t>
  </si>
  <si>
    <t>VOTORANTIM CIMENTOS S.A.</t>
  </si>
  <si>
    <t>VOTORAN</t>
  </si>
  <si>
    <t>Fabricação de cimento</t>
  </si>
  <si>
    <t>ANDAR 12 CONJ 122</t>
  </si>
  <si>
    <t>VOXTER BRASIL LTDA</t>
  </si>
  <si>
    <t>VOXTER</t>
  </si>
  <si>
    <t>BLOCO 1 SALA 901 SALA 902</t>
  </si>
  <si>
    <t>VR BENEFICIOS E SERVICOS DE PROCESSAMENTO S.A</t>
  </si>
  <si>
    <t>DOS BANDEIRANTES 460</t>
  </si>
  <si>
    <t>VRP PREMIUM COMERCIO E INDUSTRIA E IMPORTACAO E EXPORTACAO LTDA</t>
  </si>
  <si>
    <t>VALVULAS PREMIUM</t>
  </si>
  <si>
    <t>BALNEARIO CAMBORIU</t>
  </si>
  <si>
    <t>VTC INDUSTRIA DE VALVULAS LTDA</t>
  </si>
  <si>
    <t>VTC INDUSTRIAL</t>
  </si>
  <si>
    <t>DR JOSE ARTUR NOVA</t>
  </si>
  <si>
    <t>GALPAO.</t>
  </si>
  <si>
    <t>PARQUE PAULISTANO</t>
  </si>
  <si>
    <t>VTC OPERADORA LOGISTICA LTDA</t>
  </si>
  <si>
    <t>VTCLOG</t>
  </si>
  <si>
    <t>JAMIL JOAO ZARIF</t>
  </si>
  <si>
    <t>ARMZ 11 A 15 E 37 A 44</t>
  </si>
  <si>
    <t>JARDIM SANTA VICENCIA</t>
  </si>
  <si>
    <t>AEROPORTO JUSCELINO KUBITSCHEK- UC 4047</t>
  </si>
  <si>
    <t>ARMZ 01 02 22 E 23</t>
  </si>
  <si>
    <t>VTECH CONSULTING LTDA</t>
  </si>
  <si>
    <t>SAPUCAIA</t>
  </si>
  <si>
    <t>ANEXO 844</t>
  </si>
  <si>
    <t>VULCABRAS S/A.</t>
  </si>
  <si>
    <t>Representantes comerciais e agentes do comércio de têxteis, vestuário, calçados e artigos de viagem</t>
  </si>
  <si>
    <t>ANTONIO F OZANAM</t>
  </si>
  <si>
    <t>DA GRAMA</t>
  </si>
  <si>
    <t>VYAIRE MEDICAL LLC</t>
  </si>
  <si>
    <t>KINGSTON 102</t>
  </si>
  <si>
    <t>1209 ORANGE STREET</t>
  </si>
  <si>
    <t>THE CORPORATION TRUST DE 19801</t>
  </si>
  <si>
    <t>VYTTRA DIAGNOSTICOS S.A.</t>
  </si>
  <si>
    <t>VYTTRA DIAGNOSTICOS</t>
  </si>
  <si>
    <t>1582450.2</t>
  </si>
  <si>
    <t>COND VISTA VERDE OFFICES TORRE GAIVOTA ANDAR 4</t>
  </si>
  <si>
    <t>W J ZAMBINI - ENGENHARIA ELETRICA</t>
  </si>
  <si>
    <t>WZ ENERGY</t>
  </si>
  <si>
    <t>FERNANDO NUNES</t>
  </si>
  <si>
    <t>JACARE</t>
  </si>
  <si>
    <t>W.A. EQUIPAMENTOS E SERVICOS LTDA</t>
  </si>
  <si>
    <t>COPY TEC</t>
  </si>
  <si>
    <t>MASCARENHAS DE MORAES</t>
  </si>
  <si>
    <t>W.J.RIBEIRO COMERCIAL LTDA</t>
  </si>
  <si>
    <t>W.S.P INDUSTRIA METALURGICA LTDA</t>
  </si>
  <si>
    <t>PEDRO AGUIAR</t>
  </si>
  <si>
    <t>JARDIM COLORADO</t>
  </si>
  <si>
    <t>WABTEC BRASIL FABRICACAO E MANUTENCAO DE EQUIPAMENTOS LTDA.</t>
  </si>
  <si>
    <t>WAG-X INFRAESTRUTURA LTDA</t>
  </si>
  <si>
    <t>WAG-X</t>
  </si>
  <si>
    <t>SALA 314 ANDAR 3</t>
  </si>
  <si>
    <t>WANDERLEI ORLANDI GROSSO</t>
  </si>
  <si>
    <t>WASHINGTON JOSE DA SILVA</t>
  </si>
  <si>
    <t>DUTOM PAPEIS</t>
  </si>
  <si>
    <t>GUIRA</t>
  </si>
  <si>
    <t>CIDADE ANTONIO ESTEVAO DE CARVALHO</t>
  </si>
  <si>
    <t>WATANABE INDUSTRIA E COMERCIO DE MAQUINAS LTDA.</t>
  </si>
  <si>
    <t>PR 151</t>
  </si>
  <si>
    <t>KM 281,6</t>
  </si>
  <si>
    <t>WATERGAS TECNOLOGIAS AVANCADAS LTDA</t>
  </si>
  <si>
    <t>WATERGAS</t>
  </si>
  <si>
    <t>ANTONIA MARTINS LUIZ</t>
  </si>
  <si>
    <t>WATSON-MARLOW BREDEL INDUSTRIA E COMERCIO DE BOMBAS LTDA.</t>
  </si>
  <si>
    <t>WATSON-MARLOW FLUID TECHNOLOGY GROUP</t>
  </si>
  <si>
    <t>OCEANIA (POLO EMPRESARIAL)</t>
  </si>
  <si>
    <t>WEBFOCO TELECOMUNICACOES LTDA</t>
  </si>
  <si>
    <t>WEBFOCO TELECOM</t>
  </si>
  <si>
    <t>EWERTON VISCO</t>
  </si>
  <si>
    <t xml:space="preserve"> EDIF BOULEVARD SIDE EMPRESARIAL SALA 610</t>
  </si>
  <si>
    <t>WEBMED SOLUCOES EM SAUDE LTDA</t>
  </si>
  <si>
    <t>PARACATU</t>
  </si>
  <si>
    <t>WEG DRIVES &amp; CONTROLS - AUTOMACAO LTDA</t>
  </si>
  <si>
    <t>PREFEITO WALDEMAR GRUBBA</t>
  </si>
  <si>
    <t>BLOCO 1 EXTENSAO</t>
  </si>
  <si>
    <t>VILA LALAU</t>
  </si>
  <si>
    <t>WEG SA</t>
  </si>
  <si>
    <t>WEG</t>
  </si>
  <si>
    <t>WEIR DO BRASIL LTDA.</t>
  </si>
  <si>
    <t>JOSE BENASSI</t>
  </si>
  <si>
    <t>WELCOME EVENTOS E NEGOCIOS LTDA</t>
  </si>
  <si>
    <t>WELCOME</t>
  </si>
  <si>
    <t>WERFEN MEDICAL LTDA</t>
  </si>
  <si>
    <t>WES INDUSTRIA E COMERCIO LTDA</t>
  </si>
  <si>
    <t>WES INDUSTRIA E COMERCIO</t>
  </si>
  <si>
    <t>MOISES SANTANA</t>
  </si>
  <si>
    <t>TURIACU</t>
  </si>
  <si>
    <t>WESTROCK, CELULOSE, PAPEL E EMBALAGENS LTDA</t>
  </si>
  <si>
    <t>SMURFIT WESTROCK</t>
  </si>
  <si>
    <t>TERREODIAMOND TOWER ANEXO TORRE D EDIF ROCHAVERA CORP TOWER</t>
  </si>
  <si>
    <t>WETECH SOLUCOES TECNOLOGICAS LTDA</t>
  </si>
  <si>
    <t>WETECH</t>
  </si>
  <si>
    <t>D BOSCO</t>
  </si>
  <si>
    <t>WFS CONSTRUCOES LTDA</t>
  </si>
  <si>
    <t>WFS TERCEIRIZACAO</t>
  </si>
  <si>
    <t>WGL SOLUCOES EM TECNOLOGIAS E SERVICOS LTDA</t>
  </si>
  <si>
    <t>WGL GERADORES</t>
  </si>
  <si>
    <t>SALIM ANTONIO CURIATI</t>
  </si>
  <si>
    <t>WHEATON BRASIL VIDROS LTDA.</t>
  </si>
  <si>
    <t>Fabricação de embalagens de vidro</t>
  </si>
  <si>
    <t>ALVARO GUIMARAES</t>
  </si>
  <si>
    <t>BLOCO A 1 ANDAR</t>
  </si>
  <si>
    <t>VILA EURO</t>
  </si>
  <si>
    <t>WHITE MARTINS GASES INDUSTRIAIS LTDA</t>
  </si>
  <si>
    <t>DOM GABRIEL P B COUTO</t>
  </si>
  <si>
    <t>WHITE MARTINS PECEM GASES INDUSTRIAIS LTDA.</t>
  </si>
  <si>
    <t>KM 11,5 PARTE</t>
  </si>
  <si>
    <t>PECEM</t>
  </si>
  <si>
    <t>SAO GONCALO DO AMARANTE</t>
  </si>
  <si>
    <t>WHITE MARTINS STEEL GASES INDUSTRIAIS LTDA.</t>
  </si>
  <si>
    <t>WIDETECH AUTOMACAO LTDA</t>
  </si>
  <si>
    <t>WIDETECH AUTOMACAO</t>
  </si>
  <si>
    <t>JOAO KMIECIK</t>
  </si>
  <si>
    <t>BARIGUI</t>
  </si>
  <si>
    <t>WILER - KAR COMERCIO E DECORACOES LTDA</t>
  </si>
  <si>
    <t>Comércio varejista de artigos de tapeçaria, cortinas e persianas</t>
  </si>
  <si>
    <t>WILIAN CHARLES AMORIM FAGUNDES</t>
  </si>
  <si>
    <t>WILLY CAR</t>
  </si>
  <si>
    <t>BENEDITO ALVES TURIBIO</t>
  </si>
  <si>
    <t>PADROEIRA</t>
  </si>
  <si>
    <t>WILLIAN MARINHO ENGENHARIA LTDA</t>
  </si>
  <si>
    <t>OMEGA ENGENHARIA</t>
  </si>
  <si>
    <t>WILO INDUSTRIA, COMERCIO E IMPORTACAO LTDA.</t>
  </si>
  <si>
    <t>WILO BRASIL</t>
  </si>
  <si>
    <t>WILSON SONS S.A.</t>
  </si>
  <si>
    <t xml:space="preserve"> SAL 0301</t>
  </si>
  <si>
    <t>WIND TECHNOLOGY DO BRAZIL LTDA</t>
  </si>
  <si>
    <t>WIND TECHNOLOGY DO BRAZIL</t>
  </si>
  <si>
    <t>PAIS LEME</t>
  </si>
  <si>
    <t>SALA 718</t>
  </si>
  <si>
    <t>WINNER INDUSTRIA DE DESCARTAVEIS LTDA</t>
  </si>
  <si>
    <t>WINNER INDUSTRIA DE DESCARTAVEIS</t>
  </si>
  <si>
    <t>MACAUBA</t>
  </si>
  <si>
    <t>WIRELESS COMM SOLUTIONS LTDA</t>
  </si>
  <si>
    <t>WCS</t>
  </si>
  <si>
    <t>WM WORLD MEDICAL IMPORTACAO E EXPORTACAO LTDA.</t>
  </si>
  <si>
    <t>DO REZENDE</t>
  </si>
  <si>
    <t>WOLFFISH CONSULTING LTDA</t>
  </si>
  <si>
    <t>LAIS BERTONI PEREIRA</t>
  </si>
  <si>
    <t>WOLPAC SISTEMAS DE CONTROLE LTDA</t>
  </si>
  <si>
    <t>IIJIMA</t>
  </si>
  <si>
    <t>DO TANQUINHO</t>
  </si>
  <si>
    <t>WORK AND LIFE COMERCIAL LTDA</t>
  </si>
  <si>
    <t>WORKER COMERCIO DE FERRAMENTAS LTDA.</t>
  </si>
  <si>
    <t>WORKER</t>
  </si>
  <si>
    <t>WORLD CENTER BRASIL EQUIPAMENTOS E SERVICOS DE SINALIZACAO LTDA</t>
  </si>
  <si>
    <t>LISBOA</t>
  </si>
  <si>
    <t>WORLDMED - EQUIPAMENTOS MEDICOS LTDA</t>
  </si>
  <si>
    <t>WORLDMED - COMERCIO E IMPORTAO DE MATERIAIS MEDICOS</t>
  </si>
  <si>
    <t>ENGENHEIRO BENEDITO MARIO DA SILVA</t>
  </si>
  <si>
    <t>WORLDNET TELECOM COMERCIO E SERVICOS DE TELECOMUNICACOES LTDA</t>
  </si>
  <si>
    <t>WORLDNET</t>
  </si>
  <si>
    <t>FRANCISCO DE BARROS BARRETO</t>
  </si>
  <si>
    <t>WOSON LATAM COMERCIO DE EQUIPAMENTOS MEDICOS ODONTOLOGICOS LTDA</t>
  </si>
  <si>
    <t>DOUTOR HUGO FORTES</t>
  </si>
  <si>
    <t>WPA EVENTOS LTDA</t>
  </si>
  <si>
    <t>Comércio varejista especializado de instrumentos musicais e acessórios</t>
  </si>
  <si>
    <t>WS SERVICOS TERCEIRIZADOS LTDA</t>
  </si>
  <si>
    <t>CONSELHEIRO SARAIVA</t>
  </si>
  <si>
    <t>WSNET TELECOM LTDA</t>
  </si>
  <si>
    <t>WSNET INTERNET FIBRA OPTICA</t>
  </si>
  <si>
    <t>CONDESSA DE VIMIEIROS DE CASTRO ESQUINA COM RUA CAPITAO M BE</t>
  </si>
  <si>
    <t>LOTE 01 E 02 QD 58</t>
  </si>
  <si>
    <t>ITANHAEM</t>
  </si>
  <si>
    <t>WT DISTRIBUIDORA LTDA</t>
  </si>
  <si>
    <t>WT DISTRIBUICAO E SERVICOS</t>
  </si>
  <si>
    <t>JOSE AGNALDO DE BARROS</t>
  </si>
  <si>
    <t>CANDELARIA</t>
  </si>
  <si>
    <t>X BRASIL MAQUINAS E EQUIPAMENTOS LTDA</t>
  </si>
  <si>
    <t>SHANTUI DO BRASIL</t>
  </si>
  <si>
    <t>OSCAR ALFREDO JULIO BOHN</t>
  </si>
  <si>
    <t>XCMG BRASIL INDUSTRIA LTDA</t>
  </si>
  <si>
    <t>XCMG BRASIL INDUSTRIA</t>
  </si>
  <si>
    <t>FERNAO DIAS - BR 381</t>
  </si>
  <si>
    <t>KM 854/855</t>
  </si>
  <si>
    <t>DISTRITO INDUSTRIAL (CDI)</t>
  </si>
  <si>
    <t>XEROGRAFIA INFORMATICA LTDA</t>
  </si>
  <si>
    <t>XEROGRAFIA COPIADORAS E INFORMATICA</t>
  </si>
  <si>
    <t>YAKULT S/A. INDUSTRIA E COMERCIO</t>
  </si>
  <si>
    <t>YAMAHA MOTOR DO BRASIL LOGISTICA LTDA</t>
  </si>
  <si>
    <t>YAMALOG</t>
  </si>
  <si>
    <t>RIO JAGUARAO</t>
  </si>
  <si>
    <t>GALPAO14 SALA 1 E 2</t>
  </si>
  <si>
    <t>VILA BURITI</t>
  </si>
  <si>
    <t>YANMAR SOUTH AMERICA INDUSTRIA DE MAQUINAS LTDA</t>
  </si>
  <si>
    <t>YANMAR</t>
  </si>
  <si>
    <t>EDUARDO BORSARI</t>
  </si>
  <si>
    <t>YARA BRASIL FERTILIZANTES S/A</t>
  </si>
  <si>
    <t>YAWEI BRASIL COMERCIO DE MAQUINAS LTDA</t>
  </si>
  <si>
    <t>YAWEI BRASIL</t>
  </si>
  <si>
    <t>VINTE E CINCO DE JULHO</t>
  </si>
  <si>
    <t>BECKER</t>
  </si>
  <si>
    <t>PANAMBI</t>
  </si>
  <si>
    <t>YOU CAST COMERCIO DE EQUIPAMENTOS ELETRONICOS LTDA</t>
  </si>
  <si>
    <t>Manutenção de estações e redes de telecomunicações</t>
  </si>
  <si>
    <t>AMARAL GAMA</t>
  </si>
  <si>
    <t>ZAGONEL S.A.</t>
  </si>
  <si>
    <t>BR 282, KM 576</t>
  </si>
  <si>
    <t>DT INDUSTRIAL PINHAL LESTE</t>
  </si>
  <si>
    <t>PINHALZINHO</t>
  </si>
  <si>
    <t>ZANCAPEL COMERCIO DE SUPRIMENTOS E SERVICOS EM GERAL LTDA</t>
  </si>
  <si>
    <t>ZANCAPEL DISTRIBUIDORA</t>
  </si>
  <si>
    <t>YONNE JOSEPHA SCHAEBERLE</t>
  </si>
  <si>
    <t>PARQUE SAO RAFAEL</t>
  </si>
  <si>
    <t>ZANEL INDUSTRIAL LTDA</t>
  </si>
  <si>
    <t>ZANEL</t>
  </si>
  <si>
    <t>HERACLITO LACERDA</t>
  </si>
  <si>
    <t>JARDIM NOVA BOCAINA I</t>
  </si>
  <si>
    <t>ZANETTINI BAROSSI S A INDUSTRIA E COMERCIO</t>
  </si>
  <si>
    <t>CARIOCA</t>
  </si>
  <si>
    <t>ZAPP AUTOMACAO E COMERCIO LTDA</t>
  </si>
  <si>
    <t>HERACLITO MOURAO DE MIRANDA</t>
  </si>
  <si>
    <t xml:space="preserve"> GALPAO 04</t>
  </si>
  <si>
    <t>ZDL INDUSTRIA E COMERCIO DE PECAS INDUSTRIAIS LTDA</t>
  </si>
  <si>
    <t>ZDL COMPONENTES DE PROCESSOS LTDA.</t>
  </si>
  <si>
    <t>LUIS PACHECO</t>
  </si>
  <si>
    <t xml:space="preserve"> 193 E 197</t>
  </si>
  <si>
    <t>ZEIKI MEDICAL - PRODUTOS MEDICOS LTDA.</t>
  </si>
  <si>
    <t xml:space="preserve"> BLOCO 02 SALA 308 A 311 SALA 315 E 316</t>
  </si>
  <si>
    <t>ZENEGA TECNOLOGIA DA INFORMACAO LTDA</t>
  </si>
  <si>
    <t>CONJ 123 TORRE A 12 AND</t>
  </si>
  <si>
    <t>ZENKLUB SERVICOS LTDA</t>
  </si>
  <si>
    <t>S TOME</t>
  </si>
  <si>
    <t>ANDAR 20 CONJ 201 E 202</t>
  </si>
  <si>
    <t>ZERBINI DO BRASIL LTDA</t>
  </si>
  <si>
    <t>ANGELO FRANCHINI</t>
  </si>
  <si>
    <t>PARQUE JACATUBA</t>
  </si>
  <si>
    <t>ZIEHM MEDICAL DO BRASIL EQUIPAMENTOS MEDICOS LTDA.</t>
  </si>
  <si>
    <t>ZIEHM IMAGING</t>
  </si>
  <si>
    <t>CONJ 902 E 904</t>
  </si>
  <si>
    <t>ZIGH INDUSTRIA E COMERCIO CONFECCAO LTDA</t>
  </si>
  <si>
    <t>ZIGH COMERCIAL</t>
  </si>
  <si>
    <t>DA GRACA</t>
  </si>
  <si>
    <t>ZIGURATE CONSTRUCAO LTDA</t>
  </si>
  <si>
    <t>ORDEM E PROGRESSO</t>
  </si>
  <si>
    <t>ZIULEO COPY COMERCIO E SERVICOS LTDA</t>
  </si>
  <si>
    <t>ZL TECNOLOGIA E IMPRESSAO</t>
  </si>
  <si>
    <t>CARLOS MACHADO</t>
  </si>
  <si>
    <t xml:space="preserve"> LOT 1 PAL 46034 P100</t>
  </si>
  <si>
    <t>ZIVASEC TECNOLOGIA E SOLUCOES LTDA</t>
  </si>
  <si>
    <t>CONJ 701</t>
  </si>
  <si>
    <t>ZNH ENGENHARIA LTDA</t>
  </si>
  <si>
    <t>ZNH ENGENHARIA</t>
  </si>
  <si>
    <t>ZOOMLION BRASIL INDUSTRIA E COMERCIO DE MAQUINAS LTDA</t>
  </si>
  <si>
    <t>VENUS</t>
  </si>
  <si>
    <t>ZOOMTECH LTDA</t>
  </si>
  <si>
    <t>ZOOMTECH</t>
  </si>
  <si>
    <t>ZP CONSERVACAO E LIMPEZA LTDA</t>
  </si>
  <si>
    <t>GV</t>
  </si>
  <si>
    <t>QE 40 RUA 05 LOTE</t>
  </si>
  <si>
    <t>GUARA II</t>
  </si>
  <si>
    <t>ZTEC TECNOLOGIA DE METAIS LTDA</t>
  </si>
  <si>
    <t>Metalurgia de outros metais não-ferrosos e suas ligas não especificados anteriormente</t>
  </si>
  <si>
    <t>BENEDITA DORNELLAS CLARO</t>
  </si>
  <si>
    <t>VILA MARIA BAIXA</t>
  </si>
  <si>
    <t>ZUCATELLI EMPREENDIMENTOS LTDA.</t>
  </si>
  <si>
    <t>RR IMPORTS</t>
  </si>
  <si>
    <t>PA-150</t>
  </si>
  <si>
    <t xml:space="preserve"> KM-03</t>
  </si>
  <si>
    <t>ZUMM COMERCIO E REPRESENTACOES LTDA</t>
  </si>
  <si>
    <t>ZUMM</t>
  </si>
  <si>
    <t>ZUPPANI INDUSTRIAL LTDA</t>
  </si>
  <si>
    <t>ZUPPANI INDUSTRIAL</t>
  </si>
  <si>
    <t>GOIANAZES</t>
  </si>
  <si>
    <t>QD 13 LTS 01/32</t>
  </si>
  <si>
    <t xml:space="preserve">Nome do Vendedor </t>
  </si>
  <si>
    <t>CNPJ*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</si>
</sst>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R$ -416]#,##0.00"/>
    <numFmt numFmtId="165" formatCode="yyyy\-mm\-dd"/>
    <numFmt numFmtId="166" formatCode="d\-m"/>
    <numFmt numFmtId="167" formatCode="dd/mm"/>
    <numFmt numFmtId="168" formatCode="d/m"/>
    <numFmt numFmtId="169" formatCode="dd\-mm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9"/>
      <color rgb="FF111111"/>
      <name val="Arial"/>
    </font>
    <font>
      <b/>
      <sz val="10"/>
      <color rgb="FFFF0000"/>
      <name val="Arial"/>
      <family val="2"/>
      <scheme val="minor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6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167" fontId="2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  <xf numFmtId="0" fontId="2" fillId="0" borderId="0" xfId="0" applyNumberFormat="1" applyFont="1"/>
    <xf numFmtId="0" fontId="0" fillId="0" borderId="0" xfId="0" applyNumberFormat="1"/>
    <xf numFmtId="0" fontId="4" fillId="2" borderId="1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5" fillId="3" borderId="0" xfId="0" applyNumberFormat="1" applyFont="1" applyFill="1"/>
    <xf numFmtId="0" fontId="6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nessa\Downloads\pivot%20(7).xlsx" TargetMode="External"/><Relationship Id="rId1" Type="http://schemas.openxmlformats.org/officeDocument/2006/relationships/externalLinkPath" Target="pivot%20(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ortunidades Tarefas"/>
      <sheetName val="Planilha1"/>
    </sheetNames>
    <sheetDataSet>
      <sheetData sheetId="0"/>
      <sheetData sheetId="1">
        <row r="1">
          <cell r="A1" t="str">
            <v>CNPJ/CPF</v>
          </cell>
          <cell r="B1" t="str">
            <v>Vendedor</v>
          </cell>
        </row>
        <row r="2">
          <cell r="A2" t="str">
            <v>03.509.978/0001-71</v>
          </cell>
          <cell r="B2" t="str">
            <v>Malu Montesino</v>
          </cell>
        </row>
        <row r="3">
          <cell r="A3" t="str">
            <v>54.030.629/0001-03</v>
          </cell>
          <cell r="B3" t="str">
            <v>Malu Montesino</v>
          </cell>
        </row>
        <row r="4">
          <cell r="A4" t="str">
            <v>60.166.832/0001-04</v>
          </cell>
          <cell r="B4" t="str">
            <v>Malu Montesino</v>
          </cell>
        </row>
        <row r="5">
          <cell r="A5" t="str">
            <v>46.550.505/0001-20</v>
          </cell>
          <cell r="B5" t="str">
            <v>Malu Montesino</v>
          </cell>
        </row>
        <row r="6">
          <cell r="A6" t="str">
            <v>33.010.786/0001-87</v>
          </cell>
          <cell r="B6" t="str">
            <v>Malu Montesino</v>
          </cell>
        </row>
        <row r="7">
          <cell r="A7" t="str">
            <v>27.061.442/0001-02</v>
          </cell>
          <cell r="B7" t="str">
            <v>Malu Montesino</v>
          </cell>
        </row>
        <row r="8">
          <cell r="A8" t="str">
            <v>06.105.362/0001-23</v>
          </cell>
          <cell r="B8" t="str">
            <v>Malu Montesino</v>
          </cell>
        </row>
        <row r="9">
          <cell r="A9" t="str">
            <v>12.483.930/0001-22</v>
          </cell>
          <cell r="B9" t="str">
            <v>Malu Montesino</v>
          </cell>
        </row>
        <row r="10">
          <cell r="A10" t="str">
            <v>31.694.545/0001-79</v>
          </cell>
          <cell r="B10" t="str">
            <v>Malu Montesino</v>
          </cell>
        </row>
        <row r="11">
          <cell r="A11" t="str">
            <v>89.637.490/0001-45</v>
          </cell>
          <cell r="B11" t="str">
            <v>Malu Montesino</v>
          </cell>
        </row>
        <row r="12">
          <cell r="A12" t="str">
            <v>33.000.092/0001-69</v>
          </cell>
          <cell r="B12" t="str">
            <v>Malu Montesino</v>
          </cell>
        </row>
        <row r="13">
          <cell r="A13" t="str">
            <v>33.979.330/0001-20</v>
          </cell>
          <cell r="B13" t="str">
            <v>Malu Montesino</v>
          </cell>
        </row>
        <row r="14">
          <cell r="A14" t="str">
            <v>00.145.602/0001-37</v>
          </cell>
          <cell r="B14" t="str">
            <v>Malu Montesino</v>
          </cell>
        </row>
        <row r="15">
          <cell r="A15" t="str">
            <v>57.559.387/0001-38</v>
          </cell>
          <cell r="B15" t="str">
            <v>Malu Montesino</v>
          </cell>
        </row>
        <row r="16">
          <cell r="A16" t="str">
            <v>27.061.442/0001-02</v>
          </cell>
          <cell r="B16" t="str">
            <v>Malu Montesino</v>
          </cell>
        </row>
        <row r="17">
          <cell r="A17" t="str">
            <v>23.647.365/0001-08</v>
          </cell>
          <cell r="B17" t="str">
            <v>Malu Montesino</v>
          </cell>
        </row>
        <row r="18">
          <cell r="A18" t="str">
            <v>52.541.760/0001-00</v>
          </cell>
          <cell r="B18" t="str">
            <v>Malu Montesino</v>
          </cell>
        </row>
        <row r="19">
          <cell r="A19" t="str">
            <v>07.781.477/0001-09</v>
          </cell>
          <cell r="B19" t="str">
            <v>Malu Montesino</v>
          </cell>
        </row>
        <row r="20">
          <cell r="A20" t="str">
            <v>27.061.442/0001-02</v>
          </cell>
          <cell r="B20" t="str">
            <v>Malu Montesino</v>
          </cell>
        </row>
        <row r="21">
          <cell r="A21" t="str">
            <v>27.061.442/0001-02</v>
          </cell>
          <cell r="B21" t="str">
            <v>Malu Montesino</v>
          </cell>
        </row>
        <row r="22">
          <cell r="A22" t="str">
            <v>27.061.442/0001-02</v>
          </cell>
          <cell r="B22" t="str">
            <v>Malu Montesino</v>
          </cell>
        </row>
        <row r="23">
          <cell r="A23" t="str">
            <v>42.150.391/0001-70</v>
          </cell>
          <cell r="B23" t="str">
            <v>Malu Montesino</v>
          </cell>
        </row>
        <row r="24">
          <cell r="A24" t="str">
            <v>42.150.391/0001-70</v>
          </cell>
          <cell r="B24" t="str">
            <v>Malu Montesino</v>
          </cell>
        </row>
        <row r="25">
          <cell r="A25" t="str">
            <v>60.498.706/0001-57</v>
          </cell>
          <cell r="B25" t="str">
            <v>Malu Montesino</v>
          </cell>
        </row>
        <row r="26">
          <cell r="A26" t="str">
            <v>59.408.005/0001-09</v>
          </cell>
          <cell r="B26" t="str">
            <v>Malu Montesino</v>
          </cell>
        </row>
        <row r="27">
          <cell r="A27" t="str">
            <v>01.352.926/0001-09</v>
          </cell>
          <cell r="B27" t="str">
            <v>Malu Montesino</v>
          </cell>
        </row>
        <row r="28">
          <cell r="A28" t="str">
            <v>87.833.737/0001-73</v>
          </cell>
          <cell r="B28" t="str">
            <v>Malu Montesino</v>
          </cell>
        </row>
        <row r="29">
          <cell r="A29" t="str">
            <v>03.117.534/0001-90</v>
          </cell>
          <cell r="B29" t="str">
            <v>Malu Montesino</v>
          </cell>
        </row>
        <row r="30">
          <cell r="A30" t="str">
            <v>01.165.514/0001-60</v>
          </cell>
          <cell r="B30" t="str">
            <v>Malu Montesino</v>
          </cell>
        </row>
        <row r="31">
          <cell r="A31" t="str">
            <v>34.175.527/0001-79</v>
          </cell>
          <cell r="B31" t="str">
            <v>Malu Montesino</v>
          </cell>
        </row>
        <row r="32">
          <cell r="A32" t="str">
            <v>28.953.259/0001-76</v>
          </cell>
          <cell r="B32" t="str">
            <v>Malu Montesino</v>
          </cell>
        </row>
        <row r="33">
          <cell r="A33" t="str">
            <v>59.275.792/0001-50</v>
          </cell>
          <cell r="B33" t="str">
            <v>Malu Montesino</v>
          </cell>
        </row>
        <row r="34">
          <cell r="A34" t="str">
            <v>10.861.317/0001-76</v>
          </cell>
          <cell r="B34" t="str">
            <v>Mariane Nascimento</v>
          </cell>
        </row>
        <row r="35">
          <cell r="A35" t="str">
            <v>03.117.534/0001-90</v>
          </cell>
          <cell r="B35" t="str">
            <v>Malu Montesino</v>
          </cell>
        </row>
        <row r="36">
          <cell r="A36" t="str">
            <v>40.084.157/0001-67</v>
          </cell>
          <cell r="B36" t="str">
            <v>Malu Montesino</v>
          </cell>
        </row>
        <row r="37">
          <cell r="A37" t="str">
            <v>08.992.115/0001-11</v>
          </cell>
          <cell r="B37" t="str">
            <v>Malu Montesino</v>
          </cell>
        </row>
        <row r="38">
          <cell r="A38" t="str">
            <v>04.378.330/0016-52</v>
          </cell>
          <cell r="B38" t="str">
            <v>Malu Montesino</v>
          </cell>
        </row>
        <row r="39">
          <cell r="A39" t="str">
            <v>22.575.103/0001-12</v>
          </cell>
          <cell r="B39" t="str">
            <v>Malu Montesino</v>
          </cell>
        </row>
        <row r="40">
          <cell r="A40" t="str">
            <v>07.018.219/0001-67</v>
          </cell>
          <cell r="B40" t="str">
            <v>Malu Montesino</v>
          </cell>
        </row>
        <row r="41">
          <cell r="A41" t="str">
            <v>97.755.177/0001-30</v>
          </cell>
          <cell r="B41" t="str">
            <v>Malu Montesino</v>
          </cell>
        </row>
        <row r="42">
          <cell r="A42" t="str">
            <v>44.086.444/0001-67</v>
          </cell>
          <cell r="B42" t="str">
            <v>Malu Montesino</v>
          </cell>
        </row>
        <row r="43">
          <cell r="A43" t="str">
            <v>37.432.689/0001-33</v>
          </cell>
          <cell r="B43" t="str">
            <v>Malu Montesino</v>
          </cell>
        </row>
        <row r="44">
          <cell r="A44" t="str">
            <v>56.998.701/0001-16</v>
          </cell>
          <cell r="B44" t="str">
            <v>Malu Montesino</v>
          </cell>
        </row>
        <row r="45">
          <cell r="A45" t="str">
            <v>53.910.899/0001-46</v>
          </cell>
          <cell r="B45" t="str">
            <v>Malu Montesino</v>
          </cell>
        </row>
        <row r="46">
          <cell r="A46" t="str">
            <v>00.637.913/0001-13</v>
          </cell>
          <cell r="B46" t="str">
            <v>Malu Montesino</v>
          </cell>
        </row>
        <row r="47">
          <cell r="A47" t="str">
            <v>02.325.176/0001-49</v>
          </cell>
          <cell r="B47" t="str">
            <v>Malu Montesino</v>
          </cell>
        </row>
        <row r="48">
          <cell r="A48" t="str">
            <v>74.095.407/0001-86</v>
          </cell>
          <cell r="B48" t="str">
            <v>Malu Montesino</v>
          </cell>
        </row>
        <row r="49">
          <cell r="A49" t="str">
            <v>08.854.993/0001-70</v>
          </cell>
          <cell r="B49" t="str">
            <v>Malu Montesino</v>
          </cell>
        </row>
        <row r="50">
          <cell r="A50" t="str">
            <v>81.372.070/0001-72</v>
          </cell>
          <cell r="B50" t="str">
            <v>Malu Montesino</v>
          </cell>
        </row>
        <row r="51">
          <cell r="A51" t="str">
            <v>07.598.088/0001-34</v>
          </cell>
          <cell r="B51" t="str">
            <v>Malu Montesino</v>
          </cell>
        </row>
        <row r="52">
          <cell r="A52" t="str">
            <v>05.522.437/0001-09</v>
          </cell>
          <cell r="B52" t="str">
            <v>Malu Montesino</v>
          </cell>
        </row>
        <row r="53">
          <cell r="A53" t="str">
            <v>11.254.307/0001-35</v>
          </cell>
          <cell r="B53" t="str">
            <v>Malu Montesino</v>
          </cell>
        </row>
        <row r="54">
          <cell r="A54" t="str">
            <v>29.736.089/0001-30</v>
          </cell>
          <cell r="B54" t="str">
            <v>Malu Montesino</v>
          </cell>
        </row>
        <row r="55">
          <cell r="A55" t="str">
            <v>78.668.969/0001-22</v>
          </cell>
          <cell r="B55" t="str">
            <v>Malu Montesino</v>
          </cell>
        </row>
        <row r="56">
          <cell r="A56" t="str">
            <v>01.507.899/0001-04</v>
          </cell>
          <cell r="B56" t="str">
            <v>Malu Montesino</v>
          </cell>
        </row>
        <row r="57">
          <cell r="A57" t="str">
            <v>02.674.103/0001-62</v>
          </cell>
          <cell r="B57" t="str">
            <v>Malu Montesino</v>
          </cell>
        </row>
        <row r="58">
          <cell r="A58" t="str">
            <v>50.949.528/0001-80</v>
          </cell>
          <cell r="B58" t="str">
            <v>Malu Montesino</v>
          </cell>
        </row>
        <row r="59">
          <cell r="A59" t="str">
            <v>13.816.737/0001-29</v>
          </cell>
          <cell r="B59" t="str">
            <v>Malu Montesino</v>
          </cell>
        </row>
        <row r="60">
          <cell r="A60" t="str">
            <v>43.843.358/0001-99</v>
          </cell>
          <cell r="B60" t="str">
            <v>Malu Montesino</v>
          </cell>
        </row>
        <row r="61">
          <cell r="A61" t="str">
            <v>N/D</v>
          </cell>
          <cell r="B61" t="str">
            <v>Vanessa</v>
          </cell>
        </row>
        <row r="62">
          <cell r="A62" t="str">
            <v>42.591.651/0001-43</v>
          </cell>
          <cell r="B62" t="str">
            <v>Malu Montesino</v>
          </cell>
        </row>
        <row r="63">
          <cell r="A63" t="str">
            <v>03.496.778/0001-21</v>
          </cell>
          <cell r="B63" t="str">
            <v>Malu Montesino</v>
          </cell>
        </row>
        <row r="64">
          <cell r="A64" t="str">
            <v>29.127.216/0001-02</v>
          </cell>
          <cell r="B64" t="str">
            <v>Malu Montesino</v>
          </cell>
        </row>
        <row r="65">
          <cell r="A65" t="str">
            <v>55.962.369/0014-91</v>
          </cell>
          <cell r="B65" t="str">
            <v>Malu Montesino</v>
          </cell>
        </row>
        <row r="66">
          <cell r="A66" t="str">
            <v>04.820.153/0001-36</v>
          </cell>
          <cell r="B66" t="str">
            <v>Malu Montesino</v>
          </cell>
        </row>
        <row r="67">
          <cell r="A67" t="str">
            <v>23.373.000/0001-32</v>
          </cell>
          <cell r="B67" t="str">
            <v>Malu Montesino</v>
          </cell>
        </row>
        <row r="68">
          <cell r="A68" t="str">
            <v>59.275.792/0001-50</v>
          </cell>
          <cell r="B68" t="str">
            <v>Malu Montesino</v>
          </cell>
        </row>
        <row r="69">
          <cell r="A69" t="str">
            <v>88.610.324/0001-92</v>
          </cell>
          <cell r="B69" t="str">
            <v>Malu Montesino</v>
          </cell>
        </row>
        <row r="70">
          <cell r="A70" t="str">
            <v>49.351.786/0001-80</v>
          </cell>
          <cell r="B70" t="str">
            <v>Malu Montesino</v>
          </cell>
        </row>
        <row r="71">
          <cell r="A71" t="str">
            <v>02.659.246/0003-67</v>
          </cell>
          <cell r="B71" t="str">
            <v>Mariane Nascimento</v>
          </cell>
        </row>
        <row r="72">
          <cell r="A72" t="str">
            <v>73.297.509/0001-11</v>
          </cell>
          <cell r="B72" t="str">
            <v>Malu Montesino</v>
          </cell>
        </row>
        <row r="73">
          <cell r="A73" t="str">
            <v>53.358.495/0001-91</v>
          </cell>
          <cell r="B73" t="str">
            <v>Malu Montesino</v>
          </cell>
        </row>
        <row r="74">
          <cell r="A74" t="str">
            <v>87.556.650/0001-04</v>
          </cell>
          <cell r="B74" t="str">
            <v>Malu Montesino</v>
          </cell>
        </row>
        <row r="75">
          <cell r="A75" t="str">
            <v>61.074.506/0001-30</v>
          </cell>
          <cell r="B75" t="str">
            <v>Malu Montesino</v>
          </cell>
        </row>
        <row r="76">
          <cell r="A76" t="str">
            <v>02.271.201/0001-59</v>
          </cell>
          <cell r="B76" t="str">
            <v>Malu Montesino</v>
          </cell>
        </row>
        <row r="77">
          <cell r="A77" t="str">
            <v>17.262.213/0001-94</v>
          </cell>
          <cell r="B77" t="str">
            <v>Malu Montesino</v>
          </cell>
        </row>
        <row r="78">
          <cell r="A78" t="str">
            <v>24.792.315/0001-87</v>
          </cell>
          <cell r="B78" t="str">
            <v>Malu Montesino</v>
          </cell>
        </row>
        <row r="79">
          <cell r="A79" t="str">
            <v>60.656.774/0001-05</v>
          </cell>
          <cell r="B79" t="str">
            <v>Malu Montesino</v>
          </cell>
        </row>
        <row r="80">
          <cell r="A80" t="str">
            <v>01.133.298/0001-70</v>
          </cell>
          <cell r="B80" t="str">
            <v>Malu Montesino</v>
          </cell>
        </row>
        <row r="81">
          <cell r="A81" t="str">
            <v>05.206.956/0001-68</v>
          </cell>
          <cell r="B81" t="str">
            <v>Malu Montesino</v>
          </cell>
        </row>
        <row r="82">
          <cell r="A82" t="str">
            <v>23.809.179/0001-28</v>
          </cell>
          <cell r="B82" t="str">
            <v>Malu Montesino</v>
          </cell>
        </row>
        <row r="83">
          <cell r="A83" t="str">
            <v>06.888.683/0001-41</v>
          </cell>
          <cell r="B83" t="str">
            <v>Malu Montesino</v>
          </cell>
        </row>
        <row r="84">
          <cell r="A84" t="str">
            <v>20.918.034/0001-77</v>
          </cell>
          <cell r="B84" t="str">
            <v>Malu Montesino</v>
          </cell>
        </row>
        <row r="85">
          <cell r="A85" t="str">
            <v>04.050.400/0001-62</v>
          </cell>
          <cell r="B85" t="str">
            <v>Malu Montesino</v>
          </cell>
        </row>
        <row r="86">
          <cell r="A86" t="str">
            <v>23.637.697/0001-01</v>
          </cell>
          <cell r="B86" t="str">
            <v>Malu Montesino</v>
          </cell>
        </row>
        <row r="87">
          <cell r="A87" t="str">
            <v>08.479.109/0001-65</v>
          </cell>
          <cell r="B87" t="str">
            <v>Malu Montesino</v>
          </cell>
        </row>
        <row r="88">
          <cell r="A88" t="str">
            <v>55.979.736/0001-45</v>
          </cell>
          <cell r="B88" t="str">
            <v>Malu Montesino</v>
          </cell>
        </row>
        <row r="89">
          <cell r="A89" t="str">
            <v>12.432.418/0001-57</v>
          </cell>
          <cell r="B89" t="str">
            <v>Malu Montesino</v>
          </cell>
        </row>
        <row r="90">
          <cell r="A90" t="str">
            <v>07.438.908/0001-20</v>
          </cell>
          <cell r="B90" t="str">
            <v>Malu Montesino</v>
          </cell>
        </row>
        <row r="91">
          <cell r="A91" t="str">
            <v>44.829.653/0001-53</v>
          </cell>
          <cell r="B91" t="str">
            <v>Malu Montesino</v>
          </cell>
        </row>
        <row r="92">
          <cell r="A92" t="str">
            <v>57.507.378/0001-01</v>
          </cell>
          <cell r="B92" t="str">
            <v>Mariane Nascimento</v>
          </cell>
        </row>
        <row r="93">
          <cell r="A93" t="str">
            <v>42.393.892/0001-88</v>
          </cell>
          <cell r="B93" t="str">
            <v>Mariane Nascimento</v>
          </cell>
        </row>
        <row r="94">
          <cell r="A94" t="str">
            <v>07.781.477/0001-09</v>
          </cell>
          <cell r="B94" t="str">
            <v>Malu Montesino</v>
          </cell>
        </row>
        <row r="95">
          <cell r="A95" t="str">
            <v>02.659.246/0003-67</v>
          </cell>
          <cell r="B95" t="str">
            <v>Mariane Nascimento</v>
          </cell>
        </row>
        <row r="96">
          <cell r="A96" t="str">
            <v>57.507.378/0001-01</v>
          </cell>
          <cell r="B96" t="str">
            <v>Mariane Nascimento</v>
          </cell>
        </row>
        <row r="97">
          <cell r="A97" t="str">
            <v>58.752.460/0001-56</v>
          </cell>
          <cell r="B97" t="str">
            <v>Mariane Nascimento</v>
          </cell>
        </row>
        <row r="98">
          <cell r="A98" t="str">
            <v>42.393.892/0001-88</v>
          </cell>
          <cell r="B98" t="str">
            <v>Mariane Nascimento</v>
          </cell>
        </row>
        <row r="99">
          <cell r="A99" t="str">
            <v>28.363.368/0001-33</v>
          </cell>
          <cell r="B99" t="str">
            <v>Malu Montesino</v>
          </cell>
        </row>
        <row r="100">
          <cell r="A100" t="str">
            <v>41.840.668/0001-24</v>
          </cell>
          <cell r="B100" t="str">
            <v>Malu Montesino</v>
          </cell>
        </row>
        <row r="101">
          <cell r="A101" t="str">
            <v>12.648.266/0001-24</v>
          </cell>
          <cell r="B101" t="str">
            <v>Malu Montesino</v>
          </cell>
        </row>
        <row r="102">
          <cell r="A102" t="str">
            <v>03.250.204/0001-79</v>
          </cell>
          <cell r="B102" t="str">
            <v>Malu Montesino</v>
          </cell>
        </row>
        <row r="103">
          <cell r="A103" t="str">
            <v>00.802.002/0001-02</v>
          </cell>
          <cell r="B103" t="str">
            <v>Malu Montesino</v>
          </cell>
        </row>
        <row r="104">
          <cell r="A104" t="str">
            <v>58.430.828/0001-60</v>
          </cell>
          <cell r="B104" t="str">
            <v>Malu Montesino</v>
          </cell>
        </row>
        <row r="105">
          <cell r="A105" t="str">
            <v>12.998.543/0003-90</v>
          </cell>
          <cell r="B105" t="str">
            <v>Malu Montesino</v>
          </cell>
        </row>
        <row r="106">
          <cell r="A106" t="str">
            <v>09.445.614/0001-51</v>
          </cell>
          <cell r="B106" t="str">
            <v>Malu Montesino</v>
          </cell>
        </row>
        <row r="107">
          <cell r="A107" t="str">
            <v>08.675.394/0001-90</v>
          </cell>
          <cell r="B107" t="str">
            <v>Mariane Nascimento</v>
          </cell>
        </row>
        <row r="108">
          <cell r="A108" t="str">
            <v>40.276.235/0001-25</v>
          </cell>
          <cell r="B108" t="str">
            <v>Mariane Nascimento</v>
          </cell>
        </row>
        <row r="109">
          <cell r="A109" t="str">
            <v>40.276.235/0001-25</v>
          </cell>
          <cell r="B109" t="str">
            <v>Mariane Nascimento</v>
          </cell>
        </row>
        <row r="110">
          <cell r="A110" t="str">
            <v>41.096.674/0001-19</v>
          </cell>
          <cell r="B110" t="str">
            <v>Malu Montesino</v>
          </cell>
        </row>
        <row r="111">
          <cell r="A111" t="str">
            <v>60.498.706/0001-57</v>
          </cell>
          <cell r="B111" t="str">
            <v>Malu Montesino</v>
          </cell>
        </row>
        <row r="112">
          <cell r="A112" t="str">
            <v>01.405.834/0001-40</v>
          </cell>
          <cell r="B112" t="str">
            <v>Mariane Nascimento</v>
          </cell>
        </row>
        <row r="113">
          <cell r="A113" t="str">
            <v>67.945.071/0001-38</v>
          </cell>
          <cell r="B113" t="str">
            <v>Malu Montesino</v>
          </cell>
        </row>
        <row r="114">
          <cell r="A114" t="str">
            <v>04.078.043/0001-40</v>
          </cell>
          <cell r="B114" t="str">
            <v>Mariane Nascimento</v>
          </cell>
        </row>
        <row r="115">
          <cell r="A115" t="str">
            <v>35.820.448/0213-03</v>
          </cell>
          <cell r="B115" t="str">
            <v>Malu Montesino</v>
          </cell>
        </row>
        <row r="116">
          <cell r="A116" t="str">
            <v>55.824.693/0001-29</v>
          </cell>
          <cell r="B116" t="str">
            <v>Malu Montesino</v>
          </cell>
        </row>
        <row r="117">
          <cell r="A117" t="str">
            <v>48.246.920/0001-10</v>
          </cell>
          <cell r="B117" t="str">
            <v>Malu Montesino</v>
          </cell>
        </row>
        <row r="118">
          <cell r="A118" t="str">
            <v>22.330.913/0001-09</v>
          </cell>
          <cell r="B118" t="str">
            <v>Mariane Nascimento</v>
          </cell>
        </row>
        <row r="119">
          <cell r="A119" t="str">
            <v>61.189.445/0001-56</v>
          </cell>
          <cell r="B119" t="str">
            <v>Malu Montesino</v>
          </cell>
        </row>
        <row r="120">
          <cell r="A120" t="str">
            <v>63.025.530/0001-04</v>
          </cell>
          <cell r="B120" t="str">
            <v>Malu Montesino</v>
          </cell>
        </row>
        <row r="121">
          <cell r="A121" t="str">
            <v>33.958.695/0001-78</v>
          </cell>
          <cell r="B121" t="str">
            <v>Malu Montesino</v>
          </cell>
        </row>
        <row r="122">
          <cell r="A122" t="str">
            <v>44.456.036/0001-50</v>
          </cell>
          <cell r="B122" t="str">
            <v>Malu Montesino</v>
          </cell>
        </row>
        <row r="123">
          <cell r="A123" t="str">
            <v>03.106.735/0001-92</v>
          </cell>
          <cell r="B123" t="str">
            <v>Malu Montesino</v>
          </cell>
        </row>
        <row r="124">
          <cell r="A124" t="str">
            <v>08.862.530/0001-50</v>
          </cell>
          <cell r="B124" t="str">
            <v>Malu Montesino</v>
          </cell>
        </row>
        <row r="125">
          <cell r="A125" t="str">
            <v>56.395.510/0001-60</v>
          </cell>
          <cell r="B125" t="str">
            <v>Malu Montesino</v>
          </cell>
        </row>
        <row r="126">
          <cell r="A126" t="str">
            <v>43.776.517/0790-02</v>
          </cell>
          <cell r="B126" t="str">
            <v>Malu Montesino</v>
          </cell>
        </row>
        <row r="127">
          <cell r="A127" t="str">
            <v>00.533.003/0001-90</v>
          </cell>
          <cell r="B127" t="str">
            <v>Malu Montesino</v>
          </cell>
        </row>
        <row r="128">
          <cell r="A128" t="str">
            <v>43.776.517/0973-29</v>
          </cell>
          <cell r="B128" t="str">
            <v>Malu Montesino</v>
          </cell>
        </row>
        <row r="129">
          <cell r="A129" t="str">
            <v>N/D</v>
          </cell>
          <cell r="B129" t="str">
            <v>Malu Montesino</v>
          </cell>
        </row>
        <row r="130">
          <cell r="A130" t="str">
            <v>12.440.498/0001-92</v>
          </cell>
          <cell r="B130" t="str">
            <v>Malu Montesino</v>
          </cell>
        </row>
        <row r="131">
          <cell r="A131" t="str">
            <v>61.100.244/0001-30</v>
          </cell>
          <cell r="B131" t="str">
            <v>Malu Montesino</v>
          </cell>
        </row>
        <row r="132">
          <cell r="A132" t="str">
            <v>76.610.591/0001-80</v>
          </cell>
          <cell r="B132" t="str">
            <v>Malu Montesino</v>
          </cell>
        </row>
        <row r="133">
          <cell r="A133" t="str">
            <v>14.707.364/0001-10</v>
          </cell>
          <cell r="B133" t="str">
            <v>Malu Montesino</v>
          </cell>
        </row>
        <row r="134">
          <cell r="A134" t="str">
            <v>10.824.074/0001-04</v>
          </cell>
          <cell r="B134" t="str">
            <v>Mariane Nascimento</v>
          </cell>
        </row>
        <row r="135">
          <cell r="A135" t="str">
            <v>10.824.074/0001-04</v>
          </cell>
          <cell r="B135" t="str">
            <v>Mariane Nascimento</v>
          </cell>
        </row>
        <row r="136">
          <cell r="A136" t="str">
            <v>27.061.442/0001-02</v>
          </cell>
          <cell r="B136" t="str">
            <v>Malu Montesino</v>
          </cell>
        </row>
        <row r="137">
          <cell r="A137" t="str">
            <v>27.061.442/0001-02</v>
          </cell>
          <cell r="B137" t="str">
            <v>Malu Montesino</v>
          </cell>
        </row>
        <row r="138">
          <cell r="A138" t="str">
            <v>03.117.534/0001-90</v>
          </cell>
          <cell r="B138" t="str">
            <v>Malu Montesino</v>
          </cell>
        </row>
        <row r="139">
          <cell r="A139" t="str">
            <v>03.117.534/0001-90</v>
          </cell>
          <cell r="B139" t="str">
            <v>Malu Montesino</v>
          </cell>
        </row>
        <row r="140">
          <cell r="A140" t="str">
            <v>03.117.534/0001-90</v>
          </cell>
          <cell r="B140" t="str">
            <v>Malu Montesino</v>
          </cell>
        </row>
        <row r="141">
          <cell r="A141" t="str">
            <v>56.998.701/0001-16</v>
          </cell>
          <cell r="B141" t="str">
            <v>Malu Montesino</v>
          </cell>
        </row>
        <row r="142">
          <cell r="A142" t="str">
            <v>05.522.437/0001-09</v>
          </cell>
          <cell r="B142" t="str">
            <v>Malu Montesino</v>
          </cell>
        </row>
        <row r="143">
          <cell r="A143" t="str">
            <v>06.888.683/0001-41</v>
          </cell>
          <cell r="B143" t="str">
            <v>Malu Montesino</v>
          </cell>
        </row>
        <row r="144">
          <cell r="A144" t="str">
            <v>N/D</v>
          </cell>
          <cell r="B144" t="str">
            <v>Malu Montesino</v>
          </cell>
        </row>
        <row r="145">
          <cell r="A145" t="str">
            <v>N/D</v>
          </cell>
          <cell r="B145" t="str">
            <v>Malu Montesino</v>
          </cell>
        </row>
        <row r="146">
          <cell r="A146" t="str">
            <v>04.078.043/0001-40</v>
          </cell>
          <cell r="B146" t="str">
            <v>Mariane Nascimento</v>
          </cell>
        </row>
        <row r="147">
          <cell r="A147" t="str">
            <v>22.330.913/0001-09</v>
          </cell>
          <cell r="B147" t="str">
            <v>Mariane Nascimento</v>
          </cell>
        </row>
        <row r="148">
          <cell r="A148" t="str">
            <v>15.111.975/0001-64</v>
          </cell>
          <cell r="B148" t="str">
            <v>Malu Montesino</v>
          </cell>
        </row>
        <row r="149">
          <cell r="A149" t="str">
            <v>01.201.289/0001-70</v>
          </cell>
          <cell r="B149" t="str">
            <v>Malu Montesino</v>
          </cell>
        </row>
        <row r="150">
          <cell r="A150" t="str">
            <v>43.776.517/0294-04</v>
          </cell>
          <cell r="B150" t="str">
            <v>Malu Montesino</v>
          </cell>
        </row>
        <row r="151">
          <cell r="A151" t="str">
            <v>00.890.462/0001-21</v>
          </cell>
          <cell r="B151" t="str">
            <v>Malu Montesino</v>
          </cell>
        </row>
        <row r="152">
          <cell r="A152" t="str">
            <v>48.539.407/0001-18</v>
          </cell>
          <cell r="B152" t="str">
            <v>Malu Montesino</v>
          </cell>
        </row>
        <row r="153">
          <cell r="A153" t="str">
            <v>61.602.306/0001-02</v>
          </cell>
          <cell r="B153" t="str">
            <v>Malu Montesino</v>
          </cell>
        </row>
        <row r="154">
          <cell r="A154" t="str">
            <v>03.353.258/0001-60</v>
          </cell>
          <cell r="B154" t="str">
            <v>Malu Montesino</v>
          </cell>
        </row>
        <row r="155">
          <cell r="A155" t="str">
            <v>02.907.841/0001-02</v>
          </cell>
          <cell r="B155" t="str">
            <v>Malu Montesino</v>
          </cell>
        </row>
        <row r="156">
          <cell r="A156" t="str">
            <v>03.729.824/0001-95</v>
          </cell>
          <cell r="B156" t="str">
            <v>Malu Montesino</v>
          </cell>
        </row>
        <row r="157">
          <cell r="A157" t="str">
            <v>02.451.848/0001-62</v>
          </cell>
          <cell r="B157" t="str">
            <v>Malu Montesino</v>
          </cell>
        </row>
        <row r="158">
          <cell r="A158" t="str">
            <v>34.245.458/0001-22</v>
          </cell>
          <cell r="B158" t="str">
            <v>Malu Montesino</v>
          </cell>
        </row>
        <row r="159">
          <cell r="A159" t="str">
            <v>11.192.868/0001-57</v>
          </cell>
          <cell r="B159" t="str">
            <v>Malu Montesino</v>
          </cell>
        </row>
        <row r="160">
          <cell r="A160" t="str">
            <v>32.924.777/0001-39</v>
          </cell>
          <cell r="B160" t="str">
            <v>Malu Montesino</v>
          </cell>
        </row>
        <row r="161">
          <cell r="A161" t="str">
            <v>60.902.939/0001-73</v>
          </cell>
          <cell r="B161" t="str">
            <v>Malu Montesino</v>
          </cell>
        </row>
        <row r="162">
          <cell r="A162" t="str">
            <v>05.389.365/0001-73</v>
          </cell>
          <cell r="B162" t="str">
            <v>Malu Montesino</v>
          </cell>
        </row>
        <row r="163">
          <cell r="A163" t="str">
            <v>59.519.603/0001-47</v>
          </cell>
          <cell r="B163" t="str">
            <v>Malu Montesino</v>
          </cell>
        </row>
        <row r="164">
          <cell r="A164" t="str">
            <v>09.267.620/0001-66</v>
          </cell>
          <cell r="B164" t="str">
            <v>Malu Montesino</v>
          </cell>
        </row>
        <row r="165">
          <cell r="A165" t="str">
            <v>03.157.268/0001-20</v>
          </cell>
          <cell r="B165" t="str">
            <v>Malu Montesino</v>
          </cell>
        </row>
        <row r="166">
          <cell r="A166" t="str">
            <v>00.029.372/0001-40</v>
          </cell>
          <cell r="B166" t="str">
            <v>Malu Montesino</v>
          </cell>
        </row>
        <row r="167">
          <cell r="A167" t="str">
            <v>36.012.308/0001-02</v>
          </cell>
          <cell r="B167" t="str">
            <v>Malu Montesino</v>
          </cell>
        </row>
        <row r="168">
          <cell r="A168" t="str">
            <v>28.460.483/0001-26</v>
          </cell>
          <cell r="B168" t="str">
            <v>Malu Montesino</v>
          </cell>
        </row>
        <row r="169">
          <cell r="A169" t="str">
            <v>03.117.534/0001-90</v>
          </cell>
          <cell r="B169" t="str">
            <v>Malu Montesino</v>
          </cell>
        </row>
        <row r="170">
          <cell r="A170" t="str">
            <v>00.904.728/0001-48</v>
          </cell>
          <cell r="B170" t="str">
            <v>Malu Montesino</v>
          </cell>
        </row>
        <row r="171">
          <cell r="A171" t="str">
            <v>00.904.728/0001-48</v>
          </cell>
          <cell r="B171" t="str">
            <v>Malu Montesino</v>
          </cell>
        </row>
        <row r="172">
          <cell r="A172" t="str">
            <v>00.904.728/0001-48</v>
          </cell>
          <cell r="B172" t="str">
            <v>Malu Montesino</v>
          </cell>
        </row>
        <row r="173">
          <cell r="A173" t="str">
            <v>00.904.728/0001-48</v>
          </cell>
          <cell r="B173" t="str">
            <v>Malu Montesino</v>
          </cell>
        </row>
        <row r="174">
          <cell r="A174" t="str">
            <v>24.801.471/0001-67</v>
          </cell>
          <cell r="B174" t="str">
            <v>Malu Montesino</v>
          </cell>
        </row>
        <row r="175">
          <cell r="A175" t="str">
            <v>24.801.471/0001-67</v>
          </cell>
          <cell r="B175" t="str">
            <v>Malu Montesino</v>
          </cell>
        </row>
        <row r="176">
          <cell r="A176" t="str">
            <v>10.472.968/0001-74</v>
          </cell>
          <cell r="B176" t="str">
            <v>Malu Montesino</v>
          </cell>
        </row>
        <row r="177">
          <cell r="A177" t="str">
            <v>10.472.968/0001-74</v>
          </cell>
          <cell r="B177" t="str">
            <v>Malu Montesino</v>
          </cell>
        </row>
        <row r="178">
          <cell r="A178" t="str">
            <v>10.861.317/0001-76</v>
          </cell>
          <cell r="B178" t="str">
            <v>Mariane Nascimento</v>
          </cell>
        </row>
        <row r="179">
          <cell r="A179" t="str">
            <v>29.736.089/0001-30</v>
          </cell>
          <cell r="B179" t="str">
            <v>Malu Montesino</v>
          </cell>
        </row>
        <row r="180">
          <cell r="A180" t="str">
            <v>60.318.797/0001-00</v>
          </cell>
          <cell r="B180" t="str">
            <v>Malu Montesino</v>
          </cell>
        </row>
        <row r="181">
          <cell r="A181" t="str">
            <v>02.659.246/0003-67</v>
          </cell>
          <cell r="B181" t="str">
            <v>Mariane Nascimento</v>
          </cell>
        </row>
        <row r="182">
          <cell r="A182" t="str">
            <v>58.752.460/0001-56</v>
          </cell>
          <cell r="B182" t="str">
            <v>Mariane Nascimento</v>
          </cell>
        </row>
        <row r="183">
          <cell r="A183" t="str">
            <v>08.675.394/0001-90</v>
          </cell>
          <cell r="B183" t="str">
            <v>Mariane Nascimento</v>
          </cell>
        </row>
        <row r="184">
          <cell r="A184" t="str">
            <v>40.276.235/0001-25</v>
          </cell>
          <cell r="B184" t="str">
            <v>Mariane Nascimento</v>
          </cell>
        </row>
        <row r="185">
          <cell r="A185" t="str">
            <v>01.405.834/0001-40</v>
          </cell>
          <cell r="B185" t="str">
            <v>Mariane Nascimento</v>
          </cell>
        </row>
        <row r="186">
          <cell r="A186" t="str">
            <v>43.776.517/0294-04</v>
          </cell>
          <cell r="B186" t="str">
            <v>Malu Montesino</v>
          </cell>
        </row>
        <row r="187">
          <cell r="A187" t="str">
            <v>58.516.782/0001-04</v>
          </cell>
          <cell r="B187" t="str">
            <v>Malu Montesino</v>
          </cell>
        </row>
        <row r="188">
          <cell r="A188" t="str">
            <v>08.245.855/0001-94</v>
          </cell>
          <cell r="B188" t="str">
            <v>Mariane Nascimento</v>
          </cell>
        </row>
        <row r="189">
          <cell r="A189" t="str">
            <v>08.245.855/0001-94</v>
          </cell>
          <cell r="B189" t="str">
            <v>Mariane Nascimento</v>
          </cell>
        </row>
        <row r="190">
          <cell r="A190" t="str">
            <v>54.541.915/0001-33</v>
          </cell>
          <cell r="B190" t="str">
            <v>Mariane Nascimento</v>
          </cell>
        </row>
        <row r="191">
          <cell r="A191" t="str">
            <v>59.104.273/0001-29</v>
          </cell>
          <cell r="B191" t="str">
            <v>Malu Montesino</v>
          </cell>
        </row>
        <row r="192">
          <cell r="A192" t="str">
            <v>12.255.403/0001-60</v>
          </cell>
          <cell r="B192" t="str">
            <v>Mariane Nascimento</v>
          </cell>
        </row>
        <row r="193">
          <cell r="A193" t="str">
            <v>05.743.288/0001-08</v>
          </cell>
          <cell r="B193" t="str">
            <v>Mariane Nascimento</v>
          </cell>
        </row>
        <row r="194">
          <cell r="A194" t="str">
            <v>01.844.555/0001-82</v>
          </cell>
          <cell r="B194" t="str">
            <v>Malu Montesino</v>
          </cell>
        </row>
        <row r="195">
          <cell r="A195" t="str">
            <v>10.701.958/0001-63</v>
          </cell>
          <cell r="B195" t="str">
            <v>Malu Montesino</v>
          </cell>
        </row>
        <row r="196">
          <cell r="A196" t="str">
            <v>16.960.479/0001-48</v>
          </cell>
          <cell r="B196" t="str">
            <v>Malu Montesino</v>
          </cell>
        </row>
        <row r="197">
          <cell r="A197" t="str">
            <v>77.998.904/0001-82</v>
          </cell>
          <cell r="B197" t="str">
            <v>Malu Montesino</v>
          </cell>
        </row>
        <row r="198">
          <cell r="A198" t="str">
            <v>13.991.890/0001-92</v>
          </cell>
          <cell r="B198" t="str">
            <v>Malu Montesino</v>
          </cell>
        </row>
        <row r="199">
          <cell r="A199" t="str">
            <v>00.133.418/0001-77</v>
          </cell>
          <cell r="B199" t="str">
            <v>Malu Montesino</v>
          </cell>
        </row>
        <row r="200">
          <cell r="A200" t="str">
            <v>00.133.418/0001-77</v>
          </cell>
          <cell r="B200" t="str">
            <v>Malu Montesino</v>
          </cell>
        </row>
        <row r="201">
          <cell r="A201" t="str">
            <v>00.133.418/0001-77</v>
          </cell>
          <cell r="B201" t="str">
            <v>Malu Montesino</v>
          </cell>
        </row>
        <row r="202">
          <cell r="A202" t="str">
            <v>33.044.909/0001-09</v>
          </cell>
          <cell r="B202" t="str">
            <v>Malu Montesino</v>
          </cell>
        </row>
        <row r="203">
          <cell r="A203" t="str">
            <v>00.904.728/0001-48</v>
          </cell>
          <cell r="B203" t="str">
            <v>Malu Montesino</v>
          </cell>
        </row>
        <row r="204">
          <cell r="A204" t="str">
            <v>23.647.365/0001-08</v>
          </cell>
          <cell r="B204" t="str">
            <v>Malu Montesino</v>
          </cell>
        </row>
        <row r="205">
          <cell r="A205" t="str">
            <v>23.647.365/0001-08</v>
          </cell>
          <cell r="B205" t="str">
            <v>Malu Montesino</v>
          </cell>
        </row>
        <row r="206">
          <cell r="A206" t="str">
            <v>04.743.025/0001-36</v>
          </cell>
          <cell r="B206" t="str">
            <v>Malu Montesino</v>
          </cell>
        </row>
        <row r="207">
          <cell r="A207" t="str">
            <v>02.535.864/0001-33</v>
          </cell>
          <cell r="B207" t="str">
            <v>Vanessa</v>
          </cell>
        </row>
        <row r="208">
          <cell r="A208" t="str">
            <v>03.117.534/0001-90</v>
          </cell>
          <cell r="B208" t="str">
            <v>Malu Montesino</v>
          </cell>
        </row>
        <row r="209">
          <cell r="A209" t="str">
            <v>03.117.534/0001-90</v>
          </cell>
          <cell r="B209" t="str">
            <v>Malu Montesino</v>
          </cell>
        </row>
        <row r="210">
          <cell r="A210" t="str">
            <v>03.117.534/0001-90</v>
          </cell>
          <cell r="B210" t="str">
            <v>Malu Montesino</v>
          </cell>
        </row>
        <row r="211">
          <cell r="A211" t="str">
            <v>05.062.477/0001-15</v>
          </cell>
          <cell r="B211" t="str">
            <v>Malu Montesino</v>
          </cell>
        </row>
        <row r="212">
          <cell r="A212" t="str">
            <v>08.245.855/0001-94</v>
          </cell>
          <cell r="B212" t="str">
            <v>Mariane Nascimento</v>
          </cell>
        </row>
        <row r="213">
          <cell r="A213" t="str">
            <v>12.255.403/0001-60</v>
          </cell>
          <cell r="B213" t="str">
            <v>Mariane Nascimento</v>
          </cell>
        </row>
        <row r="214">
          <cell r="A214" t="str">
            <v>19.001.659/0001-90</v>
          </cell>
          <cell r="B214" t="str">
            <v>Mariane Nascimento</v>
          </cell>
        </row>
        <row r="215">
          <cell r="A215" t="str">
            <v>07.626.776/0001-60</v>
          </cell>
          <cell r="B215" t="str">
            <v>Malu Montesino</v>
          </cell>
        </row>
        <row r="216">
          <cell r="A216" t="str">
            <v>18.258.209/0001-15</v>
          </cell>
          <cell r="B216" t="str">
            <v>Mariane Nascimento</v>
          </cell>
        </row>
        <row r="217">
          <cell r="A217" t="str">
            <v>41.230.162/0001-01</v>
          </cell>
          <cell r="B217" t="str">
            <v>Mariane Nascimento</v>
          </cell>
        </row>
        <row r="218">
          <cell r="A218" t="str">
            <v>03.117.534/0001-90</v>
          </cell>
          <cell r="B218" t="str">
            <v>Malu Montesino</v>
          </cell>
        </row>
        <row r="219">
          <cell r="A219" t="str">
            <v>62.334.156/0001-66</v>
          </cell>
          <cell r="B219" t="str">
            <v>Malu Montesino</v>
          </cell>
        </row>
        <row r="220">
          <cell r="A220" t="str">
            <v>62.334.156/0001-66</v>
          </cell>
          <cell r="B220" t="str">
            <v>Malu Montesino</v>
          </cell>
        </row>
        <row r="221">
          <cell r="A221" t="str">
            <v>52.541.760/0001-00</v>
          </cell>
          <cell r="B221" t="str">
            <v>Malu Montesino</v>
          </cell>
        </row>
        <row r="222">
          <cell r="A222" t="str">
            <v>19.791.896/0001-00</v>
          </cell>
          <cell r="B222" t="str">
            <v>Vanessa</v>
          </cell>
        </row>
        <row r="223">
          <cell r="A223" t="str">
            <v>19.791.896/0001-00</v>
          </cell>
          <cell r="B223" t="str">
            <v>Vanessa</v>
          </cell>
        </row>
        <row r="224">
          <cell r="A224" t="str">
            <v>03.117.534/0001-90</v>
          </cell>
          <cell r="B224" t="str">
            <v>Malu Montesino</v>
          </cell>
        </row>
        <row r="225">
          <cell r="A225" t="str">
            <v>50.949.528/0001-80</v>
          </cell>
          <cell r="B225" t="str">
            <v>Malu Montesino</v>
          </cell>
        </row>
        <row r="226">
          <cell r="A226" t="str">
            <v>02.635.031/0001-44</v>
          </cell>
          <cell r="B226" t="str">
            <v>Malu Montesino</v>
          </cell>
        </row>
        <row r="227">
          <cell r="A227" t="str">
            <v>50.595.271/0001-05</v>
          </cell>
          <cell r="B227" t="str">
            <v>Malu Montesino</v>
          </cell>
        </row>
        <row r="228">
          <cell r="A228" t="str">
            <v>12.417.472/0001-23</v>
          </cell>
          <cell r="B228" t="str">
            <v>Malu Montesino</v>
          </cell>
        </row>
        <row r="229">
          <cell r="A229" t="str">
            <v>33.131.079/0001-49</v>
          </cell>
          <cell r="B229" t="str">
            <v>Malu Montesino</v>
          </cell>
        </row>
        <row r="230">
          <cell r="A230" t="str">
            <v>03.861.512/0001-30</v>
          </cell>
          <cell r="B230" t="str">
            <v>Mariane Nascimento</v>
          </cell>
        </row>
        <row r="231">
          <cell r="A231" t="str">
            <v>28.460.483/0001-26</v>
          </cell>
          <cell r="B231" t="str">
            <v>Malu Montesino</v>
          </cell>
        </row>
        <row r="232">
          <cell r="A232" t="str">
            <v>07.884.692/0001-27</v>
          </cell>
          <cell r="B232" t="str">
            <v>Malu Montesino</v>
          </cell>
        </row>
        <row r="233">
          <cell r="A233" t="str">
            <v>35.197.526/0001-98</v>
          </cell>
          <cell r="B233" t="str">
            <v>Mariane Nascimento</v>
          </cell>
        </row>
        <row r="234">
          <cell r="A234" t="str">
            <v>41.230.162/0001-01</v>
          </cell>
          <cell r="B234" t="str">
            <v>Mariane Nascimento</v>
          </cell>
        </row>
        <row r="235">
          <cell r="A235" t="str">
            <v>31.694.545/0001-79</v>
          </cell>
          <cell r="B235" t="str">
            <v>Malu Montesino</v>
          </cell>
        </row>
        <row r="236">
          <cell r="A236" t="str">
            <v>18.809.570/0001-92</v>
          </cell>
          <cell r="B236" t="str">
            <v>Mariane Nascimento</v>
          </cell>
        </row>
        <row r="237">
          <cell r="A237" t="str">
            <v>01.597.589/0001-10</v>
          </cell>
          <cell r="B237" t="str">
            <v>Malu Montesino</v>
          </cell>
        </row>
        <row r="238">
          <cell r="A238" t="str">
            <v>33.010.786/0001-87</v>
          </cell>
          <cell r="B238" t="str">
            <v>Malu Montesino</v>
          </cell>
        </row>
        <row r="239">
          <cell r="A239" t="str">
            <v>03.874.953/0001-77</v>
          </cell>
          <cell r="B239" t="str">
            <v>Mariane Nascimento</v>
          </cell>
        </row>
        <row r="240">
          <cell r="A240" t="str">
            <v>10.426.974/0001-95</v>
          </cell>
          <cell r="B240" t="str">
            <v>Malu Montesino</v>
          </cell>
        </row>
        <row r="241">
          <cell r="A241" t="str">
            <v>07.032.886/0001-02</v>
          </cell>
          <cell r="B241" t="str">
            <v>Malu Montesino</v>
          </cell>
        </row>
        <row r="242">
          <cell r="A242" t="str">
            <v>39.032.974/0001-92</v>
          </cell>
          <cell r="B242" t="str">
            <v>Mariane Nascimento</v>
          </cell>
        </row>
        <row r="243">
          <cell r="A243" t="str">
            <v>89.637.490/0001-45</v>
          </cell>
          <cell r="B243" t="str">
            <v>Malu Montesino</v>
          </cell>
        </row>
        <row r="244">
          <cell r="A244" t="str">
            <v>04.743.025/0001-36</v>
          </cell>
          <cell r="B244" t="str">
            <v>Malu Montesino</v>
          </cell>
        </row>
        <row r="245">
          <cell r="A245" t="str">
            <v>42.150.391/0001-70</v>
          </cell>
          <cell r="B245" t="str">
            <v>Malu Montesino</v>
          </cell>
        </row>
        <row r="246">
          <cell r="A246" t="str">
            <v>12.417.472/0001-23</v>
          </cell>
          <cell r="B246" t="str">
            <v>Malu Montesino</v>
          </cell>
        </row>
        <row r="247">
          <cell r="A247" t="str">
            <v>07.884.692/0001-27</v>
          </cell>
          <cell r="B247" t="str">
            <v>Malu Montesino</v>
          </cell>
        </row>
        <row r="248">
          <cell r="A248" t="str">
            <v>00.145.602/0001-37</v>
          </cell>
          <cell r="B248" t="str">
            <v>Malu Montesino</v>
          </cell>
        </row>
        <row r="249">
          <cell r="A249" t="str">
            <v>00.145.602/0001-37</v>
          </cell>
          <cell r="B249" t="str">
            <v>Malu Montesino</v>
          </cell>
        </row>
        <row r="250">
          <cell r="A250" t="str">
            <v>02.816.696/0001-54</v>
          </cell>
          <cell r="B250" t="str">
            <v>Malu Montesino</v>
          </cell>
        </row>
        <row r="251">
          <cell r="A251" t="str">
            <v>02.816.696/0001-54</v>
          </cell>
          <cell r="B251" t="str">
            <v>Malu Montesino</v>
          </cell>
        </row>
        <row r="252">
          <cell r="A252" t="str">
            <v>57.559.387/0001-38</v>
          </cell>
          <cell r="B252" t="str">
            <v>Malu Montesino</v>
          </cell>
        </row>
        <row r="253">
          <cell r="A253" t="str">
            <v>57.559.387/0001-38</v>
          </cell>
          <cell r="B253" t="str">
            <v>Malu Montesino</v>
          </cell>
        </row>
        <row r="254">
          <cell r="A254" t="str">
            <v>57.559.387/0001-38</v>
          </cell>
          <cell r="B254" t="str">
            <v>Malu Montesino</v>
          </cell>
        </row>
        <row r="255">
          <cell r="A255" t="str">
            <v>57.559.387/0001-38</v>
          </cell>
          <cell r="B255" t="str">
            <v>Malu Montesino</v>
          </cell>
        </row>
        <row r="256">
          <cell r="A256" t="str">
            <v>27.061.442/0001-02</v>
          </cell>
          <cell r="B256" t="str">
            <v>Malu Montesino</v>
          </cell>
        </row>
        <row r="257">
          <cell r="A257" t="str">
            <v>27.061.442/0001-02</v>
          </cell>
          <cell r="B257" t="str">
            <v>Malu Montesino</v>
          </cell>
        </row>
        <row r="258">
          <cell r="A258" t="str">
            <v>62.334.156/0001-66</v>
          </cell>
          <cell r="B258" t="str">
            <v>Malu Montesino</v>
          </cell>
        </row>
        <row r="259">
          <cell r="A259" t="str">
            <v>82.992.686/0001-09</v>
          </cell>
          <cell r="B259" t="str">
            <v>Malu Montesino</v>
          </cell>
        </row>
        <row r="260">
          <cell r="A260" t="str">
            <v>00.904.728/0001-48</v>
          </cell>
          <cell r="B260" t="str">
            <v>Malu Montesino</v>
          </cell>
        </row>
        <row r="261">
          <cell r="A261" t="str">
            <v>14.666.357/0001-18</v>
          </cell>
          <cell r="B261" t="str">
            <v>Malu Montesino</v>
          </cell>
        </row>
        <row r="262">
          <cell r="A262" t="str">
            <v>10.861.317/0001-76</v>
          </cell>
          <cell r="B262" t="str">
            <v>Mariane Nascimento</v>
          </cell>
        </row>
        <row r="263">
          <cell r="A263" t="str">
            <v>29.736.089/0001-30</v>
          </cell>
          <cell r="B263" t="str">
            <v>Malu Montesino</v>
          </cell>
        </row>
        <row r="264">
          <cell r="A264" t="str">
            <v>29.736.089/0001-30</v>
          </cell>
          <cell r="B264" t="str">
            <v>Malu Montesino</v>
          </cell>
        </row>
        <row r="265">
          <cell r="A265" t="str">
            <v>29.736.089/0001-30</v>
          </cell>
          <cell r="B265" t="str">
            <v>Malu Montesino</v>
          </cell>
        </row>
        <row r="266">
          <cell r="A266" t="str">
            <v>02.659.246/0003-67</v>
          </cell>
          <cell r="B266" t="str">
            <v>Mariane Nascimento</v>
          </cell>
        </row>
        <row r="267">
          <cell r="A267" t="str">
            <v>58.752.460/0001-56</v>
          </cell>
          <cell r="B267" t="str">
            <v>Mariane Nascimento</v>
          </cell>
        </row>
        <row r="268">
          <cell r="A268" t="str">
            <v>10.962.495/0001-93</v>
          </cell>
          <cell r="B268" t="str">
            <v>Malu Montesino</v>
          </cell>
        </row>
        <row r="269">
          <cell r="A269" t="str">
            <v>08.675.394/0001-90</v>
          </cell>
          <cell r="B269" t="str">
            <v>Mariane Nascimento</v>
          </cell>
        </row>
        <row r="270">
          <cell r="A270" t="str">
            <v>04.078.043/0001-40</v>
          </cell>
          <cell r="B270" t="str">
            <v>Mariane Nascimento</v>
          </cell>
        </row>
        <row r="271">
          <cell r="A271" t="str">
            <v>22.330.913/0001-09</v>
          </cell>
          <cell r="B271" t="str">
            <v>Mariane Nascimento</v>
          </cell>
        </row>
        <row r="272">
          <cell r="A272" t="str">
            <v>14.016.443/0001-85</v>
          </cell>
          <cell r="B272" t="str">
            <v>Malu Montesino</v>
          </cell>
        </row>
        <row r="273">
          <cell r="A273" t="str">
            <v>14.016.443/0001-85</v>
          </cell>
          <cell r="B273" t="str">
            <v>Malu Montesino</v>
          </cell>
        </row>
        <row r="274">
          <cell r="A274" t="str">
            <v>14.016.443/0001-85</v>
          </cell>
          <cell r="B274" t="str">
            <v>Malu Montesino</v>
          </cell>
        </row>
        <row r="275">
          <cell r="A275" t="str">
            <v>05.706.897/0001-97</v>
          </cell>
          <cell r="B275" t="str">
            <v>Malu Montesino</v>
          </cell>
        </row>
        <row r="276">
          <cell r="A276" t="str">
            <v>59.408.005/0001-09</v>
          </cell>
          <cell r="B276" t="str">
            <v>Malu Montesino</v>
          </cell>
        </row>
        <row r="277">
          <cell r="A277" t="str">
            <v>58.516.782/0001-04</v>
          </cell>
          <cell r="B277" t="str">
            <v>Malu Montesino</v>
          </cell>
        </row>
        <row r="278">
          <cell r="A278" t="str">
            <v>05.743.288/0001-08</v>
          </cell>
          <cell r="B278" t="str">
            <v>Mariane Nascimento</v>
          </cell>
        </row>
        <row r="279">
          <cell r="A279" t="str">
            <v>31.694.545/0001-79</v>
          </cell>
          <cell r="B279" t="str">
            <v>Malu Montesino</v>
          </cell>
        </row>
        <row r="280">
          <cell r="A280" t="str">
            <v>46.550.505/0001-20</v>
          </cell>
          <cell r="B280" t="str">
            <v>Malu Montesino</v>
          </cell>
        </row>
        <row r="281">
          <cell r="A281" t="str">
            <v>39.032.974/0001-92</v>
          </cell>
          <cell r="B281" t="str">
            <v>Mariane Nascimento</v>
          </cell>
        </row>
        <row r="282">
          <cell r="A282" t="str">
            <v>15.188.108/0001-27</v>
          </cell>
          <cell r="B282" t="str">
            <v>Malu Montesino</v>
          </cell>
        </row>
        <row r="283">
          <cell r="A283" t="str">
            <v>61.086.336/0001-03</v>
          </cell>
          <cell r="B283" t="str">
            <v>Malu Montesino</v>
          </cell>
        </row>
        <row r="284">
          <cell r="A284" t="str">
            <v>19.653.054/0001-84</v>
          </cell>
          <cell r="B284" t="str">
            <v>Malu Montesino</v>
          </cell>
        </row>
        <row r="285">
          <cell r="A285" t="str">
            <v>03.762.480/0001-16</v>
          </cell>
          <cell r="B285" t="str">
            <v>Malu Montesino</v>
          </cell>
        </row>
        <row r="286">
          <cell r="A286" t="str">
            <v>13.890.656/0001-79</v>
          </cell>
          <cell r="B286" t="str">
            <v>Malu Montesino</v>
          </cell>
        </row>
        <row r="287">
          <cell r="A287" t="str">
            <v>38.591.447/0001-55</v>
          </cell>
          <cell r="B287" t="str">
            <v>Mariane Nascimento</v>
          </cell>
        </row>
        <row r="288">
          <cell r="A288" t="str">
            <v>06.019.610/0001-13</v>
          </cell>
          <cell r="B288" t="str">
            <v>Mariane Nascimento</v>
          </cell>
        </row>
        <row r="289">
          <cell r="A289" t="str">
            <v>61.467.528/0001-60</v>
          </cell>
          <cell r="B289" t="str">
            <v>Mariane Nascimento</v>
          </cell>
        </row>
        <row r="290">
          <cell r="A290" t="str">
            <v>61.467.528/0001-60</v>
          </cell>
          <cell r="B290" t="str">
            <v>Mariane Nascimento</v>
          </cell>
        </row>
        <row r="291">
          <cell r="A291" t="str">
            <v>10.962.495/0001-93</v>
          </cell>
          <cell r="B291" t="str">
            <v>Malu Montesino</v>
          </cell>
        </row>
        <row r="292">
          <cell r="A292" t="str">
            <v>02.674.103/0001-62</v>
          </cell>
          <cell r="B292" t="str">
            <v>Malu Montesino</v>
          </cell>
        </row>
        <row r="293">
          <cell r="A293" t="str">
            <v>50.949.528/0001-80</v>
          </cell>
          <cell r="B293" t="str">
            <v>Malu Montesino</v>
          </cell>
        </row>
        <row r="294">
          <cell r="A294" t="str">
            <v>61.074.506/0001-30</v>
          </cell>
          <cell r="B294" t="str">
            <v>Malu Montesino</v>
          </cell>
        </row>
        <row r="295">
          <cell r="A295" t="str">
            <v>10.962.495/0001-93</v>
          </cell>
          <cell r="B295" t="str">
            <v>Malu Montesino</v>
          </cell>
        </row>
        <row r="296">
          <cell r="A296" t="str">
            <v>05.062.477/0001-15</v>
          </cell>
          <cell r="B296" t="str">
            <v>Malu Montesino</v>
          </cell>
        </row>
        <row r="297">
          <cell r="A297" t="str">
            <v>08.862.530/0001-50</v>
          </cell>
          <cell r="B297" t="str">
            <v>Malu Montesino</v>
          </cell>
        </row>
        <row r="298">
          <cell r="A298" t="str">
            <v>08.862.530/0001-50</v>
          </cell>
          <cell r="B298" t="str">
            <v>Malu Montesino</v>
          </cell>
        </row>
        <row r="299">
          <cell r="A299" t="str">
            <v>61.064.838/0031-59</v>
          </cell>
          <cell r="B299" t="str">
            <v>Malu Montesino</v>
          </cell>
        </row>
        <row r="300">
          <cell r="A300" t="str">
            <v>48.539.407/0001-18</v>
          </cell>
          <cell r="B300" t="str">
            <v>Malu Montesino</v>
          </cell>
        </row>
        <row r="301">
          <cell r="A301" t="str">
            <v>03.729.824/0001-95</v>
          </cell>
          <cell r="B301" t="str">
            <v>Malu Montesino</v>
          </cell>
        </row>
        <row r="302">
          <cell r="A302" t="str">
            <v>07.040.941/0001-06</v>
          </cell>
          <cell r="B302" t="str">
            <v>Malu Montesino</v>
          </cell>
        </row>
        <row r="303">
          <cell r="A303" t="str">
            <v>39.032.974/0001-92</v>
          </cell>
          <cell r="B303" t="str">
            <v>Mariane Nascimento</v>
          </cell>
        </row>
        <row r="304">
          <cell r="A304" t="str">
            <v>38.591.447/0001-55</v>
          </cell>
          <cell r="B304" t="str">
            <v>Mariane Nascimento</v>
          </cell>
        </row>
        <row r="305">
          <cell r="A305" t="str">
            <v>61.467.528/0001-60</v>
          </cell>
          <cell r="B305" t="str">
            <v>Mariane Nascimento</v>
          </cell>
        </row>
        <row r="306">
          <cell r="A306" t="str">
            <v>06.019.610/0001-13</v>
          </cell>
          <cell r="B306" t="str">
            <v>Mariane Nascimento</v>
          </cell>
        </row>
        <row r="307">
          <cell r="A307" t="str">
            <v>09.402.590/0001-53</v>
          </cell>
          <cell r="B307" t="str">
            <v>Mariane Nascimento</v>
          </cell>
        </row>
        <row r="308">
          <cell r="A308" t="str">
            <v>61.086.336/0001-03</v>
          </cell>
          <cell r="B308" t="str">
            <v>Malu Montesino</v>
          </cell>
        </row>
        <row r="309">
          <cell r="A309" t="str">
            <v>60.620.366/0001-95</v>
          </cell>
          <cell r="B309" t="str">
            <v>Malu Montesino</v>
          </cell>
        </row>
        <row r="310">
          <cell r="A310" t="str">
            <v>14.309.992/0001-48</v>
          </cell>
          <cell r="B310" t="str">
            <v>Malu Montesino</v>
          </cell>
        </row>
        <row r="311">
          <cell r="A311" t="str">
            <v>90.050.238/0001-14</v>
          </cell>
          <cell r="B311" t="str">
            <v>Malu Montesino</v>
          </cell>
        </row>
        <row r="312">
          <cell r="A312" t="str">
            <v>33.373.325/0001-79</v>
          </cell>
          <cell r="B312" t="str">
            <v>Mariane Nascimento</v>
          </cell>
        </row>
        <row r="313">
          <cell r="A313" t="str">
            <v>07.065.479/0001-93</v>
          </cell>
          <cell r="B313" t="str">
            <v>Malu Montesino</v>
          </cell>
        </row>
        <row r="314">
          <cell r="A314" t="str">
            <v>73.077.299/0001-56</v>
          </cell>
          <cell r="B314" t="str">
            <v>Malu Montesino</v>
          </cell>
        </row>
        <row r="315">
          <cell r="A315" t="str">
            <v>14.680.219/0001-93</v>
          </cell>
          <cell r="B315" t="str">
            <v>Malu Montesino</v>
          </cell>
        </row>
        <row r="316">
          <cell r="A316" t="str">
            <v>19.653.054/0001-84</v>
          </cell>
          <cell r="B316" t="str">
            <v>Malu Montesino</v>
          </cell>
        </row>
        <row r="317">
          <cell r="A317" t="str">
            <v>57.483.034/0001-00</v>
          </cell>
          <cell r="B317" t="str">
            <v>Malu Montesino</v>
          </cell>
        </row>
        <row r="318">
          <cell r="A318" t="str">
            <v>61.413.282/0001-43</v>
          </cell>
          <cell r="B318" t="str">
            <v>Malu Montesino</v>
          </cell>
        </row>
        <row r="319">
          <cell r="A319" t="str">
            <v>03.762.480/0001-16</v>
          </cell>
          <cell r="B319" t="str">
            <v>Malu Montesino</v>
          </cell>
        </row>
        <row r="320">
          <cell r="A320" t="str">
            <v>03.762.480/0001-16</v>
          </cell>
          <cell r="B320" t="str">
            <v>Malu Montesino</v>
          </cell>
        </row>
        <row r="321">
          <cell r="A321" t="str">
            <v>75.853.168/0001-49</v>
          </cell>
          <cell r="B321" t="str">
            <v>Malu Montesino</v>
          </cell>
        </row>
        <row r="322">
          <cell r="A322" t="str">
            <v>46.138.319/0001-89</v>
          </cell>
          <cell r="B322" t="str">
            <v>Malu Montesino</v>
          </cell>
        </row>
        <row r="323">
          <cell r="A323" t="str">
            <v>07.642.862/0001-67</v>
          </cell>
          <cell r="B323" t="str">
            <v>Malu Montesino</v>
          </cell>
        </row>
        <row r="324">
          <cell r="A324" t="str">
            <v>25.343.545/0001-21</v>
          </cell>
          <cell r="B324" t="str">
            <v>Malu Montesino</v>
          </cell>
        </row>
        <row r="325">
          <cell r="A325" t="str">
            <v>88.634.977/0001-01</v>
          </cell>
          <cell r="B325" t="str">
            <v>Malu Montesino</v>
          </cell>
        </row>
        <row r="326">
          <cell r="A326" t="str">
            <v>13.890.656/0001-79</v>
          </cell>
          <cell r="B326" t="str">
            <v>Malu Montesino</v>
          </cell>
        </row>
        <row r="327">
          <cell r="A327" t="str">
            <v>81.365.223/0001-54</v>
          </cell>
          <cell r="B327" t="str">
            <v>Malu Montesino</v>
          </cell>
        </row>
        <row r="328">
          <cell r="A328" t="str">
            <v>60.872.306/0001-60</v>
          </cell>
          <cell r="B328" t="str">
            <v>Malu Montesino</v>
          </cell>
        </row>
        <row r="329">
          <cell r="A329" t="str">
            <v>18.257.524/0001-28</v>
          </cell>
          <cell r="B329" t="str">
            <v>Malu Montesino</v>
          </cell>
        </row>
        <row r="330">
          <cell r="A330" t="str">
            <v>60.680.873/0001-14</v>
          </cell>
          <cell r="B330" t="str">
            <v>Malu Montesino</v>
          </cell>
        </row>
        <row r="331">
          <cell r="A331" t="str">
            <v>30.629.875/0001-18</v>
          </cell>
          <cell r="B331" t="str">
            <v>Malu Montesino</v>
          </cell>
        </row>
        <row r="332">
          <cell r="A332" t="str">
            <v>81.067.860/0001-44</v>
          </cell>
          <cell r="B332" t="str">
            <v>Malu Montesino</v>
          </cell>
        </row>
        <row r="333">
          <cell r="A333" t="str">
            <v>08.658.622/0001-13</v>
          </cell>
          <cell r="B333" t="str">
            <v>Malu Montesino</v>
          </cell>
        </row>
        <row r="334">
          <cell r="A334" t="str">
            <v>47.173.950/0001-81</v>
          </cell>
          <cell r="B334" t="str">
            <v>Malu Montesino</v>
          </cell>
        </row>
        <row r="335">
          <cell r="A335" t="str">
            <v>53.296.273/0001-91</v>
          </cell>
          <cell r="B335" t="str">
            <v>Malu Montesino</v>
          </cell>
        </row>
        <row r="336">
          <cell r="A336" t="str">
            <v>04.760.487/0001-61</v>
          </cell>
          <cell r="B336" t="str">
            <v>Malu Montesino</v>
          </cell>
        </row>
        <row r="337">
          <cell r="A337" t="str">
            <v>76.492.701/0010-48</v>
          </cell>
          <cell r="B337" t="str">
            <v>Malu Montesino</v>
          </cell>
        </row>
        <row r="338">
          <cell r="A338" t="str">
            <v>07.598.814/0001-19</v>
          </cell>
          <cell r="B338" t="str">
            <v>Malu Montesino</v>
          </cell>
        </row>
        <row r="339">
          <cell r="A339" t="str">
            <v>05.812.515/0001-00</v>
          </cell>
          <cell r="B339" t="str">
            <v>Malu Montesino</v>
          </cell>
        </row>
        <row r="340">
          <cell r="A340" t="str">
            <v>46.062.030/0001-23</v>
          </cell>
          <cell r="B340" t="str">
            <v>Malu Montesino</v>
          </cell>
        </row>
        <row r="341">
          <cell r="A341" t="str">
            <v>89.723.837/0001-72</v>
          </cell>
          <cell r="B341" t="str">
            <v>Malu Montesino</v>
          </cell>
        </row>
        <row r="342">
          <cell r="A342" t="str">
            <v>56.954.094/0001-92</v>
          </cell>
          <cell r="B342" t="str">
            <v>Malu Montesino</v>
          </cell>
        </row>
        <row r="343">
          <cell r="A343" t="str">
            <v>30.951.999/0001-15</v>
          </cell>
          <cell r="B343" t="str">
            <v>Malu Montesino</v>
          </cell>
        </row>
        <row r="344">
          <cell r="A344" t="str">
            <v>56.643.018/0001-66</v>
          </cell>
          <cell r="B344" t="str">
            <v>Malu Montesino</v>
          </cell>
        </row>
        <row r="345">
          <cell r="A345" t="str">
            <v>02.526.146/0001-09</v>
          </cell>
          <cell r="B345" t="str">
            <v>Malu Montesino</v>
          </cell>
        </row>
        <row r="346">
          <cell r="A346" t="str">
            <v>03.861.512/0001-30</v>
          </cell>
          <cell r="B346" t="str">
            <v>Mariane Nascimento</v>
          </cell>
        </row>
        <row r="347">
          <cell r="A347" t="str">
            <v>09.402.590/0001-53</v>
          </cell>
          <cell r="B347" t="str">
            <v>Mariane Nascimento</v>
          </cell>
        </row>
        <row r="348">
          <cell r="A348" t="str">
            <v>47.411.780/0001-26</v>
          </cell>
          <cell r="B348" t="str">
            <v>Mariane Nascimento</v>
          </cell>
        </row>
        <row r="349">
          <cell r="A349" t="str">
            <v>22.330.913/0001-09</v>
          </cell>
          <cell r="B349" t="str">
            <v>Mariane Nascimento</v>
          </cell>
        </row>
        <row r="350">
          <cell r="A350" t="str">
            <v>04.864.204/0001-21</v>
          </cell>
          <cell r="B350" t="str">
            <v>Malu Montesino</v>
          </cell>
        </row>
        <row r="351">
          <cell r="A351" t="str">
            <v>09.402.590/0001-53</v>
          </cell>
          <cell r="B351" t="str">
            <v>Mariane Nascimento</v>
          </cell>
        </row>
        <row r="352">
          <cell r="A352" t="str">
            <v>01.851.716/0001-65</v>
          </cell>
          <cell r="B352" t="str">
            <v>Mariane Nascimento</v>
          </cell>
        </row>
        <row r="353">
          <cell r="A353" t="str">
            <v>47.411.780/0001-26</v>
          </cell>
          <cell r="B353" t="str">
            <v>Mariane Nascimento</v>
          </cell>
        </row>
        <row r="354">
          <cell r="A354" t="str">
            <v>60.620.366/0001-95</v>
          </cell>
          <cell r="B354" t="str">
            <v>Malu Montesino</v>
          </cell>
        </row>
        <row r="355">
          <cell r="A355" t="str">
            <v>90.050.238/0001-14</v>
          </cell>
          <cell r="B355" t="str">
            <v>Malu Montesino</v>
          </cell>
        </row>
        <row r="356">
          <cell r="A356" t="str">
            <v>90.050.238/0001-14</v>
          </cell>
          <cell r="B356" t="str">
            <v>Malu Montesino</v>
          </cell>
        </row>
        <row r="357">
          <cell r="A357" t="str">
            <v>61.100.061/0001-15</v>
          </cell>
          <cell r="B357" t="str">
            <v>Malu Montesino</v>
          </cell>
        </row>
        <row r="358">
          <cell r="A358" t="str">
            <v>03.817.469/0003-78</v>
          </cell>
          <cell r="B358" t="str">
            <v>Malu Montesino</v>
          </cell>
        </row>
        <row r="359">
          <cell r="A359" t="str">
            <v>14.646.435/0001-12</v>
          </cell>
          <cell r="B359" t="str">
            <v>Mariane Nascimento</v>
          </cell>
        </row>
        <row r="360">
          <cell r="A360" t="str">
            <v>01.722.296/0001-17</v>
          </cell>
          <cell r="B360" t="str">
            <v>Mariane Nascimento</v>
          </cell>
        </row>
        <row r="361">
          <cell r="A361" t="str">
            <v>58.681.867/0001-30</v>
          </cell>
          <cell r="B361" t="str">
            <v>Malu Montesino</v>
          </cell>
        </row>
        <row r="362">
          <cell r="A362" t="str">
            <v>02.777.131/0001-05</v>
          </cell>
          <cell r="B362" t="str">
            <v>Malu Montesino</v>
          </cell>
        </row>
        <row r="363">
          <cell r="A363" t="str">
            <v>61.413.282/0001-43</v>
          </cell>
          <cell r="B363" t="str">
            <v>Malu Montesino</v>
          </cell>
        </row>
        <row r="364">
          <cell r="A364" t="str">
            <v>02.990.846/0001-41</v>
          </cell>
          <cell r="B364" t="str">
            <v>Malu Montesino</v>
          </cell>
        </row>
        <row r="365">
          <cell r="A365" t="str">
            <v>88.634.977/0001-01</v>
          </cell>
          <cell r="B365" t="str">
            <v>Malu Montesino</v>
          </cell>
        </row>
        <row r="366">
          <cell r="A366" t="str">
            <v>88.634.977/0001-01</v>
          </cell>
          <cell r="B366" t="str">
            <v>Malu Montesino</v>
          </cell>
        </row>
        <row r="367">
          <cell r="A367" t="str">
            <v>02.563.570/0001-15</v>
          </cell>
          <cell r="B367" t="str">
            <v>Mariane Nascimento</v>
          </cell>
        </row>
        <row r="368">
          <cell r="A368" t="str">
            <v>25.136.184/0001-42</v>
          </cell>
          <cell r="B368" t="str">
            <v>Malu Montesino</v>
          </cell>
        </row>
        <row r="369">
          <cell r="A369" t="str">
            <v>01.165.514/0001-60</v>
          </cell>
          <cell r="B369" t="str">
            <v>Malu Montesino</v>
          </cell>
        </row>
        <row r="370">
          <cell r="A370" t="str">
            <v>01.165.514/0001-60</v>
          </cell>
          <cell r="B370" t="str">
            <v>Malu Montesino</v>
          </cell>
        </row>
        <row r="371">
          <cell r="A371" t="str">
            <v>04.910.323/0001-73</v>
          </cell>
          <cell r="B371" t="str">
            <v>Malu Montesino</v>
          </cell>
        </row>
        <row r="372">
          <cell r="A372" t="str">
            <v>00.204.589/0003-01</v>
          </cell>
          <cell r="B372" t="str">
            <v>Malu Montesino</v>
          </cell>
        </row>
        <row r="373">
          <cell r="A373" t="str">
            <v>60.620.366/0001-95</v>
          </cell>
          <cell r="B373" t="str">
            <v>Malu Montesino</v>
          </cell>
        </row>
        <row r="374">
          <cell r="A374" t="str">
            <v>47.411.780/0001-26</v>
          </cell>
          <cell r="B374" t="str">
            <v>Mariane Nascimento</v>
          </cell>
        </row>
        <row r="375">
          <cell r="A375" t="str">
            <v>90.050.238/0001-14</v>
          </cell>
          <cell r="B375" t="str">
            <v>Malu Montesino</v>
          </cell>
        </row>
        <row r="376">
          <cell r="A376" t="str">
            <v>12.648.327/0001-53</v>
          </cell>
          <cell r="B376" t="str">
            <v>Mariane Nascimento</v>
          </cell>
        </row>
        <row r="377">
          <cell r="A377" t="str">
            <v>62.413.869/0001-15</v>
          </cell>
          <cell r="B377" t="str">
            <v>Mariane Nascimento</v>
          </cell>
        </row>
        <row r="378">
          <cell r="A378" t="str">
            <v>02.563.570/0001-15</v>
          </cell>
          <cell r="B378" t="str">
            <v>Mariane Nascimento</v>
          </cell>
        </row>
        <row r="379">
          <cell r="A379" t="str">
            <v>10.861.317/0001-76</v>
          </cell>
          <cell r="B379" t="str">
            <v>Mariane Nascimento</v>
          </cell>
        </row>
        <row r="380">
          <cell r="A380" t="str">
            <v>02.659.246/0003-67</v>
          </cell>
          <cell r="B380" t="str">
            <v>Mariane Nascimento</v>
          </cell>
        </row>
        <row r="381">
          <cell r="A381" t="str">
            <v>02.659.246/0003-67</v>
          </cell>
          <cell r="B381" t="str">
            <v>Mariane Nascimento</v>
          </cell>
        </row>
        <row r="382">
          <cell r="A382" t="str">
            <v>58.752.460/0001-56</v>
          </cell>
          <cell r="B382" t="str">
            <v>Mariane Nascimento</v>
          </cell>
        </row>
        <row r="383">
          <cell r="A383" t="str">
            <v>58.752.460/0001-56</v>
          </cell>
          <cell r="B383" t="str">
            <v>Mariane Nascimento</v>
          </cell>
        </row>
        <row r="384">
          <cell r="A384" t="str">
            <v>40.276.235/0001-25</v>
          </cell>
          <cell r="B384" t="str">
            <v>Mariane Nascimento</v>
          </cell>
        </row>
        <row r="385">
          <cell r="A385" t="str">
            <v>04.078.043/0001-40</v>
          </cell>
          <cell r="B385" t="str">
            <v>Mariane Nascimento</v>
          </cell>
        </row>
        <row r="386">
          <cell r="A386" t="str">
            <v>04.078.043/0001-40</v>
          </cell>
          <cell r="B386" t="str">
            <v>Mariane Nascimento</v>
          </cell>
        </row>
        <row r="387">
          <cell r="A387" t="str">
            <v>08.245.855/0001-94</v>
          </cell>
          <cell r="B387" t="str">
            <v>Mariane Nascimento</v>
          </cell>
        </row>
        <row r="388">
          <cell r="A388" t="str">
            <v>08.245.855/0001-94</v>
          </cell>
          <cell r="B388" t="str">
            <v>Mariane Nascimento</v>
          </cell>
        </row>
        <row r="389">
          <cell r="A389" t="str">
            <v>05.059.358/0001-03</v>
          </cell>
          <cell r="B389" t="str">
            <v>Mariane Nascimento</v>
          </cell>
        </row>
        <row r="390">
          <cell r="A390" t="str">
            <v>39.032.974/0001-92</v>
          </cell>
          <cell r="B390" t="str">
            <v>Mariane Nascimento</v>
          </cell>
        </row>
        <row r="391">
          <cell r="A391" t="str">
            <v>47.411.780/0001-26</v>
          </cell>
          <cell r="B391" t="str">
            <v>Mariane Nascimento</v>
          </cell>
        </row>
        <row r="392">
          <cell r="A392" t="str">
            <v>47.411.780/0001-26</v>
          </cell>
          <cell r="B392" t="str">
            <v>Mariane Nascimento</v>
          </cell>
        </row>
        <row r="393">
          <cell r="A393" t="str">
            <v>33.373.325/0001-79</v>
          </cell>
          <cell r="B393" t="str">
            <v>Mariane Nascimento</v>
          </cell>
        </row>
        <row r="394">
          <cell r="A394" t="str">
            <v>12.648.327/0001-53</v>
          </cell>
          <cell r="B394" t="str">
            <v>Mariane Nascimento</v>
          </cell>
        </row>
        <row r="395">
          <cell r="A395" t="str">
            <v>01.722.296/0001-17</v>
          </cell>
          <cell r="B395" t="str">
            <v>Mariane Nascimento</v>
          </cell>
        </row>
        <row r="396">
          <cell r="A396" t="str">
            <v>62.413.869/0001-15</v>
          </cell>
          <cell r="B396" t="str">
            <v>Mariane Nascimento</v>
          </cell>
        </row>
        <row r="397">
          <cell r="A397" t="str">
            <v>62.413.869/0001-15</v>
          </cell>
          <cell r="B397" t="str">
            <v>Mariane Nascimento</v>
          </cell>
        </row>
        <row r="398">
          <cell r="A398" t="str">
            <v>02.563.570/0001-15</v>
          </cell>
          <cell r="B398" t="str">
            <v>Mariane Nascimento</v>
          </cell>
        </row>
        <row r="399">
          <cell r="A399" t="str">
            <v>02.333.707/0001-45</v>
          </cell>
          <cell r="B399" t="str">
            <v>Mariane Nascimento</v>
          </cell>
        </row>
        <row r="400">
          <cell r="A400" t="str">
            <v>02.333.707/0001-45</v>
          </cell>
          <cell r="B400" t="str">
            <v>Mariane Nascimento</v>
          </cell>
        </row>
        <row r="401">
          <cell r="A401" t="str">
            <v>02.333.707/0001-45</v>
          </cell>
          <cell r="B401" t="str">
            <v>Mariane Nascimento</v>
          </cell>
        </row>
        <row r="402">
          <cell r="A402" t="str">
            <v>02.333.707/0001-45</v>
          </cell>
          <cell r="B402" t="str">
            <v>Mariane Nascimento</v>
          </cell>
        </row>
        <row r="403">
          <cell r="A403" t="str">
            <v>02.333.707/0001-45</v>
          </cell>
          <cell r="B403" t="str">
            <v>Mariane Nascimento</v>
          </cell>
        </row>
        <row r="404">
          <cell r="A404" t="str">
            <v>57.559.387/0001-38</v>
          </cell>
          <cell r="B404" t="str">
            <v>Malu Montesino</v>
          </cell>
        </row>
        <row r="405">
          <cell r="A405" t="str">
            <v>01.722.296/0001-17</v>
          </cell>
          <cell r="B405" t="str">
            <v>Mariane Nascimento</v>
          </cell>
        </row>
        <row r="406">
          <cell r="A406" t="str">
            <v>01.722.296/0001-17</v>
          </cell>
          <cell r="B406" t="str">
            <v>Mariane Nascimento</v>
          </cell>
        </row>
        <row r="407">
          <cell r="A407" t="str">
            <v>05.495.281/0001-14</v>
          </cell>
          <cell r="B407" t="str">
            <v>Mariane Nascimento</v>
          </cell>
        </row>
        <row r="408">
          <cell r="A408" t="str">
            <v>05.495.281/0001-14</v>
          </cell>
          <cell r="B408" t="str">
            <v>Mariane Nascimento</v>
          </cell>
        </row>
        <row r="409">
          <cell r="A409" t="str">
            <v>80.550.452/0001-86</v>
          </cell>
          <cell r="B409" t="str">
            <v>Malu Montesino</v>
          </cell>
        </row>
        <row r="410">
          <cell r="A410" t="str">
            <v>08.658.622/0001-13</v>
          </cell>
          <cell r="B410" t="str">
            <v>Malu Montesino</v>
          </cell>
        </row>
        <row r="411">
          <cell r="A411" t="str">
            <v>19.653.054/0001-84</v>
          </cell>
          <cell r="B411" t="str">
            <v>Malu Montesino</v>
          </cell>
        </row>
        <row r="412">
          <cell r="A412" t="str">
            <v>51.464.012/0001-08</v>
          </cell>
          <cell r="B412" t="str">
            <v>Malu Montesino</v>
          </cell>
        </row>
        <row r="413">
          <cell r="A413" t="str">
            <v>07.439.329/0004-45</v>
          </cell>
          <cell r="B413" t="str">
            <v>Malu Montesino</v>
          </cell>
        </row>
        <row r="414">
          <cell r="A414" t="str">
            <v>26.696.411/0001-57</v>
          </cell>
          <cell r="B414" t="str">
            <v>Malu Montesino</v>
          </cell>
        </row>
        <row r="415">
          <cell r="A415" t="str">
            <v>42.006.441/0001-40</v>
          </cell>
          <cell r="B415" t="str">
            <v>Malu Montesino</v>
          </cell>
        </row>
        <row r="416">
          <cell r="A416" t="str">
            <v>56.643.018/0001-66</v>
          </cell>
          <cell r="B416" t="str">
            <v>Malu Montesino</v>
          </cell>
        </row>
        <row r="417">
          <cell r="A417" t="str">
            <v>35.799.641/0001-32</v>
          </cell>
          <cell r="B417" t="str">
            <v>Malu Montesino</v>
          </cell>
        </row>
        <row r="418">
          <cell r="A418" t="str">
            <v>27.061.442/0001-02</v>
          </cell>
          <cell r="B418" t="str">
            <v>Malu Montesino</v>
          </cell>
        </row>
        <row r="419">
          <cell r="A419" t="str">
            <v>03.770.521/0001-16</v>
          </cell>
          <cell r="B419" t="str">
            <v>Malu Montesino</v>
          </cell>
        </row>
        <row r="420">
          <cell r="A420" t="str">
            <v>03.770.521/0001-16</v>
          </cell>
          <cell r="B420" t="str">
            <v>Malu Montesino</v>
          </cell>
        </row>
        <row r="421">
          <cell r="A421" t="str">
            <v>14.666.357/0001-18</v>
          </cell>
          <cell r="B421" t="str">
            <v>Malu Montesino</v>
          </cell>
        </row>
        <row r="422">
          <cell r="A422" t="str">
            <v>05.222.267/0001-47</v>
          </cell>
          <cell r="B422" t="str">
            <v>Malu Montesino</v>
          </cell>
        </row>
        <row r="423">
          <cell r="A423" t="str">
            <v>55.979.736/0001-45</v>
          </cell>
          <cell r="B423" t="str">
            <v>Malu Montesino</v>
          </cell>
        </row>
        <row r="424">
          <cell r="A424" t="str">
            <v>55.979.736/0001-45</v>
          </cell>
          <cell r="B424" t="str">
            <v>Malu Montesino</v>
          </cell>
        </row>
        <row r="425">
          <cell r="A425" t="str">
            <v>58.430.828/0001-60</v>
          </cell>
          <cell r="B425" t="str">
            <v>Malu Montesino</v>
          </cell>
        </row>
        <row r="426">
          <cell r="A426" t="str">
            <v>14.016.443/0001-85</v>
          </cell>
          <cell r="B426" t="str">
            <v>Malu Montesino</v>
          </cell>
        </row>
        <row r="427">
          <cell r="A427" t="str">
            <v>14.016.443/0001-85</v>
          </cell>
          <cell r="B427" t="str">
            <v>Malu Montesino</v>
          </cell>
        </row>
        <row r="428">
          <cell r="A428" t="str">
            <v>59.408.005/0001-09</v>
          </cell>
          <cell r="B428" t="str">
            <v>Malu Montesino</v>
          </cell>
        </row>
        <row r="429">
          <cell r="A429" t="str">
            <v>25.359.155/0001-40</v>
          </cell>
          <cell r="B429" t="str">
            <v>Malu Montesino</v>
          </cell>
        </row>
        <row r="430">
          <cell r="A430" t="str">
            <v>39.032.974/0001-92</v>
          </cell>
          <cell r="B430" t="str">
            <v>Mariane Nascimento</v>
          </cell>
        </row>
        <row r="431">
          <cell r="A431" t="str">
            <v>02.816.696/0001-54</v>
          </cell>
          <cell r="B431" t="str">
            <v>Malu Montesino</v>
          </cell>
        </row>
        <row r="432">
          <cell r="A432" t="str">
            <v>14.646.435/0001-12</v>
          </cell>
          <cell r="B432" t="str">
            <v>Mariane Nascimento</v>
          </cell>
        </row>
        <row r="433">
          <cell r="A433" t="str">
            <v>05.495.281/0001-14</v>
          </cell>
          <cell r="B433" t="str">
            <v>Mariane Nascimento</v>
          </cell>
        </row>
        <row r="434">
          <cell r="A434" t="str">
            <v>28.531.958/0001-28</v>
          </cell>
          <cell r="B434" t="str">
            <v>Mariane Nascimento</v>
          </cell>
        </row>
        <row r="435">
          <cell r="A435" t="str">
            <v>07.133.384/0001-60</v>
          </cell>
          <cell r="B435" t="str">
            <v>Mariane Nascimento</v>
          </cell>
        </row>
        <row r="436">
          <cell r="A436" t="str">
            <v>14.510.712/0001-65</v>
          </cell>
          <cell r="B436" t="str">
            <v>Mariane Nascimento</v>
          </cell>
        </row>
        <row r="437">
          <cell r="A437" t="str">
            <v>84.683.879/0001-03</v>
          </cell>
          <cell r="B437" t="str">
            <v>Malu Montesino</v>
          </cell>
        </row>
        <row r="438">
          <cell r="A438" t="str">
            <v>60.665.981/0001-18</v>
          </cell>
          <cell r="B438" t="str">
            <v>Mariane Nascimento</v>
          </cell>
        </row>
        <row r="439">
          <cell r="A439" t="str">
            <v>06.172.467/0001-03</v>
          </cell>
          <cell r="B439" t="str">
            <v>Mariane Nascimento</v>
          </cell>
        </row>
        <row r="440">
          <cell r="A440" t="str">
            <v>06.172.467/0001-03</v>
          </cell>
          <cell r="B440" t="str">
            <v>Mariane Nascimento</v>
          </cell>
        </row>
        <row r="441">
          <cell r="A441" t="str">
            <v>62.802.012/0001-97</v>
          </cell>
          <cell r="B441" t="str">
            <v>Mariane Nascimento</v>
          </cell>
        </row>
        <row r="442">
          <cell r="A442" t="str">
            <v>02.377.937/0001-06</v>
          </cell>
          <cell r="B442" t="str">
            <v>Mariane Nascimento</v>
          </cell>
        </row>
        <row r="443">
          <cell r="A443" t="str">
            <v>88.611.835/0001-29</v>
          </cell>
          <cell r="B443" t="str">
            <v>Malu Montesino</v>
          </cell>
        </row>
        <row r="444">
          <cell r="A444" t="str">
            <v>55.979.736/0001-45</v>
          </cell>
          <cell r="B444" t="str">
            <v>Malu Montesino</v>
          </cell>
        </row>
        <row r="445">
          <cell r="A445" t="str">
            <v>59.104.422/0001-50</v>
          </cell>
          <cell r="B445" t="str">
            <v>Malu Montesino</v>
          </cell>
        </row>
        <row r="446">
          <cell r="A446" t="str">
            <v>02.325.176/0001-49</v>
          </cell>
          <cell r="B446" t="str">
            <v>Malu Montesino</v>
          </cell>
        </row>
        <row r="447">
          <cell r="A447" t="str">
            <v>42.150.391/0001-70</v>
          </cell>
          <cell r="B447" t="str">
            <v>Malu Montesino</v>
          </cell>
        </row>
        <row r="448">
          <cell r="A448" t="str">
            <v>34.115.188/0001-35</v>
          </cell>
          <cell r="B448" t="str">
            <v>Malu Montesino</v>
          </cell>
        </row>
        <row r="449">
          <cell r="A449" t="str">
            <v>34.115.188/0001-35</v>
          </cell>
          <cell r="B449" t="str">
            <v>Malu Montesino</v>
          </cell>
        </row>
        <row r="450">
          <cell r="A450" t="str">
            <v>01.679.569/0001-98</v>
          </cell>
          <cell r="B450" t="str">
            <v>Malu Montesino</v>
          </cell>
        </row>
        <row r="451">
          <cell r="A451" t="str">
            <v>12.255.403/0001-60</v>
          </cell>
          <cell r="B451" t="str">
            <v>Malu Montesino</v>
          </cell>
        </row>
        <row r="452">
          <cell r="A452" t="str">
            <v>18.809.570/0001-92</v>
          </cell>
          <cell r="B452" t="str">
            <v>Mariane Nascimento</v>
          </cell>
        </row>
        <row r="453">
          <cell r="A453" t="str">
            <v>18.809.570/0001-92</v>
          </cell>
          <cell r="B453" t="str">
            <v>Mariane Nascimento</v>
          </cell>
        </row>
        <row r="454">
          <cell r="A454" t="str">
            <v>89.637.490/0001-45</v>
          </cell>
          <cell r="B454" t="str">
            <v>Malu Montesino</v>
          </cell>
        </row>
        <row r="455">
          <cell r="A455" t="str">
            <v>89.637.490/0001-45</v>
          </cell>
          <cell r="B455" t="str">
            <v>Malu Montesino</v>
          </cell>
        </row>
        <row r="456">
          <cell r="A456" t="str">
            <v>02.816.696/0001-54</v>
          </cell>
          <cell r="B456" t="str">
            <v>Malu Montesino</v>
          </cell>
        </row>
        <row r="457">
          <cell r="A457" t="str">
            <v>02.816.696/0001-54</v>
          </cell>
          <cell r="B457" t="str">
            <v>Malu Montesino</v>
          </cell>
        </row>
        <row r="458">
          <cell r="A458" t="str">
            <v>61.467.528/0001-60</v>
          </cell>
          <cell r="B458" t="str">
            <v>Mariane Nascimento</v>
          </cell>
        </row>
        <row r="459">
          <cell r="A459" t="str">
            <v>60.620.366/0001-95</v>
          </cell>
          <cell r="B459" t="str">
            <v>Malu Montesino</v>
          </cell>
        </row>
        <row r="460">
          <cell r="A460" t="str">
            <v>60.620.366/0001-95</v>
          </cell>
          <cell r="B460" t="str">
            <v>Malu Montesino</v>
          </cell>
        </row>
        <row r="461">
          <cell r="A461" t="str">
            <v>60.620.366/0001-95</v>
          </cell>
          <cell r="B461" t="str">
            <v>Malu Montesino</v>
          </cell>
        </row>
        <row r="462">
          <cell r="A462" t="str">
            <v>14.309.992/0001-48</v>
          </cell>
          <cell r="B462" t="str">
            <v>Malu Montesino</v>
          </cell>
        </row>
        <row r="463">
          <cell r="A463" t="str">
            <v>46.138.319/0001-89</v>
          </cell>
          <cell r="B463" t="str">
            <v>Malu Montesino</v>
          </cell>
        </row>
        <row r="464">
          <cell r="A464" t="str">
            <v>46.138.319/0001-89</v>
          </cell>
          <cell r="B464" t="str">
            <v>Malu Montesino</v>
          </cell>
        </row>
        <row r="465">
          <cell r="A465" t="str">
            <v>04.910.323/0001-73</v>
          </cell>
          <cell r="B465" t="str">
            <v>Malu Montesino</v>
          </cell>
        </row>
        <row r="466">
          <cell r="A466" t="str">
            <v>84.683.879/0001-03</v>
          </cell>
          <cell r="B466" t="str">
            <v>Malu Montesino</v>
          </cell>
        </row>
        <row r="467">
          <cell r="A467" t="str">
            <v>02.377.937/0001-06</v>
          </cell>
          <cell r="B467" t="str">
            <v>Mariane Nascimento</v>
          </cell>
        </row>
        <row r="468">
          <cell r="A468" t="str">
            <v>09.485.574/0001-71</v>
          </cell>
          <cell r="B468" t="str">
            <v>Mariane Nascimento</v>
          </cell>
        </row>
        <row r="469">
          <cell r="A469" t="str">
            <v>11.619.992/0001-56</v>
          </cell>
          <cell r="B469" t="str">
            <v>Mariane Nascimento</v>
          </cell>
        </row>
        <row r="470">
          <cell r="A470" t="str">
            <v>11.619.992/0001-56</v>
          </cell>
          <cell r="B470" t="str">
            <v>Mariane Nascimento</v>
          </cell>
        </row>
        <row r="471">
          <cell r="A471" t="str">
            <v>19.769.575/0001-00</v>
          </cell>
          <cell r="B471" t="str">
            <v>Mariane Nascimento</v>
          </cell>
        </row>
        <row r="472">
          <cell r="A472" t="str">
            <v>32.737.279/0001-87</v>
          </cell>
          <cell r="B472" t="str">
            <v>Mariane Nascimento</v>
          </cell>
        </row>
        <row r="473">
          <cell r="A473" t="str">
            <v>32.737.279/0001-87</v>
          </cell>
          <cell r="B473" t="str">
            <v>Mariane Nascimento</v>
          </cell>
        </row>
        <row r="474">
          <cell r="A474" t="str">
            <v>22.743.984/0001-33</v>
          </cell>
          <cell r="B474" t="str">
            <v>Mariane Nascimento</v>
          </cell>
        </row>
        <row r="475">
          <cell r="A475" t="str">
            <v>67.760.678/0001-43</v>
          </cell>
          <cell r="B475" t="str">
            <v>Mariane Nascimento</v>
          </cell>
        </row>
        <row r="476">
          <cell r="A476" t="str">
            <v>66.106.600/0001-47</v>
          </cell>
          <cell r="B476" t="str">
            <v>Mariane Nascimento</v>
          </cell>
        </row>
        <row r="477">
          <cell r="A477" t="str">
            <v>01.679.569/0001-98</v>
          </cell>
          <cell r="B477" t="str">
            <v>Malu Montesino</v>
          </cell>
        </row>
        <row r="478">
          <cell r="A478" t="str">
            <v>60.620.366/0001-95</v>
          </cell>
          <cell r="B478" t="str">
            <v>Malu Montesino</v>
          </cell>
        </row>
        <row r="479">
          <cell r="A479" t="str">
            <v>60.620.366/0001-95</v>
          </cell>
          <cell r="B479" t="str">
            <v>Malu Montesino</v>
          </cell>
        </row>
        <row r="480">
          <cell r="A480" t="str">
            <v>60.872.306/0001-60</v>
          </cell>
          <cell r="B480" t="str">
            <v>Malu Montesino</v>
          </cell>
        </row>
        <row r="481">
          <cell r="A481" t="str">
            <v>42.150.391/0001-70</v>
          </cell>
          <cell r="B481" t="str">
            <v>Malu Montesino</v>
          </cell>
        </row>
        <row r="482">
          <cell r="A482" t="str">
            <v>42.150.391/0001-70</v>
          </cell>
          <cell r="B482" t="str">
            <v>Malu Montesino</v>
          </cell>
        </row>
        <row r="483">
          <cell r="A483" t="str">
            <v>05.495.281/0001-14</v>
          </cell>
          <cell r="B483" t="str">
            <v>Mariane Nascimento</v>
          </cell>
        </row>
        <row r="484">
          <cell r="A484" t="str">
            <v>61.467.528/0001-60</v>
          </cell>
          <cell r="B484" t="str">
            <v>Mariane Nascimento</v>
          </cell>
        </row>
        <row r="485">
          <cell r="A485" t="str">
            <v>12.255.403/0001-60</v>
          </cell>
          <cell r="B485" t="str">
            <v>Malu Montesino</v>
          </cell>
        </row>
        <row r="486">
          <cell r="A486" t="str">
            <v>14.309.992/0001-48</v>
          </cell>
          <cell r="B486" t="str">
            <v>Malu Montesino</v>
          </cell>
        </row>
        <row r="487">
          <cell r="A487" t="str">
            <v>27.061.442/0001-02</v>
          </cell>
          <cell r="B487" t="str">
            <v>Malu Montesino</v>
          </cell>
        </row>
        <row r="488">
          <cell r="A488" t="str">
            <v>12.483.930/0001-22</v>
          </cell>
          <cell r="B488" t="str">
            <v>Malu Montesino</v>
          </cell>
        </row>
        <row r="489">
          <cell r="A489" t="str">
            <v>14.666.357/0001-18</v>
          </cell>
          <cell r="B489" t="str">
            <v>Malu Montesino</v>
          </cell>
        </row>
        <row r="490">
          <cell r="A490" t="str">
            <v>10.861.317/0001-76</v>
          </cell>
          <cell r="B490" t="str">
            <v>Mariane Nascimento</v>
          </cell>
        </row>
        <row r="491">
          <cell r="A491" t="str">
            <v>10.861.317/0001-76</v>
          </cell>
          <cell r="B491" t="str">
            <v>Mariane Nascimento</v>
          </cell>
        </row>
        <row r="492">
          <cell r="A492" t="str">
            <v>03.117.534/0001-90</v>
          </cell>
          <cell r="B492" t="str">
            <v>Malu Montesino</v>
          </cell>
        </row>
        <row r="493">
          <cell r="A493" t="str">
            <v>03.117.534/0001-90</v>
          </cell>
          <cell r="B493" t="str">
            <v>Malu Montesino</v>
          </cell>
        </row>
        <row r="494">
          <cell r="A494" t="str">
            <v>02.659.246/0003-67</v>
          </cell>
          <cell r="B494" t="str">
            <v>Mariane Nascimento</v>
          </cell>
        </row>
        <row r="495">
          <cell r="A495" t="str">
            <v>02.659.246/0003-67</v>
          </cell>
          <cell r="B495" t="str">
            <v>Mariane Nascimento</v>
          </cell>
        </row>
        <row r="496">
          <cell r="A496" t="str">
            <v>61.074.506/0001-30</v>
          </cell>
          <cell r="B496" t="str">
            <v>Malu Montesino</v>
          </cell>
        </row>
        <row r="497">
          <cell r="A497" t="str">
            <v>04.740.876/0001-25</v>
          </cell>
          <cell r="B497" t="str">
            <v>Malu Montesino</v>
          </cell>
        </row>
        <row r="498">
          <cell r="A498" t="str">
            <v>58.752.460/0001-56</v>
          </cell>
          <cell r="B498" t="str">
            <v>Mariane Nascimento</v>
          </cell>
        </row>
        <row r="499">
          <cell r="A499" t="str">
            <v>58.752.460/0001-56</v>
          </cell>
          <cell r="B499" t="str">
            <v>Mariane Nascimento</v>
          </cell>
        </row>
        <row r="500">
          <cell r="A500" t="str">
            <v>58.752.460/0001-56</v>
          </cell>
          <cell r="B500" t="str">
            <v>Mariane Nascimento</v>
          </cell>
        </row>
        <row r="501">
          <cell r="A501" t="str">
            <v>10.962.495/0001-93</v>
          </cell>
          <cell r="B501" t="str">
            <v>Malu Montesino</v>
          </cell>
        </row>
        <row r="502">
          <cell r="A502" t="str">
            <v>10.962.495/0001-93</v>
          </cell>
          <cell r="B502" t="str">
            <v>Malu Montesino</v>
          </cell>
        </row>
        <row r="503">
          <cell r="A503" t="str">
            <v>10.962.495/0001-93</v>
          </cell>
          <cell r="B503" t="str">
            <v>Malu Montesino</v>
          </cell>
        </row>
        <row r="504">
          <cell r="A504" t="str">
            <v>08.675.394/0001-90</v>
          </cell>
          <cell r="B504" t="str">
            <v>Mariane Nascimento</v>
          </cell>
        </row>
        <row r="505">
          <cell r="A505" t="str">
            <v>08.675.394/0001-90</v>
          </cell>
          <cell r="B505" t="str">
            <v>Mariane Nascimento</v>
          </cell>
        </row>
        <row r="506">
          <cell r="A506" t="str">
            <v>33.958.695/0001-78</v>
          </cell>
          <cell r="B506" t="str">
            <v>Malu Montesino</v>
          </cell>
        </row>
        <row r="507">
          <cell r="A507" t="str">
            <v>07.884.692/0001-27</v>
          </cell>
          <cell r="B507" t="str">
            <v>Malu Montesino</v>
          </cell>
        </row>
        <row r="508">
          <cell r="A508" t="str">
            <v>89.637.490/0001-45</v>
          </cell>
          <cell r="B508" t="str">
            <v>Malu Montesino</v>
          </cell>
        </row>
        <row r="509">
          <cell r="A509" t="str">
            <v>89.637.490/0001-45</v>
          </cell>
          <cell r="B509" t="str">
            <v>Malu Montesino</v>
          </cell>
        </row>
        <row r="510">
          <cell r="A510" t="str">
            <v>61.467.528/0001-60</v>
          </cell>
          <cell r="B510" t="str">
            <v>Mariane Nascimento</v>
          </cell>
        </row>
        <row r="511">
          <cell r="A511" t="str">
            <v>60.620.366/0001-95</v>
          </cell>
          <cell r="B511" t="str">
            <v>Malu Montesino</v>
          </cell>
        </row>
        <row r="512">
          <cell r="A512" t="str">
            <v>14.309.992/0001-48</v>
          </cell>
          <cell r="B512" t="str">
            <v>Malu Montesino</v>
          </cell>
        </row>
        <row r="513">
          <cell r="A513" t="str">
            <v>88.634.977/0001-01</v>
          </cell>
          <cell r="B513" t="str">
            <v>Malu Montesino</v>
          </cell>
        </row>
        <row r="514">
          <cell r="A514" t="str">
            <v>04.910.323/0001-73</v>
          </cell>
          <cell r="B514" t="str">
            <v>Malu Montesino</v>
          </cell>
        </row>
        <row r="515">
          <cell r="A515" t="str">
            <v>18.257.524/0001-28</v>
          </cell>
          <cell r="B515" t="str">
            <v>Malu Montesino</v>
          </cell>
        </row>
        <row r="516">
          <cell r="A516" t="str">
            <v>00.204.589/0003-01</v>
          </cell>
          <cell r="B516" t="str">
            <v>Malu Montesino</v>
          </cell>
        </row>
        <row r="517">
          <cell r="A517" t="str">
            <v>53.296.273/0001-91</v>
          </cell>
          <cell r="B517" t="str">
            <v>Malu Montesino</v>
          </cell>
        </row>
        <row r="518">
          <cell r="A518" t="str">
            <v>28.531.958/0001-28</v>
          </cell>
          <cell r="B518" t="str">
            <v>Mariane Nascimento</v>
          </cell>
        </row>
        <row r="519">
          <cell r="A519" t="str">
            <v>09.485.574/0001-71</v>
          </cell>
          <cell r="B519" t="str">
            <v>Mariane Nascimento</v>
          </cell>
        </row>
        <row r="520">
          <cell r="A520" t="str">
            <v>01.352.926/0001-09</v>
          </cell>
          <cell r="B520" t="str">
            <v>Malu Montesino</v>
          </cell>
        </row>
        <row r="521">
          <cell r="A521" t="str">
            <v>87.833.737/0001-73</v>
          </cell>
          <cell r="B521" t="str">
            <v>Malu Montesino</v>
          </cell>
        </row>
        <row r="522">
          <cell r="A522" t="str">
            <v>05.495.281/0001-14</v>
          </cell>
          <cell r="B522" t="str">
            <v>Mariane Nascimento</v>
          </cell>
        </row>
        <row r="523">
          <cell r="A523" t="str">
            <v>00.094.397/0001-28</v>
          </cell>
          <cell r="B523" t="str">
            <v>Mariane Nascimento</v>
          </cell>
        </row>
        <row r="524">
          <cell r="A524" t="str">
            <v>05.934.885/0001-10</v>
          </cell>
          <cell r="B524" t="str">
            <v>Mariane Nascimento</v>
          </cell>
        </row>
        <row r="525">
          <cell r="A525" t="str">
            <v>05.495.281/0001-14</v>
          </cell>
          <cell r="B525" t="str">
            <v>Mariane Nascimento</v>
          </cell>
        </row>
        <row r="526">
          <cell r="A526" t="str">
            <v>05.495.281/0001-14</v>
          </cell>
          <cell r="B526" t="str">
            <v>Mariane Nascimento</v>
          </cell>
        </row>
        <row r="527">
          <cell r="A527" t="str">
            <v>05.495.281/0001-14</v>
          </cell>
          <cell r="B527" t="str">
            <v>Mariane Nascimento</v>
          </cell>
        </row>
        <row r="528">
          <cell r="A528" t="str">
            <v>05.495.281/0001-14</v>
          </cell>
          <cell r="B528" t="str">
            <v>Mariane Nascimento</v>
          </cell>
        </row>
        <row r="529">
          <cell r="A529" t="str">
            <v>05.495.281/0001-14</v>
          </cell>
          <cell r="B529" t="str">
            <v>Mariane Nascimento</v>
          </cell>
        </row>
        <row r="530">
          <cell r="A530" t="str">
            <v>05.495.281/0001-14</v>
          </cell>
          <cell r="B530" t="str">
            <v>Mariane Nascimento</v>
          </cell>
        </row>
        <row r="531">
          <cell r="A531" t="str">
            <v>05.495.281/0001-14</v>
          </cell>
          <cell r="B531" t="str">
            <v>Mariane Nascimento</v>
          </cell>
        </row>
        <row r="532">
          <cell r="A532" t="str">
            <v>05.495.281/0001-14</v>
          </cell>
          <cell r="B532" t="str">
            <v>Mariane Nascimento</v>
          </cell>
        </row>
        <row r="533">
          <cell r="A533" t="str">
            <v>05.495.281/0001-14</v>
          </cell>
          <cell r="B533" t="str">
            <v>Mariane Nascimento</v>
          </cell>
        </row>
        <row r="534">
          <cell r="A534" t="str">
            <v>05.495.281/0001-14</v>
          </cell>
          <cell r="B534" t="str">
            <v>Mariane Nascimento</v>
          </cell>
        </row>
        <row r="535">
          <cell r="A535" t="str">
            <v>05.495.281/0001-14</v>
          </cell>
          <cell r="B535" t="str">
            <v>Mariane Nascimento</v>
          </cell>
        </row>
        <row r="536">
          <cell r="A536" t="str">
            <v>05.495.281/0001-14</v>
          </cell>
          <cell r="B536" t="str">
            <v>Mariane Nascimento</v>
          </cell>
        </row>
        <row r="537">
          <cell r="A537" t="str">
            <v>05.495.281/0001-14</v>
          </cell>
          <cell r="B537" t="str">
            <v>Mariane Nascimento</v>
          </cell>
        </row>
        <row r="538">
          <cell r="A538" t="str">
            <v>05.495.281/0001-14</v>
          </cell>
          <cell r="B538" t="str">
            <v>Mariane Nascimento</v>
          </cell>
        </row>
        <row r="539">
          <cell r="A539" t="str">
            <v>05.495.281/0001-14</v>
          </cell>
          <cell r="B539" t="str">
            <v>Mariane Nascimento</v>
          </cell>
        </row>
        <row r="540">
          <cell r="A540" t="str">
            <v>05.495.281/0001-14</v>
          </cell>
          <cell r="B540" t="str">
            <v>Mariane Nascimento</v>
          </cell>
        </row>
        <row r="541">
          <cell r="A541" t="str">
            <v>05.495.281/0001-14</v>
          </cell>
          <cell r="B541" t="str">
            <v>Mariane Nascimento</v>
          </cell>
        </row>
        <row r="542">
          <cell r="A542" t="str">
            <v>05.495.281/0001-14</v>
          </cell>
          <cell r="B542" t="str">
            <v>Mariane Nascimento</v>
          </cell>
        </row>
        <row r="543">
          <cell r="A543" t="str">
            <v>05.495.281/0001-14</v>
          </cell>
          <cell r="B543" t="str">
            <v>Mariane Nascimento</v>
          </cell>
        </row>
        <row r="544">
          <cell r="A544" t="str">
            <v>05.495.281/0001-14</v>
          </cell>
          <cell r="B544" t="str">
            <v>Mariane Nascimento</v>
          </cell>
        </row>
        <row r="545">
          <cell r="A545" t="str">
            <v>05.495.281/0001-14</v>
          </cell>
          <cell r="B545" t="str">
            <v>Mariane Nascimento</v>
          </cell>
        </row>
        <row r="546">
          <cell r="A546" t="str">
            <v>05.495.281/0001-14</v>
          </cell>
          <cell r="B546" t="str">
            <v>Mariane Nascimento</v>
          </cell>
        </row>
        <row r="547">
          <cell r="A547" t="str">
            <v>05.495.281/0001-14</v>
          </cell>
          <cell r="B547" t="str">
            <v>Mariane Nascimento</v>
          </cell>
        </row>
        <row r="548">
          <cell r="A548" t="str">
            <v>05.495.281/0001-14</v>
          </cell>
          <cell r="B548" t="str">
            <v>Mariane Nascimento</v>
          </cell>
        </row>
        <row r="549">
          <cell r="A549" t="str">
            <v>05.495.281/0001-14</v>
          </cell>
          <cell r="B549" t="str">
            <v>Mariane Nascimento</v>
          </cell>
        </row>
        <row r="550">
          <cell r="A550" t="str">
            <v>05.495.281/0001-14</v>
          </cell>
          <cell r="B550" t="str">
            <v>Mariane Nascimento</v>
          </cell>
        </row>
        <row r="551">
          <cell r="A551" t="str">
            <v>05.495.281/0001-14</v>
          </cell>
          <cell r="B551" t="str">
            <v>Mariane Nascimento</v>
          </cell>
        </row>
        <row r="552">
          <cell r="A552" t="str">
            <v>05.495.281/0001-14</v>
          </cell>
          <cell r="B552" t="str">
            <v>Mariane Nascimento</v>
          </cell>
        </row>
        <row r="553">
          <cell r="A553" t="str">
            <v>05.495.281/0001-14</v>
          </cell>
          <cell r="B553" t="str">
            <v>Mariane Nascimento</v>
          </cell>
        </row>
        <row r="554">
          <cell r="A554" t="str">
            <v>05.495.281/0001-14</v>
          </cell>
          <cell r="B554" t="str">
            <v>Mariane Nascimento</v>
          </cell>
        </row>
        <row r="555">
          <cell r="A555" t="str">
            <v>05.495.281/0001-14</v>
          </cell>
          <cell r="B555" t="str">
            <v>Mariane Nascimento</v>
          </cell>
        </row>
        <row r="556">
          <cell r="A556" t="str">
            <v>05.495.281/0001-14</v>
          </cell>
          <cell r="B556" t="str">
            <v>Mariane Nascimento</v>
          </cell>
        </row>
        <row r="557">
          <cell r="A557" t="str">
            <v>05.495.281/0001-14</v>
          </cell>
          <cell r="B557" t="str">
            <v>Mariane Nascimento</v>
          </cell>
        </row>
        <row r="558">
          <cell r="A558" t="str">
            <v>05.495.281/0001-14</v>
          </cell>
          <cell r="B558" t="str">
            <v>Mariane Nascimento</v>
          </cell>
        </row>
        <row r="559">
          <cell r="A559" t="str">
            <v>05.495.281/0001-14</v>
          </cell>
          <cell r="B559" t="str">
            <v>Mariane Nascimento</v>
          </cell>
        </row>
        <row r="560">
          <cell r="A560" t="str">
            <v>05.495.281/0001-14</v>
          </cell>
          <cell r="B560" t="str">
            <v>Mariane Nascimento</v>
          </cell>
        </row>
        <row r="561">
          <cell r="A561" t="str">
            <v>05.495.281/0001-14</v>
          </cell>
          <cell r="B561" t="str">
            <v>Mariane Nascimento</v>
          </cell>
        </row>
        <row r="562">
          <cell r="A562" t="str">
            <v>05.495.281/0001-14</v>
          </cell>
          <cell r="B562" t="str">
            <v>Mariane Nascimento</v>
          </cell>
        </row>
        <row r="563">
          <cell r="A563" t="str">
            <v>05.495.281/0001-14</v>
          </cell>
          <cell r="B563" t="str">
            <v>Mariane Nascimento</v>
          </cell>
        </row>
        <row r="564">
          <cell r="A564" t="str">
            <v>05.495.281/0001-14</v>
          </cell>
          <cell r="B564" t="str">
            <v>Mariane Nascimento</v>
          </cell>
        </row>
        <row r="565">
          <cell r="A565" t="str">
            <v>05.495.281/0001-14</v>
          </cell>
          <cell r="B565" t="str">
            <v>Mariane Nascimento</v>
          </cell>
        </row>
        <row r="566">
          <cell r="A566" t="str">
            <v>05.495.281/0001-14</v>
          </cell>
          <cell r="B566" t="str">
            <v>Mariane Nascimento</v>
          </cell>
        </row>
        <row r="567">
          <cell r="A567" t="str">
            <v>05.495.281/0001-14</v>
          </cell>
          <cell r="B567" t="str">
            <v>Mariane Nascimento</v>
          </cell>
        </row>
        <row r="568">
          <cell r="A568" t="str">
            <v>05.495.281/0001-14</v>
          </cell>
          <cell r="B568" t="str">
            <v>Mariane Nascimento</v>
          </cell>
        </row>
        <row r="569">
          <cell r="A569" t="str">
            <v>05.495.281/0001-14</v>
          </cell>
          <cell r="B569" t="str">
            <v>Mariane Nascimento</v>
          </cell>
        </row>
        <row r="570">
          <cell r="A570" t="str">
            <v>05.495.281/0001-14</v>
          </cell>
          <cell r="B570" t="str">
            <v>Mariane Nascimento</v>
          </cell>
        </row>
        <row r="571">
          <cell r="A571" t="str">
            <v>05.495.281/0001-14</v>
          </cell>
          <cell r="B571" t="str">
            <v>Mariane Nascimento</v>
          </cell>
        </row>
        <row r="572">
          <cell r="A572" t="str">
            <v>05.495.281/0001-14</v>
          </cell>
          <cell r="B572" t="str">
            <v>Mariane Nascimento</v>
          </cell>
        </row>
        <row r="573">
          <cell r="A573" t="str">
            <v>05.495.281/0001-14</v>
          </cell>
          <cell r="B573" t="str">
            <v>Mariane Nascimento</v>
          </cell>
        </row>
        <row r="574">
          <cell r="A574" t="str">
            <v>05.495.281/0001-14</v>
          </cell>
          <cell r="B574" t="str">
            <v>Mariane Nascimento</v>
          </cell>
        </row>
        <row r="575">
          <cell r="A575" t="str">
            <v>05.495.281/0001-14</v>
          </cell>
          <cell r="B575" t="str">
            <v>Mariane Nascimento</v>
          </cell>
        </row>
        <row r="576">
          <cell r="A576" t="str">
            <v>88.634.977/0001-01</v>
          </cell>
          <cell r="B576" t="str">
            <v>Malu Montesino</v>
          </cell>
        </row>
        <row r="577">
          <cell r="A577" t="str">
            <v>01.352.926/0001-09</v>
          </cell>
          <cell r="B577" t="str">
            <v>Malu Montesino</v>
          </cell>
        </row>
        <row r="578">
          <cell r="A578" t="str">
            <v>05.431.967/0001-41</v>
          </cell>
          <cell r="B578" t="str">
            <v>Malu Montesino</v>
          </cell>
        </row>
        <row r="579">
          <cell r="A579" t="str">
            <v>05.431.967/0001-41</v>
          </cell>
          <cell r="B579" t="str">
            <v>Malu Montesino</v>
          </cell>
        </row>
        <row r="580">
          <cell r="A580" t="str">
            <v>14.666.357/0001-18</v>
          </cell>
          <cell r="B580" t="str">
            <v>Malu Montesino</v>
          </cell>
        </row>
        <row r="581">
          <cell r="A581" t="str">
            <v>14.016.443/0001-85</v>
          </cell>
          <cell r="B581" t="str">
            <v>Malu Montesino</v>
          </cell>
        </row>
        <row r="582">
          <cell r="A582" t="str">
            <v>05.706.897/0001-97</v>
          </cell>
          <cell r="B582" t="str">
            <v>Malu Montesino</v>
          </cell>
        </row>
        <row r="583">
          <cell r="A583" t="str">
            <v>02.411.193/0001-07</v>
          </cell>
          <cell r="B583" t="str">
            <v>Malu Montesino</v>
          </cell>
        </row>
        <row r="584">
          <cell r="A584" t="str">
            <v>33.044.909/0001-09</v>
          </cell>
          <cell r="B584" t="str">
            <v>Malu Montesino</v>
          </cell>
        </row>
        <row r="585">
          <cell r="A585" t="str">
            <v>60.620.366/0001-95</v>
          </cell>
          <cell r="B585" t="str">
            <v>Malu Montesino</v>
          </cell>
        </row>
        <row r="586">
          <cell r="A586" t="str">
            <v>03.762.480/0001-16</v>
          </cell>
          <cell r="B586" t="str">
            <v>Malu Montesino</v>
          </cell>
        </row>
        <row r="587">
          <cell r="A587" t="str">
            <v>03.762.480/0001-16</v>
          </cell>
          <cell r="B587" t="str">
            <v>Malu Montesino</v>
          </cell>
        </row>
        <row r="588">
          <cell r="A588" t="str">
            <v>60.872.306/0001-60</v>
          </cell>
          <cell r="B588" t="str">
            <v>Malu Montesino</v>
          </cell>
        </row>
        <row r="589">
          <cell r="A589" t="str">
            <v>30.629.875/0001-18</v>
          </cell>
          <cell r="B589" t="str">
            <v>Malu Montesino</v>
          </cell>
        </row>
        <row r="590">
          <cell r="A590" t="str">
            <v>47.173.950/0001-81</v>
          </cell>
          <cell r="B590" t="str">
            <v>Malu Montesino</v>
          </cell>
        </row>
        <row r="591">
          <cell r="A591" t="str">
            <v>47.173.950/0001-81</v>
          </cell>
          <cell r="B591" t="str">
            <v>Malu Montesino</v>
          </cell>
        </row>
        <row r="592">
          <cell r="A592" t="str">
            <v>28.531.958/0001-28</v>
          </cell>
          <cell r="B592" t="str">
            <v>Mariane Nascimento</v>
          </cell>
        </row>
        <row r="593">
          <cell r="A593" t="str">
            <v>32.737.279/0001-87</v>
          </cell>
          <cell r="B593" t="str">
            <v>Mariane Nascimento</v>
          </cell>
        </row>
        <row r="594">
          <cell r="A594" t="str">
            <v>34.175.527/0001-79</v>
          </cell>
          <cell r="B594" t="str">
            <v>Malu Montesino</v>
          </cell>
        </row>
        <row r="595">
          <cell r="A595" t="str">
            <v>23.677.604/0001-72</v>
          </cell>
          <cell r="B595" t="str">
            <v>Mariane Nascimento</v>
          </cell>
        </row>
        <row r="596">
          <cell r="A596" t="str">
            <v>47.173.950/0001-81</v>
          </cell>
          <cell r="B596" t="str">
            <v>Malu Montesino</v>
          </cell>
        </row>
        <row r="597">
          <cell r="A597" t="str">
            <v>34.175.527/0001-79</v>
          </cell>
          <cell r="B597" t="str">
            <v>Malu Montesino</v>
          </cell>
        </row>
        <row r="598">
          <cell r="A598" t="str">
            <v>03.861.512/0001-30</v>
          </cell>
          <cell r="B598" t="str">
            <v>Mariane Nascimento</v>
          </cell>
        </row>
        <row r="599">
          <cell r="A599" t="str">
            <v>32.737.279/0001-87</v>
          </cell>
          <cell r="B599" t="str">
            <v>Mariane Nascimento</v>
          </cell>
        </row>
        <row r="600">
          <cell r="A600" t="str">
            <v>21.333.748/0001-86</v>
          </cell>
          <cell r="B600" t="str">
            <v>Malu Montesino</v>
          </cell>
        </row>
        <row r="601">
          <cell r="A601" t="str">
            <v>22.090.928/0001-47</v>
          </cell>
          <cell r="B601" t="str">
            <v>Malu Montesino</v>
          </cell>
        </row>
        <row r="602">
          <cell r="A602" t="str">
            <v>57.394.447/0004-52</v>
          </cell>
          <cell r="B602" t="str">
            <v>Malu Montesino</v>
          </cell>
        </row>
        <row r="603">
          <cell r="A603" t="str">
            <v>04.743.858/0001-05</v>
          </cell>
          <cell r="B603" t="str">
            <v>Malu Montesino</v>
          </cell>
        </row>
        <row r="604">
          <cell r="A604" t="str">
            <v>56.990.880/0011-17</v>
          </cell>
          <cell r="B604" t="str">
            <v>Malu Montesino</v>
          </cell>
        </row>
        <row r="605">
          <cell r="A605" t="str">
            <v>21.753.243/0001-70</v>
          </cell>
          <cell r="B605" t="str">
            <v>Malu Montesino</v>
          </cell>
        </row>
        <row r="606">
          <cell r="A606" t="str">
            <v>61.410.841/0001-61</v>
          </cell>
          <cell r="B606" t="str">
            <v>Malu Montesino</v>
          </cell>
        </row>
        <row r="607">
          <cell r="A607" t="str">
            <v>50.086.453/0001-50</v>
          </cell>
          <cell r="B607" t="str">
            <v>Malu Montesino</v>
          </cell>
        </row>
        <row r="608">
          <cell r="A608" t="str">
            <v>61.243.119/0001-80</v>
          </cell>
          <cell r="B608" t="str">
            <v>Malu Montesino</v>
          </cell>
        </row>
        <row r="609">
          <cell r="A609" t="str">
            <v>10.763.773/0001-83</v>
          </cell>
          <cell r="B609" t="str">
            <v>Malu Montesino</v>
          </cell>
        </row>
        <row r="610">
          <cell r="A610" t="str">
            <v>20.245.901/0001-50</v>
          </cell>
          <cell r="B610" t="str">
            <v>Malu Montesino</v>
          </cell>
        </row>
        <row r="611">
          <cell r="A611" t="str">
            <v>54.797.796/0001-84</v>
          </cell>
          <cell r="B611" t="str">
            <v>Malu Montesino</v>
          </cell>
        </row>
        <row r="612">
          <cell r="A612" t="str">
            <v>13.385.482/0001-97</v>
          </cell>
          <cell r="B612" t="str">
            <v>Malu Montesino</v>
          </cell>
        </row>
        <row r="613">
          <cell r="A613" t="str">
            <v>33.039.181/0001-19</v>
          </cell>
          <cell r="B613" t="str">
            <v>Malu Montesino</v>
          </cell>
        </row>
        <row r="614">
          <cell r="A614" t="str">
            <v>33.253.071/0001-55</v>
          </cell>
          <cell r="B614" t="str">
            <v>Malu Montesino</v>
          </cell>
        </row>
        <row r="615">
          <cell r="A615" t="str">
            <v>47.419.270/0005-29</v>
          </cell>
          <cell r="B615" t="str">
            <v>Malu Montesino</v>
          </cell>
        </row>
        <row r="616">
          <cell r="A616" t="str">
            <v>38.070.074/0001-77</v>
          </cell>
          <cell r="B616" t="str">
            <v>Malu Montesino</v>
          </cell>
        </row>
        <row r="617">
          <cell r="A617" t="str">
            <v>02.781.376/0001-06</v>
          </cell>
          <cell r="B617" t="str">
            <v>Malu Montesino</v>
          </cell>
        </row>
        <row r="618">
          <cell r="A618" t="str">
            <v>62.125.836/0001-70</v>
          </cell>
          <cell r="B618" t="str">
            <v>Malu Montesino</v>
          </cell>
        </row>
        <row r="619">
          <cell r="A619" t="str">
            <v>88.611.835/0001-29</v>
          </cell>
          <cell r="B619" t="str">
            <v>Malu Montesino</v>
          </cell>
        </row>
        <row r="620">
          <cell r="A620" t="str">
            <v>71.832.679/0001-23</v>
          </cell>
          <cell r="B620" t="str">
            <v>Malu Montesino</v>
          </cell>
        </row>
        <row r="621">
          <cell r="A621" t="str">
            <v>17.109.432/0001-38</v>
          </cell>
          <cell r="B621" t="str">
            <v>Malu Montesino</v>
          </cell>
        </row>
        <row r="622">
          <cell r="A622" t="str">
            <v>53.113.791/0001-22</v>
          </cell>
          <cell r="B622" t="str">
            <v>Malu Montesino</v>
          </cell>
        </row>
        <row r="623">
          <cell r="A623" t="str">
            <v>59.104.760/0001-91</v>
          </cell>
          <cell r="B623" t="str">
            <v>Malu Montesino</v>
          </cell>
        </row>
        <row r="624">
          <cell r="A624" t="str">
            <v>17.312.448/0001-43</v>
          </cell>
          <cell r="B624" t="str">
            <v>Malu Montesino</v>
          </cell>
        </row>
        <row r="625">
          <cell r="A625" t="str">
            <v>07.432.517/0001-07</v>
          </cell>
          <cell r="B625" t="str">
            <v>Malu Montesino</v>
          </cell>
        </row>
        <row r="626">
          <cell r="A626" t="str">
            <v>04.615.114/0001-05</v>
          </cell>
          <cell r="B626" t="str">
            <v>Malu Montesino</v>
          </cell>
        </row>
        <row r="627">
          <cell r="A627" t="str">
            <v>22.301.988/0001-61</v>
          </cell>
          <cell r="B627" t="str">
            <v>Malu Montesino</v>
          </cell>
        </row>
        <row r="628">
          <cell r="A628" t="str">
            <v>16.549.335/0001-01</v>
          </cell>
          <cell r="B628" t="str">
            <v>Malu Montesino</v>
          </cell>
        </row>
        <row r="629">
          <cell r="A629" t="str">
            <v>28.497.394/0001-54</v>
          </cell>
          <cell r="B629" t="str">
            <v>Malu Montesino</v>
          </cell>
        </row>
        <row r="630">
          <cell r="A630" t="str">
            <v>09.412.398/0001-48</v>
          </cell>
          <cell r="B630" t="str">
            <v>Malu Montesino</v>
          </cell>
        </row>
        <row r="631">
          <cell r="A631" t="str">
            <v>05.003.729/0001-35</v>
          </cell>
          <cell r="B631" t="str">
            <v>Malu Montesino</v>
          </cell>
        </row>
        <row r="632">
          <cell r="A632" t="str">
            <v>31.626.973/0001-64</v>
          </cell>
          <cell r="B632" t="str">
            <v>Malu Montesino</v>
          </cell>
        </row>
        <row r="633">
          <cell r="A633" t="str">
            <v>61.064.911/0001-77</v>
          </cell>
          <cell r="B633" t="str">
            <v>Malu Montesino</v>
          </cell>
        </row>
        <row r="634">
          <cell r="A634" t="str">
            <v>10.341.742/0001-34</v>
          </cell>
          <cell r="B634" t="str">
            <v>Malu Montesino</v>
          </cell>
        </row>
        <row r="635">
          <cell r="A635" t="str">
            <v>19.791.896/0001-00</v>
          </cell>
          <cell r="B635" t="str">
            <v>Vanessa</v>
          </cell>
        </row>
        <row r="636">
          <cell r="A636" t="str">
            <v>10.962.495/0001-93</v>
          </cell>
          <cell r="B636" t="str">
            <v>Malu Montesino</v>
          </cell>
        </row>
        <row r="637">
          <cell r="A637" t="str">
            <v>61.467.528/0001-60</v>
          </cell>
          <cell r="B637" t="str">
            <v>Mariane Nascimento</v>
          </cell>
        </row>
        <row r="638">
          <cell r="A638" t="str">
            <v>47.411.780/0001-26</v>
          </cell>
          <cell r="B638" t="str">
            <v>Mariane Nascimento</v>
          </cell>
        </row>
        <row r="639">
          <cell r="A639" t="str">
            <v>01.722.296/0001-17</v>
          </cell>
          <cell r="B639" t="str">
            <v>Mariane Nascimento</v>
          </cell>
        </row>
        <row r="640">
          <cell r="A640" t="str">
            <v>02.563.570/0001-15</v>
          </cell>
          <cell r="B640" t="str">
            <v>Mariane Nascimento</v>
          </cell>
        </row>
        <row r="641">
          <cell r="A641" t="str">
            <v>02.333.707/0001-45</v>
          </cell>
          <cell r="B641" t="str">
            <v>Mariane Nascimento</v>
          </cell>
        </row>
        <row r="642">
          <cell r="A642" t="str">
            <v>12.246.862/0001-88</v>
          </cell>
          <cell r="B642" t="str">
            <v>Mariane Nascimento</v>
          </cell>
        </row>
        <row r="643">
          <cell r="A643" t="str">
            <v>12.246.862/0001-88</v>
          </cell>
          <cell r="B643" t="str">
            <v>Mariane Nascimento</v>
          </cell>
        </row>
        <row r="644">
          <cell r="A644" t="str">
            <v>28.428.671/0001-77</v>
          </cell>
          <cell r="B644" t="str">
            <v>Mariane Nascimento</v>
          </cell>
        </row>
        <row r="645">
          <cell r="A645" t="str">
            <v>08.087.674/0001-87</v>
          </cell>
          <cell r="B645" t="str">
            <v>Mariane Nascimento</v>
          </cell>
        </row>
        <row r="646">
          <cell r="A646" t="str">
            <v>96.534.094/0001-58</v>
          </cell>
          <cell r="B646" t="str">
            <v>Mariane Nascimento</v>
          </cell>
        </row>
        <row r="647">
          <cell r="A647" t="str">
            <v>08.221.047/0001-97</v>
          </cell>
          <cell r="B647" t="str">
            <v>Mariane Nascimento</v>
          </cell>
        </row>
        <row r="648">
          <cell r="A648" t="str">
            <v>16.716.417/0001-95</v>
          </cell>
          <cell r="B648" t="str">
            <v>Mariane Nascimento</v>
          </cell>
        </row>
        <row r="649">
          <cell r="A649" t="str">
            <v>04.624.285/0001-92</v>
          </cell>
          <cell r="B649" t="str">
            <v>Mariane Nascimento</v>
          </cell>
        </row>
        <row r="650">
          <cell r="A650" t="str">
            <v>40.174.170/0001-07</v>
          </cell>
          <cell r="B650" t="str">
            <v>Mariane Nascimento</v>
          </cell>
        </row>
        <row r="651">
          <cell r="A651" t="str">
            <v>47.411.780/0001-26</v>
          </cell>
          <cell r="B651" t="str">
            <v>Mariane Nascimento</v>
          </cell>
        </row>
        <row r="652">
          <cell r="A652" t="str">
            <v>02.563.570/0001-15</v>
          </cell>
          <cell r="B652" t="str">
            <v>Mariane Nascimento</v>
          </cell>
        </row>
        <row r="653">
          <cell r="A653" t="str">
            <v>61.467.528/0001-60</v>
          </cell>
          <cell r="B653" t="str">
            <v>Mariane Nascimento</v>
          </cell>
        </row>
        <row r="654">
          <cell r="A654" t="str">
            <v>12.246.862/0001-88</v>
          </cell>
          <cell r="B654" t="str">
            <v>Mariane Nascimento</v>
          </cell>
        </row>
        <row r="655">
          <cell r="A655" t="str">
            <v>05.431.967/0001-41</v>
          </cell>
          <cell r="B655" t="str">
            <v>Malu Montesino</v>
          </cell>
        </row>
        <row r="656">
          <cell r="A656" t="str">
            <v>10.861.317/0001-76</v>
          </cell>
          <cell r="B656" t="str">
            <v>Mariane Nascimento</v>
          </cell>
        </row>
        <row r="657">
          <cell r="A657" t="str">
            <v>02.659.246/0003-67</v>
          </cell>
          <cell r="B657" t="str">
            <v>Mariane Nascimento</v>
          </cell>
        </row>
        <row r="658">
          <cell r="A658" t="str">
            <v>58.752.460/0001-56</v>
          </cell>
          <cell r="B658" t="str">
            <v>Mariane Nascimento</v>
          </cell>
        </row>
        <row r="659">
          <cell r="A659" t="str">
            <v>40.276.235/0001-25</v>
          </cell>
          <cell r="B659" t="str">
            <v>Mariane Nascimento</v>
          </cell>
        </row>
        <row r="660">
          <cell r="A660" t="str">
            <v>01.405.834/0001-40</v>
          </cell>
          <cell r="B660" t="str">
            <v>Mariane Nascimento</v>
          </cell>
        </row>
        <row r="661">
          <cell r="A661" t="str">
            <v>04.078.043/0001-40</v>
          </cell>
          <cell r="B661" t="str">
            <v>Mariane Nascimento</v>
          </cell>
        </row>
        <row r="662">
          <cell r="A662" t="str">
            <v>22.330.913/0001-09</v>
          </cell>
          <cell r="B662" t="str">
            <v>Mariane Nascimento</v>
          </cell>
        </row>
        <row r="663">
          <cell r="A663" t="str">
            <v>08.245.855/0001-94</v>
          </cell>
          <cell r="B663" t="str">
            <v>Mariane Nascimento</v>
          </cell>
        </row>
        <row r="664">
          <cell r="A664" t="str">
            <v>05.743.288/0001-08</v>
          </cell>
          <cell r="B664" t="str">
            <v>Mariane Nascimento</v>
          </cell>
        </row>
        <row r="665">
          <cell r="A665" t="str">
            <v>05.059.358/0001-03</v>
          </cell>
          <cell r="B665" t="str">
            <v>Mariane Nascimento</v>
          </cell>
        </row>
        <row r="666">
          <cell r="A666" t="str">
            <v>05.059.358/0001-03</v>
          </cell>
          <cell r="B666" t="str">
            <v>Mariane Nascimento</v>
          </cell>
        </row>
        <row r="667">
          <cell r="A667" t="str">
            <v>19.001.659/0001-90</v>
          </cell>
          <cell r="B667" t="str">
            <v>Mariane Nascimento</v>
          </cell>
        </row>
        <row r="668">
          <cell r="A668" t="str">
            <v>35.197.526/0001-98</v>
          </cell>
          <cell r="B668" t="str">
            <v>Mariane Nascimento</v>
          </cell>
        </row>
        <row r="669">
          <cell r="A669" t="str">
            <v>07.626.776/0001-60</v>
          </cell>
          <cell r="B669" t="str">
            <v>Malu Montesino</v>
          </cell>
        </row>
        <row r="670">
          <cell r="A670" t="str">
            <v>18.258.209/0001-15</v>
          </cell>
          <cell r="B670" t="str">
            <v>Mariane Nascimento</v>
          </cell>
        </row>
        <row r="671">
          <cell r="A671" t="str">
            <v>41.230.162/0001-01</v>
          </cell>
          <cell r="B671" t="str">
            <v>Mariane Nascimento</v>
          </cell>
        </row>
        <row r="672">
          <cell r="A672" t="str">
            <v>61.602.199/0001-12</v>
          </cell>
          <cell r="B672" t="str">
            <v>Vanessa</v>
          </cell>
        </row>
        <row r="673">
          <cell r="A673" t="str">
            <v>18.809.570/0001-92</v>
          </cell>
          <cell r="B673" t="str">
            <v>Mariane Nascimento</v>
          </cell>
        </row>
        <row r="674">
          <cell r="A674" t="str">
            <v>39.032.974/0001-92</v>
          </cell>
          <cell r="B674" t="str">
            <v>Mariane Nascimento</v>
          </cell>
        </row>
        <row r="675">
          <cell r="A675" t="str">
            <v>33.373.325/0001-79</v>
          </cell>
          <cell r="B675" t="str">
            <v>Mariane Nascimento</v>
          </cell>
        </row>
        <row r="676">
          <cell r="A676" t="str">
            <v>14.646.435/0001-12</v>
          </cell>
          <cell r="B676" t="str">
            <v>Mariane Nascimento</v>
          </cell>
        </row>
        <row r="677">
          <cell r="A677" t="str">
            <v>01.722.296/0001-17</v>
          </cell>
          <cell r="B677" t="str">
            <v>Mariane Nascimento</v>
          </cell>
        </row>
        <row r="678">
          <cell r="A678" t="str">
            <v>28.531.958/0001-28</v>
          </cell>
          <cell r="B678" t="str">
            <v>Mariane Nascimento</v>
          </cell>
        </row>
        <row r="679">
          <cell r="A679" t="str">
            <v>14.510.712/0001-65</v>
          </cell>
          <cell r="B679" t="str">
            <v>Mariane Nascimento</v>
          </cell>
        </row>
        <row r="680">
          <cell r="A680" t="str">
            <v>60.665.981/0001-18</v>
          </cell>
          <cell r="B680" t="str">
            <v>Mariane Nascimento</v>
          </cell>
        </row>
        <row r="681">
          <cell r="A681" t="str">
            <v>62.802.012/0001-97</v>
          </cell>
          <cell r="B681" t="str">
            <v>Mariane Nascimento</v>
          </cell>
        </row>
        <row r="682">
          <cell r="A682" t="str">
            <v>02.377.937/0001-06</v>
          </cell>
          <cell r="B682" t="str">
            <v>Mariane Nascimento</v>
          </cell>
        </row>
        <row r="683">
          <cell r="A683" t="str">
            <v>11.619.992/0001-56</v>
          </cell>
          <cell r="B683" t="str">
            <v>Mariane Nascimento</v>
          </cell>
        </row>
        <row r="684">
          <cell r="A684" t="str">
            <v>32.737.279/0001-87</v>
          </cell>
          <cell r="B684" t="str">
            <v>Mariane Nascimento</v>
          </cell>
        </row>
        <row r="685">
          <cell r="A685" t="str">
            <v>23.677.604/0001-72</v>
          </cell>
          <cell r="B685" t="str">
            <v>Mariane Nascimento</v>
          </cell>
        </row>
        <row r="686">
          <cell r="A686" t="str">
            <v>08.221.047/0001-97</v>
          </cell>
          <cell r="B686" t="str">
            <v>Mariane Nascimento</v>
          </cell>
        </row>
        <row r="687">
          <cell r="A687" t="str">
            <v>04.624.285/0001-92</v>
          </cell>
          <cell r="B687" t="str">
            <v>Mariane Nascimento</v>
          </cell>
        </row>
        <row r="688">
          <cell r="A688" t="str">
            <v>03.426.989/0001-98</v>
          </cell>
          <cell r="B688" t="str">
            <v>Mariane Nascimento</v>
          </cell>
        </row>
        <row r="689">
          <cell r="A689" t="str">
            <v>07.804.371/0001-75</v>
          </cell>
          <cell r="B689" t="str">
            <v>Malu Montesino</v>
          </cell>
        </row>
        <row r="690">
          <cell r="A690" t="str">
            <v>06.698.560/0001-48</v>
          </cell>
          <cell r="B690" t="str">
            <v>Vanessa</v>
          </cell>
        </row>
        <row r="691">
          <cell r="A691" t="str">
            <v>16.861.009/0001-27</v>
          </cell>
          <cell r="B691" t="str">
            <v>Vanessa</v>
          </cell>
        </row>
        <row r="692">
          <cell r="A692" t="str">
            <v>03.033.345/0001-30</v>
          </cell>
          <cell r="B692" t="str">
            <v>Mariane Nascimento</v>
          </cell>
        </row>
        <row r="693">
          <cell r="A693" t="str">
            <v>14.707.364/0001-10</v>
          </cell>
          <cell r="B693" t="str">
            <v>Malu Montesino</v>
          </cell>
        </row>
        <row r="694">
          <cell r="A694" t="str">
            <v>26.278.985/0001-05</v>
          </cell>
          <cell r="B694" t="str">
            <v>Malu Montesino</v>
          </cell>
        </row>
        <row r="695">
          <cell r="A695" t="str">
            <v>03.598.524/0001-14</v>
          </cell>
          <cell r="B695" t="str">
            <v>Malu Montesino</v>
          </cell>
        </row>
        <row r="696">
          <cell r="A696" t="str">
            <v>96.452.545/0001-08</v>
          </cell>
          <cell r="B696" t="str">
            <v>Malu Montesino</v>
          </cell>
        </row>
        <row r="697">
          <cell r="A697" t="str">
            <v>08.221.047/0001-97</v>
          </cell>
          <cell r="B697" t="str">
            <v>Mariane Nascimento</v>
          </cell>
        </row>
        <row r="698">
          <cell r="A698" t="str">
            <v>12.255.403/0001-60</v>
          </cell>
          <cell r="B698" t="str">
            <v>Mariane Nascimento</v>
          </cell>
        </row>
        <row r="699">
          <cell r="A699" t="str">
            <v>01.722.296/0001-17</v>
          </cell>
          <cell r="B699" t="str">
            <v>Mariane Nascimento</v>
          </cell>
        </row>
        <row r="700">
          <cell r="A700" t="str">
            <v>08.221.047/0001-97</v>
          </cell>
          <cell r="B700" t="str">
            <v>Mariane Nascimento</v>
          </cell>
        </row>
        <row r="701">
          <cell r="A701" t="str">
            <v>54.379.172/0001-47</v>
          </cell>
          <cell r="B701" t="str">
            <v>Mariane Nascimento</v>
          </cell>
        </row>
        <row r="702">
          <cell r="A702" t="str">
            <v>31.715.616/0001-72</v>
          </cell>
          <cell r="B702" t="str">
            <v>Malu Montesino</v>
          </cell>
        </row>
        <row r="703">
          <cell r="A703" t="str">
            <v>57.014.896/0001-85</v>
          </cell>
          <cell r="B703" t="str">
            <v>Malu Montesino</v>
          </cell>
        </row>
        <row r="704">
          <cell r="A704" t="str">
            <v>05.551.328/0001-10</v>
          </cell>
          <cell r="B704" t="str">
            <v>Malu Montesino</v>
          </cell>
        </row>
        <row r="705">
          <cell r="A705" t="str">
            <v>61.531.620/0001-41</v>
          </cell>
          <cell r="B705" t="str">
            <v>Malu Montesino</v>
          </cell>
        </row>
        <row r="706">
          <cell r="A706" t="str">
            <v>23.900.832/0001-60</v>
          </cell>
          <cell r="B706" t="str">
            <v>Malu Montesino</v>
          </cell>
        </row>
        <row r="707">
          <cell r="A707" t="str">
            <v>04.155.026/0001-60</v>
          </cell>
          <cell r="B707" t="str">
            <v>Malu Montesino</v>
          </cell>
        </row>
        <row r="708">
          <cell r="A708" t="str">
            <v>54.625.819/0001-73</v>
          </cell>
          <cell r="B708" t="str">
            <v>Malu Montesino</v>
          </cell>
        </row>
        <row r="709">
          <cell r="A709" t="str">
            <v>62.291.380/0001-18</v>
          </cell>
          <cell r="B709" t="str">
            <v>Malu Montesino</v>
          </cell>
        </row>
        <row r="710">
          <cell r="A710" t="str">
            <v>00.416.170/0001-51</v>
          </cell>
          <cell r="B710" t="str">
            <v>Malu Montesino</v>
          </cell>
        </row>
        <row r="711">
          <cell r="A711" t="str">
            <v>90.050.238/0001-14</v>
          </cell>
          <cell r="B711" t="str">
            <v>Malu Montesino</v>
          </cell>
        </row>
        <row r="712">
          <cell r="A712" t="str">
            <v>24.601.189/0001-36</v>
          </cell>
          <cell r="B712" t="str">
            <v>Malu Montesino</v>
          </cell>
        </row>
        <row r="713">
          <cell r="A713" t="str">
            <v>04.608.635/0001-27</v>
          </cell>
          <cell r="B713" t="str">
            <v>Malu Montesino</v>
          </cell>
        </row>
        <row r="714">
          <cell r="A714" t="str">
            <v>45.990.181/0001-89</v>
          </cell>
          <cell r="B714" t="str">
            <v>Malu Montesino</v>
          </cell>
        </row>
        <row r="715">
          <cell r="A715" t="str">
            <v>59.275.792/0001-50</v>
          </cell>
          <cell r="B715" t="str">
            <v>Malu Montesino</v>
          </cell>
        </row>
        <row r="716">
          <cell r="A716" t="str">
            <v>43.375.930/0001-32</v>
          </cell>
          <cell r="B716" t="str">
            <v>Malu Montesino</v>
          </cell>
        </row>
        <row r="717">
          <cell r="A717" t="str">
            <v>02.162.259/0001-64</v>
          </cell>
          <cell r="B717" t="str">
            <v>Malu Montesino</v>
          </cell>
        </row>
        <row r="718">
          <cell r="A718" t="str">
            <v>23.373.000/0001-32</v>
          </cell>
          <cell r="B718" t="str">
            <v>Malu Montesino</v>
          </cell>
        </row>
        <row r="719">
          <cell r="A719" t="str">
            <v>52.548.435/0001-79</v>
          </cell>
          <cell r="B719" t="str">
            <v>Malu Montesino</v>
          </cell>
        </row>
        <row r="720">
          <cell r="A720" t="str">
            <v>00.074.635/0001-33</v>
          </cell>
          <cell r="B720" t="str">
            <v>Malu Montesino</v>
          </cell>
        </row>
        <row r="721">
          <cell r="A721" t="str">
            <v>04.624.285/0001-92</v>
          </cell>
          <cell r="B721" t="str">
            <v>Mariane Nascimento</v>
          </cell>
        </row>
        <row r="722">
          <cell r="A722" t="str">
            <v>60.775.293/0001-00</v>
          </cell>
          <cell r="B722" t="str">
            <v>Malu Montesino</v>
          </cell>
        </row>
        <row r="723">
          <cell r="A723" t="str">
            <v>47.909.054/0001-38</v>
          </cell>
          <cell r="B723" t="str">
            <v>Malu Montesino</v>
          </cell>
        </row>
        <row r="724">
          <cell r="A724" t="str">
            <v>16.859.466/0001-87</v>
          </cell>
          <cell r="B724" t="str">
            <v>Malu Montesino</v>
          </cell>
        </row>
        <row r="725">
          <cell r="A725" t="str">
            <v>53.113.791/0001-22</v>
          </cell>
          <cell r="B725" t="str">
            <v>Malu Montesino</v>
          </cell>
        </row>
        <row r="726">
          <cell r="A726" t="str">
            <v>59.104.422/0001-50</v>
          </cell>
          <cell r="B726" t="str">
            <v>Malu Montesino</v>
          </cell>
        </row>
        <row r="727">
          <cell r="A727" t="str">
            <v>50.949.528/0001-80</v>
          </cell>
          <cell r="B727" t="str">
            <v>Malu Montesino</v>
          </cell>
        </row>
        <row r="728">
          <cell r="A728" t="str">
            <v>01.449.930/0001-90</v>
          </cell>
          <cell r="B728" t="str">
            <v>Malu Montesino</v>
          </cell>
        </row>
        <row r="729">
          <cell r="A729" t="str">
            <v>89.519.706/0001-78</v>
          </cell>
          <cell r="B729" t="str">
            <v>Malu Montesino</v>
          </cell>
        </row>
        <row r="730">
          <cell r="A730" t="str">
            <v>02.990.234/0001-59</v>
          </cell>
          <cell r="B730" t="str">
            <v>Malu Montesino</v>
          </cell>
        </row>
        <row r="731">
          <cell r="A731" t="str">
            <v>09.066.194/0001-00</v>
          </cell>
          <cell r="B731" t="str">
            <v>Malu Montesino</v>
          </cell>
        </row>
        <row r="732">
          <cell r="A732" t="str">
            <v>44.211.112/0001-67</v>
          </cell>
          <cell r="B732" t="str">
            <v>Malu Montesino</v>
          </cell>
        </row>
        <row r="733">
          <cell r="A733" t="str">
            <v>02.351.144/0001-18</v>
          </cell>
          <cell r="B733" t="str">
            <v>Malu Montesino</v>
          </cell>
        </row>
        <row r="734">
          <cell r="A734" t="str">
            <v>00.873.594/0001-45</v>
          </cell>
          <cell r="B734" t="str">
            <v>Malu Montesino</v>
          </cell>
        </row>
        <row r="735">
          <cell r="A735" t="str">
            <v>45.987.005/0001-98</v>
          </cell>
          <cell r="B735" t="str">
            <v>Malu Montesino</v>
          </cell>
        </row>
        <row r="736">
          <cell r="A736" t="str">
            <v>82.927.385/0001-00</v>
          </cell>
          <cell r="B736" t="str">
            <v>Malu Montesino</v>
          </cell>
        </row>
        <row r="737">
          <cell r="A737" t="str">
            <v>05.097.311/0001-34</v>
          </cell>
          <cell r="B737" t="str">
            <v>Malu Montesino</v>
          </cell>
        </row>
        <row r="738">
          <cell r="A738" t="str">
            <v>16.482.201/0001-02</v>
          </cell>
          <cell r="B738" t="str">
            <v>Malu Montesino</v>
          </cell>
        </row>
        <row r="739">
          <cell r="A739" t="str">
            <v>42.317.213/0001-91</v>
          </cell>
          <cell r="B739" t="str">
            <v>Malu Montesino</v>
          </cell>
        </row>
        <row r="740">
          <cell r="A740" t="str">
            <v>61.295.473/0001-58</v>
          </cell>
          <cell r="B740" t="str">
            <v>Malu Montesino</v>
          </cell>
        </row>
        <row r="741">
          <cell r="A741" t="str">
            <v>33.130.691/0001-05</v>
          </cell>
          <cell r="B741" t="str">
            <v>Malu Montesino</v>
          </cell>
        </row>
        <row r="742">
          <cell r="A742" t="str">
            <v>52.548.435/0001-79</v>
          </cell>
          <cell r="B742" t="str">
            <v>Malu Montesino</v>
          </cell>
        </row>
        <row r="743">
          <cell r="A743" t="str">
            <v>27.061.442/0001-02</v>
          </cell>
          <cell r="B743" t="str">
            <v>Malu Montesino</v>
          </cell>
        </row>
        <row r="744">
          <cell r="A744" t="str">
            <v>27.061.442/0001-02</v>
          </cell>
          <cell r="B744" t="str">
            <v>Malu Montesino</v>
          </cell>
        </row>
        <row r="745">
          <cell r="A745" t="str">
            <v>23.647.365/0001-08</v>
          </cell>
          <cell r="B745" t="str">
            <v>Malu Montesino</v>
          </cell>
        </row>
        <row r="746">
          <cell r="A746" t="str">
            <v>54.030.629/0001-03</v>
          </cell>
          <cell r="B746" t="str">
            <v>Malu Montesino</v>
          </cell>
        </row>
        <row r="747">
          <cell r="A747" t="str">
            <v>41.383.193/0001-94</v>
          </cell>
          <cell r="B747" t="str">
            <v>Malu Montesino</v>
          </cell>
        </row>
        <row r="748">
          <cell r="A748" t="str">
            <v>05.431.967/0001-41</v>
          </cell>
          <cell r="B748" t="str">
            <v>Malu Montesino</v>
          </cell>
        </row>
        <row r="749">
          <cell r="A749" t="str">
            <v>04.743.025/0001-36</v>
          </cell>
          <cell r="B749" t="str">
            <v>Malu Montesino</v>
          </cell>
        </row>
        <row r="750">
          <cell r="A750" t="str">
            <v>04.743.025/0001-36</v>
          </cell>
          <cell r="B750" t="str">
            <v>Malu Montesino</v>
          </cell>
        </row>
        <row r="751">
          <cell r="A751" t="str">
            <v>12.483.930/0001-22</v>
          </cell>
          <cell r="B751" t="str">
            <v>Malu Montesino</v>
          </cell>
        </row>
        <row r="752">
          <cell r="A752" t="str">
            <v>12.483.930/0001-22</v>
          </cell>
          <cell r="B752" t="str">
            <v>Malu Montesino</v>
          </cell>
        </row>
        <row r="753">
          <cell r="A753" t="str">
            <v>10.472.968/0001-74</v>
          </cell>
          <cell r="B753" t="str">
            <v>Malu Montesino</v>
          </cell>
        </row>
        <row r="754">
          <cell r="A754" t="str">
            <v>10.472.968/0001-74</v>
          </cell>
          <cell r="B754" t="str">
            <v>Malu Montesino</v>
          </cell>
        </row>
        <row r="755">
          <cell r="A755" t="str">
            <v>10.472.968/0001-74</v>
          </cell>
          <cell r="B755" t="str">
            <v>Malu Montesino</v>
          </cell>
        </row>
        <row r="756">
          <cell r="A756" t="str">
            <v>14.666.357/0001-18</v>
          </cell>
          <cell r="B756" t="str">
            <v>Malu Montesino</v>
          </cell>
        </row>
        <row r="757">
          <cell r="A757" t="str">
            <v>14.666.357/0001-18</v>
          </cell>
          <cell r="B757" t="str">
            <v>Malu Montesino</v>
          </cell>
        </row>
        <row r="758">
          <cell r="A758" t="str">
            <v>89.637.490/0001-45</v>
          </cell>
          <cell r="B758" t="str">
            <v>Malu Montesino</v>
          </cell>
        </row>
        <row r="759">
          <cell r="A759" t="str">
            <v>47.411.780/0001-26</v>
          </cell>
          <cell r="B759" t="str">
            <v>Mariane Nascimento</v>
          </cell>
        </row>
        <row r="760">
          <cell r="A760" t="str">
            <v>02.563.570/0001-15</v>
          </cell>
          <cell r="B760" t="str">
            <v>Mariane Nascimento</v>
          </cell>
        </row>
        <row r="761">
          <cell r="A761" t="str">
            <v>42.006.441/0001-40</v>
          </cell>
          <cell r="B761" t="str">
            <v>Malu Montesino</v>
          </cell>
        </row>
        <row r="762">
          <cell r="A762" t="str">
            <v>16.716.417/0001-95</v>
          </cell>
          <cell r="B762" t="str">
            <v>Mariane Nascimento</v>
          </cell>
        </row>
        <row r="763">
          <cell r="A763" t="str">
            <v>00.028.986/0001-08</v>
          </cell>
          <cell r="B763" t="str">
            <v>Malu Montesino</v>
          </cell>
        </row>
        <row r="764">
          <cell r="A764" t="str">
            <v>61.467.528/0001-60</v>
          </cell>
          <cell r="B764" t="str">
            <v>Mariane Nascimento</v>
          </cell>
        </row>
        <row r="765">
          <cell r="A765" t="str">
            <v>05.431.967/0001-41</v>
          </cell>
          <cell r="B765" t="str">
            <v>Malu Montesino</v>
          </cell>
        </row>
        <row r="766">
          <cell r="A766" t="str">
            <v>02.674.103/0001-62</v>
          </cell>
          <cell r="B766" t="str">
            <v>Malu Montesino</v>
          </cell>
        </row>
        <row r="767">
          <cell r="A767" t="str">
            <v>10.962.495/0001-93</v>
          </cell>
          <cell r="B767" t="str">
            <v>Malu Montesino</v>
          </cell>
        </row>
        <row r="768">
          <cell r="A768" t="str">
            <v>10.962.495/0001-93</v>
          </cell>
          <cell r="B768" t="str">
            <v>Malu Montesino</v>
          </cell>
        </row>
        <row r="769">
          <cell r="A769" t="str">
            <v>08.675.394/0001-90</v>
          </cell>
          <cell r="B769" t="str">
            <v>Mariane Nascimento</v>
          </cell>
        </row>
        <row r="770">
          <cell r="A770" t="str">
            <v>07.884.692/0001-27</v>
          </cell>
          <cell r="B770" t="str">
            <v>Malu Montesino</v>
          </cell>
        </row>
        <row r="771">
          <cell r="A771" t="str">
            <v>01.679.569/0001-98</v>
          </cell>
          <cell r="B771" t="str">
            <v>Malu Montesino</v>
          </cell>
        </row>
        <row r="772">
          <cell r="A772" t="str">
            <v>90.050.238/0001-14</v>
          </cell>
          <cell r="B772" t="str">
            <v>Malu Montesino</v>
          </cell>
        </row>
        <row r="773">
          <cell r="A773" t="str">
            <v>33.373.325/0001-79</v>
          </cell>
          <cell r="B773" t="str">
            <v>Mariane Nascimento</v>
          </cell>
        </row>
        <row r="774">
          <cell r="A774" t="str">
            <v>18.257.524/0001-28</v>
          </cell>
          <cell r="B774" t="str">
            <v>Malu Montesino</v>
          </cell>
        </row>
        <row r="775">
          <cell r="A775" t="str">
            <v>18.257.524/0001-28</v>
          </cell>
          <cell r="B775" t="str">
            <v>Malu Montesino</v>
          </cell>
        </row>
        <row r="776">
          <cell r="A776" t="str">
            <v>87.833.737/0001-73</v>
          </cell>
          <cell r="B776" t="str">
            <v>Malu Montesino</v>
          </cell>
        </row>
        <row r="777">
          <cell r="A777" t="str">
            <v>00.028.986/0001-08</v>
          </cell>
          <cell r="B777" t="str">
            <v>Malu Montesino</v>
          </cell>
        </row>
        <row r="778">
          <cell r="A778" t="str">
            <v>32.223.020/0001-18</v>
          </cell>
          <cell r="B778" t="str">
            <v>Mariane Nascimento</v>
          </cell>
        </row>
        <row r="779">
          <cell r="A779" t="str">
            <v>24.166.595/0001-18</v>
          </cell>
          <cell r="B779" t="str">
            <v>Mariane Nascimento</v>
          </cell>
        </row>
        <row r="780">
          <cell r="A780" t="str">
            <v>26.401.688/0001-05</v>
          </cell>
          <cell r="B780" t="str">
            <v>Mariane Nascimento</v>
          </cell>
        </row>
        <row r="781">
          <cell r="A781" t="str">
            <v>03.735.193/0001-17</v>
          </cell>
          <cell r="B781" t="str">
            <v>Mariane Nascimento</v>
          </cell>
        </row>
        <row r="782">
          <cell r="A782" t="str">
            <v>33.449.007/0001-44</v>
          </cell>
          <cell r="B782" t="str">
            <v>Malu Montesino</v>
          </cell>
        </row>
        <row r="783">
          <cell r="A783" t="str">
            <v>10.962.495/0001-93</v>
          </cell>
          <cell r="B783" t="str">
            <v>Malu Montesino</v>
          </cell>
        </row>
        <row r="784">
          <cell r="A784" t="str">
            <v>05.431.967/0001-41</v>
          </cell>
          <cell r="B784" t="str">
            <v>Malu Montesino</v>
          </cell>
        </row>
        <row r="785">
          <cell r="A785" t="str">
            <v>35.254.924/0001-07</v>
          </cell>
          <cell r="B785" t="str">
            <v>Malu Montesino</v>
          </cell>
        </row>
        <row r="786">
          <cell r="A786" t="str">
            <v>17.109.432/0001-38</v>
          </cell>
          <cell r="B786" t="str">
            <v>Malu Montesino</v>
          </cell>
        </row>
        <row r="787">
          <cell r="A787" t="str">
            <v>61.591.459/0001-00</v>
          </cell>
          <cell r="B787" t="str">
            <v>Malu Montesino</v>
          </cell>
        </row>
        <row r="788">
          <cell r="A788" t="str">
            <v>41.707.446/0001-38</v>
          </cell>
          <cell r="B788" t="str">
            <v>Malu Montesino</v>
          </cell>
        </row>
        <row r="789">
          <cell r="A789" t="str">
            <v>21.551.379/0007-93</v>
          </cell>
          <cell r="B789" t="str">
            <v>Malu Montesino</v>
          </cell>
        </row>
        <row r="790">
          <cell r="A790" t="str">
            <v>73.297.509/0001-11</v>
          </cell>
          <cell r="B790" t="str">
            <v>Malu Montesino</v>
          </cell>
        </row>
        <row r="791">
          <cell r="A791" t="str">
            <v>73.297.509/0001-11</v>
          </cell>
          <cell r="B791" t="str">
            <v>Malu Montesino</v>
          </cell>
        </row>
        <row r="792">
          <cell r="A792" t="str">
            <v>08.675.394/0001-90</v>
          </cell>
          <cell r="B792" t="str">
            <v>Mariane Nascimento</v>
          </cell>
        </row>
        <row r="793">
          <cell r="A793" t="str">
            <v>08.675.394/0001-90</v>
          </cell>
          <cell r="B793" t="str">
            <v>Mariane Nascimento</v>
          </cell>
        </row>
        <row r="794">
          <cell r="A794" t="str">
            <v>08.675.394/0001-90</v>
          </cell>
          <cell r="B794" t="str">
            <v>Mariane Nascimento</v>
          </cell>
        </row>
        <row r="795">
          <cell r="A795" t="str">
            <v>48.539.407/0001-18</v>
          </cell>
          <cell r="B795" t="str">
            <v>Malu Montesino</v>
          </cell>
        </row>
        <row r="796">
          <cell r="A796" t="str">
            <v>59.104.273/0001-29</v>
          </cell>
          <cell r="B796" t="str">
            <v>Malu Montesino</v>
          </cell>
        </row>
        <row r="797">
          <cell r="A797" t="str">
            <v>01.597.589/0001-10</v>
          </cell>
          <cell r="B797" t="str">
            <v>Malu Montesino</v>
          </cell>
        </row>
        <row r="798">
          <cell r="A798" t="str">
            <v>19.653.054/0001-84</v>
          </cell>
          <cell r="B798" t="str">
            <v>Malu Montesino</v>
          </cell>
        </row>
        <row r="799">
          <cell r="A799" t="str">
            <v>46.138.319/0001-89</v>
          </cell>
          <cell r="B799" t="str">
            <v>Malu Montesino</v>
          </cell>
        </row>
        <row r="800">
          <cell r="A800" t="str">
            <v>81.067.860/0001-44</v>
          </cell>
          <cell r="B800" t="str">
            <v>Malu Montesino</v>
          </cell>
        </row>
        <row r="801">
          <cell r="A801" t="str">
            <v>04.743.858/0001-05</v>
          </cell>
          <cell r="B801" t="str">
            <v>Malu Montesino</v>
          </cell>
        </row>
        <row r="802">
          <cell r="A802" t="str">
            <v>04.743.858/0001-05</v>
          </cell>
          <cell r="B802" t="str">
            <v>Malu Montesino</v>
          </cell>
        </row>
        <row r="803">
          <cell r="A803" t="str">
            <v>00.028.986/0001-08</v>
          </cell>
          <cell r="B803" t="str">
            <v>Malu Montesino</v>
          </cell>
        </row>
        <row r="804">
          <cell r="A804" t="str">
            <v>41.707.446/0001-38</v>
          </cell>
          <cell r="B804" t="str">
            <v>Malu Montesino</v>
          </cell>
        </row>
        <row r="805">
          <cell r="A805" t="str">
            <v>00.028.986/0001-08</v>
          </cell>
          <cell r="B805" t="str">
            <v>Malu Montesino</v>
          </cell>
        </row>
        <row r="806">
          <cell r="A806" t="str">
            <v>04.743.858/0001-05</v>
          </cell>
          <cell r="B806" t="str">
            <v>Malu Montesino</v>
          </cell>
        </row>
        <row r="807">
          <cell r="A807" t="str">
            <v>10.472.968/0001-74</v>
          </cell>
          <cell r="B807" t="str">
            <v>Malu Montesino</v>
          </cell>
        </row>
        <row r="808">
          <cell r="A808" t="str">
            <v>10.472.968/0001-74</v>
          </cell>
          <cell r="B808" t="str">
            <v>Malu Montesino</v>
          </cell>
        </row>
        <row r="809">
          <cell r="A809" t="str">
            <v>29.736.089/0001-30</v>
          </cell>
          <cell r="B809" t="str">
            <v>Malu Montesino</v>
          </cell>
        </row>
        <row r="810">
          <cell r="A810" t="str">
            <v>21.998.472/0001-55</v>
          </cell>
          <cell r="B810" t="str">
            <v>Malu Montesino</v>
          </cell>
        </row>
        <row r="811">
          <cell r="A811" t="str">
            <v>57.507.378/0001-01</v>
          </cell>
          <cell r="B811" t="str">
            <v>Mariane Nascimento</v>
          </cell>
        </row>
        <row r="812">
          <cell r="A812" t="str">
            <v>28.196.889/0001-43</v>
          </cell>
          <cell r="B812" t="str">
            <v>Malu Montesino</v>
          </cell>
        </row>
        <row r="813">
          <cell r="A813" t="str">
            <v>42.393.892/0001-88</v>
          </cell>
          <cell r="B813" t="str">
            <v>Mariane Nascimento</v>
          </cell>
        </row>
        <row r="814">
          <cell r="A814" t="str">
            <v>84.429.695/0001-11</v>
          </cell>
          <cell r="B814" t="str">
            <v>Malu Montesino</v>
          </cell>
        </row>
        <row r="815">
          <cell r="A815" t="str">
            <v>04.392.076/0001-60</v>
          </cell>
          <cell r="B815" t="str">
            <v>Malu Montesino</v>
          </cell>
        </row>
        <row r="816">
          <cell r="A816" t="str">
            <v>52.311.347/0002-30</v>
          </cell>
          <cell r="B816" t="str">
            <v>Malu Montesino</v>
          </cell>
        </row>
        <row r="817">
          <cell r="A817" t="str">
            <v>07.884.692/0001-27</v>
          </cell>
          <cell r="B817" t="str">
            <v>Malu Montesino</v>
          </cell>
        </row>
        <row r="818">
          <cell r="A818" t="str">
            <v>02.816.696/0001-54</v>
          </cell>
          <cell r="B818" t="str">
            <v>Malu Montesino</v>
          </cell>
        </row>
        <row r="819">
          <cell r="A819" t="str">
            <v>09.402.590/0001-53</v>
          </cell>
          <cell r="B819" t="str">
            <v>Mariane Nascimento</v>
          </cell>
        </row>
        <row r="820">
          <cell r="A820" t="str">
            <v>47.411.780/0001-26</v>
          </cell>
          <cell r="B820" t="str">
            <v>Mariane Nascimento</v>
          </cell>
        </row>
        <row r="821">
          <cell r="A821" t="str">
            <v>14.309.992/0001-48</v>
          </cell>
          <cell r="B821" t="str">
            <v>Malu Montesino</v>
          </cell>
        </row>
        <row r="822">
          <cell r="A822" t="str">
            <v>01.722.296/0001-17</v>
          </cell>
          <cell r="B822" t="str">
            <v>Mariane Nascimento</v>
          </cell>
        </row>
        <row r="823">
          <cell r="A823" t="str">
            <v>60.680.873/0001-14</v>
          </cell>
          <cell r="B823" t="str">
            <v>Malu Montesino</v>
          </cell>
        </row>
        <row r="824">
          <cell r="A824" t="str">
            <v>60.680.873/0001-14</v>
          </cell>
          <cell r="B824" t="str">
            <v>Malu Montesino</v>
          </cell>
        </row>
        <row r="825">
          <cell r="A825" t="str">
            <v>30.629.875/0001-18</v>
          </cell>
          <cell r="B825" t="str">
            <v>Malu Montesino</v>
          </cell>
        </row>
        <row r="826">
          <cell r="A826" t="str">
            <v>12.246.862/0001-88</v>
          </cell>
          <cell r="B826" t="str">
            <v>Mariane Nascimento</v>
          </cell>
        </row>
        <row r="827">
          <cell r="A827" t="str">
            <v>47.173.950/0001-81</v>
          </cell>
          <cell r="B827" t="str">
            <v>Malu Montesino</v>
          </cell>
        </row>
        <row r="828">
          <cell r="A828" t="str">
            <v>34.175.527/0001-79</v>
          </cell>
          <cell r="B828" t="str">
            <v>Malu Montesino</v>
          </cell>
        </row>
        <row r="829">
          <cell r="A829" t="str">
            <v>05.495.281/0001-14</v>
          </cell>
          <cell r="B829" t="str">
            <v>Mariane Nascimento</v>
          </cell>
        </row>
        <row r="830">
          <cell r="A830" t="str">
            <v>96.534.094/0001-58</v>
          </cell>
          <cell r="B830" t="str">
            <v>Mariane Nascimento</v>
          </cell>
        </row>
        <row r="831">
          <cell r="A831" t="str">
            <v>96.534.094/0001-58</v>
          </cell>
          <cell r="B831" t="str">
            <v>Mariane Nascimento</v>
          </cell>
        </row>
        <row r="832">
          <cell r="A832" t="str">
            <v>22.872.822/0001-03</v>
          </cell>
          <cell r="B832" t="str">
            <v>Mariane Nascimento</v>
          </cell>
        </row>
        <row r="833">
          <cell r="A833" t="str">
            <v>40.174.170/0001-07</v>
          </cell>
          <cell r="B833" t="str">
            <v>Mariane Nascimento</v>
          </cell>
        </row>
        <row r="834">
          <cell r="A834" t="str">
            <v>43.375.930/0001-32</v>
          </cell>
          <cell r="B834" t="str">
            <v>Malu Montesino</v>
          </cell>
        </row>
        <row r="835">
          <cell r="A835" t="str">
            <v>43.375.930/0001-32</v>
          </cell>
          <cell r="B835" t="str">
            <v>Malu Montesino</v>
          </cell>
        </row>
        <row r="836">
          <cell r="A836" t="str">
            <v>43.375.930/0001-32</v>
          </cell>
          <cell r="B836" t="str">
            <v>Malu Montesino</v>
          </cell>
        </row>
        <row r="837">
          <cell r="A837" t="str">
            <v>61.295.473/0001-58</v>
          </cell>
          <cell r="B837" t="str">
            <v>Malu Montesino</v>
          </cell>
        </row>
        <row r="838">
          <cell r="A838" t="str">
            <v>02.162.259/0001-64</v>
          </cell>
          <cell r="B838" t="str">
            <v>Malu Montesino</v>
          </cell>
        </row>
        <row r="839">
          <cell r="A839" t="str">
            <v>00.028.986/0001-08</v>
          </cell>
          <cell r="B839" t="str">
            <v>Malu Montesino</v>
          </cell>
        </row>
        <row r="840">
          <cell r="A840" t="str">
            <v>41.707.446/0001-38</v>
          </cell>
          <cell r="B840" t="str">
            <v>Malu Montesino</v>
          </cell>
        </row>
        <row r="841">
          <cell r="A841" t="str">
            <v>56.994.700/0001-01</v>
          </cell>
          <cell r="B841" t="str">
            <v>Malu Montesino</v>
          </cell>
        </row>
        <row r="842">
          <cell r="A842" t="str">
            <v>52.311.347/0002-30</v>
          </cell>
          <cell r="B842" t="str">
            <v>Malu Montesino</v>
          </cell>
        </row>
        <row r="843">
          <cell r="A843" t="str">
            <v>03.426.989/0001-98</v>
          </cell>
          <cell r="B843" t="str">
            <v>Mariane Nascimento</v>
          </cell>
        </row>
        <row r="844">
          <cell r="A844" t="str">
            <v>96.534.094/0001-58</v>
          </cell>
          <cell r="B844" t="str">
            <v>Mariane Nascimento</v>
          </cell>
        </row>
        <row r="845">
          <cell r="A845" t="str">
            <v>14.309.992/0001-48</v>
          </cell>
          <cell r="B845" t="str">
            <v>Malu Montesino</v>
          </cell>
        </row>
        <row r="846">
          <cell r="A846" t="str">
            <v>02.816.696/0001-54</v>
          </cell>
          <cell r="B846" t="str">
            <v>Malu Montesino</v>
          </cell>
        </row>
        <row r="847">
          <cell r="A847" t="str">
            <v>60.680.873/0001-14</v>
          </cell>
          <cell r="B847" t="str">
            <v>Malu Montesino</v>
          </cell>
        </row>
        <row r="848">
          <cell r="A848" t="str">
            <v>61.074.506/0001-30</v>
          </cell>
          <cell r="B848" t="str">
            <v>Malu Montesino</v>
          </cell>
        </row>
        <row r="849">
          <cell r="A849" t="str">
            <v>08.675.394/0001-90</v>
          </cell>
          <cell r="B849" t="str">
            <v>Mariane Nascimento</v>
          </cell>
        </row>
        <row r="850">
          <cell r="A850" t="str">
            <v>28.460.483/0001-26</v>
          </cell>
          <cell r="B850" t="str">
            <v>Malu Montesino</v>
          </cell>
        </row>
        <row r="851">
          <cell r="A851" t="str">
            <v>14.309.992/0001-48</v>
          </cell>
          <cell r="B851" t="str">
            <v>Malu Montesino</v>
          </cell>
        </row>
        <row r="852">
          <cell r="A852" t="str">
            <v>03.426.989/0001-98</v>
          </cell>
          <cell r="B852" t="str">
            <v>Mariane Nascimento</v>
          </cell>
        </row>
        <row r="853">
          <cell r="A853" t="str">
            <v>57.394.447/0004-52</v>
          </cell>
          <cell r="B853" t="str">
            <v>Malu Montesino</v>
          </cell>
        </row>
        <row r="854">
          <cell r="A854" t="str">
            <v>33.449.007/0001-44</v>
          </cell>
          <cell r="B854" t="str">
            <v>Malu Montesino</v>
          </cell>
        </row>
        <row r="855">
          <cell r="A855" t="str">
            <v>33.157.312/0001-62</v>
          </cell>
          <cell r="B855" t="str">
            <v>Mariane Nascimento</v>
          </cell>
        </row>
        <row r="856">
          <cell r="A856" t="str">
            <v>27.460.001/0001-75</v>
          </cell>
          <cell r="B856" t="str">
            <v>Mariane Nascimento</v>
          </cell>
        </row>
        <row r="857">
          <cell r="A857" t="str">
            <v>27.460.001/0001-75</v>
          </cell>
          <cell r="B857" t="str">
            <v>Mariane Nascimento</v>
          </cell>
        </row>
        <row r="858">
          <cell r="A858" t="str">
            <v>26.246.053/0001-80</v>
          </cell>
          <cell r="B858" t="str">
            <v>Mariane Nascimento</v>
          </cell>
        </row>
        <row r="859">
          <cell r="A859" t="str">
            <v>26.246.053/0001-80</v>
          </cell>
          <cell r="B859" t="str">
            <v>Mariane Nascimento</v>
          </cell>
        </row>
        <row r="860">
          <cell r="A860" t="str">
            <v>15.664.649/0001-84</v>
          </cell>
          <cell r="B860" t="str">
            <v>Mariane Nascimento</v>
          </cell>
        </row>
        <row r="861">
          <cell r="A861" t="str">
            <v>72.030.927/0001-85</v>
          </cell>
          <cell r="B861" t="str">
            <v>Mariane Nascimento</v>
          </cell>
        </row>
        <row r="862">
          <cell r="A862" t="str">
            <v>04.079.384/0001-30</v>
          </cell>
          <cell r="B862" t="str">
            <v>Malu Montesino</v>
          </cell>
        </row>
        <row r="863">
          <cell r="A863" t="str">
            <v>56.720.428/0001-63</v>
          </cell>
          <cell r="B863" t="str">
            <v>Malu Montesino</v>
          </cell>
        </row>
        <row r="864">
          <cell r="A864" t="str">
            <v>02.062.561/0001-40</v>
          </cell>
          <cell r="B864" t="str">
            <v>Malu Montesino</v>
          </cell>
        </row>
        <row r="865">
          <cell r="A865" t="str">
            <v>32.403.914/0001-90</v>
          </cell>
          <cell r="B865" t="str">
            <v>Mariane Nascimento</v>
          </cell>
        </row>
        <row r="866">
          <cell r="A866" t="str">
            <v>81.329.823/0001-67</v>
          </cell>
          <cell r="B866" t="str">
            <v>Malu Montesino</v>
          </cell>
        </row>
        <row r="867">
          <cell r="A867" t="str">
            <v>56.994.700/0001-01</v>
          </cell>
          <cell r="B867" t="str">
            <v>Malu Montesino</v>
          </cell>
        </row>
        <row r="868">
          <cell r="A868" t="str">
            <v>06.320.435/0001-08</v>
          </cell>
          <cell r="B868" t="str">
            <v>Malu Montesino</v>
          </cell>
        </row>
        <row r="869">
          <cell r="A869" t="str">
            <v>61.936.522/0001-94</v>
          </cell>
          <cell r="B869" t="str">
            <v>Malu Montesino</v>
          </cell>
        </row>
        <row r="870">
          <cell r="A870" t="str">
            <v>17.891.872/0001-90</v>
          </cell>
          <cell r="B870" t="str">
            <v>Malu Montesino</v>
          </cell>
        </row>
        <row r="871">
          <cell r="A871" t="str">
            <v>92.664.028/0001-41</v>
          </cell>
          <cell r="B871" t="str">
            <v>Malu Montesino</v>
          </cell>
        </row>
        <row r="872">
          <cell r="A872" t="str">
            <v>02.877.654/0001-23</v>
          </cell>
          <cell r="B872" t="str">
            <v>Malu Montesino</v>
          </cell>
        </row>
        <row r="873">
          <cell r="A873" t="str">
            <v>02.291.486/0001-90</v>
          </cell>
          <cell r="B873" t="str">
            <v>Malu Montesino</v>
          </cell>
        </row>
        <row r="874">
          <cell r="A874" t="str">
            <v>00.967.275/0001-07</v>
          </cell>
          <cell r="B874" t="str">
            <v>Malu Montesino</v>
          </cell>
        </row>
        <row r="875">
          <cell r="A875" t="str">
            <v>09.137.895/0001-85</v>
          </cell>
          <cell r="B875" t="str">
            <v>Malu Montesino</v>
          </cell>
        </row>
        <row r="876">
          <cell r="A876" t="str">
            <v>02.638.940/0001-36</v>
          </cell>
          <cell r="B876" t="str">
            <v>Malu Montesino</v>
          </cell>
        </row>
        <row r="877">
          <cell r="A877" t="str">
            <v>34.971.870/0001-20</v>
          </cell>
          <cell r="B877" t="str">
            <v>Malu Montesino</v>
          </cell>
        </row>
        <row r="878">
          <cell r="A878" t="str">
            <v>10.493.730/0001-25</v>
          </cell>
          <cell r="B878" t="str">
            <v>Malu Montesino</v>
          </cell>
        </row>
        <row r="879">
          <cell r="A879" t="str">
            <v>05.431.967/0001-41</v>
          </cell>
          <cell r="B879" t="str">
            <v>Malu Montesino</v>
          </cell>
        </row>
        <row r="880">
          <cell r="A880" t="str">
            <v>05.431.967/0001-41</v>
          </cell>
          <cell r="B880" t="str">
            <v>Malu Montesino</v>
          </cell>
        </row>
        <row r="881">
          <cell r="A881" t="str">
            <v>10.861.317/0001-76</v>
          </cell>
          <cell r="B881" t="str">
            <v>Mariane Nascimento</v>
          </cell>
        </row>
        <row r="882">
          <cell r="A882" t="str">
            <v>02.659.246/0003-67</v>
          </cell>
          <cell r="B882" t="str">
            <v>Mariane Nascimento</v>
          </cell>
        </row>
        <row r="883">
          <cell r="A883" t="str">
            <v>61.074.506/0001-30</v>
          </cell>
          <cell r="B883" t="str">
            <v>Malu Montesino</v>
          </cell>
        </row>
        <row r="884">
          <cell r="A884" t="str">
            <v>58.752.460/0001-56</v>
          </cell>
          <cell r="B884" t="str">
            <v>Mariane Nascimento</v>
          </cell>
        </row>
        <row r="885">
          <cell r="A885" t="str">
            <v>40.276.235/0001-25</v>
          </cell>
          <cell r="B885" t="str">
            <v>Mariane Nascimento</v>
          </cell>
        </row>
        <row r="886">
          <cell r="A886" t="str">
            <v>01.405.834/0001-40</v>
          </cell>
          <cell r="B886" t="str">
            <v>Mariane Nascimento</v>
          </cell>
        </row>
        <row r="887">
          <cell r="A887" t="str">
            <v>04.078.043/0001-40</v>
          </cell>
          <cell r="B887" t="str">
            <v>Mariane Nascimento</v>
          </cell>
        </row>
        <row r="888">
          <cell r="A888" t="str">
            <v>24.893.687/0011-71</v>
          </cell>
          <cell r="B888" t="str">
            <v>Malu Montesino</v>
          </cell>
        </row>
        <row r="889">
          <cell r="A889" t="str">
            <v>22.330.913/0001-09</v>
          </cell>
          <cell r="B889" t="str">
            <v>Mariane Nascimento</v>
          </cell>
        </row>
        <row r="890">
          <cell r="A890" t="str">
            <v>08.245.855/0001-94</v>
          </cell>
          <cell r="B890" t="str">
            <v>Mariane Nascimento</v>
          </cell>
        </row>
        <row r="891">
          <cell r="A891" t="str">
            <v>12.255.403/0001-60</v>
          </cell>
          <cell r="B891" t="str">
            <v>Mariane Nascimento</v>
          </cell>
        </row>
        <row r="892">
          <cell r="A892" t="str">
            <v>05.743.288/0001-08</v>
          </cell>
          <cell r="B892" t="str">
            <v>Mariane Nascimento</v>
          </cell>
        </row>
        <row r="893">
          <cell r="A893" t="str">
            <v>01.844.555/0001-82</v>
          </cell>
          <cell r="B893" t="str">
            <v>Malu Montesino</v>
          </cell>
        </row>
        <row r="894">
          <cell r="A894" t="str">
            <v>01.844.555/0001-82</v>
          </cell>
          <cell r="B894" t="str">
            <v>Malu Montesino</v>
          </cell>
        </row>
        <row r="895">
          <cell r="A895" t="str">
            <v>01.844.555/0001-82</v>
          </cell>
          <cell r="B895" t="str">
            <v>Malu Montesino</v>
          </cell>
        </row>
        <row r="896">
          <cell r="A896" t="str">
            <v>05.059.358/0001-03</v>
          </cell>
          <cell r="B896" t="str">
            <v>Mariane Nascimento</v>
          </cell>
        </row>
        <row r="897">
          <cell r="A897" t="str">
            <v>02.411.193/0001-07</v>
          </cell>
          <cell r="B897" t="str">
            <v>Malu Montesino</v>
          </cell>
        </row>
        <row r="898">
          <cell r="A898" t="str">
            <v>12.936.032/0001-82</v>
          </cell>
          <cell r="B898" t="str">
            <v>Malu Montesino</v>
          </cell>
        </row>
        <row r="899">
          <cell r="A899" t="str">
            <v>19.001.659/0001-90</v>
          </cell>
          <cell r="B899" t="str">
            <v>Mariane Nascimento</v>
          </cell>
        </row>
        <row r="900">
          <cell r="A900" t="str">
            <v>35.197.526/0001-98</v>
          </cell>
          <cell r="B900" t="str">
            <v>Mariane Nascimento</v>
          </cell>
        </row>
        <row r="901">
          <cell r="A901" t="str">
            <v>07.626.776/0001-60</v>
          </cell>
          <cell r="B901" t="str">
            <v>Malu Montesino</v>
          </cell>
        </row>
        <row r="902">
          <cell r="A902" t="str">
            <v>18.258.209/0001-15</v>
          </cell>
          <cell r="B902" t="str">
            <v>Mariane Nascimento</v>
          </cell>
        </row>
        <row r="903">
          <cell r="A903" t="str">
            <v>41.230.162/0001-01</v>
          </cell>
          <cell r="B903" t="str">
            <v>Mariane Nascimento</v>
          </cell>
        </row>
        <row r="904">
          <cell r="A904" t="str">
            <v>18.809.570/0001-92</v>
          </cell>
          <cell r="B904" t="str">
            <v>Mariane Nascimento</v>
          </cell>
        </row>
        <row r="905">
          <cell r="A905" t="str">
            <v>46.550.505/0001-20</v>
          </cell>
          <cell r="B905" t="str">
            <v>Malu Montesino</v>
          </cell>
        </row>
        <row r="906">
          <cell r="A906" t="str">
            <v>14.646.435/0001-12</v>
          </cell>
          <cell r="B906" t="str">
            <v>Mariane Nascimento</v>
          </cell>
        </row>
        <row r="907">
          <cell r="A907" t="str">
            <v>02.777.131/0001-05</v>
          </cell>
          <cell r="B907" t="str">
            <v>Malu Montesino</v>
          </cell>
        </row>
        <row r="908">
          <cell r="A908" t="str">
            <v>75.853.168/0001-49</v>
          </cell>
          <cell r="B908" t="str">
            <v>Malu Montesino</v>
          </cell>
        </row>
        <row r="909">
          <cell r="A909" t="str">
            <v>25.343.545/0001-21</v>
          </cell>
          <cell r="B909" t="str">
            <v>Malu Montesino</v>
          </cell>
        </row>
        <row r="910">
          <cell r="A910" t="str">
            <v>01.165.514/0001-60</v>
          </cell>
          <cell r="B910" t="str">
            <v>Malu Montesino</v>
          </cell>
        </row>
        <row r="911">
          <cell r="A911" t="str">
            <v>76.492.701/0010-48</v>
          </cell>
          <cell r="B911" t="str">
            <v>Malu Montesino</v>
          </cell>
        </row>
        <row r="912">
          <cell r="A912" t="str">
            <v>07.598.814/0001-19</v>
          </cell>
          <cell r="B912" t="str">
            <v>Malu Montesino</v>
          </cell>
        </row>
        <row r="913">
          <cell r="A913" t="str">
            <v>28.531.958/0001-28</v>
          </cell>
          <cell r="B913" t="str">
            <v>Mariane Nascimento</v>
          </cell>
        </row>
        <row r="914">
          <cell r="A914" t="str">
            <v>07.133.384/0001-60</v>
          </cell>
          <cell r="B914" t="str">
            <v>Mariane Nascimento</v>
          </cell>
        </row>
        <row r="915">
          <cell r="A915" t="str">
            <v>14.510.712/0001-65</v>
          </cell>
          <cell r="B915" t="str">
            <v>Mariane Nascimento</v>
          </cell>
        </row>
        <row r="916">
          <cell r="A916" t="str">
            <v>60.665.981/0001-18</v>
          </cell>
          <cell r="B916" t="str">
            <v>Mariane Nascimento</v>
          </cell>
        </row>
        <row r="917">
          <cell r="A917" t="str">
            <v>06.172.467/0001-03</v>
          </cell>
          <cell r="B917" t="str">
            <v>Mariane Nascimento</v>
          </cell>
        </row>
        <row r="918">
          <cell r="A918" t="str">
            <v>02.535.707/0001-28</v>
          </cell>
          <cell r="B918" t="str">
            <v>Mariane Nascimento</v>
          </cell>
        </row>
        <row r="919">
          <cell r="A919" t="str">
            <v>62.802.012/0001-97</v>
          </cell>
          <cell r="B919" t="str">
            <v>Mariane Nascimento</v>
          </cell>
        </row>
        <row r="920">
          <cell r="A920" t="str">
            <v>02.377.937/0001-06</v>
          </cell>
          <cell r="B920" t="str">
            <v>Mariane Nascimento</v>
          </cell>
        </row>
        <row r="921">
          <cell r="A921" t="str">
            <v>09.485.574/0001-71</v>
          </cell>
          <cell r="B921" t="str">
            <v>Mariane Nascimento</v>
          </cell>
        </row>
        <row r="922">
          <cell r="A922" t="str">
            <v>22.743.984/0001-33</v>
          </cell>
          <cell r="B922" t="str">
            <v>Mariane Nascimento</v>
          </cell>
        </row>
        <row r="923">
          <cell r="A923" t="str">
            <v>67.760.678/0001-43</v>
          </cell>
          <cell r="B923" t="str">
            <v>Mariane Nascimento</v>
          </cell>
        </row>
        <row r="924">
          <cell r="A924" t="str">
            <v>66.106.600/0001-47</v>
          </cell>
          <cell r="B924" t="str">
            <v>Mariane Nascimento</v>
          </cell>
        </row>
        <row r="925">
          <cell r="A925" t="str">
            <v>00.094.397/0001-28</v>
          </cell>
          <cell r="B925" t="str">
            <v>Mariane Nascimento</v>
          </cell>
        </row>
        <row r="926">
          <cell r="A926" t="str">
            <v>05.934.885/0001-10</v>
          </cell>
          <cell r="B926" t="str">
            <v>Mariane Nascimento</v>
          </cell>
        </row>
        <row r="927">
          <cell r="A927" t="str">
            <v>23.677.604/0001-72</v>
          </cell>
          <cell r="B927" t="str">
            <v>Mariane Nascimento</v>
          </cell>
        </row>
        <row r="928">
          <cell r="A928" t="str">
            <v>07.804.371/0001-75</v>
          </cell>
          <cell r="B928" t="str">
            <v>Malu Montesino</v>
          </cell>
        </row>
        <row r="929">
          <cell r="A929" t="str">
            <v>22.090.928/0001-47</v>
          </cell>
          <cell r="B929" t="str">
            <v>Malu Montesino</v>
          </cell>
        </row>
        <row r="930">
          <cell r="A930" t="str">
            <v>03.033.345/0001-30</v>
          </cell>
          <cell r="B930" t="str">
            <v>Mariane Nascimento</v>
          </cell>
        </row>
        <row r="931">
          <cell r="A931" t="str">
            <v>54.379.172/0001-47</v>
          </cell>
          <cell r="B931" t="str">
            <v>Mariane Nascimento</v>
          </cell>
        </row>
        <row r="932">
          <cell r="A932" t="str">
            <v>17.109.432/0001-38</v>
          </cell>
          <cell r="B932" t="str">
            <v>Malu Montesino</v>
          </cell>
        </row>
        <row r="933">
          <cell r="A933" t="str">
            <v>17.109.432/0001-38</v>
          </cell>
          <cell r="B933" t="str">
            <v>Malu Montesino</v>
          </cell>
        </row>
        <row r="934">
          <cell r="A934" t="str">
            <v>53.113.791/0001-22</v>
          </cell>
          <cell r="B934" t="str">
            <v>Malu Montesino</v>
          </cell>
        </row>
        <row r="935">
          <cell r="A935" t="str">
            <v>59.104.760/0001-91</v>
          </cell>
          <cell r="B935" t="str">
            <v>Malu Montesino</v>
          </cell>
        </row>
        <row r="936">
          <cell r="A936" t="str">
            <v>24.601.189/0001-36</v>
          </cell>
          <cell r="B936" t="str">
            <v>Malu Montesino</v>
          </cell>
        </row>
        <row r="937">
          <cell r="A937" t="str">
            <v>04.608.635/0001-27</v>
          </cell>
          <cell r="B937" t="str">
            <v>Malu Montesino</v>
          </cell>
        </row>
        <row r="938">
          <cell r="A938" t="str">
            <v>04.608.635/0001-27</v>
          </cell>
          <cell r="B938" t="str">
            <v>Malu Montesino</v>
          </cell>
        </row>
        <row r="939">
          <cell r="A939" t="str">
            <v>00.028.986/0001-08</v>
          </cell>
          <cell r="B939" t="str">
            <v>Malu Montesino</v>
          </cell>
        </row>
        <row r="940">
          <cell r="A940" t="str">
            <v>00.028.986/0001-08</v>
          </cell>
          <cell r="B940" t="str">
            <v>Malu Montesino</v>
          </cell>
        </row>
        <row r="941">
          <cell r="A941" t="str">
            <v>04.949.905/0001-63</v>
          </cell>
          <cell r="B941" t="str">
            <v>Mariane Nascimento</v>
          </cell>
        </row>
        <row r="942">
          <cell r="A942" t="str">
            <v>32.223.020/0001-18</v>
          </cell>
          <cell r="B942" t="str">
            <v>Mariane Nascimento</v>
          </cell>
        </row>
        <row r="943">
          <cell r="A943" t="str">
            <v>26.401.688/0001-05</v>
          </cell>
          <cell r="B943" t="str">
            <v>Mariane Nascimento</v>
          </cell>
        </row>
        <row r="944">
          <cell r="A944" t="str">
            <v>03.735.193/0001-17</v>
          </cell>
          <cell r="B944" t="str">
            <v>Mariane Nascimento</v>
          </cell>
        </row>
        <row r="945">
          <cell r="A945" t="str">
            <v>33.449.007/0001-44</v>
          </cell>
          <cell r="B945" t="str">
            <v>Malu Montesino</v>
          </cell>
        </row>
        <row r="946">
          <cell r="A946" t="str">
            <v>33.157.312/0001-62</v>
          </cell>
          <cell r="B946" t="str">
            <v>Mariane Nascimento</v>
          </cell>
        </row>
        <row r="947">
          <cell r="A947" t="str">
            <v>26.246.053/0001-80</v>
          </cell>
          <cell r="B947" t="str">
            <v>Mariane Nascimento</v>
          </cell>
        </row>
        <row r="948">
          <cell r="A948" t="str">
            <v>16.577.631/0002-99</v>
          </cell>
          <cell r="B948" t="str">
            <v>Mariane Nascimento</v>
          </cell>
        </row>
        <row r="949">
          <cell r="A949" t="str">
            <v>28.581.308/0001-97</v>
          </cell>
          <cell r="B949" t="str">
            <v>Mariane Nascimento</v>
          </cell>
        </row>
        <row r="950">
          <cell r="A950" t="str">
            <v>32.403.914/0001-90</v>
          </cell>
          <cell r="B950" t="str">
            <v>Mariane Nascimento</v>
          </cell>
        </row>
        <row r="951">
          <cell r="A951" t="str">
            <v>32.403.914/0001-90</v>
          </cell>
          <cell r="B951" t="str">
            <v>Mariane Nascimento</v>
          </cell>
        </row>
        <row r="952">
          <cell r="A952" t="str">
            <v>10.962.495/0001-93</v>
          </cell>
          <cell r="B952" t="str">
            <v>Malu Montesino</v>
          </cell>
        </row>
        <row r="953">
          <cell r="A953" t="str">
            <v>75.853.168/0001-49</v>
          </cell>
          <cell r="B953" t="str">
            <v>Malu Montesino</v>
          </cell>
        </row>
        <row r="954">
          <cell r="A954" t="str">
            <v>07.598.814/0001-19</v>
          </cell>
          <cell r="B954" t="str">
            <v>Malu Montesino</v>
          </cell>
        </row>
        <row r="955">
          <cell r="A955" t="str">
            <v>07.804.371/0001-75</v>
          </cell>
          <cell r="B955" t="str">
            <v>Malu Montesino</v>
          </cell>
        </row>
        <row r="956">
          <cell r="A956" t="str">
            <v>25.343.545/0001-21</v>
          </cell>
          <cell r="B956" t="str">
            <v>Malu Montesino</v>
          </cell>
        </row>
        <row r="957">
          <cell r="A957" t="str">
            <v>59.104.760/0001-91</v>
          </cell>
          <cell r="B957" t="str">
            <v>Malu Montesino</v>
          </cell>
        </row>
        <row r="958">
          <cell r="A958" t="str">
            <v>00.028.986/0001-08</v>
          </cell>
          <cell r="B958" t="str">
            <v>Malu Montesino</v>
          </cell>
        </row>
        <row r="959">
          <cell r="A959" t="str">
            <v>32.403.914/0001-90</v>
          </cell>
          <cell r="B959" t="str">
            <v>Mariane Nascimento</v>
          </cell>
        </row>
        <row r="960">
          <cell r="A960" t="str">
            <v>57.394.447/0004-52</v>
          </cell>
          <cell r="B960" t="str">
            <v>Malu Montesino</v>
          </cell>
        </row>
        <row r="961">
          <cell r="A961" t="str">
            <v>17.109.432/0001-38</v>
          </cell>
          <cell r="B961" t="str">
            <v>Malu Montesino</v>
          </cell>
        </row>
        <row r="962">
          <cell r="A962" t="str">
            <v>02.816.696/0001-54</v>
          </cell>
          <cell r="B962" t="str">
            <v>Malu Montesino</v>
          </cell>
        </row>
        <row r="963">
          <cell r="A963" t="str">
            <v>04.743.025/0001-36</v>
          </cell>
          <cell r="B963" t="str">
            <v>Malu Montesino</v>
          </cell>
        </row>
        <row r="964">
          <cell r="A964" t="str">
            <v>29.736.089/0001-30</v>
          </cell>
          <cell r="B964" t="str">
            <v>Malu Montesino</v>
          </cell>
        </row>
        <row r="965">
          <cell r="A965" t="str">
            <v>55.979.736/0001-45</v>
          </cell>
          <cell r="B965" t="str">
            <v>Malu Montesino</v>
          </cell>
        </row>
        <row r="966">
          <cell r="A966" t="str">
            <v>07.884.692/0001-27</v>
          </cell>
          <cell r="B966" t="str">
            <v>Malu Montesino</v>
          </cell>
        </row>
        <row r="967">
          <cell r="A967" t="str">
            <v>02.816.696/0001-54</v>
          </cell>
          <cell r="B967" t="str">
            <v>Malu Montesino</v>
          </cell>
        </row>
        <row r="968">
          <cell r="A968" t="str">
            <v>61.467.528/0001-60</v>
          </cell>
          <cell r="B968" t="str">
            <v>Mariane Nascimento</v>
          </cell>
        </row>
        <row r="969">
          <cell r="A969" t="str">
            <v>09.402.590/0001-53</v>
          </cell>
          <cell r="B969" t="str">
            <v>Mariane Nascimento</v>
          </cell>
        </row>
        <row r="970">
          <cell r="A970" t="str">
            <v>14.309.992/0001-48</v>
          </cell>
          <cell r="B970" t="str">
            <v>Malu Montesino</v>
          </cell>
        </row>
        <row r="971">
          <cell r="A971" t="str">
            <v>01.722.296/0001-17</v>
          </cell>
          <cell r="B971" t="str">
            <v>Mariane Nascimento</v>
          </cell>
        </row>
        <row r="972">
          <cell r="A972" t="str">
            <v>88.634.977/0001-01</v>
          </cell>
          <cell r="B972" t="str">
            <v>Malu Montesino</v>
          </cell>
        </row>
        <row r="973">
          <cell r="A973" t="str">
            <v>03.509.978/0001-71</v>
          </cell>
          <cell r="B973" t="str">
            <v>Malu Montesino</v>
          </cell>
        </row>
        <row r="974">
          <cell r="A974" t="str">
            <v>12.246.862/0001-88</v>
          </cell>
          <cell r="B974" t="str">
            <v>Mariane Nascimento</v>
          </cell>
        </row>
        <row r="975">
          <cell r="A975" t="str">
            <v>04.743.858/0001-05</v>
          </cell>
          <cell r="B975" t="str">
            <v>Malu Montesino</v>
          </cell>
        </row>
        <row r="976">
          <cell r="A976" t="str">
            <v>04.743.858/0001-05</v>
          </cell>
          <cell r="B976" t="str">
            <v>Malu Montesino</v>
          </cell>
        </row>
        <row r="977">
          <cell r="A977" t="str">
            <v>13.385.482/0001-97</v>
          </cell>
          <cell r="B977" t="str">
            <v>Malu Montesino</v>
          </cell>
        </row>
        <row r="978">
          <cell r="A978" t="str">
            <v>33.253.071/0001-55</v>
          </cell>
          <cell r="B978" t="str">
            <v>Malu Montesino</v>
          </cell>
        </row>
        <row r="979">
          <cell r="A979" t="str">
            <v>62.125.836/0001-70</v>
          </cell>
          <cell r="B979" t="str">
            <v>Malu Montesino</v>
          </cell>
        </row>
        <row r="980">
          <cell r="A980" t="str">
            <v>17.312.448/0001-43</v>
          </cell>
          <cell r="B980" t="str">
            <v>Malu Montesino</v>
          </cell>
        </row>
        <row r="981">
          <cell r="A981" t="str">
            <v>04.615.114/0001-05</v>
          </cell>
          <cell r="B981" t="str">
            <v>Malu Montesino</v>
          </cell>
        </row>
        <row r="982">
          <cell r="A982" t="str">
            <v>04.615.114/0001-05</v>
          </cell>
          <cell r="B982" t="str">
            <v>Malu Montesino</v>
          </cell>
        </row>
        <row r="983">
          <cell r="A983" t="str">
            <v>05.003.729/0001-35</v>
          </cell>
          <cell r="B983" t="str">
            <v>Malu Montesino</v>
          </cell>
        </row>
        <row r="984">
          <cell r="A984" t="str">
            <v>05.003.729/0001-35</v>
          </cell>
          <cell r="B984" t="str">
            <v>Malu Montesino</v>
          </cell>
        </row>
        <row r="985">
          <cell r="A985" t="str">
            <v>24.601.189/0001-36</v>
          </cell>
          <cell r="B985" t="str">
            <v>Malu Montesino</v>
          </cell>
        </row>
        <row r="986">
          <cell r="A986" t="str">
            <v>45.990.181/0001-89</v>
          </cell>
          <cell r="B986" t="str">
            <v>Malu Montesino</v>
          </cell>
        </row>
        <row r="987">
          <cell r="A987" t="str">
            <v>45.990.181/0001-89</v>
          </cell>
          <cell r="B987" t="str">
            <v>Malu Montesino</v>
          </cell>
        </row>
        <row r="988">
          <cell r="A988" t="str">
            <v>14.707.364/0001-10</v>
          </cell>
          <cell r="B988" t="str">
            <v>Malu Montesino</v>
          </cell>
        </row>
        <row r="989">
          <cell r="A989" t="str">
            <v>14.707.364/0001-10</v>
          </cell>
          <cell r="B989" t="str">
            <v>Malu Montesino</v>
          </cell>
        </row>
        <row r="990">
          <cell r="A990" t="str">
            <v>60.586.450/0001-30</v>
          </cell>
          <cell r="B990" t="str">
            <v>Malu Montesino</v>
          </cell>
        </row>
        <row r="991">
          <cell r="A991" t="str">
            <v>92.664.028/0001-41</v>
          </cell>
          <cell r="B991" t="str">
            <v>Malu Montesino</v>
          </cell>
        </row>
        <row r="992">
          <cell r="A992" t="str">
            <v>92.664.028/0001-41</v>
          </cell>
          <cell r="B992" t="str">
            <v>Malu Montesino</v>
          </cell>
        </row>
        <row r="993">
          <cell r="A993" t="str">
            <v>92.664.028/0001-41</v>
          </cell>
          <cell r="B993" t="str">
            <v>Malu Montesino</v>
          </cell>
        </row>
        <row r="994">
          <cell r="A994" t="str">
            <v>08.823.013/0001-72</v>
          </cell>
          <cell r="B994" t="str">
            <v>Malu Montesino</v>
          </cell>
        </row>
        <row r="995">
          <cell r="A995" t="str">
            <v>50.981.018/0001-90</v>
          </cell>
          <cell r="B995" t="str">
            <v>Malu Montesino</v>
          </cell>
        </row>
        <row r="996">
          <cell r="A996" t="str">
            <v>17.312.448/0001-43</v>
          </cell>
          <cell r="B996" t="str">
            <v>Malu Montesino</v>
          </cell>
        </row>
        <row r="997">
          <cell r="A997" t="str">
            <v>45.990.181/0001-89</v>
          </cell>
          <cell r="B997" t="str">
            <v>Malu Montesino</v>
          </cell>
        </row>
        <row r="998">
          <cell r="A998" t="str">
            <v>05.003.729/0001-35</v>
          </cell>
          <cell r="B998" t="str">
            <v>Malu Montesino</v>
          </cell>
        </row>
        <row r="999">
          <cell r="A999" t="str">
            <v>12.246.862/0001-88</v>
          </cell>
          <cell r="B999" t="str">
            <v>Mariane Nascimento</v>
          </cell>
        </row>
        <row r="1000">
          <cell r="A1000" t="str">
            <v>04.615.114/0001-05</v>
          </cell>
          <cell r="B1000" t="str">
            <v>Malu Montesino</v>
          </cell>
        </row>
        <row r="1001">
          <cell r="A1001" t="str">
            <v>24.893.687/0011-71</v>
          </cell>
          <cell r="B1001" t="str">
            <v>Malu Montesino</v>
          </cell>
        </row>
        <row r="1002">
          <cell r="A1002" t="str">
            <v>24.893.687/0011-71</v>
          </cell>
          <cell r="B1002" t="str">
            <v>Malu Montesino</v>
          </cell>
        </row>
        <row r="1003">
          <cell r="A1003" t="str">
            <v>24.893.687/0011-71</v>
          </cell>
          <cell r="B1003" t="str">
            <v>Malu Montesino</v>
          </cell>
        </row>
        <row r="1004">
          <cell r="A1004" t="str">
            <v>58.516.782/0001-04</v>
          </cell>
          <cell r="B1004" t="str">
            <v>Malu Montesino</v>
          </cell>
        </row>
        <row r="1005">
          <cell r="A1005" t="str">
            <v>58.516.782/0001-04</v>
          </cell>
          <cell r="B1005" t="str">
            <v>Malu Montesino</v>
          </cell>
        </row>
        <row r="1006">
          <cell r="A1006" t="str">
            <v>14.309.992/0001-48</v>
          </cell>
          <cell r="B1006" t="str">
            <v>Malu Montesino</v>
          </cell>
        </row>
        <row r="1007">
          <cell r="A1007" t="str">
            <v>60.872.306/0001-60</v>
          </cell>
          <cell r="B1007" t="str">
            <v>Malu Montesino</v>
          </cell>
        </row>
        <row r="1008">
          <cell r="A1008" t="str">
            <v>12.246.862/0001-88</v>
          </cell>
          <cell r="B1008" t="str">
            <v>Mariane Nascimento</v>
          </cell>
        </row>
        <row r="1009">
          <cell r="A1009" t="str">
            <v>05.495.281/0001-14</v>
          </cell>
          <cell r="B1009" t="str">
            <v>Mariane Nascimento</v>
          </cell>
        </row>
        <row r="1010">
          <cell r="A1010" t="str">
            <v>21.333.748/0001-86</v>
          </cell>
          <cell r="B1010" t="str">
            <v>Malu Montesino</v>
          </cell>
        </row>
        <row r="1011">
          <cell r="A1011" t="str">
            <v>50.086.453/0001-50</v>
          </cell>
          <cell r="B1011" t="str">
            <v>Malu Montesino</v>
          </cell>
        </row>
        <row r="1012">
          <cell r="A1012" t="str">
            <v>41.707.446/0001-38</v>
          </cell>
          <cell r="B1012" t="str">
            <v>Malu Montesino</v>
          </cell>
        </row>
        <row r="1013">
          <cell r="A1013" t="str">
            <v>32.403.914/0001-90</v>
          </cell>
          <cell r="B1013" t="str">
            <v>Mariane Nascimento</v>
          </cell>
        </row>
        <row r="1014">
          <cell r="A1014" t="str">
            <v>32.403.914/0001-90</v>
          </cell>
          <cell r="B1014" t="str">
            <v>Mariane Nascimento</v>
          </cell>
        </row>
        <row r="1015">
          <cell r="A1015" t="str">
            <v>32.403.914/0001-90</v>
          </cell>
          <cell r="B1015" t="str">
            <v>Mariane Nascimento</v>
          </cell>
        </row>
        <row r="1016">
          <cell r="A1016" t="str">
            <v>09.221.044/0001-16</v>
          </cell>
          <cell r="B1016" t="str">
            <v>Malu Montesino</v>
          </cell>
        </row>
        <row r="1017">
          <cell r="A1017" t="str">
            <v>92.664.028/0001-41</v>
          </cell>
          <cell r="B1017" t="str">
            <v>Malu Montesino</v>
          </cell>
        </row>
        <row r="1018">
          <cell r="A1018" t="str">
            <v>08.823.013/0001-72</v>
          </cell>
          <cell r="B1018" t="str">
            <v>Malu Montesino</v>
          </cell>
        </row>
        <row r="1019">
          <cell r="A1019" t="str">
            <v>58.516.782/0001-04</v>
          </cell>
          <cell r="B1019" t="str">
            <v>Malu Montesino</v>
          </cell>
        </row>
        <row r="1020">
          <cell r="A1020" t="str">
            <v>24.893.687/0011-71</v>
          </cell>
          <cell r="B1020" t="str">
            <v>Malu Montesino</v>
          </cell>
        </row>
        <row r="1021">
          <cell r="A1021" t="str">
            <v>24.893.687/0011-71</v>
          </cell>
          <cell r="B1021" t="str">
            <v>Malu Montesino</v>
          </cell>
        </row>
        <row r="1022">
          <cell r="A1022" t="str">
            <v>21.333.748/0001-86</v>
          </cell>
          <cell r="B1022" t="str">
            <v>Malu Montesino</v>
          </cell>
        </row>
        <row r="1023">
          <cell r="A1023" t="str">
            <v>50.086.453/0001-50</v>
          </cell>
          <cell r="B1023" t="str">
            <v>Malu Montesino</v>
          </cell>
        </row>
        <row r="1024">
          <cell r="A1024" t="str">
            <v>27.061.442/0001-02</v>
          </cell>
          <cell r="B1024" t="str">
            <v>Malu Montesino</v>
          </cell>
        </row>
        <row r="1025">
          <cell r="A1025" t="str">
            <v>27.061.442/0001-02</v>
          </cell>
          <cell r="B1025" t="str">
            <v>Malu Montesino</v>
          </cell>
        </row>
        <row r="1026">
          <cell r="A1026" t="str">
            <v>23.647.365/0001-08</v>
          </cell>
          <cell r="B1026" t="str">
            <v>Malu Montesino</v>
          </cell>
        </row>
        <row r="1027">
          <cell r="A1027" t="str">
            <v>41.383.193/0001-94</v>
          </cell>
          <cell r="B1027" t="str">
            <v>Malu Montesino</v>
          </cell>
        </row>
        <row r="1028">
          <cell r="A1028" t="str">
            <v>52.541.760/0001-00</v>
          </cell>
          <cell r="B1028" t="str">
            <v>Malu Montesino</v>
          </cell>
        </row>
        <row r="1029">
          <cell r="A1029" t="str">
            <v>59.275.792/0001-50</v>
          </cell>
          <cell r="B1029" t="str">
            <v>Malu Montesino</v>
          </cell>
        </row>
        <row r="1030">
          <cell r="A1030" t="str">
            <v>03.117.534/0001-90</v>
          </cell>
          <cell r="B1030" t="str">
            <v>Malu Montesino</v>
          </cell>
        </row>
        <row r="1031">
          <cell r="A1031" t="str">
            <v>03.117.534/0001-90</v>
          </cell>
          <cell r="B1031" t="str">
            <v>Malu Montesino</v>
          </cell>
        </row>
        <row r="1032">
          <cell r="A1032" t="str">
            <v>05.522.437/0001-09</v>
          </cell>
          <cell r="B1032" t="str">
            <v>Malu Montesino</v>
          </cell>
        </row>
        <row r="1033">
          <cell r="A1033" t="str">
            <v>61.074.506/0001-30</v>
          </cell>
          <cell r="B1033" t="str">
            <v>Malu Montesino</v>
          </cell>
        </row>
        <row r="1034">
          <cell r="A1034" t="str">
            <v>61.074.506/0001-30</v>
          </cell>
          <cell r="B1034" t="str">
            <v>Malu Montesino</v>
          </cell>
        </row>
        <row r="1035">
          <cell r="A1035" t="str">
            <v>61.074.506/0001-30</v>
          </cell>
          <cell r="B1035" t="str">
            <v>Malu Montesino</v>
          </cell>
        </row>
        <row r="1036">
          <cell r="A1036" t="str">
            <v>59.273.714/0001-16</v>
          </cell>
          <cell r="B1036" t="str">
            <v>Malu Montesino</v>
          </cell>
        </row>
        <row r="1037">
          <cell r="A1037" t="str">
            <v>10.962.495/0001-93</v>
          </cell>
          <cell r="B1037" t="str">
            <v>Malu Montesino</v>
          </cell>
        </row>
        <row r="1038">
          <cell r="A1038" t="str">
            <v>01.722.296/0001-17</v>
          </cell>
          <cell r="B1038" t="str">
            <v>Mariane Nascimento</v>
          </cell>
        </row>
        <row r="1039">
          <cell r="A1039" t="str">
            <v>19.653.054/0001-84</v>
          </cell>
          <cell r="B1039" t="str">
            <v>Malu Montesino</v>
          </cell>
        </row>
        <row r="1040">
          <cell r="A1040" t="str">
            <v>19.653.054/0001-84</v>
          </cell>
          <cell r="B1040" t="str">
            <v>Malu Montesino</v>
          </cell>
        </row>
        <row r="1041">
          <cell r="A1041" t="str">
            <v>19.653.054/0001-84</v>
          </cell>
          <cell r="B1041" t="str">
            <v>Malu Montesino</v>
          </cell>
        </row>
        <row r="1042">
          <cell r="A1042" t="str">
            <v>13.890.656/0001-79</v>
          </cell>
          <cell r="B1042" t="str">
            <v>Malu Montesino</v>
          </cell>
        </row>
        <row r="1043">
          <cell r="A1043" t="str">
            <v>60.872.306/0001-60</v>
          </cell>
          <cell r="B1043" t="str">
            <v>Malu Montesino</v>
          </cell>
        </row>
        <row r="1044">
          <cell r="A1044" t="str">
            <v>60.872.306/0001-60</v>
          </cell>
          <cell r="B1044" t="str">
            <v>Malu Montesino</v>
          </cell>
        </row>
        <row r="1045">
          <cell r="A1045" t="str">
            <v>60.872.306/0001-60</v>
          </cell>
          <cell r="B1045" t="str">
            <v>Malu Montesino</v>
          </cell>
        </row>
        <row r="1046">
          <cell r="A1046" t="str">
            <v>12.246.862/0001-88</v>
          </cell>
          <cell r="B1046" t="str">
            <v>Mariane Nascimento</v>
          </cell>
        </row>
        <row r="1047">
          <cell r="A1047" t="str">
            <v>22.090.928/0001-47</v>
          </cell>
          <cell r="B1047" t="str">
            <v>Malu Montesino</v>
          </cell>
        </row>
        <row r="1048">
          <cell r="A1048" t="str">
            <v>44.211.112/0001-67</v>
          </cell>
          <cell r="B1048" t="str">
            <v>Malu Montesino</v>
          </cell>
        </row>
        <row r="1049">
          <cell r="A1049" t="str">
            <v>04.155.026/0001-60</v>
          </cell>
          <cell r="B1049" t="str">
            <v>Malu Montesino</v>
          </cell>
        </row>
        <row r="1050">
          <cell r="A1050" t="str">
            <v>04.155.026/0001-60</v>
          </cell>
          <cell r="B1050" t="str">
            <v>Malu Montesino</v>
          </cell>
        </row>
        <row r="1051">
          <cell r="A1051" t="str">
            <v>45.987.005/0001-98</v>
          </cell>
          <cell r="B1051" t="str">
            <v>Malu Montesino</v>
          </cell>
        </row>
        <row r="1052">
          <cell r="A1052" t="str">
            <v>00.416.170/0001-51</v>
          </cell>
          <cell r="B1052" t="str">
            <v>Malu Montesino</v>
          </cell>
        </row>
        <row r="1053">
          <cell r="A1053" t="str">
            <v>82.927.385/0001-00</v>
          </cell>
          <cell r="B1053" t="str">
            <v>Malu Montesino</v>
          </cell>
        </row>
        <row r="1054">
          <cell r="A1054" t="str">
            <v>61.295.473/0001-58</v>
          </cell>
          <cell r="B1054" t="str">
            <v>Malu Montesino</v>
          </cell>
        </row>
        <row r="1055">
          <cell r="A1055" t="str">
            <v>02.162.259/0001-64</v>
          </cell>
          <cell r="B1055" t="str">
            <v>Malu Montesino</v>
          </cell>
        </row>
        <row r="1056">
          <cell r="A1056" t="str">
            <v>02.162.259/0001-64</v>
          </cell>
          <cell r="B1056" t="str">
            <v>Malu Montesino</v>
          </cell>
        </row>
        <row r="1057">
          <cell r="A1057" t="str">
            <v>01.554.021/0001-11</v>
          </cell>
          <cell r="B1057" t="str">
            <v>Malu Montesino</v>
          </cell>
        </row>
        <row r="1058">
          <cell r="A1058" t="str">
            <v>04.595.738/0001-08</v>
          </cell>
          <cell r="B1058" t="str">
            <v>Malu Montesino</v>
          </cell>
        </row>
        <row r="1059">
          <cell r="A1059" t="str">
            <v>60.619.202/0001-48</v>
          </cell>
          <cell r="B1059" t="str">
            <v>Malu Montesino</v>
          </cell>
        </row>
        <row r="1060">
          <cell r="A1060" t="str">
            <v>04.043.808/0001-07</v>
          </cell>
          <cell r="B1060" t="str">
            <v>Mariane Nascimento</v>
          </cell>
        </row>
        <row r="1061">
          <cell r="A1061" t="str">
            <v>08.839.778/0001-09</v>
          </cell>
          <cell r="B1061" t="str">
            <v>Mariane Nascimento</v>
          </cell>
        </row>
        <row r="1062">
          <cell r="A1062" t="str">
            <v>37.778.759/0001-00</v>
          </cell>
          <cell r="B1062" t="str">
            <v>Mariane Nascimento</v>
          </cell>
        </row>
        <row r="1063">
          <cell r="A1063" t="str">
            <v>13.890.656/0001-79</v>
          </cell>
          <cell r="B1063" t="str">
            <v>Malu Montesino</v>
          </cell>
        </row>
        <row r="1064">
          <cell r="A1064" t="str">
            <v>13.890.656/0001-79</v>
          </cell>
          <cell r="B1064" t="str">
            <v>Malu Montesino</v>
          </cell>
        </row>
        <row r="1065">
          <cell r="A1065" t="str">
            <v>45.987.005/0001-98</v>
          </cell>
          <cell r="B1065" t="str">
            <v>Malu Montesino</v>
          </cell>
        </row>
        <row r="1066">
          <cell r="A1066" t="str">
            <v>00.416.170/0001-51</v>
          </cell>
          <cell r="B1066" t="str">
            <v>Malu Montesino</v>
          </cell>
        </row>
        <row r="1067">
          <cell r="A1067" t="str">
            <v>12.246.862/0001-88</v>
          </cell>
          <cell r="B1067" t="str">
            <v>Mariane Nascimento</v>
          </cell>
        </row>
        <row r="1068">
          <cell r="A1068" t="str">
            <v>04.155.026/0001-60</v>
          </cell>
          <cell r="B1068" t="str">
            <v>Malu Montesino</v>
          </cell>
        </row>
        <row r="1069">
          <cell r="A1069" t="str">
            <v>04.155.026/0001-60</v>
          </cell>
          <cell r="B1069" t="str">
            <v>Malu Montesino</v>
          </cell>
        </row>
        <row r="1070">
          <cell r="A1070" t="str">
            <v>04.155.026/0001-60</v>
          </cell>
          <cell r="B1070" t="str">
            <v>Malu Montesino</v>
          </cell>
        </row>
        <row r="1071">
          <cell r="A1071" t="str">
            <v>04.155.026/0001-60</v>
          </cell>
          <cell r="B1071" t="str">
            <v>Malu Montesino</v>
          </cell>
        </row>
        <row r="1072">
          <cell r="A1072" t="str">
            <v>10.861.317/0001-76</v>
          </cell>
          <cell r="B1072" t="str">
            <v>Mariane Nascimento</v>
          </cell>
        </row>
        <row r="1073">
          <cell r="A1073" t="str">
            <v>10.861.317/0001-76</v>
          </cell>
          <cell r="B1073" t="str">
            <v>Mariane Nascimento</v>
          </cell>
        </row>
        <row r="1074">
          <cell r="A1074" t="str">
            <v>03.117.534/0001-90</v>
          </cell>
          <cell r="B1074" t="str">
            <v>Malu Montesino</v>
          </cell>
        </row>
        <row r="1075">
          <cell r="A1075" t="str">
            <v>10.484.227/0001-03</v>
          </cell>
          <cell r="B1075" t="str">
            <v>Malu Montesino</v>
          </cell>
        </row>
        <row r="1076">
          <cell r="A1076" t="str">
            <v>02.659.246/0003-67</v>
          </cell>
          <cell r="B1076" t="str">
            <v>Mariane Nascimento</v>
          </cell>
        </row>
        <row r="1077">
          <cell r="A1077" t="str">
            <v>58.752.460/0001-56</v>
          </cell>
          <cell r="B1077" t="str">
            <v>Mariane Nascimento</v>
          </cell>
        </row>
        <row r="1078">
          <cell r="A1078" t="str">
            <v>58.752.460/0001-56</v>
          </cell>
          <cell r="B1078" t="str">
            <v>Mariane Nascimento</v>
          </cell>
        </row>
        <row r="1079">
          <cell r="A1079" t="str">
            <v>08.675.394/0001-90</v>
          </cell>
          <cell r="B1079" t="str">
            <v>Mariane Nascimento</v>
          </cell>
        </row>
        <row r="1080">
          <cell r="A1080" t="str">
            <v>40.276.235/0001-25</v>
          </cell>
          <cell r="B1080" t="str">
            <v>Mariane Nascimento</v>
          </cell>
        </row>
        <row r="1081">
          <cell r="A1081" t="str">
            <v>01.405.834/0001-40</v>
          </cell>
          <cell r="B1081" t="str">
            <v>Mariane Nascimento</v>
          </cell>
        </row>
        <row r="1082">
          <cell r="A1082" t="str">
            <v>01.405.834/0001-40</v>
          </cell>
          <cell r="B1082" t="str">
            <v>Mariane Nascimento</v>
          </cell>
        </row>
        <row r="1083">
          <cell r="A1083" t="str">
            <v>04.078.043/0001-40</v>
          </cell>
          <cell r="B1083" t="str">
            <v>Mariane Nascimento</v>
          </cell>
        </row>
        <row r="1084">
          <cell r="A1084" t="str">
            <v>04.078.043/0001-40</v>
          </cell>
          <cell r="B1084" t="str">
            <v>Mariane Nascimento</v>
          </cell>
        </row>
        <row r="1085">
          <cell r="A1085" t="str">
            <v>04.078.043/0001-40</v>
          </cell>
          <cell r="B1085" t="str">
            <v>Mariane Nascimento</v>
          </cell>
        </row>
        <row r="1086">
          <cell r="A1086" t="str">
            <v>22.330.913/0001-09</v>
          </cell>
          <cell r="B1086" t="str">
            <v>Mariane Nascimento</v>
          </cell>
        </row>
        <row r="1087">
          <cell r="A1087" t="str">
            <v>08.245.855/0001-94</v>
          </cell>
          <cell r="B1087" t="str">
            <v>Mariane Nascimento</v>
          </cell>
        </row>
        <row r="1088">
          <cell r="A1088" t="str">
            <v>08.245.855/0001-94</v>
          </cell>
          <cell r="B1088" t="str">
            <v>Mariane Nascimento</v>
          </cell>
        </row>
        <row r="1089">
          <cell r="A1089" t="str">
            <v>12.255.403/0001-60</v>
          </cell>
          <cell r="B1089" t="str">
            <v>Mariane Nascimento</v>
          </cell>
        </row>
        <row r="1090">
          <cell r="A1090" t="str">
            <v>05.743.288/0001-08</v>
          </cell>
          <cell r="B1090" t="str">
            <v>Mariane Nascimento</v>
          </cell>
        </row>
        <row r="1091">
          <cell r="A1091" t="str">
            <v>05.059.358/0001-03</v>
          </cell>
          <cell r="B1091" t="str">
            <v>Mariane Nascimento</v>
          </cell>
        </row>
        <row r="1092">
          <cell r="A1092" t="str">
            <v>19.001.659/0001-90</v>
          </cell>
          <cell r="B1092" t="str">
            <v>Mariane Nascimento</v>
          </cell>
        </row>
        <row r="1093">
          <cell r="A1093" t="str">
            <v>35.197.526/0001-98</v>
          </cell>
          <cell r="B1093" t="str">
            <v>Mariane Nascimento</v>
          </cell>
        </row>
        <row r="1094">
          <cell r="A1094" t="str">
            <v>35.197.526/0001-98</v>
          </cell>
          <cell r="B1094" t="str">
            <v>Mariane Nascimento</v>
          </cell>
        </row>
        <row r="1095">
          <cell r="A1095" t="str">
            <v>07.626.776/0001-60</v>
          </cell>
          <cell r="B1095" t="str">
            <v>Malu Montesino</v>
          </cell>
        </row>
        <row r="1096">
          <cell r="A1096" t="str">
            <v>18.258.209/0001-15</v>
          </cell>
          <cell r="B1096" t="str">
            <v>Mariane Nascimento</v>
          </cell>
        </row>
        <row r="1097">
          <cell r="A1097" t="str">
            <v>39.032.974/0001-92</v>
          </cell>
          <cell r="B1097" t="str">
            <v>Mariane Nascimento</v>
          </cell>
        </row>
        <row r="1098">
          <cell r="A1098" t="str">
            <v>12.246.862/0001-88</v>
          </cell>
          <cell r="B1098" t="str">
            <v>Mariane Nascimento</v>
          </cell>
        </row>
        <row r="1099">
          <cell r="A1099" t="str">
            <v>12.246.862/0001-88</v>
          </cell>
          <cell r="B1099" t="str">
            <v>Mariane Nascimento</v>
          </cell>
        </row>
        <row r="1100">
          <cell r="A1100" t="str">
            <v>11.619.992/0001-56</v>
          </cell>
          <cell r="B1100" t="str">
            <v>Mariane Nascimento</v>
          </cell>
        </row>
        <row r="1101">
          <cell r="A1101" t="str">
            <v>32.737.279/0001-87</v>
          </cell>
          <cell r="B1101" t="str">
            <v>Mariane Nascimento</v>
          </cell>
        </row>
        <row r="1102">
          <cell r="A1102" t="str">
            <v>27.460.001/0001-75</v>
          </cell>
          <cell r="B1102" t="str">
            <v>Mariane Nascimento</v>
          </cell>
        </row>
        <row r="1103">
          <cell r="A1103" t="str">
            <v>02.914.460/0001-50</v>
          </cell>
          <cell r="B1103" t="str">
            <v>Malu Montesino</v>
          </cell>
        </row>
        <row r="1104">
          <cell r="A1104" t="str">
            <v>67.886.408/0001-83</v>
          </cell>
          <cell r="B1104" t="str">
            <v>Malu Montesino</v>
          </cell>
        </row>
        <row r="1105">
          <cell r="A1105" t="str">
            <v>82.429.994/0001-20</v>
          </cell>
          <cell r="B1105" t="str">
            <v>Malu Montesino</v>
          </cell>
        </row>
        <row r="1106">
          <cell r="A1106" t="str">
            <v>46.979.239/0001-56</v>
          </cell>
          <cell r="B1106" t="str">
            <v>Malu Montesino</v>
          </cell>
        </row>
        <row r="1107">
          <cell r="A1107" t="str">
            <v>57.680.049/0001-50</v>
          </cell>
          <cell r="B1107" t="str">
            <v>Malu Montesino</v>
          </cell>
        </row>
        <row r="1108">
          <cell r="A1108" t="str">
            <v>15.558.909/0001-37</v>
          </cell>
          <cell r="B1108" t="str">
            <v>Malu Montesino</v>
          </cell>
        </row>
        <row r="1109">
          <cell r="A1109" t="str">
            <v>18.933.677/0004-90</v>
          </cell>
          <cell r="B1109" t="str">
            <v>Malu Montesino</v>
          </cell>
        </row>
        <row r="1110">
          <cell r="A1110" t="str">
            <v>06.990.590/0001-23</v>
          </cell>
          <cell r="B1110" t="str">
            <v>Malu Montesino</v>
          </cell>
        </row>
        <row r="1111">
          <cell r="A1111" t="str">
            <v>03.620.220/0001-06</v>
          </cell>
          <cell r="B1111" t="str">
            <v>Malu Montesino</v>
          </cell>
        </row>
        <row r="1112">
          <cell r="A1112" t="str">
            <v>27.061.442/0001-02</v>
          </cell>
          <cell r="B1112" t="str">
            <v>Malu Montesino</v>
          </cell>
        </row>
        <row r="1113">
          <cell r="A1113" t="str">
            <v>54.030.629/0001-03</v>
          </cell>
          <cell r="B1113" t="str">
            <v>Malu Montesino</v>
          </cell>
        </row>
        <row r="1114">
          <cell r="A1114" t="str">
            <v>10.472.968/0001-74</v>
          </cell>
          <cell r="B1114" t="str">
            <v>Malu Montesino</v>
          </cell>
        </row>
        <row r="1115">
          <cell r="A1115" t="str">
            <v>03.117.534/0001-90</v>
          </cell>
          <cell r="B1115" t="str">
            <v>Malu Montesino</v>
          </cell>
        </row>
        <row r="1116">
          <cell r="A1116" t="str">
            <v>03.117.534/0001-90</v>
          </cell>
          <cell r="B1116" t="str">
            <v>Malu Montesino</v>
          </cell>
        </row>
        <row r="1117">
          <cell r="A1117" t="str">
            <v>00.637.913/0001-13</v>
          </cell>
          <cell r="B1117" t="str">
            <v>Malu Montesino</v>
          </cell>
        </row>
        <row r="1118">
          <cell r="A1118" t="str">
            <v>81.632.093/0001-79</v>
          </cell>
          <cell r="B1118" t="str">
            <v>Malu Montesino</v>
          </cell>
        </row>
        <row r="1119">
          <cell r="A1119" t="str">
            <v>60.561.719/0102-77</v>
          </cell>
          <cell r="B1119" t="str">
            <v>Malu Montesino</v>
          </cell>
        </row>
        <row r="1120">
          <cell r="A1120" t="str">
            <v>60.561.719/0102-77</v>
          </cell>
          <cell r="B1120" t="str">
            <v>Malu Montesino</v>
          </cell>
        </row>
        <row r="1121">
          <cell r="A1121" t="str">
            <v>35.197.526/0001-98</v>
          </cell>
          <cell r="B1121" t="str">
            <v>Mariane Nascimento</v>
          </cell>
        </row>
        <row r="1122">
          <cell r="A1122" t="str">
            <v>41.230.162/0001-01</v>
          </cell>
          <cell r="B1122" t="str">
            <v>Mariane Nascimento</v>
          </cell>
        </row>
        <row r="1123">
          <cell r="A1123" t="str">
            <v>14.309.992/0001-48</v>
          </cell>
          <cell r="B1123" t="str">
            <v>Malu Montesino</v>
          </cell>
        </row>
        <row r="1124">
          <cell r="A1124" t="str">
            <v>14.309.992/0001-48</v>
          </cell>
          <cell r="B1124" t="str">
            <v>Malu Montesino</v>
          </cell>
        </row>
        <row r="1125">
          <cell r="A1125" t="str">
            <v>90.050.238/0001-14</v>
          </cell>
          <cell r="B1125" t="str">
            <v>Malu Montesino</v>
          </cell>
        </row>
        <row r="1126">
          <cell r="A1126" t="str">
            <v>14.646.435/0001-12</v>
          </cell>
          <cell r="B1126" t="str">
            <v>Mariane Nascimento</v>
          </cell>
        </row>
        <row r="1127">
          <cell r="A1127" t="str">
            <v>14.646.435/0001-12</v>
          </cell>
          <cell r="B1127" t="str">
            <v>Mariane Nascimento</v>
          </cell>
        </row>
        <row r="1128">
          <cell r="A1128" t="str">
            <v>19.653.054/0001-84</v>
          </cell>
          <cell r="B1128" t="str">
            <v>Malu Montesino</v>
          </cell>
        </row>
        <row r="1129">
          <cell r="A1129" t="str">
            <v>30.629.875/0001-18</v>
          </cell>
          <cell r="B1129" t="str">
            <v>Malu Montesino</v>
          </cell>
        </row>
        <row r="1130">
          <cell r="A1130" t="str">
            <v>87.833.737/0001-73</v>
          </cell>
          <cell r="B1130" t="str">
            <v>Malu Montesino</v>
          </cell>
        </row>
        <row r="1131">
          <cell r="A1131" t="str">
            <v>87.833.737/0001-73</v>
          </cell>
          <cell r="B1131" t="str">
            <v>Malu Montesino</v>
          </cell>
        </row>
        <row r="1132">
          <cell r="A1132" t="str">
            <v>05.495.281/0001-14</v>
          </cell>
          <cell r="B1132" t="str">
            <v>Mariane Nascimento</v>
          </cell>
        </row>
        <row r="1133">
          <cell r="A1133" t="str">
            <v>05.495.281/0001-14</v>
          </cell>
          <cell r="B1133" t="str">
            <v>Mariane Nascimento</v>
          </cell>
        </row>
        <row r="1134">
          <cell r="A1134" t="str">
            <v>05.495.281/0001-14</v>
          </cell>
          <cell r="B1134" t="str">
            <v>Mariane Nascimento</v>
          </cell>
        </row>
        <row r="1135">
          <cell r="A1135" t="str">
            <v>05.495.281/0001-14</v>
          </cell>
          <cell r="B1135" t="str">
            <v>Mariane Nascimento</v>
          </cell>
        </row>
        <row r="1136">
          <cell r="A1136" t="str">
            <v>05.495.281/0001-14</v>
          </cell>
          <cell r="B1136" t="str">
            <v>Mariane Nascimento</v>
          </cell>
        </row>
        <row r="1137">
          <cell r="A1137" t="str">
            <v>05.495.281/0001-14</v>
          </cell>
          <cell r="B1137" t="str">
            <v>Mariane Nascimento</v>
          </cell>
        </row>
        <row r="1138">
          <cell r="A1138" t="str">
            <v>05.495.281/0001-14</v>
          </cell>
          <cell r="B1138" t="str">
            <v>Mariane Nascimento</v>
          </cell>
        </row>
        <row r="1139">
          <cell r="A1139" t="str">
            <v>05.495.281/0001-14</v>
          </cell>
          <cell r="B1139" t="str">
            <v>Mariane Nascimento</v>
          </cell>
        </row>
        <row r="1140">
          <cell r="A1140" t="str">
            <v>05.495.281/0001-14</v>
          </cell>
          <cell r="B1140" t="str">
            <v>Mariane Nascimento</v>
          </cell>
        </row>
        <row r="1141">
          <cell r="A1141" t="str">
            <v>07.804.371/0001-75</v>
          </cell>
          <cell r="B1141" t="str">
            <v>Malu Montesino</v>
          </cell>
        </row>
        <row r="1142">
          <cell r="A1142" t="str">
            <v>07.804.371/0001-75</v>
          </cell>
          <cell r="B1142" t="str">
            <v>Malu Montesino</v>
          </cell>
        </row>
        <row r="1143">
          <cell r="A1143" t="str">
            <v>22.090.928/0001-47</v>
          </cell>
          <cell r="B1143" t="str">
            <v>Malu Montesino</v>
          </cell>
        </row>
        <row r="1144">
          <cell r="A1144" t="str">
            <v>00.416.170/0001-51</v>
          </cell>
          <cell r="B1144" t="str">
            <v>Malu Montesino</v>
          </cell>
        </row>
        <row r="1145">
          <cell r="A1145" t="str">
            <v>82.927.385/0001-00</v>
          </cell>
          <cell r="B1145" t="str">
            <v>Malu Montesino</v>
          </cell>
        </row>
        <row r="1146">
          <cell r="A1146" t="str">
            <v>82.927.385/0001-00</v>
          </cell>
          <cell r="B1146" t="str">
            <v>Malu Montesino</v>
          </cell>
        </row>
        <row r="1147">
          <cell r="A1147" t="str">
            <v>61.295.473/0001-58</v>
          </cell>
          <cell r="B1147" t="str">
            <v>Malu Montesino</v>
          </cell>
        </row>
        <row r="1148">
          <cell r="A1148" t="str">
            <v>41.707.446/0001-38</v>
          </cell>
          <cell r="B1148" t="str">
            <v>Malu Montesino</v>
          </cell>
        </row>
        <row r="1149">
          <cell r="A1149" t="str">
            <v>27.460.001/0001-75</v>
          </cell>
          <cell r="B1149" t="str">
            <v>Mariane Nascimento</v>
          </cell>
        </row>
        <row r="1150">
          <cell r="A1150" t="str">
            <v>04.079.384/0001-30</v>
          </cell>
          <cell r="B1150" t="str">
            <v>Malu Montesino</v>
          </cell>
        </row>
        <row r="1151">
          <cell r="A1151" t="str">
            <v>56.720.428/0001-63</v>
          </cell>
          <cell r="B1151" t="str">
            <v>Malu Montesino</v>
          </cell>
        </row>
        <row r="1152">
          <cell r="A1152" t="str">
            <v>02.062.561/0001-40</v>
          </cell>
          <cell r="B1152" t="str">
            <v>Malu Montesino</v>
          </cell>
        </row>
        <row r="1153">
          <cell r="A1153" t="str">
            <v>32.403.914/0001-90</v>
          </cell>
          <cell r="B1153" t="str">
            <v>Mariane Nascimento</v>
          </cell>
        </row>
        <row r="1154">
          <cell r="A1154" t="str">
            <v>60.586.450/0001-30</v>
          </cell>
          <cell r="B1154" t="str">
            <v>Malu Montesino</v>
          </cell>
        </row>
        <row r="1155">
          <cell r="A1155" t="str">
            <v>02.877.654/0001-23</v>
          </cell>
          <cell r="B1155" t="str">
            <v>Malu Montesino</v>
          </cell>
        </row>
        <row r="1156">
          <cell r="A1156" t="str">
            <v>02.877.654/0001-23</v>
          </cell>
          <cell r="B1156" t="str">
            <v>Malu Montesino</v>
          </cell>
        </row>
        <row r="1157">
          <cell r="A1157" t="str">
            <v>21.551.379/0007-93</v>
          </cell>
          <cell r="B1157" t="str">
            <v>Malu Montesino</v>
          </cell>
        </row>
        <row r="1158">
          <cell r="A1158" t="str">
            <v>21.551.379/0007-93</v>
          </cell>
          <cell r="B1158" t="str">
            <v>Malu Montesino</v>
          </cell>
        </row>
        <row r="1159">
          <cell r="A1159" t="str">
            <v>02.877.654/0001-23</v>
          </cell>
          <cell r="B1159" t="str">
            <v>Malu Montesino</v>
          </cell>
        </row>
        <row r="1160">
          <cell r="A1160" t="str">
            <v>05.495.281/0001-14</v>
          </cell>
          <cell r="B1160" t="str">
            <v>Mariane Nascimento</v>
          </cell>
        </row>
        <row r="1161">
          <cell r="A1161" t="str">
            <v>56.720.428/0001-63</v>
          </cell>
          <cell r="B1161" t="str">
            <v>Malu Montesino</v>
          </cell>
        </row>
        <row r="1162">
          <cell r="A1162" t="str">
            <v>02.062.561/0001-40</v>
          </cell>
          <cell r="B1162" t="str">
            <v>Malu Montesino</v>
          </cell>
        </row>
        <row r="1163">
          <cell r="A1163" t="str">
            <v>21.551.379/0007-93</v>
          </cell>
          <cell r="B1163" t="str">
            <v>Malu Montesino</v>
          </cell>
        </row>
        <row r="1164">
          <cell r="A1164" t="str">
            <v>05.495.281/0001-14</v>
          </cell>
          <cell r="B1164" t="str">
            <v>Mariane Nascimento</v>
          </cell>
        </row>
        <row r="1165">
          <cell r="A1165" t="str">
            <v>05.495.281/0001-14</v>
          </cell>
          <cell r="B1165" t="str">
            <v>Mariane Nascimento</v>
          </cell>
        </row>
        <row r="1166">
          <cell r="A1166" t="str">
            <v>04.079.384/0001-30</v>
          </cell>
          <cell r="B1166" t="str">
            <v>Malu Montesino</v>
          </cell>
        </row>
        <row r="1167">
          <cell r="A1167" t="str">
            <v>19.653.054/0001-84</v>
          </cell>
          <cell r="B1167" t="str">
            <v>Malu Montesino</v>
          </cell>
        </row>
        <row r="1168">
          <cell r="A1168" t="str">
            <v>22.575.103/0001-12</v>
          </cell>
          <cell r="B1168" t="str">
            <v>Malu Montesino</v>
          </cell>
        </row>
        <row r="1169">
          <cell r="A1169" t="str">
            <v>60.318.797/0001-00</v>
          </cell>
          <cell r="B1169" t="str">
            <v>Malu Montesino</v>
          </cell>
        </row>
        <row r="1170">
          <cell r="A1170" t="str">
            <v>01.117.710/0001-69</v>
          </cell>
          <cell r="B1170" t="str">
            <v>Malu Montesino</v>
          </cell>
        </row>
        <row r="1171">
          <cell r="A1171" t="str">
            <v>02.635.031/0001-44</v>
          </cell>
          <cell r="B1171" t="str">
            <v>Malu Montesino</v>
          </cell>
        </row>
        <row r="1172">
          <cell r="A1172" t="str">
            <v>01.838.723/0001-27</v>
          </cell>
          <cell r="B1172" t="str">
            <v>Malu Montesino</v>
          </cell>
        </row>
        <row r="1173">
          <cell r="A1173" t="str">
            <v>24.893.687/0011-71</v>
          </cell>
          <cell r="B1173" t="str">
            <v>Malu Montesino</v>
          </cell>
        </row>
        <row r="1174">
          <cell r="A1174" t="str">
            <v>58.516.782/0001-04</v>
          </cell>
          <cell r="B1174" t="str">
            <v>Malu Montesino</v>
          </cell>
        </row>
        <row r="1175">
          <cell r="A1175" t="str">
            <v>58.516.782/0001-04</v>
          </cell>
          <cell r="B1175" t="str">
            <v>Malu Montesino</v>
          </cell>
        </row>
        <row r="1176">
          <cell r="A1176" t="str">
            <v>59.104.273/0001-29</v>
          </cell>
          <cell r="B1176" t="str">
            <v>Malu Montesino</v>
          </cell>
        </row>
        <row r="1177">
          <cell r="A1177" t="str">
            <v>00.133.418/0001-77</v>
          </cell>
          <cell r="B1177" t="str">
            <v>Malu Montesino</v>
          </cell>
        </row>
        <row r="1178">
          <cell r="A1178" t="str">
            <v>60.620.366/0001-95</v>
          </cell>
          <cell r="B1178" t="str">
            <v>Malu Montesino</v>
          </cell>
        </row>
        <row r="1179">
          <cell r="A1179" t="str">
            <v>12.246.862/0001-88</v>
          </cell>
          <cell r="B1179" t="str">
            <v>Mariane Nascimento</v>
          </cell>
        </row>
        <row r="1180">
          <cell r="A1180" t="str">
            <v>76.492.701/0010-48</v>
          </cell>
          <cell r="B1180" t="str">
            <v>Malu Montesino</v>
          </cell>
        </row>
        <row r="1181">
          <cell r="A1181" t="str">
            <v>07.598.814/0001-19</v>
          </cell>
          <cell r="B1181" t="str">
            <v>Malu Montesino</v>
          </cell>
        </row>
        <row r="1182">
          <cell r="A1182" t="str">
            <v>07.598.814/0001-19</v>
          </cell>
          <cell r="B1182" t="str">
            <v>Malu Montesino</v>
          </cell>
        </row>
        <row r="1183">
          <cell r="A1183" t="str">
            <v>07.598.814/0001-19</v>
          </cell>
          <cell r="B1183" t="str">
            <v>Malu Montesino</v>
          </cell>
        </row>
        <row r="1184">
          <cell r="A1184" t="str">
            <v>02.728.291/0001-64</v>
          </cell>
          <cell r="B1184" t="str">
            <v>Malu Montesino</v>
          </cell>
        </row>
        <row r="1185">
          <cell r="A1185" t="str">
            <v>05.495.281/0001-14</v>
          </cell>
          <cell r="B1185" t="str">
            <v>Mariane Nascimento</v>
          </cell>
        </row>
        <row r="1186">
          <cell r="A1186" t="str">
            <v>05.495.281/0001-14</v>
          </cell>
          <cell r="B1186" t="str">
            <v>Mariane Nascimento</v>
          </cell>
        </row>
        <row r="1187">
          <cell r="A1187" t="str">
            <v>05.495.281/0001-14</v>
          </cell>
          <cell r="B1187" t="str">
            <v>Mariane Nascimento</v>
          </cell>
        </row>
        <row r="1188">
          <cell r="A1188" t="str">
            <v>05.495.281/0001-14</v>
          </cell>
          <cell r="B1188" t="str">
            <v>Mariane Nascimento</v>
          </cell>
        </row>
        <row r="1189">
          <cell r="A1189" t="str">
            <v>04.743.858/0001-05</v>
          </cell>
          <cell r="B1189" t="str">
            <v>Malu Montesino</v>
          </cell>
        </row>
        <row r="1190">
          <cell r="A1190" t="str">
            <v>13.385.482/0001-97</v>
          </cell>
          <cell r="B1190" t="str">
            <v>Malu Montesino</v>
          </cell>
        </row>
        <row r="1191">
          <cell r="A1191" t="str">
            <v>13.385.482/0001-97</v>
          </cell>
          <cell r="B1191" t="str">
            <v>Malu Montesino</v>
          </cell>
        </row>
        <row r="1192">
          <cell r="A1192" t="str">
            <v>88.611.835/0001-29</v>
          </cell>
          <cell r="B1192" t="str">
            <v>Malu Montesino</v>
          </cell>
        </row>
        <row r="1193">
          <cell r="A1193" t="str">
            <v>88.611.835/0001-29</v>
          </cell>
          <cell r="B1193" t="str">
            <v>Malu Montesino</v>
          </cell>
        </row>
        <row r="1194">
          <cell r="A1194" t="str">
            <v>88.611.835/0001-29</v>
          </cell>
          <cell r="B1194" t="str">
            <v>Malu Montesino</v>
          </cell>
        </row>
        <row r="1195">
          <cell r="A1195" t="str">
            <v>53.113.791/0001-22</v>
          </cell>
          <cell r="B1195" t="str">
            <v>Malu Montesino</v>
          </cell>
        </row>
        <row r="1196">
          <cell r="A1196" t="str">
            <v>53.113.791/0001-22</v>
          </cell>
          <cell r="B1196" t="str">
            <v>Malu Montesino</v>
          </cell>
        </row>
        <row r="1197">
          <cell r="A1197" t="str">
            <v>53.113.791/0001-22</v>
          </cell>
          <cell r="B1197" t="str">
            <v>Malu Montesino</v>
          </cell>
        </row>
        <row r="1198">
          <cell r="A1198" t="str">
            <v>59.104.760/0001-91</v>
          </cell>
          <cell r="B1198" t="str">
            <v>Malu Montesino</v>
          </cell>
        </row>
        <row r="1199">
          <cell r="A1199" t="str">
            <v>05.003.729/0001-35</v>
          </cell>
          <cell r="B1199" t="str">
            <v>Malu Montesino</v>
          </cell>
        </row>
        <row r="1200">
          <cell r="A1200" t="str">
            <v>44.211.112/0001-67</v>
          </cell>
          <cell r="B1200" t="str">
            <v>Malu Montesino</v>
          </cell>
        </row>
        <row r="1201">
          <cell r="A1201" t="str">
            <v>45.987.005/0001-98</v>
          </cell>
          <cell r="B1201" t="str">
            <v>Malu Montesino</v>
          </cell>
        </row>
        <row r="1202">
          <cell r="A1202" t="str">
            <v>30.133.690/0001-18</v>
          </cell>
          <cell r="B1202" t="str">
            <v>Malu Montesino</v>
          </cell>
        </row>
        <row r="1203">
          <cell r="A1203" t="str">
            <v>30.133.690/0001-18</v>
          </cell>
          <cell r="B1203" t="str">
            <v>Malu Montesino</v>
          </cell>
        </row>
        <row r="1204">
          <cell r="A1204" t="str">
            <v>30.133.690/0001-18</v>
          </cell>
          <cell r="B1204" t="str">
            <v>Malu Montesino</v>
          </cell>
        </row>
        <row r="1205">
          <cell r="A1205" t="str">
            <v>51.884.493/0001-00</v>
          </cell>
          <cell r="B1205" t="str">
            <v>Mariane Nascimento</v>
          </cell>
        </row>
        <row r="1206">
          <cell r="A1206" t="str">
            <v>51.884.493/0001-00</v>
          </cell>
          <cell r="B1206" t="str">
            <v>Mariane Nascimento</v>
          </cell>
        </row>
        <row r="1207">
          <cell r="A1207" t="str">
            <v>82.429.994/0001-20</v>
          </cell>
          <cell r="B1207" t="str">
            <v>Malu Montesino</v>
          </cell>
        </row>
        <row r="1208">
          <cell r="A1208" t="str">
            <v>82.429.994/0001-20</v>
          </cell>
          <cell r="B1208" t="str">
            <v>Malu Montesino</v>
          </cell>
        </row>
        <row r="1209">
          <cell r="A1209" t="str">
            <v>21.551.379/0007-93</v>
          </cell>
          <cell r="B1209" t="str">
            <v>Malu Montesino</v>
          </cell>
        </row>
        <row r="1210">
          <cell r="A1210" t="str">
            <v>06.906.404/0001-25</v>
          </cell>
          <cell r="B1210" t="str">
            <v>Malu Montesino</v>
          </cell>
        </row>
        <row r="1211">
          <cell r="A1211" t="str">
            <v>30.133.690/0001-18</v>
          </cell>
          <cell r="B1211" t="str">
            <v>Malu Montesino</v>
          </cell>
        </row>
        <row r="1212">
          <cell r="A1212" t="str">
            <v>21.551.379/0007-93</v>
          </cell>
          <cell r="B1212" t="str">
            <v>Malu Montesino</v>
          </cell>
        </row>
        <row r="1213">
          <cell r="A1213" t="str">
            <v>53.113.791/0001-22</v>
          </cell>
          <cell r="B1213" t="str">
            <v>Malu Montesino</v>
          </cell>
        </row>
        <row r="1214">
          <cell r="A1214" t="str">
            <v>53.113.791/0001-22</v>
          </cell>
          <cell r="B1214" t="str">
            <v>Malu Montesino</v>
          </cell>
        </row>
        <row r="1215">
          <cell r="A1215" t="str">
            <v>85.070.068/0041-97</v>
          </cell>
          <cell r="B1215" t="str">
            <v>Malu Montesino</v>
          </cell>
        </row>
        <row r="1216">
          <cell r="A1216" t="str">
            <v>18.933.677/0004-90</v>
          </cell>
          <cell r="B1216" t="str">
            <v>Malu Montesino</v>
          </cell>
        </row>
        <row r="1217">
          <cell r="A1217" t="str">
            <v>03.117.534/0001-90</v>
          </cell>
          <cell r="B1217" t="str">
            <v>Malu Montesino</v>
          </cell>
        </row>
        <row r="1218">
          <cell r="A1218" t="str">
            <v>00.133.418/0001-77</v>
          </cell>
          <cell r="B1218" t="str">
            <v>Malu Montesino</v>
          </cell>
        </row>
        <row r="1219">
          <cell r="A1219" t="str">
            <v>75.853.168/0001-49</v>
          </cell>
          <cell r="B1219" t="str">
            <v>Malu Montesino</v>
          </cell>
        </row>
        <row r="1220">
          <cell r="A1220" t="str">
            <v>05.495.281/0001-14</v>
          </cell>
          <cell r="B1220" t="str">
            <v>Mariane Nascimento</v>
          </cell>
        </row>
        <row r="1221">
          <cell r="A1221" t="str">
            <v>05.495.281/0001-14</v>
          </cell>
          <cell r="B1221" t="str">
            <v>Mariane Nascimento</v>
          </cell>
        </row>
        <row r="1222">
          <cell r="A1222" t="str">
            <v>61.410.841/0001-61</v>
          </cell>
          <cell r="B1222" t="str">
            <v>Malu Montesino</v>
          </cell>
        </row>
        <row r="1223">
          <cell r="A1223" t="str">
            <v>21.551.379/0007-93</v>
          </cell>
          <cell r="B1223" t="str">
            <v>Malu Montesino</v>
          </cell>
        </row>
        <row r="1224">
          <cell r="A1224" t="str">
            <v>61.410.841/0001-61</v>
          </cell>
          <cell r="B1224" t="str">
            <v>Malu Montesino</v>
          </cell>
        </row>
        <row r="1225">
          <cell r="A1225" t="str">
            <v>60.318.797/0001-00</v>
          </cell>
          <cell r="B1225" t="str">
            <v>Malu Montesino</v>
          </cell>
        </row>
        <row r="1226">
          <cell r="A1226" t="str">
            <v>60.318.797/0001-00</v>
          </cell>
          <cell r="B1226" t="str">
            <v>Malu Montesino</v>
          </cell>
        </row>
        <row r="1227">
          <cell r="A1227" t="str">
            <v>60.318.797/0001-00</v>
          </cell>
          <cell r="B1227" t="str">
            <v>Malu Montesino</v>
          </cell>
        </row>
        <row r="1228">
          <cell r="A1228" t="str">
            <v>05.495.281/0001-14</v>
          </cell>
          <cell r="B1228" t="str">
            <v>Mariane Nascimento</v>
          </cell>
        </row>
        <row r="1229">
          <cell r="A1229" t="str">
            <v>96.534.094/0001-58</v>
          </cell>
          <cell r="B1229" t="str">
            <v>Mariane Nascimento</v>
          </cell>
        </row>
        <row r="1230">
          <cell r="A1230" t="str">
            <v>40.174.170/0001-07</v>
          </cell>
          <cell r="B1230" t="str">
            <v>Mariane Nascimento</v>
          </cell>
        </row>
        <row r="1231">
          <cell r="A1231" t="str">
            <v>40.174.170/0001-07</v>
          </cell>
          <cell r="B1231" t="str">
            <v>Mariane Nascimento</v>
          </cell>
        </row>
        <row r="1232">
          <cell r="A1232" t="str">
            <v>45.987.005/0001-98</v>
          </cell>
          <cell r="B1232" t="str">
            <v>Malu Montesino</v>
          </cell>
        </row>
        <row r="1233">
          <cell r="A1233" t="str">
            <v>32.403.914/0001-90</v>
          </cell>
          <cell r="B1233" t="str">
            <v>Mariane Nascimento</v>
          </cell>
        </row>
        <row r="1234">
          <cell r="A1234" t="str">
            <v>06.990.590/0001-23</v>
          </cell>
          <cell r="B1234" t="str">
            <v>Malu Montesino</v>
          </cell>
        </row>
        <row r="1235">
          <cell r="A1235" t="str">
            <v>45.987.005/0001-98</v>
          </cell>
          <cell r="B1235" t="str">
            <v>Malu Montesino</v>
          </cell>
        </row>
        <row r="1236">
          <cell r="A1236" t="str">
            <v>40.174.170/0001-07</v>
          </cell>
          <cell r="B1236" t="str">
            <v>Mariane Nascimento</v>
          </cell>
        </row>
        <row r="1237">
          <cell r="A1237" t="str">
            <v>33.131.079/0001-49</v>
          </cell>
          <cell r="B1237" t="str">
            <v>Malu Montesino</v>
          </cell>
        </row>
        <row r="1238">
          <cell r="A1238" t="str">
            <v>34.958.955/0001-78</v>
          </cell>
          <cell r="B1238" t="str">
            <v>Malu Montesino</v>
          </cell>
        </row>
        <row r="1239">
          <cell r="A1239" t="str">
            <v>00.029.372/0001-40</v>
          </cell>
          <cell r="B1239" t="str">
            <v>Malu Montesino</v>
          </cell>
        </row>
        <row r="1240">
          <cell r="A1240" t="str">
            <v>12.255.403/0001-60</v>
          </cell>
          <cell r="B1240" t="str">
            <v>Malu Montesino</v>
          </cell>
        </row>
        <row r="1241">
          <cell r="A1241" t="str">
            <v>18.269.125/0001-87</v>
          </cell>
          <cell r="B1241" t="str">
            <v>Malu Montesino</v>
          </cell>
        </row>
        <row r="1242">
          <cell r="A1242" t="str">
            <v>61.467.528/0001-60</v>
          </cell>
          <cell r="B1242" t="str">
            <v>Mariane Nascimento</v>
          </cell>
        </row>
        <row r="1243">
          <cell r="A1243" t="str">
            <v>05.495.281/0001-14</v>
          </cell>
          <cell r="B1243" t="str">
            <v>Mariane Nascimento</v>
          </cell>
        </row>
        <row r="1244">
          <cell r="A1244" t="str">
            <v>05.495.281/0001-14</v>
          </cell>
          <cell r="B1244" t="str">
            <v>Mariane Nascimento</v>
          </cell>
        </row>
        <row r="1245">
          <cell r="A1245" t="str">
            <v>05.495.281/0001-14</v>
          </cell>
          <cell r="B1245" t="str">
            <v>Mariane Nascimento</v>
          </cell>
        </row>
        <row r="1246">
          <cell r="A1246" t="str">
            <v>32.403.914/0001-90</v>
          </cell>
          <cell r="B1246" t="str">
            <v>Mariane Nascimento</v>
          </cell>
        </row>
        <row r="1247">
          <cell r="A1247" t="str">
            <v>59.233.783/0001-04</v>
          </cell>
          <cell r="B1247" t="str">
            <v>Malu Montesino</v>
          </cell>
        </row>
        <row r="1248">
          <cell r="A1248" t="str">
            <v>71.256.283/0001-85</v>
          </cell>
          <cell r="B1248" t="str">
            <v>Malu Montesino</v>
          </cell>
        </row>
        <row r="1249">
          <cell r="A1249" t="str">
            <v>08.762.826/0001-08</v>
          </cell>
          <cell r="B1249" t="str">
            <v>Malu Montesino</v>
          </cell>
        </row>
        <row r="1250">
          <cell r="A1250" t="str">
            <v>04.043.808/0001-07</v>
          </cell>
          <cell r="B1250" t="str">
            <v>Mariane Nascimento</v>
          </cell>
        </row>
        <row r="1251">
          <cell r="A1251" t="str">
            <v>02.629.588/0001-72</v>
          </cell>
          <cell r="B1251" t="str">
            <v>Malu Montesino</v>
          </cell>
        </row>
        <row r="1252">
          <cell r="A1252" t="str">
            <v>01.866.388/0001-70</v>
          </cell>
          <cell r="B1252" t="str">
            <v>Malu Montesino</v>
          </cell>
        </row>
        <row r="1253">
          <cell r="A1253" t="str">
            <v>05.495.281/0001-14</v>
          </cell>
          <cell r="B1253" t="str">
            <v>Mariane Nascimento</v>
          </cell>
        </row>
        <row r="1254">
          <cell r="A1254" t="str">
            <v>61.374.161/0001-30</v>
          </cell>
          <cell r="B1254" t="str">
            <v>Malu Montesino</v>
          </cell>
        </row>
        <row r="1255">
          <cell r="A1255" t="str">
            <v>28.997.632/0001-90</v>
          </cell>
          <cell r="B1255" t="str">
            <v>Malu Montesino</v>
          </cell>
        </row>
        <row r="1256">
          <cell r="A1256" t="str">
            <v>49.351.786/0001-80</v>
          </cell>
          <cell r="B1256" t="str">
            <v>Malu Montesino</v>
          </cell>
        </row>
        <row r="1257">
          <cell r="A1257" t="str">
            <v>49.351.786/0001-80</v>
          </cell>
          <cell r="B1257" t="str">
            <v>Malu Montesino</v>
          </cell>
        </row>
        <row r="1258">
          <cell r="A1258" t="str">
            <v>12.417.472/0001-23</v>
          </cell>
          <cell r="B1258" t="str">
            <v>Malu Montesino</v>
          </cell>
        </row>
        <row r="1259">
          <cell r="A1259" t="str">
            <v>46.563.938/0001-10</v>
          </cell>
          <cell r="B1259" t="str">
            <v>Malu Montesino</v>
          </cell>
        </row>
        <row r="1260">
          <cell r="A1260" t="str">
            <v>04.392.076/0001-60</v>
          </cell>
          <cell r="B1260" t="str">
            <v>Malu Montesino</v>
          </cell>
        </row>
        <row r="1261">
          <cell r="A1261" t="str">
            <v>01.449.930/0001-90</v>
          </cell>
          <cell r="B1261" t="str">
            <v>Malu Montesino</v>
          </cell>
        </row>
        <row r="1262">
          <cell r="A1262" t="str">
            <v>27.547.607/0001-42</v>
          </cell>
          <cell r="B1262" t="str">
            <v>Malu Montesino</v>
          </cell>
        </row>
        <row r="1263">
          <cell r="A1263" t="str">
            <v>10.444.624/0001-51</v>
          </cell>
          <cell r="B1263" t="str">
            <v>Malu Montesino</v>
          </cell>
        </row>
        <row r="1264">
          <cell r="A1264" t="str">
            <v>95.433.397/0001-11</v>
          </cell>
          <cell r="B1264" t="str">
            <v>Malu Montesino</v>
          </cell>
        </row>
        <row r="1265">
          <cell r="A1265" t="str">
            <v>05.495.281/0001-14</v>
          </cell>
          <cell r="B1265" t="str">
            <v>Mariane Nascimento</v>
          </cell>
        </row>
        <row r="1266">
          <cell r="A1266" t="str">
            <v>05.495.281/0001-14</v>
          </cell>
          <cell r="B1266" t="str">
            <v>Mariane Nascimento</v>
          </cell>
        </row>
        <row r="1267">
          <cell r="A1267" t="str">
            <v>05.495.281/0001-14</v>
          </cell>
          <cell r="B1267" t="str">
            <v>Mariane Nascimento</v>
          </cell>
        </row>
        <row r="1268">
          <cell r="A1268" t="str">
            <v>05.495.281/0001-14</v>
          </cell>
          <cell r="B1268" t="str">
            <v>Mariane Nascimento</v>
          </cell>
        </row>
        <row r="1269">
          <cell r="A1269" t="str">
            <v>05.495.281/0001-14</v>
          </cell>
          <cell r="B1269" t="str">
            <v>Mariane Nascimento</v>
          </cell>
        </row>
        <row r="1270">
          <cell r="A1270" t="str">
            <v>05.495.281/0001-14</v>
          </cell>
          <cell r="B1270" t="str">
            <v>Mariane Nascimento</v>
          </cell>
        </row>
        <row r="1271">
          <cell r="A1271" t="str">
            <v>43.375.930/0001-32</v>
          </cell>
          <cell r="B1271" t="str">
            <v>Malu Montesino</v>
          </cell>
        </row>
        <row r="1272">
          <cell r="A1272" t="str">
            <v>26.246.053/0001-80</v>
          </cell>
          <cell r="B1272" t="str">
            <v>Mariane Nascimento</v>
          </cell>
        </row>
        <row r="1273">
          <cell r="A1273" t="str">
            <v>04.043.808/0001-07</v>
          </cell>
          <cell r="B1273" t="str">
            <v>Mariane Nascimento</v>
          </cell>
        </row>
        <row r="1274">
          <cell r="A1274" t="str">
            <v>59.233.783/0001-04</v>
          </cell>
          <cell r="B1274" t="str">
            <v>Malu Montesino</v>
          </cell>
        </row>
        <row r="1275">
          <cell r="A1275" t="str">
            <v>88.031.539/0001-59</v>
          </cell>
          <cell r="B1275" t="str">
            <v>Mariane Nascimento</v>
          </cell>
        </row>
        <row r="1276">
          <cell r="A1276" t="str">
            <v>53.584.165/0001-14</v>
          </cell>
          <cell r="B1276" t="str">
            <v>Mariane Nascimento</v>
          </cell>
        </row>
        <row r="1277">
          <cell r="A1277" t="str">
            <v>25.449.857/0001-14</v>
          </cell>
          <cell r="B1277" t="str">
            <v>Mariane Nascimento</v>
          </cell>
        </row>
        <row r="1278">
          <cell r="A1278" t="str">
            <v>14.089.982/0002-25</v>
          </cell>
          <cell r="B1278" t="str">
            <v>Mariane Nascimento</v>
          </cell>
        </row>
        <row r="1279">
          <cell r="A1279" t="str">
            <v>03.470.727/0004-73</v>
          </cell>
          <cell r="B1279" t="str">
            <v>Malu Montesino</v>
          </cell>
        </row>
        <row r="1280">
          <cell r="A1280" t="str">
            <v>45.510.160/0001-19</v>
          </cell>
          <cell r="B1280" t="str">
            <v>Malu Montesino</v>
          </cell>
        </row>
        <row r="1281">
          <cell r="A1281" t="str">
            <v>66.783.630/0001-98</v>
          </cell>
          <cell r="B1281" t="str">
            <v>Malu Montesino</v>
          </cell>
        </row>
        <row r="1282">
          <cell r="A1282" t="str">
            <v>16.701.716/0001-56</v>
          </cell>
          <cell r="B1282" t="str">
            <v>Malu Montesino</v>
          </cell>
        </row>
        <row r="1283">
          <cell r="A1283" t="str">
            <v>01.440.590/0001-36</v>
          </cell>
          <cell r="B1283" t="str">
            <v>Malu Montesino</v>
          </cell>
        </row>
        <row r="1284">
          <cell r="A1284" t="str">
            <v>47.253.307/0001-68</v>
          </cell>
          <cell r="B1284" t="str">
            <v>Malu Montesino</v>
          </cell>
        </row>
        <row r="1285">
          <cell r="A1285" t="str">
            <v>61.489.381/0001-09</v>
          </cell>
          <cell r="B1285" t="str">
            <v>Malu Montesino</v>
          </cell>
        </row>
        <row r="1286">
          <cell r="A1286" t="str">
            <v>31.372.346/0001-44</v>
          </cell>
          <cell r="B1286" t="str">
            <v>Malu Montesino</v>
          </cell>
        </row>
        <row r="1287">
          <cell r="A1287" t="str">
            <v>02.814.497/0001-07</v>
          </cell>
          <cell r="B1287" t="str">
            <v>Malu Montesino</v>
          </cell>
        </row>
        <row r="1288">
          <cell r="A1288" t="str">
            <v>00.776.908/0001-91</v>
          </cell>
          <cell r="B1288" t="str">
            <v>Malu Montesino</v>
          </cell>
        </row>
        <row r="1289">
          <cell r="A1289" t="str">
            <v>11.405.384/0001-49</v>
          </cell>
          <cell r="B1289" t="str">
            <v>Malu Montesino</v>
          </cell>
        </row>
        <row r="1290">
          <cell r="A1290" t="str">
            <v>60.492.131/0001-65</v>
          </cell>
          <cell r="B1290" t="str">
            <v>Malu Montesino</v>
          </cell>
        </row>
        <row r="1291">
          <cell r="A1291" t="str">
            <v>02.248.312/0001-44</v>
          </cell>
          <cell r="B1291" t="str">
            <v>Malu Montesino</v>
          </cell>
        </row>
        <row r="1292">
          <cell r="A1292" t="str">
            <v>15.284.176/0001-90</v>
          </cell>
          <cell r="B1292" t="str">
            <v>Malu Montesino</v>
          </cell>
        </row>
        <row r="1293">
          <cell r="A1293" t="str">
            <v>09.454.377/0001-95</v>
          </cell>
          <cell r="B1293" t="str">
            <v>Malu Montesino</v>
          </cell>
        </row>
        <row r="1294">
          <cell r="A1294" t="str">
            <v>14.365.637/0001-96</v>
          </cell>
          <cell r="B1294" t="str">
            <v>Malu Montesino</v>
          </cell>
        </row>
        <row r="1295">
          <cell r="A1295" t="str">
            <v>04.440.002/0001-52</v>
          </cell>
          <cell r="B1295" t="str">
            <v>Malu Montesino</v>
          </cell>
        </row>
        <row r="1296">
          <cell r="A1296" t="str">
            <v>48.240.709/0001-90</v>
          </cell>
          <cell r="B1296" t="str">
            <v>Malu Montesino</v>
          </cell>
        </row>
        <row r="1297">
          <cell r="A1297" t="str">
            <v>05.662.773/0002-38</v>
          </cell>
          <cell r="B1297" t="str">
            <v>Malu Montesino</v>
          </cell>
        </row>
        <row r="1298">
          <cell r="A1298" t="str">
            <v>11.666.105/0001-09</v>
          </cell>
          <cell r="B1298" t="str">
            <v>Malu Montesino</v>
          </cell>
        </row>
        <row r="1299">
          <cell r="A1299" t="str">
            <v>22.873.750/0001-00</v>
          </cell>
          <cell r="B1299" t="str">
            <v>Malu Montesino</v>
          </cell>
        </row>
        <row r="1300">
          <cell r="A1300" t="str">
            <v>78.386.505/0001-23</v>
          </cell>
          <cell r="B1300" t="str">
            <v>Malu Montesino</v>
          </cell>
        </row>
        <row r="1301">
          <cell r="A1301" t="str">
            <v>15.331.924/0001-48</v>
          </cell>
          <cell r="B1301" t="str">
            <v>Malu Montesino</v>
          </cell>
        </row>
        <row r="1302">
          <cell r="A1302" t="str">
            <v>05.343.029/0001-90</v>
          </cell>
          <cell r="B1302" t="str">
            <v>Malu Montesino</v>
          </cell>
        </row>
        <row r="1303">
          <cell r="A1303" t="str">
            <v>59.650.556/0001-76</v>
          </cell>
          <cell r="B1303" t="str">
            <v>Malu Montesino</v>
          </cell>
        </row>
        <row r="1304">
          <cell r="A1304" t="str">
            <v>61.185.922/0001-05</v>
          </cell>
          <cell r="B1304" t="str">
            <v>Malu Montesino</v>
          </cell>
        </row>
        <row r="1305">
          <cell r="A1305" t="str">
            <v>22.168.141/0001-50</v>
          </cell>
          <cell r="B1305" t="str">
            <v>Malu Montesino</v>
          </cell>
        </row>
        <row r="1306">
          <cell r="A1306" t="str">
            <v>33.131.079/0001-49</v>
          </cell>
          <cell r="B1306" t="str">
            <v>Malu Montesino</v>
          </cell>
        </row>
        <row r="1307">
          <cell r="A1307" t="str">
            <v>55.983.274/0001-30</v>
          </cell>
          <cell r="B1307" t="str">
            <v>Malu Montesino</v>
          </cell>
        </row>
        <row r="1308">
          <cell r="A1308" t="str">
            <v>37.807.135/0001-73</v>
          </cell>
          <cell r="B1308" t="str">
            <v>Malu Montesino</v>
          </cell>
        </row>
        <row r="1309">
          <cell r="A1309" t="str">
            <v>08.486.594/0001-02</v>
          </cell>
          <cell r="B1309" t="str">
            <v>Mariane Nascimento</v>
          </cell>
        </row>
        <row r="1310">
          <cell r="A1310" t="str">
            <v>49.351.786/0001-80</v>
          </cell>
          <cell r="B1310" t="str">
            <v>Malu Montesino</v>
          </cell>
        </row>
        <row r="1311">
          <cell r="A1311" t="str">
            <v>55.996.615/0001-01</v>
          </cell>
          <cell r="B1311" t="str">
            <v>Mariane Nascimento</v>
          </cell>
        </row>
        <row r="1312">
          <cell r="A1312" t="str">
            <v>65.010.415/0001-91</v>
          </cell>
          <cell r="B1312" t="str">
            <v>Mariane Nascimento</v>
          </cell>
        </row>
        <row r="1313">
          <cell r="A1313" t="str">
            <v>07.729.464/0001-82</v>
          </cell>
          <cell r="B1313" t="str">
            <v>Mariane Nascimento</v>
          </cell>
        </row>
        <row r="1314">
          <cell r="A1314" t="str">
            <v>32.963.001/0001-28</v>
          </cell>
          <cell r="B1314" t="str">
            <v>Mariane Nascimento</v>
          </cell>
        </row>
        <row r="1315">
          <cell r="A1315" t="str">
            <v>76.650.191/0001-07</v>
          </cell>
          <cell r="B1315" t="str">
            <v>Mariane Nascimento</v>
          </cell>
        </row>
        <row r="1316">
          <cell r="A1316" t="str">
            <v>08.486.594/0001-02</v>
          </cell>
          <cell r="B1316" t="str">
            <v>Mariane Nascimento</v>
          </cell>
        </row>
        <row r="1317">
          <cell r="A1317" t="str">
            <v>08.486.594/0001-02</v>
          </cell>
          <cell r="B1317" t="str">
            <v>Mariane Nascimento</v>
          </cell>
        </row>
        <row r="1318">
          <cell r="A1318" t="str">
            <v>01.177.248/0001-95</v>
          </cell>
          <cell r="B1318" t="str">
            <v>Malu Montesino</v>
          </cell>
        </row>
        <row r="1319">
          <cell r="A1319" t="str">
            <v>47.253.307/0001-68</v>
          </cell>
          <cell r="B1319" t="str">
            <v>Malu Montesino</v>
          </cell>
        </row>
        <row r="1320">
          <cell r="A1320" t="str">
            <v>68.322.411/0001-37</v>
          </cell>
          <cell r="B1320" t="str">
            <v>Malu Montesino</v>
          </cell>
        </row>
        <row r="1321">
          <cell r="A1321" t="str">
            <v>68.322.411/0001-37</v>
          </cell>
          <cell r="B1321" t="str">
            <v>Malu Montesino</v>
          </cell>
        </row>
        <row r="1322">
          <cell r="A1322" t="str">
            <v>68.322.411/0001-37</v>
          </cell>
          <cell r="B1322" t="str">
            <v>Malu Montesino</v>
          </cell>
        </row>
        <row r="1323">
          <cell r="A1323" t="str">
            <v>31.372.346/0001-44</v>
          </cell>
          <cell r="B1323" t="str">
            <v>Malu Montesino</v>
          </cell>
        </row>
        <row r="1324">
          <cell r="A1324" t="str">
            <v>23.613.190/0001-18</v>
          </cell>
          <cell r="B1324" t="str">
            <v>Malu Montesino</v>
          </cell>
        </row>
        <row r="1325">
          <cell r="A1325" t="str">
            <v>58.763.350/0001-90</v>
          </cell>
          <cell r="B1325" t="str">
            <v>Malu Montesino</v>
          </cell>
        </row>
        <row r="1326">
          <cell r="A1326" t="str">
            <v>02.659.246/0003-67</v>
          </cell>
          <cell r="B1326" t="str">
            <v>Malu Montesino</v>
          </cell>
        </row>
        <row r="1327">
          <cell r="A1327" t="str">
            <v>54.565.478/0001-98</v>
          </cell>
          <cell r="B1327" t="str">
            <v>Malu Montesino</v>
          </cell>
        </row>
        <row r="1328">
          <cell r="A1328" t="str">
            <v>68.322.411/0001-37</v>
          </cell>
          <cell r="B1328" t="str">
            <v>Malu Montesino</v>
          </cell>
        </row>
        <row r="1329">
          <cell r="A1329" t="str">
            <v>07.626.776/0001-60</v>
          </cell>
          <cell r="B1329" t="str">
            <v>Malu Montesino</v>
          </cell>
        </row>
        <row r="1330">
          <cell r="A1330" t="str">
            <v>83.802.215/0001-53</v>
          </cell>
          <cell r="B1330" t="str">
            <v>Malu Montesino</v>
          </cell>
        </row>
        <row r="1331">
          <cell r="A1331" t="str">
            <v>06.028.137/0001-30</v>
          </cell>
          <cell r="B1331" t="str">
            <v>Malu Montesino</v>
          </cell>
        </row>
        <row r="1332">
          <cell r="A1332" t="str">
            <v>79.805.263/0001-28</v>
          </cell>
          <cell r="B1332" t="str">
            <v>Malu Montesino</v>
          </cell>
        </row>
        <row r="1333">
          <cell r="A1333" t="str">
            <v>27.061.442/0001-02</v>
          </cell>
          <cell r="B1333" t="str">
            <v>Malu Montesino</v>
          </cell>
        </row>
        <row r="1334">
          <cell r="A1334" t="str">
            <v>04.743.025/0001-36</v>
          </cell>
          <cell r="B1334" t="str">
            <v>Malu Montesino</v>
          </cell>
        </row>
        <row r="1335">
          <cell r="A1335" t="str">
            <v>61.074.506/0001-30</v>
          </cell>
          <cell r="B1335" t="str">
            <v>Malu Montesino</v>
          </cell>
        </row>
        <row r="1336">
          <cell r="A1336" t="str">
            <v>12.648.266/0001-24</v>
          </cell>
          <cell r="B1336" t="str">
            <v>Malu Montesino</v>
          </cell>
        </row>
        <row r="1337">
          <cell r="A1337" t="str">
            <v>14.016.443/0001-85</v>
          </cell>
          <cell r="B1337" t="str">
            <v>Malu Montesino</v>
          </cell>
        </row>
        <row r="1338">
          <cell r="A1338" t="str">
            <v>48.539.407/0001-18</v>
          </cell>
          <cell r="B1338" t="str">
            <v>Malu Montesino</v>
          </cell>
        </row>
        <row r="1339">
          <cell r="A1339" t="str">
            <v>04.864.204/0001-21</v>
          </cell>
          <cell r="B1339" t="str">
            <v>Malu Montesino</v>
          </cell>
        </row>
        <row r="1340">
          <cell r="A1340" t="str">
            <v>10.444.624/0001-51</v>
          </cell>
          <cell r="B1340" t="str">
            <v>Malu Montesino</v>
          </cell>
        </row>
        <row r="1341">
          <cell r="A1341" t="str">
            <v>13.890.656/0001-79</v>
          </cell>
          <cell r="B1341" t="str">
            <v>Malu Montesino</v>
          </cell>
        </row>
        <row r="1342">
          <cell r="A1342" t="str">
            <v>05.495.281/0001-14</v>
          </cell>
          <cell r="B1342" t="str">
            <v>Mariane Nascimento</v>
          </cell>
        </row>
        <row r="1343">
          <cell r="A1343" t="str">
            <v>05.495.281/0001-14</v>
          </cell>
          <cell r="B1343" t="str">
            <v>Mariane Nascimento</v>
          </cell>
        </row>
        <row r="1344">
          <cell r="A1344" t="str">
            <v>33.253.071/0001-55</v>
          </cell>
          <cell r="B1344" t="str">
            <v>Malu Montesino</v>
          </cell>
        </row>
        <row r="1345">
          <cell r="A1345" t="str">
            <v>17.109.432/0001-38</v>
          </cell>
          <cell r="B1345" t="str">
            <v>Malu Montesino</v>
          </cell>
        </row>
        <row r="1346">
          <cell r="A1346" t="str">
            <v>44.211.112/0001-67</v>
          </cell>
          <cell r="B1346" t="str">
            <v>Malu Montesino</v>
          </cell>
        </row>
        <row r="1347">
          <cell r="A1347" t="str">
            <v>13.009.550/0001-13</v>
          </cell>
          <cell r="B1347" t="str">
            <v>Malu Montesino</v>
          </cell>
        </row>
        <row r="1348">
          <cell r="A1348" t="str">
            <v>41.707.446/0001-38</v>
          </cell>
          <cell r="B1348" t="str">
            <v>Malu Montesino</v>
          </cell>
        </row>
        <row r="1349">
          <cell r="A1349" t="str">
            <v>02.914.460/0001-50</v>
          </cell>
          <cell r="B1349" t="str">
            <v>Malu Montesino</v>
          </cell>
        </row>
        <row r="1350">
          <cell r="A1350" t="str">
            <v>21.551.379/0007-93</v>
          </cell>
          <cell r="B1350" t="str">
            <v>Malu Montesino</v>
          </cell>
        </row>
        <row r="1351">
          <cell r="A1351" t="str">
            <v>21.551.379/0007-93</v>
          </cell>
          <cell r="B1351" t="str">
            <v>Malu Montesino</v>
          </cell>
        </row>
        <row r="1352">
          <cell r="A1352" t="str">
            <v>06.990.590/0001-23</v>
          </cell>
          <cell r="B1352" t="str">
            <v>Malu Montesino</v>
          </cell>
        </row>
        <row r="1353">
          <cell r="A1353" t="str">
            <v>06.990.590/0001-23</v>
          </cell>
          <cell r="B1353" t="str">
            <v>Malu Montesino</v>
          </cell>
        </row>
        <row r="1354">
          <cell r="A1354" t="str">
            <v>01.866.388/0001-70</v>
          </cell>
          <cell r="B1354" t="str">
            <v>Malu Montesino</v>
          </cell>
        </row>
        <row r="1355">
          <cell r="A1355" t="str">
            <v>01.866.388/0001-70</v>
          </cell>
          <cell r="B1355" t="str">
            <v>Malu Montesino</v>
          </cell>
        </row>
        <row r="1356">
          <cell r="A1356" t="str">
            <v>31.372.346/0001-44</v>
          </cell>
          <cell r="B1356" t="str">
            <v>Malu Montesino</v>
          </cell>
        </row>
        <row r="1357">
          <cell r="A1357" t="str">
            <v>15.284.176/0001-90</v>
          </cell>
          <cell r="B1357" t="str">
            <v>Malu Montesino</v>
          </cell>
        </row>
        <row r="1358">
          <cell r="A1358" t="str">
            <v>15.284.176/0001-90</v>
          </cell>
          <cell r="B1358" t="str">
            <v>Malu Montesino</v>
          </cell>
        </row>
        <row r="1359">
          <cell r="A1359" t="str">
            <v>09.454.377/0001-95</v>
          </cell>
          <cell r="B1359" t="str">
            <v>Malu Montesino</v>
          </cell>
        </row>
        <row r="1360">
          <cell r="A1360" t="str">
            <v>09.454.377/0001-95</v>
          </cell>
          <cell r="B1360" t="str">
            <v>Malu Montesino</v>
          </cell>
        </row>
        <row r="1361">
          <cell r="A1361" t="str">
            <v>20.513.627/0001-53</v>
          </cell>
          <cell r="B1361" t="str">
            <v>Malu Montesino</v>
          </cell>
        </row>
        <row r="1362">
          <cell r="A1362" t="str">
            <v>02.357.251/0001-53</v>
          </cell>
          <cell r="B1362" t="str">
            <v>Malu Montesino</v>
          </cell>
        </row>
        <row r="1363">
          <cell r="A1363" t="str">
            <v>04.238.951/0001-54</v>
          </cell>
          <cell r="B1363" t="str">
            <v>Malu Montesino</v>
          </cell>
        </row>
        <row r="1364">
          <cell r="A1364" t="str">
            <v>22.873.750/0001-00</v>
          </cell>
          <cell r="B1364" t="str">
            <v>Malu Montesino</v>
          </cell>
        </row>
        <row r="1365">
          <cell r="A1365" t="str">
            <v>34.533.802/0002-60</v>
          </cell>
          <cell r="B1365" t="str">
            <v>Malu Montesino</v>
          </cell>
        </row>
        <row r="1366">
          <cell r="A1366" t="str">
            <v>02.914.460/0001-50</v>
          </cell>
          <cell r="B1366" t="str">
            <v>Malu Montesino</v>
          </cell>
        </row>
        <row r="1367">
          <cell r="A1367" t="str">
            <v>22.873.750/0001-00</v>
          </cell>
          <cell r="B1367" t="str">
            <v>Malu Montesino</v>
          </cell>
        </row>
        <row r="1368">
          <cell r="A1368" t="str">
            <v>03.117.534/0001-90</v>
          </cell>
          <cell r="B1368" t="str">
            <v>Malu Montesino</v>
          </cell>
        </row>
        <row r="1369">
          <cell r="A1369" t="str">
            <v>50.949.528/0001-80</v>
          </cell>
          <cell r="B1369" t="str">
            <v>Malu Montesino</v>
          </cell>
        </row>
        <row r="1370">
          <cell r="A1370" t="str">
            <v>28.997.632/0001-90</v>
          </cell>
          <cell r="B1370" t="str">
            <v>Malu Montesino</v>
          </cell>
        </row>
        <row r="1371">
          <cell r="A1371" t="str">
            <v>03.250.204/0001-79</v>
          </cell>
          <cell r="B1371" t="str">
            <v>Malu Montesino</v>
          </cell>
        </row>
        <row r="1372">
          <cell r="A1372" t="str">
            <v>08.675.394/0001-90</v>
          </cell>
          <cell r="B1372" t="str">
            <v>Mariane Nascimento</v>
          </cell>
        </row>
        <row r="1373">
          <cell r="A1373" t="str">
            <v>01.449.930/0001-90</v>
          </cell>
          <cell r="B1373" t="str">
            <v>Malu Montesino</v>
          </cell>
        </row>
        <row r="1374">
          <cell r="A1374" t="str">
            <v>61.467.528/0001-60</v>
          </cell>
          <cell r="B1374" t="str">
            <v>Mariane Nascimento</v>
          </cell>
        </row>
        <row r="1375">
          <cell r="A1375" t="str">
            <v>01.722.296/0001-17</v>
          </cell>
          <cell r="B1375" t="str">
            <v>Mariane Nascimento</v>
          </cell>
        </row>
        <row r="1376">
          <cell r="A1376" t="str">
            <v>01.722.296/0001-17</v>
          </cell>
          <cell r="B1376" t="str">
            <v>Mariane Nascimento</v>
          </cell>
        </row>
        <row r="1377">
          <cell r="A1377" t="str">
            <v>76.492.701/0010-48</v>
          </cell>
          <cell r="B1377" t="str">
            <v>Malu Montesino</v>
          </cell>
        </row>
        <row r="1378">
          <cell r="A1378" t="str">
            <v>05.495.281/0001-14</v>
          </cell>
          <cell r="B1378" t="str">
            <v>Mariane Nascimento</v>
          </cell>
        </row>
        <row r="1379">
          <cell r="A1379" t="str">
            <v>05.495.281/0001-14</v>
          </cell>
          <cell r="B1379" t="str">
            <v>Mariane Nascimento</v>
          </cell>
        </row>
        <row r="1380">
          <cell r="A1380" t="str">
            <v>05.495.281/0001-14</v>
          </cell>
          <cell r="B1380" t="str">
            <v>Mariane Nascimento</v>
          </cell>
        </row>
        <row r="1381">
          <cell r="A1381" t="str">
            <v>05.495.281/0001-14</v>
          </cell>
          <cell r="B1381" t="str">
            <v>Mariane Nascimento</v>
          </cell>
        </row>
        <row r="1382">
          <cell r="A1382" t="str">
            <v>05.495.281/0001-14</v>
          </cell>
          <cell r="B1382" t="str">
            <v>Mariane Nascimento</v>
          </cell>
        </row>
        <row r="1383">
          <cell r="A1383" t="str">
            <v>05.003.729/0001-35</v>
          </cell>
          <cell r="B1383" t="str">
            <v>Malu Montesino</v>
          </cell>
        </row>
        <row r="1384">
          <cell r="A1384" t="str">
            <v>00.028.986/0001-08</v>
          </cell>
          <cell r="B1384" t="str">
            <v>Malu Montesino</v>
          </cell>
        </row>
        <row r="1385">
          <cell r="A1385" t="str">
            <v>26.246.053/0001-80</v>
          </cell>
          <cell r="B1385" t="str">
            <v>Mariane Nascimento</v>
          </cell>
        </row>
        <row r="1386">
          <cell r="A1386" t="str">
            <v>17.891.872/0001-90</v>
          </cell>
          <cell r="B1386" t="str">
            <v>Malu Montesino</v>
          </cell>
        </row>
        <row r="1387">
          <cell r="A1387" t="str">
            <v>08.486.594/0001-02</v>
          </cell>
          <cell r="B1387" t="str">
            <v>Mariane Nascimento</v>
          </cell>
        </row>
        <row r="1388">
          <cell r="A1388" t="str">
            <v>47.253.307/0001-68</v>
          </cell>
          <cell r="B1388" t="str">
            <v>Malu Montesino</v>
          </cell>
        </row>
        <row r="1389">
          <cell r="A1389" t="str">
            <v>31.372.346/0001-44</v>
          </cell>
          <cell r="B1389" t="str">
            <v>Malu Montesino</v>
          </cell>
        </row>
        <row r="1390">
          <cell r="A1390" t="str">
            <v>31.372.346/0001-44</v>
          </cell>
          <cell r="B1390" t="str">
            <v>Malu Montesino</v>
          </cell>
        </row>
        <row r="1391">
          <cell r="A1391" t="str">
            <v>20.513.627/0001-53</v>
          </cell>
          <cell r="B1391" t="str">
            <v>Malu Montesino</v>
          </cell>
        </row>
        <row r="1392">
          <cell r="A1392" t="str">
            <v>04.238.951/0001-54</v>
          </cell>
          <cell r="B1392" t="str">
            <v>Malu Montesino</v>
          </cell>
        </row>
        <row r="1393">
          <cell r="A1393" t="str">
            <v>28.173.993/0001-12</v>
          </cell>
          <cell r="B1393" t="str">
            <v>Mariane Nascimento</v>
          </cell>
        </row>
        <row r="1394">
          <cell r="A1394" t="str">
            <v>09.072.082/0002-35</v>
          </cell>
          <cell r="B1394" t="str">
            <v>Mariane Nascimento</v>
          </cell>
        </row>
        <row r="1395">
          <cell r="A1395" t="str">
            <v>09.072.082/0002-35</v>
          </cell>
          <cell r="B1395" t="str">
            <v>Mariane Nascimento</v>
          </cell>
        </row>
        <row r="1396">
          <cell r="A1396" t="str">
            <v>27.401.513/0001-60</v>
          </cell>
          <cell r="B1396" t="str">
            <v>Malu Montesino</v>
          </cell>
        </row>
        <row r="1397">
          <cell r="A1397" t="str">
            <v>06.045.864/0001-06</v>
          </cell>
          <cell r="B1397" t="str">
            <v>Mariane Nascimento</v>
          </cell>
        </row>
        <row r="1398">
          <cell r="A1398" t="str">
            <v>06.045.864/0001-06</v>
          </cell>
          <cell r="B1398" t="str">
            <v>Mariane Nascimento</v>
          </cell>
        </row>
        <row r="1399">
          <cell r="A1399" t="str">
            <v>15.331.924/0001-48</v>
          </cell>
          <cell r="B1399" t="str">
            <v>Malu Montesino</v>
          </cell>
        </row>
        <row r="1400">
          <cell r="A1400" t="str">
            <v>05.343.029/0001-90</v>
          </cell>
          <cell r="B1400" t="str">
            <v>Malu Montesino</v>
          </cell>
        </row>
        <row r="1401">
          <cell r="A1401" t="str">
            <v>59.650.556/0001-76</v>
          </cell>
          <cell r="B1401" t="str">
            <v>Malu Montesino</v>
          </cell>
        </row>
        <row r="1402">
          <cell r="A1402" t="str">
            <v>20.102.529/0001-23</v>
          </cell>
          <cell r="B1402" t="str">
            <v>Malu Montesino</v>
          </cell>
        </row>
        <row r="1403">
          <cell r="A1403" t="str">
            <v>20.102.529/0001-23</v>
          </cell>
          <cell r="B1403" t="str">
            <v>Malu Montesino</v>
          </cell>
        </row>
        <row r="1404">
          <cell r="A1404" t="str">
            <v>26.852.877/0001-02</v>
          </cell>
          <cell r="B1404" t="str">
            <v>Malu Montesino</v>
          </cell>
        </row>
        <row r="1405">
          <cell r="A1405" t="str">
            <v>59.309.302/0001-99</v>
          </cell>
          <cell r="B1405" t="str">
            <v>Malu Montesino</v>
          </cell>
        </row>
        <row r="1406">
          <cell r="A1406" t="str">
            <v>59.650.556/0001-76</v>
          </cell>
          <cell r="B1406" t="str">
            <v>Malu Montesino</v>
          </cell>
        </row>
        <row r="1407">
          <cell r="A1407" t="str">
            <v>05.343.029/0001-90</v>
          </cell>
          <cell r="B1407" t="str">
            <v>Malu Montesino</v>
          </cell>
        </row>
        <row r="1408">
          <cell r="A1408" t="str">
            <v>15.331.924/0001-48</v>
          </cell>
          <cell r="B1408" t="str">
            <v>Malu Montesino</v>
          </cell>
        </row>
        <row r="1409">
          <cell r="A1409" t="str">
            <v>10.861.317/0001-76</v>
          </cell>
          <cell r="B1409" t="str">
            <v>Mariane Nascimento</v>
          </cell>
        </row>
        <row r="1410">
          <cell r="A1410" t="str">
            <v>58.752.460/0001-56</v>
          </cell>
          <cell r="B1410" t="str">
            <v>Mariane Nascimento</v>
          </cell>
        </row>
        <row r="1411">
          <cell r="A1411" t="str">
            <v>08.675.394/0001-90</v>
          </cell>
          <cell r="B1411" t="str">
            <v>Mariane Nascimento</v>
          </cell>
        </row>
        <row r="1412">
          <cell r="A1412" t="str">
            <v>40.276.235/0001-25</v>
          </cell>
          <cell r="B1412" t="str">
            <v>Mariane Nascimento</v>
          </cell>
        </row>
        <row r="1413">
          <cell r="A1413" t="str">
            <v>01.405.834/0001-40</v>
          </cell>
          <cell r="B1413" t="str">
            <v>Mariane Nascimento</v>
          </cell>
        </row>
        <row r="1414">
          <cell r="A1414" t="str">
            <v>04.078.043/0001-40</v>
          </cell>
          <cell r="B1414" t="str">
            <v>Mariane Nascimento</v>
          </cell>
        </row>
        <row r="1415">
          <cell r="A1415" t="str">
            <v>12.255.403/0001-60</v>
          </cell>
          <cell r="B1415" t="str">
            <v>Mariane Nascimento</v>
          </cell>
        </row>
        <row r="1416">
          <cell r="A1416" t="str">
            <v>05.743.288/0001-08</v>
          </cell>
          <cell r="B1416" t="str">
            <v>Mariane Nascimento</v>
          </cell>
        </row>
        <row r="1417">
          <cell r="A1417" t="str">
            <v>05.059.358/0001-03</v>
          </cell>
          <cell r="B1417" t="str">
            <v>Mariane Nascimento</v>
          </cell>
        </row>
        <row r="1418">
          <cell r="A1418" t="str">
            <v>19.001.659/0001-90</v>
          </cell>
          <cell r="B1418" t="str">
            <v>Mariane Nascimento</v>
          </cell>
        </row>
        <row r="1419">
          <cell r="A1419" t="str">
            <v>35.197.526/0001-98</v>
          </cell>
          <cell r="B1419" t="str">
            <v>Mariane Nascimento</v>
          </cell>
        </row>
        <row r="1420">
          <cell r="A1420" t="str">
            <v>18.258.209/0001-15</v>
          </cell>
          <cell r="B1420" t="str">
            <v>Mariane Nascimento</v>
          </cell>
        </row>
        <row r="1421">
          <cell r="A1421" t="str">
            <v>18.809.570/0001-92</v>
          </cell>
          <cell r="B1421" t="str">
            <v>Mariane Nascimento</v>
          </cell>
        </row>
        <row r="1422">
          <cell r="A1422" t="str">
            <v>39.032.974/0001-92</v>
          </cell>
          <cell r="B1422" t="str">
            <v>Mariane Nascimento</v>
          </cell>
        </row>
        <row r="1423">
          <cell r="A1423" t="str">
            <v>33.373.325/0001-79</v>
          </cell>
          <cell r="B1423" t="str">
            <v>Mariane Nascimento</v>
          </cell>
        </row>
        <row r="1424">
          <cell r="A1424" t="str">
            <v>14.646.435/0001-12</v>
          </cell>
          <cell r="B1424" t="str">
            <v>Mariane Nascimento</v>
          </cell>
        </row>
        <row r="1425">
          <cell r="A1425" t="str">
            <v>12.246.862/0001-88</v>
          </cell>
          <cell r="B1425" t="str">
            <v>Mariane Nascimento</v>
          </cell>
        </row>
        <row r="1426">
          <cell r="A1426" t="str">
            <v>28.531.958/0001-28</v>
          </cell>
          <cell r="B1426" t="str">
            <v>Mariane Nascimento</v>
          </cell>
        </row>
        <row r="1427">
          <cell r="A1427" t="str">
            <v>07.133.384/0001-60</v>
          </cell>
          <cell r="B1427" t="str">
            <v>Mariane Nascimento</v>
          </cell>
        </row>
        <row r="1428">
          <cell r="A1428" t="str">
            <v>14.510.712/0001-65</v>
          </cell>
          <cell r="B1428" t="str">
            <v>Mariane Nascimento</v>
          </cell>
        </row>
        <row r="1429">
          <cell r="A1429" t="str">
            <v>06.172.467/0001-03</v>
          </cell>
          <cell r="B1429" t="str">
            <v>Mariane Nascimento</v>
          </cell>
        </row>
        <row r="1430">
          <cell r="A1430" t="str">
            <v>62.802.012/0001-97</v>
          </cell>
          <cell r="B1430" t="str">
            <v>Mariane Nascimento</v>
          </cell>
        </row>
        <row r="1431">
          <cell r="A1431" t="str">
            <v>02.377.937/0001-06</v>
          </cell>
          <cell r="B1431" t="str">
            <v>Mariane Nascimento</v>
          </cell>
        </row>
        <row r="1432">
          <cell r="A1432" t="str">
            <v>09.485.574/0001-71</v>
          </cell>
          <cell r="B1432" t="str">
            <v>Mariane Nascimento</v>
          </cell>
        </row>
        <row r="1433">
          <cell r="A1433" t="str">
            <v>11.619.992/0001-56</v>
          </cell>
          <cell r="B1433" t="str">
            <v>Mariane Nascimento</v>
          </cell>
        </row>
        <row r="1434">
          <cell r="A1434" t="str">
            <v>32.737.279/0001-87</v>
          </cell>
          <cell r="B1434" t="str">
            <v>Mariane Nascimento</v>
          </cell>
        </row>
        <row r="1435">
          <cell r="A1435" t="str">
            <v>66.106.600/0001-47</v>
          </cell>
          <cell r="B1435" t="str">
            <v>Mariane Nascimento</v>
          </cell>
        </row>
        <row r="1436">
          <cell r="A1436" t="str">
            <v>00.094.397/0001-28</v>
          </cell>
          <cell r="B1436" t="str">
            <v>Mariane Nascimento</v>
          </cell>
        </row>
        <row r="1437">
          <cell r="A1437" t="str">
            <v>05.934.885/0001-10</v>
          </cell>
          <cell r="B1437" t="str">
            <v>Mariane Nascimento</v>
          </cell>
        </row>
        <row r="1438">
          <cell r="A1438" t="str">
            <v>05.495.281/0001-14</v>
          </cell>
          <cell r="B1438" t="str">
            <v>Mariane Nascimento</v>
          </cell>
        </row>
        <row r="1439">
          <cell r="A1439" t="str">
            <v>23.677.604/0001-72</v>
          </cell>
          <cell r="B1439" t="str">
            <v>Mariane Nascimento</v>
          </cell>
        </row>
        <row r="1440">
          <cell r="A1440" t="str">
            <v>05.495.281/0001-14</v>
          </cell>
          <cell r="B1440" t="str">
            <v>Mariane Nascimento</v>
          </cell>
        </row>
        <row r="1441">
          <cell r="A1441" t="str">
            <v>05.495.281/0001-14</v>
          </cell>
          <cell r="B1441" t="str">
            <v>Mariane Nascimento</v>
          </cell>
        </row>
        <row r="1442">
          <cell r="A1442" t="str">
            <v>05.495.281/0001-14</v>
          </cell>
          <cell r="B1442" t="str">
            <v>Mariane Nascimento</v>
          </cell>
        </row>
        <row r="1443">
          <cell r="A1443" t="str">
            <v>05.495.281/0001-14</v>
          </cell>
          <cell r="B1443" t="str">
            <v>Mariane Nascimento</v>
          </cell>
        </row>
        <row r="1444">
          <cell r="A1444" t="str">
            <v>05.495.281/0001-14</v>
          </cell>
          <cell r="B1444" t="str">
            <v>Mariane Nascimento</v>
          </cell>
        </row>
        <row r="1445">
          <cell r="A1445" t="str">
            <v>05.495.281/0001-14</v>
          </cell>
          <cell r="B1445" t="str">
            <v>Mariane Nascimento</v>
          </cell>
        </row>
        <row r="1446">
          <cell r="A1446" t="str">
            <v>05.495.281/0001-14</v>
          </cell>
          <cell r="B1446" t="str">
            <v>Mariane Nascimento</v>
          </cell>
        </row>
        <row r="1447">
          <cell r="A1447" t="str">
            <v>05.495.281/0001-14</v>
          </cell>
          <cell r="B1447" t="str">
            <v>Mariane Nascimento</v>
          </cell>
        </row>
        <row r="1448">
          <cell r="A1448" t="str">
            <v>05.495.281/0001-14</v>
          </cell>
          <cell r="B1448" t="str">
            <v>Mariane Nascimento</v>
          </cell>
        </row>
        <row r="1449">
          <cell r="A1449" t="str">
            <v>05.495.281/0001-14</v>
          </cell>
          <cell r="B1449" t="str">
            <v>Mariane Nascimento</v>
          </cell>
        </row>
        <row r="1450">
          <cell r="A1450" t="str">
            <v>05.495.281/0001-14</v>
          </cell>
          <cell r="B1450" t="str">
            <v>Mariane Nascimento</v>
          </cell>
        </row>
        <row r="1451">
          <cell r="A1451" t="str">
            <v>03.033.345/0001-30</v>
          </cell>
          <cell r="B1451" t="str">
            <v>Mariane Nascimento</v>
          </cell>
        </row>
        <row r="1452">
          <cell r="A1452" t="str">
            <v>54.379.172/0001-47</v>
          </cell>
          <cell r="B1452" t="str">
            <v>Mariane Nascimento</v>
          </cell>
        </row>
        <row r="1453">
          <cell r="A1453" t="str">
            <v>04.949.905/0001-63</v>
          </cell>
          <cell r="B1453" t="str">
            <v>Mariane Nascimento</v>
          </cell>
        </row>
        <row r="1454">
          <cell r="A1454" t="str">
            <v>33.449.007/0001-44</v>
          </cell>
          <cell r="B1454" t="str">
            <v>Malu Montesino</v>
          </cell>
        </row>
        <row r="1455">
          <cell r="A1455" t="str">
            <v>33.157.312/0001-62</v>
          </cell>
          <cell r="B1455" t="str">
            <v>Mariane Nascimento</v>
          </cell>
        </row>
        <row r="1456">
          <cell r="A1456" t="str">
            <v>27.460.001/0001-75</v>
          </cell>
          <cell r="B1456" t="str">
            <v>Mariane Nascimento</v>
          </cell>
        </row>
        <row r="1457">
          <cell r="A1457" t="str">
            <v>26.246.053/0001-80</v>
          </cell>
          <cell r="B1457" t="str">
            <v>Mariane Nascimento</v>
          </cell>
        </row>
        <row r="1458">
          <cell r="A1458" t="str">
            <v>16.577.631/0002-99</v>
          </cell>
          <cell r="B1458" t="str">
            <v>Mariane Nascimento</v>
          </cell>
        </row>
        <row r="1459">
          <cell r="A1459" t="str">
            <v>08.823.013/0001-72</v>
          </cell>
          <cell r="B1459" t="str">
            <v>Malu Montesino</v>
          </cell>
        </row>
        <row r="1460">
          <cell r="A1460" t="str">
            <v>04.043.808/0001-07</v>
          </cell>
          <cell r="B1460" t="str">
            <v>Mariane Nascimento</v>
          </cell>
        </row>
        <row r="1461">
          <cell r="A1461" t="str">
            <v>08.839.778/0001-09</v>
          </cell>
          <cell r="B1461" t="str">
            <v>Mariane Nascimento</v>
          </cell>
        </row>
        <row r="1462">
          <cell r="A1462" t="str">
            <v>88.031.539/0001-59</v>
          </cell>
          <cell r="B1462" t="str">
            <v>Mariane Nascimento</v>
          </cell>
        </row>
        <row r="1463">
          <cell r="A1463" t="str">
            <v>25.449.857/0001-14</v>
          </cell>
          <cell r="B1463" t="str">
            <v>Mariane Nascimento</v>
          </cell>
        </row>
        <row r="1464">
          <cell r="A1464" t="str">
            <v>14.089.982/0002-25</v>
          </cell>
          <cell r="B1464" t="str">
            <v>Mariane Nascimento</v>
          </cell>
        </row>
        <row r="1465">
          <cell r="A1465" t="str">
            <v>65.010.415/0001-91</v>
          </cell>
          <cell r="B1465" t="str">
            <v>Mariane Nascimento</v>
          </cell>
        </row>
        <row r="1466">
          <cell r="A1466" t="str">
            <v>07.729.464/0001-82</v>
          </cell>
          <cell r="B1466" t="str">
            <v>Mariane Nascimento</v>
          </cell>
        </row>
        <row r="1467">
          <cell r="A1467" t="str">
            <v>32.963.001/0001-28</v>
          </cell>
          <cell r="B1467" t="str">
            <v>Mariane Nascimento</v>
          </cell>
        </row>
        <row r="1468">
          <cell r="A1468" t="str">
            <v>01.123.973/0001-80</v>
          </cell>
          <cell r="B1468" t="str">
            <v>Malu Montesino</v>
          </cell>
        </row>
        <row r="1469">
          <cell r="A1469" t="str">
            <v>28.173.993/0001-12</v>
          </cell>
          <cell r="B1469" t="str">
            <v>Mariane Nascimento</v>
          </cell>
        </row>
        <row r="1470">
          <cell r="A1470" t="str">
            <v>09.072.082/0002-35</v>
          </cell>
          <cell r="B1470" t="str">
            <v>Mariane Nascimento</v>
          </cell>
        </row>
        <row r="1471">
          <cell r="A1471" t="str">
            <v>06.045.864/0001-06</v>
          </cell>
          <cell r="B1471" t="str">
            <v>Mariane Nascimento</v>
          </cell>
        </row>
        <row r="1472">
          <cell r="A1472" t="str">
            <v>16.553.940/0001-48</v>
          </cell>
          <cell r="B1472" t="str">
            <v>Malu Montesino</v>
          </cell>
        </row>
        <row r="1473">
          <cell r="A1473" t="str">
            <v>42.913.658/0001-34</v>
          </cell>
          <cell r="B1473" t="str">
            <v>Malu Montesino</v>
          </cell>
        </row>
        <row r="1474">
          <cell r="A1474" t="str">
            <v>42.913.658/0001-34</v>
          </cell>
          <cell r="B1474" t="str">
            <v>Malu Montesino</v>
          </cell>
        </row>
        <row r="1475">
          <cell r="A1475" t="str">
            <v>33.131.079/0001-49</v>
          </cell>
          <cell r="B1475" t="str">
            <v>Malu Montesino</v>
          </cell>
        </row>
        <row r="1476">
          <cell r="A1476" t="str">
            <v>17.891.872/0001-90</v>
          </cell>
          <cell r="B1476" t="str">
            <v>Malu Montesino</v>
          </cell>
        </row>
        <row r="1477">
          <cell r="A1477" t="str">
            <v>16.553.940/0001-48</v>
          </cell>
          <cell r="B1477" t="str">
            <v>Malu Montesino</v>
          </cell>
        </row>
        <row r="1478">
          <cell r="A1478" t="str">
            <v>42.913.658/0001-34</v>
          </cell>
          <cell r="B1478" t="str">
            <v>Malu Montesino</v>
          </cell>
        </row>
        <row r="1479">
          <cell r="A1479" t="str">
            <v>20.513.627/0001-53</v>
          </cell>
          <cell r="B1479" t="str">
            <v>Malu Montesino</v>
          </cell>
        </row>
        <row r="1480">
          <cell r="A1480" t="str">
            <v>05.495.281/0001-14</v>
          </cell>
          <cell r="B1480" t="str">
            <v>Mariane Nascimento</v>
          </cell>
        </row>
        <row r="1481">
          <cell r="A1481" t="str">
            <v>85.070.068/0041-97</v>
          </cell>
          <cell r="B1481" t="str">
            <v>Malu Montesino</v>
          </cell>
        </row>
        <row r="1482">
          <cell r="A1482" t="str">
            <v>47.253.307/0001-68</v>
          </cell>
          <cell r="B1482" t="str">
            <v>Malu Montesino</v>
          </cell>
        </row>
        <row r="1483">
          <cell r="A1483" t="str">
            <v>24.893.687/0011-71</v>
          </cell>
          <cell r="B1483" t="str">
            <v>Malu Montesino</v>
          </cell>
        </row>
        <row r="1484">
          <cell r="A1484" t="str">
            <v>10.824.074/0001-04</v>
          </cell>
          <cell r="B1484" t="str">
            <v>Mariane Nascimento</v>
          </cell>
        </row>
        <row r="1485">
          <cell r="A1485" t="str">
            <v>35.197.526/0001-98</v>
          </cell>
          <cell r="B1485" t="str">
            <v>Mariane Nascimento</v>
          </cell>
        </row>
        <row r="1486">
          <cell r="A1486" t="str">
            <v>61.467.528/0001-60</v>
          </cell>
          <cell r="B1486" t="str">
            <v>Mariane Nascimento</v>
          </cell>
        </row>
        <row r="1487">
          <cell r="A1487" t="str">
            <v>01.722.296/0001-17</v>
          </cell>
          <cell r="B1487" t="str">
            <v>Mariane Nascimento</v>
          </cell>
        </row>
        <row r="1488">
          <cell r="A1488" t="str">
            <v>12.246.862/0001-88</v>
          </cell>
          <cell r="B1488" t="str">
            <v>Mariane Nascimento</v>
          </cell>
        </row>
        <row r="1489">
          <cell r="A1489" t="str">
            <v>05.495.281/0001-14</v>
          </cell>
          <cell r="B1489" t="str">
            <v>Mariane Nascimento</v>
          </cell>
        </row>
        <row r="1490">
          <cell r="A1490" t="str">
            <v>05.495.281/0001-14</v>
          </cell>
          <cell r="B1490" t="str">
            <v>Mariane Nascimento</v>
          </cell>
        </row>
        <row r="1491">
          <cell r="A1491" t="str">
            <v>61.410.841/0001-61</v>
          </cell>
          <cell r="B1491" t="str">
            <v>Malu Montesino</v>
          </cell>
        </row>
        <row r="1492">
          <cell r="A1492" t="str">
            <v>26.246.053/0001-80</v>
          </cell>
          <cell r="B1492" t="str">
            <v>Mariane Nascimento</v>
          </cell>
        </row>
        <row r="1493">
          <cell r="A1493" t="str">
            <v>92.664.028/0001-41</v>
          </cell>
          <cell r="B1493" t="str">
            <v>Malu Montesino</v>
          </cell>
        </row>
        <row r="1494">
          <cell r="A1494" t="str">
            <v>85.070.068/0041-97</v>
          </cell>
          <cell r="B1494" t="str">
            <v>Malu Montesino</v>
          </cell>
        </row>
        <row r="1495">
          <cell r="A1495" t="str">
            <v>08.486.594/0001-02</v>
          </cell>
          <cell r="B1495" t="str">
            <v>Mariane Nascimento</v>
          </cell>
        </row>
        <row r="1496">
          <cell r="A1496" t="str">
            <v>47.253.307/0001-68</v>
          </cell>
          <cell r="B1496" t="str">
            <v>Malu Montesino</v>
          </cell>
        </row>
        <row r="1497">
          <cell r="A1497" t="str">
            <v>27.401.513/0001-60</v>
          </cell>
          <cell r="B1497" t="str">
            <v>Malu Montesino</v>
          </cell>
        </row>
        <row r="1498">
          <cell r="A1498" t="str">
            <v>27.401.513/0001-60</v>
          </cell>
          <cell r="B1498" t="str">
            <v>Malu Montesino</v>
          </cell>
        </row>
        <row r="1499">
          <cell r="A1499" t="str">
            <v>12.246.862/0001-88</v>
          </cell>
          <cell r="B1499" t="str">
            <v>Mariane Nascimento</v>
          </cell>
        </row>
        <row r="1500">
          <cell r="A1500" t="str">
            <v>34.958.955/0001-78</v>
          </cell>
          <cell r="B1500" t="str">
            <v>Malu Montesino</v>
          </cell>
        </row>
        <row r="1501">
          <cell r="A1501" t="str">
            <v>34.958.955/0001-78</v>
          </cell>
          <cell r="B1501" t="str">
            <v>Malu Montesino</v>
          </cell>
        </row>
        <row r="1502">
          <cell r="A1502" t="str">
            <v>01.449.930/0001-90</v>
          </cell>
          <cell r="B1502" t="str">
            <v>Malu Montesino</v>
          </cell>
        </row>
        <row r="1503">
          <cell r="A1503" t="str">
            <v>60.680.873/0001-14</v>
          </cell>
          <cell r="B1503" t="str">
            <v>Malu Montesino</v>
          </cell>
        </row>
        <row r="1504">
          <cell r="A1504" t="str">
            <v>24.893.687/0011-71</v>
          </cell>
          <cell r="B1504" t="str">
            <v>Malu Montesino</v>
          </cell>
        </row>
        <row r="1505">
          <cell r="A1505" t="str">
            <v>24.893.687/0011-71</v>
          </cell>
          <cell r="B1505" t="str">
            <v>Malu Montesino</v>
          </cell>
        </row>
        <row r="1506">
          <cell r="A1506" t="str">
            <v>01.449.930/0001-90</v>
          </cell>
          <cell r="B1506" t="str">
            <v>Malu Montesino</v>
          </cell>
        </row>
        <row r="1507">
          <cell r="A1507" t="str">
            <v>01.449.930/0001-90</v>
          </cell>
          <cell r="B1507" t="str">
            <v>Malu Montesino</v>
          </cell>
        </row>
        <row r="1508">
          <cell r="A1508" t="str">
            <v>00.029.372/0001-40</v>
          </cell>
          <cell r="B1508" t="str">
            <v>Malu Montesino</v>
          </cell>
        </row>
        <row r="1509">
          <cell r="A1509" t="str">
            <v>12.246.862/0001-88</v>
          </cell>
          <cell r="B1509" t="str">
            <v>Mariane Nascimento</v>
          </cell>
        </row>
        <row r="1510">
          <cell r="A1510" t="str">
            <v>05.495.281/0001-14</v>
          </cell>
          <cell r="B1510" t="str">
            <v>Mariane Nascimento</v>
          </cell>
        </row>
        <row r="1511">
          <cell r="A1511" t="str">
            <v>04.743.858/0001-05</v>
          </cell>
          <cell r="B1511" t="str">
            <v>Malu Montesino</v>
          </cell>
        </row>
        <row r="1512">
          <cell r="A1512" t="str">
            <v>02.914.460/0001-50</v>
          </cell>
          <cell r="B1512" t="str">
            <v>Malu Montesino</v>
          </cell>
        </row>
        <row r="1513">
          <cell r="A1513" t="str">
            <v>02.914.460/0001-50</v>
          </cell>
          <cell r="B1513" t="str">
            <v>Malu Montesino</v>
          </cell>
        </row>
        <row r="1514">
          <cell r="A1514" t="str">
            <v>21.551.379/0007-93</v>
          </cell>
          <cell r="B1514" t="str">
            <v>Malu Montesino</v>
          </cell>
        </row>
        <row r="1515">
          <cell r="A1515" t="str">
            <v>21.551.379/0007-93</v>
          </cell>
          <cell r="B1515" t="str">
            <v>Malu Montesino</v>
          </cell>
        </row>
        <row r="1516">
          <cell r="A1516" t="str">
            <v>06.990.590/0001-23</v>
          </cell>
          <cell r="B1516" t="str">
            <v>Malu Montesino</v>
          </cell>
        </row>
        <row r="1517">
          <cell r="A1517" t="str">
            <v>06.990.590/0001-23</v>
          </cell>
          <cell r="B1517" t="str">
            <v>Malu Montesino</v>
          </cell>
        </row>
        <row r="1518">
          <cell r="A1518" t="str">
            <v>02.629.588/0001-72</v>
          </cell>
          <cell r="B1518" t="str">
            <v>Malu Montesino</v>
          </cell>
        </row>
        <row r="1519">
          <cell r="A1519" t="str">
            <v>02.629.588/0001-72</v>
          </cell>
          <cell r="B1519" t="str">
            <v>Malu Montesino</v>
          </cell>
        </row>
        <row r="1520">
          <cell r="A1520" t="str">
            <v>01.866.388/0001-70</v>
          </cell>
          <cell r="B1520" t="str">
            <v>Malu Montesino</v>
          </cell>
        </row>
        <row r="1521">
          <cell r="A1521" t="str">
            <v>68.322.411/0001-37</v>
          </cell>
          <cell r="B1521" t="str">
            <v>Malu Montesino</v>
          </cell>
        </row>
        <row r="1522">
          <cell r="A1522" t="str">
            <v>31.372.346/0001-44</v>
          </cell>
          <cell r="B1522" t="str">
            <v>Malu Montesino</v>
          </cell>
        </row>
        <row r="1523">
          <cell r="A1523" t="str">
            <v>71.256.283/0001-85</v>
          </cell>
          <cell r="B1523" t="str">
            <v>Malu Montesino</v>
          </cell>
        </row>
        <row r="1524">
          <cell r="A1524" t="str">
            <v>20.513.627/0001-53</v>
          </cell>
          <cell r="B1524" t="str">
            <v>Malu Montesino</v>
          </cell>
        </row>
        <row r="1525">
          <cell r="A1525" t="str">
            <v>04.238.951/0001-54</v>
          </cell>
          <cell r="B1525" t="str">
            <v>Malu Montesino</v>
          </cell>
        </row>
        <row r="1526">
          <cell r="A1526" t="str">
            <v>22.168.141/0001-50</v>
          </cell>
          <cell r="B1526" t="str">
            <v>Malu Montesino</v>
          </cell>
        </row>
        <row r="1527">
          <cell r="A1527" t="str">
            <v>73.773.129/0001-06</v>
          </cell>
          <cell r="B1527" t="str">
            <v>Malu Montesino</v>
          </cell>
        </row>
        <row r="1528">
          <cell r="A1528" t="str">
            <v>20.513.627/0001-53</v>
          </cell>
          <cell r="B1528" t="str">
            <v>Malu Montesino</v>
          </cell>
        </row>
        <row r="1529">
          <cell r="A1529" t="str">
            <v>59.104.422/0001-50</v>
          </cell>
          <cell r="B1529" t="str">
            <v>Malu Montesino</v>
          </cell>
        </row>
        <row r="1530">
          <cell r="A1530" t="str">
            <v>59.104.422/0001-50</v>
          </cell>
          <cell r="B1530" t="str">
            <v>Malu Montesino</v>
          </cell>
        </row>
        <row r="1531">
          <cell r="A1531" t="str">
            <v>52.541.760/0001-00</v>
          </cell>
          <cell r="B1531" t="str">
            <v>Malu Montesino</v>
          </cell>
        </row>
        <row r="1532">
          <cell r="A1532" t="str">
            <v>52.541.760/0001-00</v>
          </cell>
          <cell r="B1532" t="str">
            <v>Malu Montesino</v>
          </cell>
        </row>
        <row r="1533">
          <cell r="A1533" t="str">
            <v>28.997.632/0001-90</v>
          </cell>
          <cell r="B1533" t="str">
            <v>Malu Montesino</v>
          </cell>
        </row>
        <row r="1534">
          <cell r="A1534" t="str">
            <v>12.417.472/0001-23</v>
          </cell>
          <cell r="B1534" t="str">
            <v>Malu Montesino</v>
          </cell>
        </row>
        <row r="1535">
          <cell r="A1535" t="str">
            <v>01.838.723/0001-27</v>
          </cell>
          <cell r="B1535" t="str">
            <v>Malu Montesino</v>
          </cell>
        </row>
        <row r="1536">
          <cell r="A1536" t="str">
            <v>24.893.687/0011-71</v>
          </cell>
          <cell r="B1536" t="str">
            <v>Malu Montesino</v>
          </cell>
        </row>
        <row r="1537">
          <cell r="A1537" t="str">
            <v>24.893.687/0011-71</v>
          </cell>
          <cell r="B1537" t="str">
            <v>Malu Montesino</v>
          </cell>
        </row>
        <row r="1538">
          <cell r="A1538" t="str">
            <v>07.884.692/0001-27</v>
          </cell>
          <cell r="B1538" t="str">
            <v>Malu Montesino</v>
          </cell>
        </row>
        <row r="1539">
          <cell r="A1539" t="str">
            <v>52.500.287/0001-12</v>
          </cell>
          <cell r="B1539" t="str">
            <v>Malu Montesino</v>
          </cell>
        </row>
        <row r="1540">
          <cell r="A1540" t="str">
            <v>12.936.032/0001-82</v>
          </cell>
          <cell r="B1540" t="str">
            <v>Malu Montesino</v>
          </cell>
        </row>
        <row r="1541">
          <cell r="A1541" t="str">
            <v>10.444.624/0001-51</v>
          </cell>
          <cell r="B1541" t="str">
            <v>Malu Montesino</v>
          </cell>
        </row>
        <row r="1542">
          <cell r="A1542" t="str">
            <v>07.626.776/0001-60</v>
          </cell>
          <cell r="B1542" t="str">
            <v>Malu Montesino</v>
          </cell>
        </row>
        <row r="1543">
          <cell r="A1543" t="str">
            <v>46.550.505/0001-20</v>
          </cell>
          <cell r="B1543" t="str">
            <v>Malu Montesino</v>
          </cell>
        </row>
        <row r="1544">
          <cell r="A1544" t="str">
            <v>07.065.479/0001-93</v>
          </cell>
          <cell r="B1544" t="str">
            <v>Malu Montesino</v>
          </cell>
        </row>
        <row r="1545">
          <cell r="A1545" t="str">
            <v>07.065.479/0001-93</v>
          </cell>
          <cell r="B1545" t="str">
            <v>Malu Montesino</v>
          </cell>
        </row>
        <row r="1546">
          <cell r="A1546" t="str">
            <v>03.509.978/0001-71</v>
          </cell>
          <cell r="B1546" t="str">
            <v>Malu Montesino</v>
          </cell>
        </row>
        <row r="1547">
          <cell r="A1547" t="str">
            <v>60.680.873/0001-14</v>
          </cell>
          <cell r="B1547" t="str">
            <v>Malu Montesino</v>
          </cell>
        </row>
        <row r="1548">
          <cell r="A1548" t="str">
            <v>60.680.873/0001-14</v>
          </cell>
          <cell r="B1548" t="str">
            <v>Malu Montesino</v>
          </cell>
        </row>
        <row r="1549">
          <cell r="A1549" t="str">
            <v>12.246.862/0001-88</v>
          </cell>
          <cell r="B1549" t="str">
            <v>Mariane Nascimento</v>
          </cell>
        </row>
        <row r="1550">
          <cell r="A1550" t="str">
            <v>12.246.862/0001-88</v>
          </cell>
          <cell r="B1550" t="str">
            <v>Mariane Nascimento</v>
          </cell>
        </row>
        <row r="1551">
          <cell r="A1551" t="str">
            <v>50.086.453/0001-50</v>
          </cell>
          <cell r="B1551" t="str">
            <v>Malu Montesino</v>
          </cell>
        </row>
        <row r="1552">
          <cell r="A1552" t="str">
            <v>53.113.791/0001-22</v>
          </cell>
          <cell r="B1552" t="str">
            <v>Malu Montesino</v>
          </cell>
        </row>
        <row r="1553">
          <cell r="A1553" t="str">
            <v>59.104.760/0001-91</v>
          </cell>
          <cell r="B1553" t="str">
            <v>Malu Montesino</v>
          </cell>
        </row>
        <row r="1554">
          <cell r="A1554" t="str">
            <v>13.852.007/0001-83</v>
          </cell>
          <cell r="B1554" t="str">
            <v>Malu Montesino</v>
          </cell>
        </row>
        <row r="1555">
          <cell r="A1555" t="str">
            <v>18.933.677/0004-90</v>
          </cell>
          <cell r="B1555" t="str">
            <v>Malu Montesino</v>
          </cell>
        </row>
        <row r="1556">
          <cell r="A1556" t="str">
            <v>59.233.783/0001-04</v>
          </cell>
          <cell r="B1556" t="str">
            <v>Malu Montesino</v>
          </cell>
        </row>
        <row r="1557">
          <cell r="A1557" t="str">
            <v>02.629.588/0001-72</v>
          </cell>
          <cell r="B1557" t="str">
            <v>Malu Montesino</v>
          </cell>
        </row>
        <row r="1558">
          <cell r="A1558" t="str">
            <v>01.177.248/0001-95</v>
          </cell>
          <cell r="B1558" t="str">
            <v>Malu Montesino</v>
          </cell>
        </row>
        <row r="1559">
          <cell r="A1559" t="str">
            <v>15.284.176/0001-90</v>
          </cell>
          <cell r="B1559" t="str">
            <v>Malu Montesino</v>
          </cell>
        </row>
        <row r="1560">
          <cell r="A1560" t="str">
            <v>27.401.513/0001-60</v>
          </cell>
          <cell r="B1560" t="str">
            <v>Malu Montesino</v>
          </cell>
        </row>
        <row r="1561">
          <cell r="A1561" t="str">
            <v>15.331.924/0001-48</v>
          </cell>
          <cell r="B1561" t="str">
            <v>Malu Montesino</v>
          </cell>
        </row>
        <row r="1562">
          <cell r="A1562" t="str">
            <v>05.343.029/0001-90</v>
          </cell>
          <cell r="B1562" t="str">
            <v>Malu Montesino</v>
          </cell>
        </row>
        <row r="1563">
          <cell r="A1563" t="str">
            <v>37.807.135/0001-73</v>
          </cell>
          <cell r="B1563" t="str">
            <v>Malu Montesino</v>
          </cell>
        </row>
        <row r="1564">
          <cell r="A1564" t="str">
            <v>07.065.479/0001-93</v>
          </cell>
          <cell r="B1564" t="str">
            <v>Malu Montesino</v>
          </cell>
        </row>
        <row r="1565">
          <cell r="A1565" t="str">
            <v>13.852.007/0001-83</v>
          </cell>
          <cell r="B1565" t="str">
            <v>Malu Montesino</v>
          </cell>
        </row>
        <row r="1566">
          <cell r="A1566" t="str">
            <v>24.893.687/0011-71</v>
          </cell>
          <cell r="B1566" t="str">
            <v>Malu Montesino</v>
          </cell>
        </row>
        <row r="1567">
          <cell r="A1567" t="str">
            <v>04.963.150/0001-51</v>
          </cell>
          <cell r="B1567" t="str">
            <v>Malu Montesino</v>
          </cell>
        </row>
        <row r="1568">
          <cell r="A1568" t="str">
            <v>04.963.150/0001-51</v>
          </cell>
          <cell r="B1568" t="str">
            <v>Malu Montesino</v>
          </cell>
        </row>
        <row r="1569">
          <cell r="A1569" t="str">
            <v>76.492.701/0010-48</v>
          </cell>
          <cell r="B1569" t="str">
            <v>Malu Montesino</v>
          </cell>
        </row>
        <row r="1570">
          <cell r="A1570" t="str">
            <v>50.086.453/0001-50</v>
          </cell>
          <cell r="B1570" t="str">
            <v>Malu Montesino</v>
          </cell>
        </row>
        <row r="1571">
          <cell r="A1571" t="str">
            <v>05.003.729/0001-35</v>
          </cell>
          <cell r="B1571" t="str">
            <v>Malu Montesino</v>
          </cell>
        </row>
        <row r="1572">
          <cell r="A1572" t="str">
            <v>61.936.522/0001-94</v>
          </cell>
          <cell r="B1572" t="str">
            <v>Malu Montesino</v>
          </cell>
        </row>
        <row r="1573">
          <cell r="A1573" t="str">
            <v>00.967.275/0001-07</v>
          </cell>
          <cell r="B1573" t="str">
            <v>Malu Montesino</v>
          </cell>
        </row>
        <row r="1574">
          <cell r="A1574" t="str">
            <v>03.470.727/0004-73</v>
          </cell>
          <cell r="B1574" t="str">
            <v>Malu Montesino</v>
          </cell>
        </row>
        <row r="1575">
          <cell r="A1575" t="str">
            <v>79.805.263/0001-28</v>
          </cell>
          <cell r="B1575" t="str">
            <v>Malu Montesino</v>
          </cell>
        </row>
        <row r="1576">
          <cell r="A1576" t="str">
            <v>48.240.709/0001-90</v>
          </cell>
          <cell r="B1576" t="str">
            <v>Malu Montesino</v>
          </cell>
        </row>
        <row r="1577">
          <cell r="A1577" t="str">
            <v>05.662.773/0002-38</v>
          </cell>
          <cell r="B1577" t="str">
            <v>Malu Montesino</v>
          </cell>
        </row>
        <row r="1578">
          <cell r="A1578" t="str">
            <v>03.830.607/0001-97</v>
          </cell>
          <cell r="B1578" t="str">
            <v>Malu Montesino</v>
          </cell>
        </row>
        <row r="1579">
          <cell r="A1579" t="str">
            <v>22.873.750/0001-00</v>
          </cell>
          <cell r="B1579" t="str">
            <v>Malu Montesino</v>
          </cell>
        </row>
        <row r="1580">
          <cell r="A1580" t="str">
            <v>20.102.529/0001-23</v>
          </cell>
          <cell r="B1580" t="str">
            <v>Malu Montesino</v>
          </cell>
        </row>
        <row r="1581">
          <cell r="A1581" t="str">
            <v>61.936.522/0001-94</v>
          </cell>
          <cell r="B1581" t="str">
            <v>Malu Montesino</v>
          </cell>
        </row>
        <row r="1582">
          <cell r="A1582" t="str">
            <v>79.805.263/0001-28</v>
          </cell>
          <cell r="B1582" t="str">
            <v>Malu Montesino</v>
          </cell>
        </row>
        <row r="1583">
          <cell r="A1583" t="str">
            <v>01.679.569/0001-98</v>
          </cell>
          <cell r="B1583" t="str">
            <v>Malu Montesino</v>
          </cell>
        </row>
        <row r="1584">
          <cell r="A1584" t="str">
            <v>01.679.569/0001-98</v>
          </cell>
          <cell r="B1584" t="str">
            <v>Malu Montesino</v>
          </cell>
        </row>
        <row r="1585">
          <cell r="A1585" t="str">
            <v>61.467.528/0001-60</v>
          </cell>
          <cell r="B1585" t="str">
            <v>Mariane Nascimento</v>
          </cell>
        </row>
        <row r="1586">
          <cell r="A1586" t="str">
            <v>13.890.656/0001-79</v>
          </cell>
          <cell r="B1586" t="str">
            <v>Malu Montesino</v>
          </cell>
        </row>
        <row r="1587">
          <cell r="A1587" t="str">
            <v>05.495.281/0001-14</v>
          </cell>
          <cell r="B1587" t="str">
            <v>Mariane Nascimento</v>
          </cell>
        </row>
        <row r="1588">
          <cell r="A1588" t="str">
            <v>05.495.281/0001-14</v>
          </cell>
          <cell r="B1588" t="str">
            <v>Mariane Nascimento</v>
          </cell>
        </row>
        <row r="1589">
          <cell r="A1589" t="str">
            <v>05.495.281/0001-14</v>
          </cell>
          <cell r="B1589" t="str">
            <v>Mariane Nascimento</v>
          </cell>
        </row>
        <row r="1590">
          <cell r="A1590" t="str">
            <v>05.495.281/0001-14</v>
          </cell>
          <cell r="B1590" t="str">
            <v>Mariane Nascimento</v>
          </cell>
        </row>
        <row r="1591">
          <cell r="A1591" t="str">
            <v>62.125.836/0001-70</v>
          </cell>
          <cell r="B1591" t="str">
            <v>Malu Montesino</v>
          </cell>
        </row>
        <row r="1592">
          <cell r="A1592" t="str">
            <v>14.707.364/0001-10</v>
          </cell>
          <cell r="B1592" t="str">
            <v>Malu Montesino</v>
          </cell>
        </row>
        <row r="1593">
          <cell r="A1593" t="str">
            <v>02.877.654/0001-23</v>
          </cell>
          <cell r="B1593" t="str">
            <v>Malu Montesino</v>
          </cell>
        </row>
        <row r="1594">
          <cell r="A1594" t="str">
            <v>01.440.590/0001-36</v>
          </cell>
          <cell r="B1594" t="str">
            <v>Malu Montesino</v>
          </cell>
        </row>
        <row r="1595">
          <cell r="A1595" t="str">
            <v>61.489.381/0001-09</v>
          </cell>
          <cell r="B1595" t="str">
            <v>Malu Montesino</v>
          </cell>
        </row>
        <row r="1596">
          <cell r="A1596" t="str">
            <v>02.814.497/0001-07</v>
          </cell>
          <cell r="B1596" t="str">
            <v>Malu Montesino</v>
          </cell>
        </row>
        <row r="1597">
          <cell r="A1597" t="str">
            <v>23.613.190/0001-18</v>
          </cell>
          <cell r="B1597" t="str">
            <v>Malu Montesino</v>
          </cell>
        </row>
        <row r="1598">
          <cell r="A1598" t="str">
            <v>23.613.190/0001-18</v>
          </cell>
          <cell r="B1598" t="str">
            <v>Malu Montesino</v>
          </cell>
        </row>
        <row r="1599">
          <cell r="A1599" t="str">
            <v>58.763.350/0001-90</v>
          </cell>
          <cell r="B1599" t="str">
            <v>Malu Montesino</v>
          </cell>
        </row>
        <row r="1600">
          <cell r="A1600" t="str">
            <v>61.489.381/0001-09</v>
          </cell>
          <cell r="B1600" t="str">
            <v>Malu Montesino</v>
          </cell>
        </row>
        <row r="1601">
          <cell r="A1601" t="str">
            <v>01.440.590/0001-36</v>
          </cell>
          <cell r="B1601" t="str">
            <v>Malu Montesino</v>
          </cell>
        </row>
        <row r="1602">
          <cell r="A1602" t="str">
            <v>58.763.350/0001-90</v>
          </cell>
          <cell r="B1602" t="str">
            <v>Malu Montesino</v>
          </cell>
        </row>
        <row r="1603">
          <cell r="A1603" t="str">
            <v>24.893.687/0011-71</v>
          </cell>
          <cell r="B1603" t="str">
            <v>Malu Montesino</v>
          </cell>
        </row>
        <row r="1604">
          <cell r="A1604" t="str">
            <v>24.893.687/0011-71</v>
          </cell>
          <cell r="B1604" t="str">
            <v>Malu Montesino</v>
          </cell>
        </row>
        <row r="1605">
          <cell r="A1605" t="str">
            <v>12.246.862/0001-88</v>
          </cell>
          <cell r="B1605" t="str">
            <v>Mariane Nascimento</v>
          </cell>
        </row>
        <row r="1606">
          <cell r="A1606" t="str">
            <v>05.495.281/0001-14</v>
          </cell>
          <cell r="B1606" t="str">
            <v>Mariane Nascimento</v>
          </cell>
        </row>
        <row r="1607">
          <cell r="A1607" t="str">
            <v>05.495.281/0001-14</v>
          </cell>
          <cell r="B1607" t="str">
            <v>Mariane Nascimento</v>
          </cell>
        </row>
        <row r="1608">
          <cell r="A1608" t="str">
            <v>50.086.453/0001-50</v>
          </cell>
          <cell r="B1608" t="str">
            <v>Malu Montesino</v>
          </cell>
        </row>
        <row r="1609">
          <cell r="A1609" t="str">
            <v>21.551.379/0007-93</v>
          </cell>
          <cell r="B1609" t="str">
            <v>Malu Montesino</v>
          </cell>
        </row>
        <row r="1610">
          <cell r="A1610" t="str">
            <v>56.704.015/0001-95</v>
          </cell>
          <cell r="B1610" t="str">
            <v>Malu Montesino</v>
          </cell>
        </row>
        <row r="1611">
          <cell r="A1611" t="str">
            <v>02.914.460/0001-50</v>
          </cell>
          <cell r="B1611" t="str">
            <v>Malu Montesino</v>
          </cell>
        </row>
        <row r="1612">
          <cell r="A1612" t="str">
            <v>04.963.150/0001-51</v>
          </cell>
          <cell r="B1612" t="str">
            <v>Malu Montesino</v>
          </cell>
        </row>
        <row r="1613">
          <cell r="A1613" t="str">
            <v>61.074.506/0001-30</v>
          </cell>
          <cell r="B1613" t="str">
            <v>Malu Montesino</v>
          </cell>
        </row>
        <row r="1614">
          <cell r="A1614" t="str">
            <v>61.074.506/0001-30</v>
          </cell>
          <cell r="B1614" t="str">
            <v>Malu Montesino</v>
          </cell>
        </row>
        <row r="1615">
          <cell r="A1615" t="str">
            <v>61.074.506/0001-30</v>
          </cell>
          <cell r="B1615" t="str">
            <v>Malu Montesino</v>
          </cell>
        </row>
        <row r="1616">
          <cell r="A1616" t="str">
            <v>10.962.495/0001-93</v>
          </cell>
          <cell r="B1616" t="str">
            <v>Malu Montesino</v>
          </cell>
        </row>
        <row r="1617">
          <cell r="A1617" t="str">
            <v>01.615.814/0001-01</v>
          </cell>
          <cell r="B1617" t="str">
            <v>Malu Montesino</v>
          </cell>
        </row>
        <row r="1618">
          <cell r="A1618" t="str">
            <v>01.449.930/0001-90</v>
          </cell>
          <cell r="B1618" t="str">
            <v>Malu Montesino</v>
          </cell>
        </row>
        <row r="1619">
          <cell r="A1619" t="str">
            <v>25.136.184/0001-42</v>
          </cell>
          <cell r="B1619" t="str">
            <v>Malu Montesino</v>
          </cell>
        </row>
        <row r="1620">
          <cell r="A1620" t="str">
            <v>05.495.281/0001-14</v>
          </cell>
          <cell r="B1620" t="str">
            <v>Mariane Nascimento</v>
          </cell>
        </row>
        <row r="1621">
          <cell r="A1621" t="str">
            <v>05.495.281/0001-14</v>
          </cell>
          <cell r="B1621" t="str">
            <v>Mariane Nascimento</v>
          </cell>
        </row>
        <row r="1622">
          <cell r="A1622" t="str">
            <v>04.155.026/0001-60</v>
          </cell>
          <cell r="B1622" t="str">
            <v>Malu Montesino</v>
          </cell>
        </row>
        <row r="1623">
          <cell r="A1623" t="str">
            <v>41.707.446/0001-38</v>
          </cell>
          <cell r="B1623" t="str">
            <v>Malu Montesino</v>
          </cell>
        </row>
        <row r="1624">
          <cell r="A1624" t="str">
            <v>09.221.044/0001-16</v>
          </cell>
          <cell r="B1624" t="str">
            <v>Malu Montesino</v>
          </cell>
        </row>
        <row r="1625">
          <cell r="A1625" t="str">
            <v>00.967.275/0001-07</v>
          </cell>
          <cell r="B1625" t="str">
            <v>Malu Montesino</v>
          </cell>
        </row>
        <row r="1626">
          <cell r="A1626" t="str">
            <v>01.866.388/0001-70</v>
          </cell>
          <cell r="B1626" t="str">
            <v>Malu Montesino</v>
          </cell>
        </row>
        <row r="1627">
          <cell r="A1627" t="str">
            <v>01.866.388/0001-70</v>
          </cell>
          <cell r="B1627" t="str">
            <v>Malu Montesino</v>
          </cell>
        </row>
        <row r="1628">
          <cell r="A1628" t="str">
            <v>01.123.973/0001-80</v>
          </cell>
          <cell r="B1628" t="str">
            <v>Malu Montesino</v>
          </cell>
        </row>
        <row r="1629">
          <cell r="A1629" t="str">
            <v>68.322.411/0001-37</v>
          </cell>
          <cell r="B1629" t="str">
            <v>Malu Montesino</v>
          </cell>
        </row>
        <row r="1630">
          <cell r="A1630" t="str">
            <v>31.372.346/0001-44</v>
          </cell>
          <cell r="B1630" t="str">
            <v>Malu Montesino</v>
          </cell>
        </row>
        <row r="1631">
          <cell r="A1631" t="str">
            <v>23.613.190/0001-18</v>
          </cell>
          <cell r="B1631" t="str">
            <v>Malu Montesino</v>
          </cell>
        </row>
        <row r="1632">
          <cell r="A1632" t="str">
            <v>23.613.190/0001-18</v>
          </cell>
          <cell r="B1632" t="str">
            <v>Malu Montesino</v>
          </cell>
        </row>
        <row r="1633">
          <cell r="A1633" t="str">
            <v>79.805.263/0001-28</v>
          </cell>
          <cell r="B1633" t="str">
            <v>Malu Montesino</v>
          </cell>
        </row>
        <row r="1634">
          <cell r="A1634" t="str">
            <v>71.256.283/0001-85</v>
          </cell>
          <cell r="B1634" t="str">
            <v>Malu Montesino</v>
          </cell>
        </row>
        <row r="1635">
          <cell r="A1635" t="str">
            <v>48.240.709/0001-90</v>
          </cell>
          <cell r="B1635" t="str">
            <v>Malu Montesino</v>
          </cell>
        </row>
        <row r="1636">
          <cell r="A1636" t="str">
            <v>05.662.773/0002-38</v>
          </cell>
          <cell r="B1636" t="str">
            <v>Malu Montesino</v>
          </cell>
        </row>
        <row r="1637">
          <cell r="A1637" t="str">
            <v>05.343.029/0001-90</v>
          </cell>
          <cell r="B1637" t="str">
            <v>Malu Montesino</v>
          </cell>
        </row>
        <row r="1638">
          <cell r="A1638" t="str">
            <v>42.913.658/0001-34</v>
          </cell>
          <cell r="B1638" t="str">
            <v>Malu Montesino</v>
          </cell>
        </row>
        <row r="1639">
          <cell r="A1639" t="str">
            <v>56.704.015/0001-95</v>
          </cell>
          <cell r="B1639" t="str">
            <v>Malu Montesino</v>
          </cell>
        </row>
        <row r="1640">
          <cell r="A1640" t="str">
            <v>48.240.709/0001-90</v>
          </cell>
          <cell r="B1640" t="str">
            <v>Malu Montesino</v>
          </cell>
        </row>
        <row r="1641">
          <cell r="A1641" t="str">
            <v>09.221.044/0001-16</v>
          </cell>
          <cell r="B1641" t="str">
            <v>Malu Montesino</v>
          </cell>
        </row>
        <row r="1642">
          <cell r="A1642" t="str">
            <v>23.613.190/0001-18</v>
          </cell>
          <cell r="B1642" t="str">
            <v>Malu Montesino</v>
          </cell>
        </row>
        <row r="1643">
          <cell r="A1643" t="str">
            <v>42.913.658/0001-34</v>
          </cell>
          <cell r="B1643" t="str">
            <v>Malu Montesino</v>
          </cell>
        </row>
        <row r="1644">
          <cell r="A1644" t="str">
            <v>01.123.973/0001-80</v>
          </cell>
          <cell r="B1644" t="str">
            <v>Malu Montesino</v>
          </cell>
        </row>
        <row r="1645">
          <cell r="A1645" t="str">
            <v>29.736.089/0001-30</v>
          </cell>
          <cell r="B1645" t="str">
            <v>Malu Montesino</v>
          </cell>
        </row>
        <row r="1646">
          <cell r="A1646" t="str">
            <v>58.752.460/0001-56</v>
          </cell>
          <cell r="B1646" t="str">
            <v>Mariane Nascimento</v>
          </cell>
        </row>
        <row r="1647">
          <cell r="A1647" t="str">
            <v>08.675.394/0001-90</v>
          </cell>
          <cell r="B1647" t="str">
            <v>Mariane Nascimento</v>
          </cell>
        </row>
        <row r="1648">
          <cell r="A1648" t="str">
            <v>08.675.394/0001-90</v>
          </cell>
          <cell r="B1648" t="str">
            <v>Mariane Nascimento</v>
          </cell>
        </row>
        <row r="1649">
          <cell r="A1649" t="str">
            <v>08.675.394/0001-90</v>
          </cell>
          <cell r="B1649" t="str">
            <v>Mariane Nascimento</v>
          </cell>
        </row>
        <row r="1650">
          <cell r="A1650" t="str">
            <v>27.460.001/0001-75</v>
          </cell>
          <cell r="B1650" t="str">
            <v>Mariane Nascimento</v>
          </cell>
        </row>
        <row r="1651">
          <cell r="A1651" t="str">
            <v>23.706.789/0001-04</v>
          </cell>
          <cell r="B1651" t="str">
            <v>Malu Montesino</v>
          </cell>
        </row>
        <row r="1652">
          <cell r="A1652" t="str">
            <v>06.944.369/0001-39</v>
          </cell>
          <cell r="B1652" t="str">
            <v>Malu Montesino</v>
          </cell>
        </row>
        <row r="1653">
          <cell r="A1653" t="str">
            <v>05.271.198/0001-61</v>
          </cell>
          <cell r="B1653" t="str">
            <v>Malu Montesino</v>
          </cell>
        </row>
        <row r="1654">
          <cell r="A1654" t="str">
            <v>47.098.918/0001-89</v>
          </cell>
          <cell r="B1654" t="str">
            <v>Malu Montesino</v>
          </cell>
        </row>
        <row r="1655">
          <cell r="A1655" t="str">
            <v>02.033.695/0001-33</v>
          </cell>
          <cell r="B1655" t="str">
            <v>Malu Montesino</v>
          </cell>
        </row>
        <row r="1656">
          <cell r="A1656" t="str">
            <v>77.152.338/0001-93</v>
          </cell>
          <cell r="B1656" t="str">
            <v>Malu Montesino</v>
          </cell>
        </row>
        <row r="1657">
          <cell r="A1657" t="str">
            <v>44.144.293/0007-41</v>
          </cell>
          <cell r="B1657" t="str">
            <v>Malu Montesino</v>
          </cell>
        </row>
        <row r="1658">
          <cell r="A1658" t="str">
            <v>05.857.218/0001-80</v>
          </cell>
          <cell r="B1658" t="str">
            <v>Malu Montesino</v>
          </cell>
        </row>
        <row r="1659">
          <cell r="A1659" t="str">
            <v>11.171.922/0001-88</v>
          </cell>
          <cell r="B1659" t="str">
            <v>Malu Montesino</v>
          </cell>
        </row>
        <row r="1660">
          <cell r="A1660" t="str">
            <v>61.064.838/0001-33</v>
          </cell>
          <cell r="B1660" t="str">
            <v>Malu Montesino</v>
          </cell>
        </row>
        <row r="1661">
          <cell r="A1661" t="str">
            <v>52.273.785/0001-70</v>
          </cell>
          <cell r="B1661" t="str">
            <v>Malu Montesino</v>
          </cell>
        </row>
        <row r="1662">
          <cell r="A1662" t="str">
            <v>08.238.299/0001-29</v>
          </cell>
          <cell r="B1662" t="str">
            <v>Malu Montesino</v>
          </cell>
        </row>
        <row r="1663">
          <cell r="A1663" t="str">
            <v>29.950.060/0001-57</v>
          </cell>
          <cell r="B1663" t="str">
            <v>Malu Montesino</v>
          </cell>
        </row>
        <row r="1664">
          <cell r="A1664" t="str">
            <v>19.503.353/0001-32</v>
          </cell>
          <cell r="B1664" t="str">
            <v>Malu Montesino</v>
          </cell>
        </row>
        <row r="1665">
          <cell r="A1665" t="str">
            <v>04.780.793/0001-60</v>
          </cell>
          <cell r="B1665" t="str">
            <v>Malu Montesino</v>
          </cell>
        </row>
        <row r="1666">
          <cell r="A1666" t="str">
            <v>19.485.728/0001-89</v>
          </cell>
          <cell r="B1666" t="str">
            <v>Malu Montesino</v>
          </cell>
        </row>
        <row r="1667">
          <cell r="A1667" t="str">
            <v>05.495.281/0001-14</v>
          </cell>
          <cell r="B1667" t="str">
            <v>Mariane Nascimento</v>
          </cell>
        </row>
        <row r="1668">
          <cell r="A1668" t="str">
            <v>05.495.281/0001-14</v>
          </cell>
          <cell r="B1668" t="str">
            <v>Mariane Nascimento</v>
          </cell>
        </row>
        <row r="1669">
          <cell r="A1669" t="str">
            <v>23.613.190/0001-18</v>
          </cell>
          <cell r="B1669" t="str">
            <v>Malu Montesino</v>
          </cell>
        </row>
        <row r="1670">
          <cell r="A1670" t="str">
            <v>06.282.480/0001-07</v>
          </cell>
          <cell r="B1670" t="str">
            <v>Malu Montesino</v>
          </cell>
        </row>
        <row r="1671">
          <cell r="A1671" t="str">
            <v>21.725.948/0001-84</v>
          </cell>
          <cell r="B1671" t="str">
            <v>Malu Montesino</v>
          </cell>
        </row>
        <row r="1672">
          <cell r="A1672" t="str">
            <v>07.935.049/0001-85</v>
          </cell>
          <cell r="B1672" t="str">
            <v>Malu Montesino</v>
          </cell>
        </row>
        <row r="1673">
          <cell r="A1673" t="str">
            <v>13.279.550/0001-33</v>
          </cell>
          <cell r="B1673" t="str">
            <v>Malu Montesino</v>
          </cell>
        </row>
        <row r="1674">
          <cell r="A1674" t="str">
            <v>44.880.091/0001-72</v>
          </cell>
          <cell r="B1674" t="str">
            <v>Malu Montesino</v>
          </cell>
        </row>
        <row r="1675">
          <cell r="A1675" t="str">
            <v>06.207.441/0001-45</v>
          </cell>
          <cell r="B1675" t="str">
            <v>Malu Montesino</v>
          </cell>
        </row>
        <row r="1676">
          <cell r="A1676" t="str">
            <v>09.811.654/0001-70</v>
          </cell>
          <cell r="B1676" t="str">
            <v>Malu Montesino</v>
          </cell>
        </row>
        <row r="1677">
          <cell r="A1677" t="str">
            <v>15.431.830/0002-21</v>
          </cell>
          <cell r="B1677" t="str">
            <v>Malu Montesino</v>
          </cell>
        </row>
        <row r="1678">
          <cell r="A1678" t="str">
            <v>60.618.642/0001-80</v>
          </cell>
          <cell r="B1678" t="str">
            <v>Malu Montesino</v>
          </cell>
        </row>
        <row r="1679">
          <cell r="A1679" t="str">
            <v>81.243.735/0001-48</v>
          </cell>
          <cell r="B1679" t="str">
            <v>Malu Montesino</v>
          </cell>
        </row>
        <row r="1680">
          <cell r="A1680" t="str">
            <v>10.861.317/0001-76</v>
          </cell>
          <cell r="B1680" t="str">
            <v>Mariane Nascimento</v>
          </cell>
        </row>
        <row r="1681">
          <cell r="A1681" t="str">
            <v>10.861.317/0001-76</v>
          </cell>
          <cell r="B1681" t="str">
            <v>Mariane Nascimento</v>
          </cell>
        </row>
        <row r="1682">
          <cell r="A1682" t="str">
            <v>24.893.687/0011-71</v>
          </cell>
          <cell r="B1682" t="str">
            <v>Malu Montesino</v>
          </cell>
        </row>
        <row r="1683">
          <cell r="A1683" t="str">
            <v>05.706.897/0001-97</v>
          </cell>
          <cell r="B1683" t="str">
            <v>Malu Montesino</v>
          </cell>
        </row>
        <row r="1684">
          <cell r="A1684" t="str">
            <v>59.408.005/0001-09</v>
          </cell>
          <cell r="B1684" t="str">
            <v>Malu Montesino</v>
          </cell>
        </row>
        <row r="1685">
          <cell r="A1685" t="str">
            <v>95.433.397/0001-11</v>
          </cell>
          <cell r="B1685" t="str">
            <v>Malu Montesino</v>
          </cell>
        </row>
        <row r="1686">
          <cell r="A1686" t="str">
            <v>19.653.054/0001-84</v>
          </cell>
          <cell r="B1686" t="str">
            <v>Malu Montesino</v>
          </cell>
        </row>
        <row r="1687">
          <cell r="A1687" t="str">
            <v>60.680.873/0001-14</v>
          </cell>
          <cell r="B1687" t="str">
            <v>Malu Montesino</v>
          </cell>
        </row>
        <row r="1688">
          <cell r="A1688" t="str">
            <v>60.680.873/0001-14</v>
          </cell>
          <cell r="B1688" t="str">
            <v>Malu Montesino</v>
          </cell>
        </row>
        <row r="1689">
          <cell r="A1689" t="str">
            <v>05.495.281/0001-14</v>
          </cell>
          <cell r="B1689" t="str">
            <v>Mariane Nascimento</v>
          </cell>
        </row>
        <row r="1690">
          <cell r="A1690" t="str">
            <v>05.495.281/0001-14</v>
          </cell>
          <cell r="B1690" t="str">
            <v>Mariane Nascimento</v>
          </cell>
        </row>
        <row r="1691">
          <cell r="A1691" t="str">
            <v>05.495.281/0001-14</v>
          </cell>
          <cell r="B1691" t="str">
            <v>Mariane Nascimento</v>
          </cell>
        </row>
        <row r="1692">
          <cell r="A1692" t="str">
            <v>05.495.281/0001-14</v>
          </cell>
          <cell r="B1692" t="str">
            <v>Mariane Nascimento</v>
          </cell>
        </row>
        <row r="1693">
          <cell r="A1693" t="str">
            <v>05.495.281/0001-14</v>
          </cell>
          <cell r="B1693" t="str">
            <v>Mariane Nascimento</v>
          </cell>
        </row>
        <row r="1694">
          <cell r="A1694" t="str">
            <v>05.495.281/0001-14</v>
          </cell>
          <cell r="B1694" t="str">
            <v>Mariane Nascimento</v>
          </cell>
        </row>
        <row r="1695">
          <cell r="A1695" t="str">
            <v>05.495.281/0001-14</v>
          </cell>
          <cell r="B1695" t="str">
            <v>Mariane Nascimento</v>
          </cell>
        </row>
        <row r="1696">
          <cell r="A1696" t="str">
            <v>61.064.911/0001-77</v>
          </cell>
          <cell r="B1696" t="str">
            <v>Malu Montesino</v>
          </cell>
        </row>
        <row r="1697">
          <cell r="A1697" t="str">
            <v>24.601.189/0001-36</v>
          </cell>
          <cell r="B1697" t="str">
            <v>Malu Montesino</v>
          </cell>
        </row>
        <row r="1698">
          <cell r="A1698" t="str">
            <v>04.608.635/0001-27</v>
          </cell>
          <cell r="B1698" t="str">
            <v>Malu Montesino</v>
          </cell>
        </row>
        <row r="1699">
          <cell r="A1699" t="str">
            <v>18.933.677/0004-90</v>
          </cell>
          <cell r="B1699" t="str">
            <v>Malu Montesino</v>
          </cell>
        </row>
        <row r="1700">
          <cell r="A1700" t="str">
            <v>68.322.411/0001-37</v>
          </cell>
          <cell r="B1700" t="str">
            <v>Malu Montesino</v>
          </cell>
        </row>
        <row r="1701">
          <cell r="A1701" t="str">
            <v>68.322.411/0001-37</v>
          </cell>
          <cell r="B1701" t="str">
            <v>Malu Montesino</v>
          </cell>
        </row>
        <row r="1702">
          <cell r="A1702" t="str">
            <v>31.372.346/0001-44</v>
          </cell>
          <cell r="B1702" t="str">
            <v>Malu Montesino</v>
          </cell>
        </row>
        <row r="1703">
          <cell r="A1703" t="str">
            <v>11.405.384/0001-49</v>
          </cell>
          <cell r="B1703" t="str">
            <v>Malu Montesino</v>
          </cell>
        </row>
        <row r="1704">
          <cell r="A1704" t="str">
            <v>11.405.384/0001-49</v>
          </cell>
          <cell r="B1704" t="str">
            <v>Malu Montesino</v>
          </cell>
        </row>
        <row r="1705">
          <cell r="A1705" t="str">
            <v>02.248.312/0001-44</v>
          </cell>
          <cell r="B1705" t="str">
            <v>Malu Montesino</v>
          </cell>
        </row>
        <row r="1706">
          <cell r="A1706" t="str">
            <v>71.256.283/0001-85</v>
          </cell>
          <cell r="B1706" t="str">
            <v>Malu Montesino</v>
          </cell>
        </row>
        <row r="1707">
          <cell r="A1707" t="str">
            <v>78.386.505/0001-23</v>
          </cell>
          <cell r="B1707" t="str">
            <v>Malu Montesino</v>
          </cell>
        </row>
        <row r="1708">
          <cell r="A1708" t="str">
            <v>26.852.877/0001-02</v>
          </cell>
          <cell r="B1708" t="str">
            <v>Malu Montesino</v>
          </cell>
        </row>
        <row r="1709">
          <cell r="A1709" t="str">
            <v>55.983.274/0001-30</v>
          </cell>
          <cell r="B1709" t="str">
            <v>Malu Montesino</v>
          </cell>
        </row>
        <row r="1710">
          <cell r="A1710" t="str">
            <v>78.323.094/0001-27</v>
          </cell>
          <cell r="B1710" t="str">
            <v>Malu Montesino</v>
          </cell>
        </row>
        <row r="1711">
          <cell r="A1711" t="str">
            <v>78.323.094/0001-27</v>
          </cell>
          <cell r="B1711" t="str">
            <v>Malu Montesino</v>
          </cell>
        </row>
        <row r="1712">
          <cell r="A1712" t="str">
            <v>01.848.003/0001-42</v>
          </cell>
          <cell r="B1712" t="str">
            <v>Malu Montesino</v>
          </cell>
        </row>
        <row r="1713">
          <cell r="A1713" t="str">
            <v>07.642.862/0001-67</v>
          </cell>
          <cell r="B1713" t="str">
            <v>Malu Montesino</v>
          </cell>
        </row>
        <row r="1714">
          <cell r="A1714" t="str">
            <v>45.985.371/0001-08</v>
          </cell>
          <cell r="B1714" t="str">
            <v>Malu Montesino</v>
          </cell>
        </row>
        <row r="1715">
          <cell r="A1715" t="str">
            <v>45.985.371/0001-08</v>
          </cell>
          <cell r="B1715" t="str">
            <v>Malu Montesino</v>
          </cell>
        </row>
        <row r="1716">
          <cell r="A1716" t="str">
            <v>11.405.384/0001-49</v>
          </cell>
          <cell r="B1716" t="str">
            <v>Malu Montesino</v>
          </cell>
        </row>
        <row r="1717">
          <cell r="A1717" t="str">
            <v>55.983.274/0001-30</v>
          </cell>
          <cell r="B1717" t="str">
            <v>Malu Montesino</v>
          </cell>
        </row>
        <row r="1718">
          <cell r="A1718" t="str">
            <v>59.408.005/0001-09</v>
          </cell>
          <cell r="B1718" t="str">
            <v>Malu Montesino</v>
          </cell>
        </row>
        <row r="1719">
          <cell r="A1719" t="str">
            <v>23.613.190/0001-18</v>
          </cell>
          <cell r="B1719" t="str">
            <v>Malu Montesino</v>
          </cell>
        </row>
        <row r="1720">
          <cell r="A1720" t="str">
            <v>54.565.478/0001-98</v>
          </cell>
          <cell r="B1720" t="str">
            <v>Malu Montesino</v>
          </cell>
        </row>
        <row r="1721">
          <cell r="A1721" t="str">
            <v>19.653.054/0001-84</v>
          </cell>
          <cell r="B1721" t="str">
            <v>Malu Montesino</v>
          </cell>
        </row>
        <row r="1722">
          <cell r="A1722" t="str">
            <v>26.852.877/0001-02</v>
          </cell>
          <cell r="B1722" t="str">
            <v>Malu Montesino</v>
          </cell>
        </row>
        <row r="1723">
          <cell r="A1723" t="str">
            <v>68.322.411/0001-37</v>
          </cell>
          <cell r="B1723" t="str">
            <v>Malu Montesino</v>
          </cell>
        </row>
        <row r="1724">
          <cell r="A1724" t="str">
            <v>27.061.442/0001-02</v>
          </cell>
          <cell r="B1724" t="str">
            <v>Malu Montesino</v>
          </cell>
        </row>
        <row r="1725">
          <cell r="A1725" t="str">
            <v>54.030.629/0001-03</v>
          </cell>
          <cell r="B1725" t="str">
            <v>Malu Montesino</v>
          </cell>
        </row>
        <row r="1726">
          <cell r="A1726" t="str">
            <v>03.770.521/0001-16</v>
          </cell>
          <cell r="B1726" t="str">
            <v>Malu Montesino</v>
          </cell>
        </row>
        <row r="1727">
          <cell r="A1727" t="str">
            <v>62.334.156/0001-66</v>
          </cell>
          <cell r="B1727" t="str">
            <v>Malu Montesino</v>
          </cell>
        </row>
        <row r="1728">
          <cell r="A1728" t="str">
            <v>05.431.967/0001-41</v>
          </cell>
          <cell r="B1728" t="str">
            <v>Malu Montesino</v>
          </cell>
        </row>
        <row r="1729">
          <cell r="A1729" t="str">
            <v>10.472.968/0001-74</v>
          </cell>
          <cell r="B1729" t="str">
            <v>Malu Montesino</v>
          </cell>
        </row>
        <row r="1730">
          <cell r="A1730" t="str">
            <v>40.084.157/0001-67</v>
          </cell>
          <cell r="B1730" t="str">
            <v>Malu Montesino</v>
          </cell>
        </row>
        <row r="1731">
          <cell r="A1731" t="str">
            <v>29.736.089/0001-30</v>
          </cell>
          <cell r="B1731" t="str">
            <v>Malu Montesino</v>
          </cell>
        </row>
        <row r="1732">
          <cell r="A1732" t="str">
            <v>29.736.089/0001-30</v>
          </cell>
          <cell r="B1732" t="str">
            <v>Malu Montesino</v>
          </cell>
        </row>
        <row r="1733">
          <cell r="A1733" t="str">
            <v>73.297.509/0001-11</v>
          </cell>
          <cell r="B1733" t="str">
            <v>Malu Montesino</v>
          </cell>
        </row>
        <row r="1734">
          <cell r="A1734" t="str">
            <v>61.074.506/0001-30</v>
          </cell>
          <cell r="B1734" t="str">
            <v>Malu Montesino</v>
          </cell>
        </row>
        <row r="1735">
          <cell r="A1735" t="str">
            <v>61.074.506/0001-30</v>
          </cell>
          <cell r="B1735" t="str">
            <v>Malu Montesino</v>
          </cell>
        </row>
        <row r="1736">
          <cell r="A1736" t="str">
            <v>58.752.460/0001-56</v>
          </cell>
          <cell r="B1736" t="str">
            <v>Mariane Nascimento</v>
          </cell>
        </row>
        <row r="1737">
          <cell r="A1737" t="str">
            <v>95.433.397/0001-11</v>
          </cell>
          <cell r="B1737" t="str">
            <v>Malu Montesino</v>
          </cell>
        </row>
        <row r="1738">
          <cell r="A1738" t="str">
            <v>07.626.776/0001-60</v>
          </cell>
          <cell r="B1738" t="str">
            <v>Malu Montesino</v>
          </cell>
        </row>
        <row r="1739">
          <cell r="A1739" t="str">
            <v>90.909.631/0001-10</v>
          </cell>
          <cell r="B1739" t="str">
            <v>Malu Montesino</v>
          </cell>
        </row>
        <row r="1740">
          <cell r="A1740" t="str">
            <v>90.909.631/0001-10</v>
          </cell>
          <cell r="B1740" t="str">
            <v>Malu Montesino</v>
          </cell>
        </row>
        <row r="1741">
          <cell r="A1741" t="str">
            <v>12.246.862/0001-88</v>
          </cell>
          <cell r="B1741" t="str">
            <v>Mariane Nascimento</v>
          </cell>
        </row>
        <row r="1742">
          <cell r="A1742" t="str">
            <v>81.067.860/0001-44</v>
          </cell>
          <cell r="B1742" t="str">
            <v>Malu Montesino</v>
          </cell>
        </row>
        <row r="1743">
          <cell r="A1743" t="str">
            <v>07.598.814/0001-19</v>
          </cell>
          <cell r="B1743" t="str">
            <v>Malu Montesino</v>
          </cell>
        </row>
        <row r="1744">
          <cell r="A1744" t="str">
            <v>05.495.281/0001-14</v>
          </cell>
          <cell r="B1744" t="str">
            <v>Mariane Nascimento</v>
          </cell>
        </row>
        <row r="1745">
          <cell r="A1745" t="str">
            <v>05.495.281/0001-14</v>
          </cell>
          <cell r="B1745" t="str">
            <v>Mariane Nascimento</v>
          </cell>
        </row>
        <row r="1746">
          <cell r="A1746" t="str">
            <v>05.495.281/0001-14</v>
          </cell>
          <cell r="B1746" t="str">
            <v>Mariane Nascimento</v>
          </cell>
        </row>
        <row r="1747">
          <cell r="A1747" t="str">
            <v>33.253.071/0001-55</v>
          </cell>
          <cell r="B1747" t="str">
            <v>Malu Montesino</v>
          </cell>
        </row>
        <row r="1748">
          <cell r="A1748" t="str">
            <v>00.028.986/0001-08</v>
          </cell>
          <cell r="B1748" t="str">
            <v>Malu Montesino</v>
          </cell>
        </row>
        <row r="1749">
          <cell r="A1749" t="str">
            <v>27.460.001/0001-75</v>
          </cell>
          <cell r="B1749" t="str">
            <v>Mariane Nascimento</v>
          </cell>
        </row>
        <row r="1750">
          <cell r="A1750" t="str">
            <v>27.460.001/0001-75</v>
          </cell>
          <cell r="B1750" t="str">
            <v>Mariane Nascimento</v>
          </cell>
        </row>
        <row r="1751">
          <cell r="A1751" t="str">
            <v>17.891.872/0001-90</v>
          </cell>
          <cell r="B1751" t="str">
            <v>Malu Montesino</v>
          </cell>
        </row>
        <row r="1752">
          <cell r="A1752" t="str">
            <v>23.613.190/0001-18</v>
          </cell>
          <cell r="B1752" t="str">
            <v>Malu Montesino</v>
          </cell>
        </row>
        <row r="1753">
          <cell r="A1753" t="str">
            <v>23.613.190/0001-18</v>
          </cell>
          <cell r="B1753" t="str">
            <v>Malu Montesino</v>
          </cell>
        </row>
        <row r="1754">
          <cell r="A1754" t="str">
            <v>23.613.190/0001-18</v>
          </cell>
          <cell r="B1754" t="str">
            <v>Malu Montesino</v>
          </cell>
        </row>
        <row r="1755">
          <cell r="A1755" t="str">
            <v>02.659.246/0003-67</v>
          </cell>
          <cell r="B1755" t="str">
            <v>Malu Montesino</v>
          </cell>
        </row>
        <row r="1756">
          <cell r="A1756" t="str">
            <v>60.492.131/0001-65</v>
          </cell>
          <cell r="B1756" t="str">
            <v>Malu Montesino</v>
          </cell>
        </row>
        <row r="1757">
          <cell r="A1757" t="str">
            <v>71.256.283/0001-85</v>
          </cell>
          <cell r="B1757" t="str">
            <v>Malu Montesino</v>
          </cell>
        </row>
        <row r="1758">
          <cell r="A1758" t="str">
            <v>27.401.513/0001-60</v>
          </cell>
          <cell r="B1758" t="str">
            <v>Malu Montesino</v>
          </cell>
        </row>
        <row r="1759">
          <cell r="A1759" t="str">
            <v>56.704.015/0001-95</v>
          </cell>
          <cell r="B1759" t="str">
            <v>Malu Montesino</v>
          </cell>
        </row>
        <row r="1760">
          <cell r="A1760" t="str">
            <v>56.704.015/0001-95</v>
          </cell>
          <cell r="B1760" t="str">
            <v>Malu Montesino</v>
          </cell>
        </row>
        <row r="1761">
          <cell r="A1761" t="str">
            <v>56.704.015/0001-95</v>
          </cell>
          <cell r="B1761" t="str">
            <v>Malu Montesino</v>
          </cell>
        </row>
        <row r="1762">
          <cell r="A1762" t="str">
            <v>07.642.862/0001-67</v>
          </cell>
          <cell r="B1762" t="str">
            <v>Malu Montesino</v>
          </cell>
        </row>
        <row r="1763">
          <cell r="A1763" t="str">
            <v>06.207.441/0001-45</v>
          </cell>
          <cell r="B1763" t="str">
            <v>Malu Montesino</v>
          </cell>
        </row>
        <row r="1764">
          <cell r="A1764" t="str">
            <v>07.642.862/0001-67</v>
          </cell>
          <cell r="B1764" t="str">
            <v>Malu Montesino</v>
          </cell>
        </row>
        <row r="1765">
          <cell r="A1765" t="str">
            <v>81.067.860/0001-44</v>
          </cell>
          <cell r="B1765" t="str">
            <v>Malu Montesino</v>
          </cell>
        </row>
        <row r="1766">
          <cell r="A1766" t="str">
            <v>09.811.654/0001-70</v>
          </cell>
          <cell r="B1766" t="str">
            <v>Malu Montesino</v>
          </cell>
        </row>
        <row r="1767">
          <cell r="A1767" t="str">
            <v>09.811.654/0001-70</v>
          </cell>
          <cell r="B1767" t="str">
            <v>Malu Montesino</v>
          </cell>
        </row>
        <row r="1768">
          <cell r="A1768" t="str">
            <v>81.243.735/0001-48</v>
          </cell>
          <cell r="B1768" t="str">
            <v>Malu Montesino</v>
          </cell>
        </row>
        <row r="1769">
          <cell r="A1769" t="str">
            <v>03.770.521/0001-16</v>
          </cell>
          <cell r="B1769" t="str">
            <v>Malu Montesino</v>
          </cell>
        </row>
        <row r="1770">
          <cell r="A1770" t="str">
            <v>62.334.156/0001-66</v>
          </cell>
          <cell r="B1770" t="str">
            <v>Malu Montesino</v>
          </cell>
        </row>
        <row r="1771">
          <cell r="A1771" t="str">
            <v>90.909.631/0001-10</v>
          </cell>
          <cell r="B1771" t="str">
            <v>Malu Montesino</v>
          </cell>
        </row>
        <row r="1772">
          <cell r="A1772" t="str">
            <v>12.246.862/0001-88</v>
          </cell>
          <cell r="B1772" t="str">
            <v>Mariane Nascimento</v>
          </cell>
        </row>
        <row r="1773">
          <cell r="A1773" t="str">
            <v>12.246.862/0001-88</v>
          </cell>
          <cell r="B1773" t="str">
            <v>Mariane Nascimento</v>
          </cell>
        </row>
        <row r="1774">
          <cell r="A1774" t="str">
            <v>05.495.281/0001-14</v>
          </cell>
          <cell r="B1774" t="str">
            <v>Mariane Nascimento</v>
          </cell>
        </row>
        <row r="1775">
          <cell r="A1775" t="str">
            <v>00.028.986/0001-08</v>
          </cell>
          <cell r="B1775" t="str">
            <v>Malu Montesino</v>
          </cell>
        </row>
        <row r="1776">
          <cell r="A1776" t="str">
            <v>18.933.677/0004-90</v>
          </cell>
          <cell r="B1776" t="str">
            <v>Malu Montesino</v>
          </cell>
        </row>
        <row r="1777">
          <cell r="A1777" t="str">
            <v>45.510.160/0001-19</v>
          </cell>
          <cell r="B1777" t="str">
            <v>Malu Montesino</v>
          </cell>
        </row>
        <row r="1778">
          <cell r="A1778" t="str">
            <v>23.613.190/0001-18</v>
          </cell>
          <cell r="B1778" t="str">
            <v>Malu Montesino</v>
          </cell>
        </row>
        <row r="1779">
          <cell r="A1779" t="str">
            <v>54.565.478/0001-98</v>
          </cell>
          <cell r="B1779" t="str">
            <v>Malu Montesino</v>
          </cell>
        </row>
        <row r="1780">
          <cell r="A1780" t="str">
            <v>33.131.079/0001-49</v>
          </cell>
          <cell r="B1780" t="str">
            <v>Malu Montesino</v>
          </cell>
        </row>
        <row r="1781">
          <cell r="A1781" t="str">
            <v>56.704.015/0001-95</v>
          </cell>
          <cell r="B1781" t="str">
            <v>Malu Montesino</v>
          </cell>
        </row>
        <row r="1782">
          <cell r="A1782" t="str">
            <v>06.282.480/0001-07</v>
          </cell>
          <cell r="B1782" t="str">
            <v>Malu Montesino</v>
          </cell>
        </row>
        <row r="1783">
          <cell r="A1783" t="str">
            <v>02.699.847/0001-31</v>
          </cell>
          <cell r="B1783" t="str">
            <v>Malu Montesino</v>
          </cell>
        </row>
        <row r="1784">
          <cell r="A1784" t="str">
            <v>02.699.847/0001-31</v>
          </cell>
          <cell r="B1784" t="str">
            <v>Malu Montesino</v>
          </cell>
        </row>
        <row r="1785">
          <cell r="A1785" t="str">
            <v>02.699.847/0001-31</v>
          </cell>
          <cell r="B1785" t="str">
            <v>Malu Montesino</v>
          </cell>
        </row>
        <row r="1786">
          <cell r="A1786" t="str">
            <v>23.613.190/0001-18</v>
          </cell>
          <cell r="B1786" t="str">
            <v>Malu Montesino</v>
          </cell>
        </row>
        <row r="1787">
          <cell r="A1787" t="str">
            <v>06.944.369/0001-39</v>
          </cell>
          <cell r="B1787" t="str">
            <v>Malu Montesino</v>
          </cell>
        </row>
        <row r="1788">
          <cell r="A1788" t="str">
            <v>33.069.212/0001-84</v>
          </cell>
          <cell r="B1788" t="str">
            <v>Malu Montesino</v>
          </cell>
        </row>
        <row r="1789">
          <cell r="A1789" t="str">
            <v>47.098.918/0001-89</v>
          </cell>
          <cell r="B1789" t="str">
            <v>Malu Montesino</v>
          </cell>
        </row>
        <row r="1790">
          <cell r="A1790" t="str">
            <v>77.152.338/0001-93</v>
          </cell>
          <cell r="B1790" t="str">
            <v>Malu Montesino</v>
          </cell>
        </row>
        <row r="1791">
          <cell r="A1791" t="str">
            <v>44.144.293/0007-41</v>
          </cell>
          <cell r="B1791" t="str">
            <v>Malu Montesino</v>
          </cell>
        </row>
        <row r="1792">
          <cell r="A1792" t="str">
            <v>44.144.293/0007-41</v>
          </cell>
          <cell r="B1792" t="str">
            <v>Malu Montesino</v>
          </cell>
        </row>
        <row r="1793">
          <cell r="A1793" t="str">
            <v>02.916.265/0141-10</v>
          </cell>
          <cell r="B1793" t="str">
            <v>Malu Montesino</v>
          </cell>
        </row>
        <row r="1794">
          <cell r="A1794" t="str">
            <v>02.916.265/0141-10</v>
          </cell>
          <cell r="B1794" t="str">
            <v>Malu Montesino</v>
          </cell>
        </row>
        <row r="1795">
          <cell r="A1795" t="str">
            <v>47.067.525/0054-10</v>
          </cell>
          <cell r="B1795" t="str">
            <v>Malu Montesino</v>
          </cell>
        </row>
        <row r="1796">
          <cell r="A1796" t="str">
            <v>10.399.398/0001-34</v>
          </cell>
          <cell r="B1796" t="str">
            <v>Malu Montesino</v>
          </cell>
        </row>
        <row r="1797">
          <cell r="A1797" t="str">
            <v>12.821.486/0001-08</v>
          </cell>
          <cell r="B1797" t="str">
            <v>Malu Montesino</v>
          </cell>
        </row>
        <row r="1798">
          <cell r="A1798" t="str">
            <v>06.282.480/0001-07</v>
          </cell>
          <cell r="B1798" t="str">
            <v>Malu Montesino</v>
          </cell>
        </row>
        <row r="1799">
          <cell r="A1799" t="str">
            <v>33.069.212/0001-84</v>
          </cell>
          <cell r="B1799" t="str">
            <v>Malu Montesino</v>
          </cell>
        </row>
        <row r="1800">
          <cell r="A1800" t="str">
            <v>33.069.212/0001-84</v>
          </cell>
          <cell r="B1800" t="str">
            <v>Malu Montesino</v>
          </cell>
        </row>
        <row r="1801">
          <cell r="A1801" t="str">
            <v>33.069.212/0001-84</v>
          </cell>
          <cell r="B1801" t="str">
            <v>Malu Montesino</v>
          </cell>
        </row>
        <row r="1802">
          <cell r="A1802" t="str">
            <v>77.152.338/0001-93</v>
          </cell>
          <cell r="B1802" t="str">
            <v>Malu Montesino</v>
          </cell>
        </row>
        <row r="1803">
          <cell r="A1803" t="str">
            <v>44.144.293/0007-41</v>
          </cell>
          <cell r="B1803" t="str">
            <v>Malu Montesino</v>
          </cell>
        </row>
        <row r="1804">
          <cell r="A1804" t="str">
            <v>00.028.986/0001-08</v>
          </cell>
          <cell r="B1804" t="str">
            <v>Malu Montesino</v>
          </cell>
        </row>
        <row r="1805">
          <cell r="A1805" t="str">
            <v>06.944.369/0001-39</v>
          </cell>
          <cell r="B1805" t="str">
            <v>Malu Montesino</v>
          </cell>
        </row>
        <row r="1806">
          <cell r="A1806" t="str">
            <v>59.275.792/0001-50</v>
          </cell>
          <cell r="B1806" t="str">
            <v>Malu Montesino</v>
          </cell>
        </row>
        <row r="1807">
          <cell r="A1807" t="str">
            <v>59.275.792/0001-50</v>
          </cell>
          <cell r="B1807" t="str">
            <v>Malu Montesino</v>
          </cell>
        </row>
        <row r="1808">
          <cell r="A1808" t="str">
            <v>95.433.397/0001-11</v>
          </cell>
          <cell r="B1808" t="str">
            <v>Malu Montesino</v>
          </cell>
        </row>
        <row r="1809">
          <cell r="A1809" t="str">
            <v>05.495.281/0001-14</v>
          </cell>
          <cell r="B1809" t="str">
            <v>Mariane Nascimento</v>
          </cell>
        </row>
        <row r="1810">
          <cell r="A1810" t="str">
            <v>05.495.281/0001-14</v>
          </cell>
          <cell r="B1810" t="str">
            <v>Mariane Nascimento</v>
          </cell>
        </row>
        <row r="1811">
          <cell r="A1811" t="str">
            <v>85.070.068/0041-97</v>
          </cell>
          <cell r="B1811" t="str">
            <v>Malu Montesino</v>
          </cell>
        </row>
        <row r="1812">
          <cell r="A1812" t="str">
            <v>23.613.190/0001-18</v>
          </cell>
          <cell r="B1812" t="str">
            <v>Malu Montesino</v>
          </cell>
        </row>
        <row r="1813">
          <cell r="A1813" t="str">
            <v>23.613.190/0001-18</v>
          </cell>
          <cell r="B1813" t="str">
            <v>Malu Montesino</v>
          </cell>
        </row>
        <row r="1814">
          <cell r="A1814" t="str">
            <v>19.121.053/0001-99</v>
          </cell>
          <cell r="B1814" t="str">
            <v>Mariane Nascimento</v>
          </cell>
        </row>
        <row r="1815">
          <cell r="A1815" t="str">
            <v>19.121.053/0001-99</v>
          </cell>
          <cell r="B1815" t="str">
            <v>Mariane Nascimento</v>
          </cell>
        </row>
        <row r="1816">
          <cell r="A1816" t="str">
            <v>61.817.664/0001-32</v>
          </cell>
          <cell r="B1816" t="str">
            <v>Mariane Nascimento</v>
          </cell>
        </row>
        <row r="1817">
          <cell r="A1817" t="str">
            <v>61.817.664/0001-32</v>
          </cell>
          <cell r="B1817" t="str">
            <v>Mariane Nascimento</v>
          </cell>
        </row>
        <row r="1818">
          <cell r="A1818" t="str">
            <v>29.736.089/0001-30</v>
          </cell>
          <cell r="B1818" t="str">
            <v>Malu Montesino</v>
          </cell>
        </row>
        <row r="1819">
          <cell r="A1819" t="str">
            <v>27.547.607/0001-42</v>
          </cell>
          <cell r="B1819" t="str">
            <v>Malu Montesino</v>
          </cell>
        </row>
        <row r="1820">
          <cell r="A1820" t="str">
            <v>10.444.624/0001-51</v>
          </cell>
          <cell r="B1820" t="str">
            <v>Malu Montesino</v>
          </cell>
        </row>
        <row r="1821">
          <cell r="A1821" t="str">
            <v>02.777.131/0001-05</v>
          </cell>
          <cell r="B1821" t="str">
            <v>Malu Montesino</v>
          </cell>
        </row>
        <row r="1822">
          <cell r="A1822" t="str">
            <v>60.872.306/0001-60</v>
          </cell>
          <cell r="B1822" t="str">
            <v>Malu Montesino</v>
          </cell>
        </row>
        <row r="1823">
          <cell r="A1823" t="str">
            <v>05.495.281/0001-14</v>
          </cell>
          <cell r="B1823" t="str">
            <v>Mariane Nascimento</v>
          </cell>
        </row>
        <row r="1824">
          <cell r="A1824" t="str">
            <v>05.495.281/0001-14</v>
          </cell>
          <cell r="B1824" t="str">
            <v>Mariane Nascimento</v>
          </cell>
        </row>
        <row r="1825">
          <cell r="A1825" t="str">
            <v>05.495.281/0001-14</v>
          </cell>
          <cell r="B1825" t="str">
            <v>Mariane Nascimento</v>
          </cell>
        </row>
        <row r="1826">
          <cell r="A1826" t="str">
            <v>92.664.028/0001-41</v>
          </cell>
          <cell r="B1826" t="str">
            <v>Malu Montesino</v>
          </cell>
        </row>
        <row r="1827">
          <cell r="A1827" t="str">
            <v>31.372.346/0001-44</v>
          </cell>
          <cell r="B1827" t="str">
            <v>Malu Montesino</v>
          </cell>
        </row>
        <row r="1828">
          <cell r="A1828" t="str">
            <v>02.814.497/0001-07</v>
          </cell>
          <cell r="B1828" t="str">
            <v>Malu Montesino</v>
          </cell>
        </row>
        <row r="1829">
          <cell r="A1829" t="str">
            <v>15.284.176/0001-90</v>
          </cell>
          <cell r="B1829" t="str">
            <v>Malu Montesino</v>
          </cell>
        </row>
        <row r="1830">
          <cell r="A1830" t="str">
            <v>83.802.215/0001-53</v>
          </cell>
          <cell r="B1830" t="str">
            <v>Malu Montesino</v>
          </cell>
        </row>
        <row r="1831">
          <cell r="A1831" t="str">
            <v>83.802.215/0001-53</v>
          </cell>
          <cell r="B1831" t="str">
            <v>Malu Montesino</v>
          </cell>
        </row>
        <row r="1832">
          <cell r="A1832" t="str">
            <v>83.802.215/0001-53</v>
          </cell>
          <cell r="B1832" t="str">
            <v>Malu Montesino</v>
          </cell>
        </row>
        <row r="1833">
          <cell r="A1833" t="str">
            <v>42.913.658/0001-34</v>
          </cell>
          <cell r="B1833" t="str">
            <v>Malu Montesino</v>
          </cell>
        </row>
        <row r="1834">
          <cell r="A1834" t="str">
            <v>23.706.789/0001-04</v>
          </cell>
          <cell r="B1834" t="str">
            <v>Malu Montesino</v>
          </cell>
        </row>
        <row r="1835">
          <cell r="A1835" t="str">
            <v>09.811.654/0001-70</v>
          </cell>
          <cell r="B1835" t="str">
            <v>Malu Montesino</v>
          </cell>
        </row>
        <row r="1836">
          <cell r="A1836" t="str">
            <v>61.064.838/0001-33</v>
          </cell>
          <cell r="B1836" t="str">
            <v>Malu Montesino</v>
          </cell>
        </row>
        <row r="1837">
          <cell r="A1837" t="str">
            <v>03.290.250/0001-00</v>
          </cell>
          <cell r="B1837" t="str">
            <v>Mariane Nascimento</v>
          </cell>
        </row>
        <row r="1838">
          <cell r="A1838" t="str">
            <v>03.290.250/0001-00</v>
          </cell>
          <cell r="B1838" t="str">
            <v>Mariane Nascimento</v>
          </cell>
        </row>
        <row r="1839">
          <cell r="A1839" t="str">
            <v>61.185.922/0001-05</v>
          </cell>
          <cell r="B1839" t="str">
            <v>Malu Montesino</v>
          </cell>
        </row>
        <row r="1840">
          <cell r="A1840" t="str">
            <v>15.284.176/0001-90</v>
          </cell>
          <cell r="B1840" t="str">
            <v>Malu Montesino</v>
          </cell>
        </row>
        <row r="1841">
          <cell r="A1841" t="str">
            <v>19.653.054/0001-84</v>
          </cell>
          <cell r="B1841" t="str">
            <v>Malu Montesino</v>
          </cell>
        </row>
        <row r="1842">
          <cell r="A1842" t="str">
            <v>05.857.218/0001-80</v>
          </cell>
          <cell r="B1842" t="str">
            <v>Malu Montesino</v>
          </cell>
        </row>
        <row r="1843">
          <cell r="A1843" t="str">
            <v>49.351.786/0001-80</v>
          </cell>
          <cell r="B1843" t="str">
            <v>Malu Montesino</v>
          </cell>
        </row>
        <row r="1844">
          <cell r="A1844" t="str">
            <v>73.773.129/0001-06</v>
          </cell>
          <cell r="B1844" t="str">
            <v>Malu Montesino</v>
          </cell>
        </row>
        <row r="1845">
          <cell r="A1845" t="str">
            <v>12.417.472/0001-23</v>
          </cell>
          <cell r="B1845" t="str">
            <v>Malu Montesino</v>
          </cell>
        </row>
        <row r="1846">
          <cell r="A1846" t="str">
            <v>56.998.982/0001-07</v>
          </cell>
          <cell r="B1846" t="str">
            <v>Malu Montesino</v>
          </cell>
        </row>
        <row r="1847">
          <cell r="A1847" t="str">
            <v>56.998.982/0001-07</v>
          </cell>
          <cell r="B1847" t="str">
            <v>Malu Montesino</v>
          </cell>
        </row>
        <row r="1848">
          <cell r="A1848" t="str">
            <v>00.029.372/0001-40</v>
          </cell>
          <cell r="B1848" t="str">
            <v>Malu Montesino</v>
          </cell>
        </row>
        <row r="1849">
          <cell r="A1849" t="str">
            <v>03.685.434/0001-60</v>
          </cell>
          <cell r="B1849" t="str">
            <v>Malu Montesino</v>
          </cell>
        </row>
        <row r="1850">
          <cell r="A1850" t="str">
            <v>01.679.569/0001-98</v>
          </cell>
          <cell r="B1850" t="str">
            <v>Malu Montesino</v>
          </cell>
        </row>
        <row r="1851">
          <cell r="A1851" t="str">
            <v>01.679.569/0001-98</v>
          </cell>
          <cell r="B1851" t="str">
            <v>Malu Montesino</v>
          </cell>
        </row>
        <row r="1852">
          <cell r="A1852" t="str">
            <v>27.547.607/0001-42</v>
          </cell>
          <cell r="B1852" t="str">
            <v>Malu Montesino</v>
          </cell>
        </row>
        <row r="1853">
          <cell r="A1853" t="str">
            <v>10.444.624/0001-51</v>
          </cell>
          <cell r="B1853" t="str">
            <v>Malu Montesino</v>
          </cell>
        </row>
        <row r="1854">
          <cell r="A1854" t="str">
            <v>24.601.189/0001-36</v>
          </cell>
          <cell r="B1854" t="str">
            <v>Malu Montesino</v>
          </cell>
        </row>
        <row r="1855">
          <cell r="A1855" t="str">
            <v>04.608.635/0001-27</v>
          </cell>
          <cell r="B1855" t="str">
            <v>Malu Montesino</v>
          </cell>
        </row>
        <row r="1856">
          <cell r="A1856" t="str">
            <v>59.233.783/0001-04</v>
          </cell>
          <cell r="B1856" t="str">
            <v>Malu Montesino</v>
          </cell>
        </row>
        <row r="1857">
          <cell r="A1857" t="str">
            <v>59.233.783/0001-04</v>
          </cell>
          <cell r="B1857" t="str">
            <v>Malu Montesino</v>
          </cell>
        </row>
        <row r="1858">
          <cell r="A1858" t="str">
            <v>01.440.590/0001-36</v>
          </cell>
          <cell r="B1858" t="str">
            <v>Malu Montesino</v>
          </cell>
        </row>
        <row r="1859">
          <cell r="A1859" t="str">
            <v>61.489.381/0001-09</v>
          </cell>
          <cell r="B1859" t="str">
            <v>Malu Montesino</v>
          </cell>
        </row>
        <row r="1860">
          <cell r="A1860" t="str">
            <v>58.763.350/0001-90</v>
          </cell>
          <cell r="B1860" t="str">
            <v>Malu Montesino</v>
          </cell>
        </row>
        <row r="1861">
          <cell r="A1861" t="str">
            <v>58.763.350/0001-90</v>
          </cell>
          <cell r="B1861" t="str">
            <v>Malu Montesino</v>
          </cell>
        </row>
        <row r="1862">
          <cell r="A1862" t="str">
            <v>02.659.246/0003-67</v>
          </cell>
          <cell r="B1862" t="str">
            <v>Malu Montesino</v>
          </cell>
        </row>
        <row r="1863">
          <cell r="A1863" t="str">
            <v>60.492.131/0001-65</v>
          </cell>
          <cell r="B1863" t="str">
            <v>Malu Montesino</v>
          </cell>
        </row>
        <row r="1864">
          <cell r="A1864" t="str">
            <v>79.805.263/0001-28</v>
          </cell>
          <cell r="B1864" t="str">
            <v>Malu Montesino</v>
          </cell>
        </row>
        <row r="1865">
          <cell r="A1865" t="str">
            <v>22.873.750/0001-00</v>
          </cell>
          <cell r="B1865" t="str">
            <v>Malu Montesino</v>
          </cell>
        </row>
        <row r="1866">
          <cell r="A1866" t="str">
            <v>78.386.505/0001-23</v>
          </cell>
          <cell r="B1866" t="str">
            <v>Malu Montesino</v>
          </cell>
        </row>
        <row r="1867">
          <cell r="A1867" t="str">
            <v>15.331.924/0001-48</v>
          </cell>
          <cell r="B1867" t="str">
            <v>Malu Montesino</v>
          </cell>
        </row>
        <row r="1868">
          <cell r="A1868" t="str">
            <v>15.331.924/0001-48</v>
          </cell>
          <cell r="B1868" t="str">
            <v>Malu Montesino</v>
          </cell>
        </row>
        <row r="1869">
          <cell r="A1869" t="str">
            <v>59.650.556/0001-76</v>
          </cell>
          <cell r="B1869" t="str">
            <v>Malu Montesino</v>
          </cell>
        </row>
        <row r="1870">
          <cell r="A1870" t="str">
            <v>42.913.658/0001-34</v>
          </cell>
          <cell r="B1870" t="str">
            <v>Malu Montesino</v>
          </cell>
        </row>
        <row r="1871">
          <cell r="A1871" t="str">
            <v>42.913.658/0001-34</v>
          </cell>
          <cell r="B1871" t="str">
            <v>Malu Montesino</v>
          </cell>
        </row>
        <row r="1872">
          <cell r="A1872" t="str">
            <v>55.983.274/0001-30</v>
          </cell>
          <cell r="B1872" t="str">
            <v>Malu Montesino</v>
          </cell>
        </row>
        <row r="1873">
          <cell r="A1873" t="str">
            <v>82.901.000/0001-27</v>
          </cell>
          <cell r="B1873" t="str">
            <v>Malu Montesino</v>
          </cell>
        </row>
        <row r="1874">
          <cell r="A1874" t="str">
            <v>82.901.000/0001-27</v>
          </cell>
          <cell r="B1874" t="str">
            <v>Malu Montesino</v>
          </cell>
        </row>
        <row r="1875">
          <cell r="A1875" t="str">
            <v>23.706.789/0001-04</v>
          </cell>
          <cell r="B1875" t="str">
            <v>Malu Montesino</v>
          </cell>
        </row>
        <row r="1876">
          <cell r="A1876" t="str">
            <v>81.243.735/0001-48</v>
          </cell>
          <cell r="B1876" t="str">
            <v>Malu Montesino</v>
          </cell>
        </row>
        <row r="1877">
          <cell r="A1877" t="str">
            <v>05.271.198/0001-61</v>
          </cell>
          <cell r="B1877" t="str">
            <v>Malu Montesino</v>
          </cell>
        </row>
        <row r="1878">
          <cell r="A1878" t="str">
            <v>47.098.918/0001-89</v>
          </cell>
          <cell r="B1878" t="str">
            <v>Malu Montesino</v>
          </cell>
        </row>
        <row r="1879">
          <cell r="A1879" t="str">
            <v>02.033.695/0001-33</v>
          </cell>
          <cell r="B1879" t="str">
            <v>Malu Montesino</v>
          </cell>
        </row>
        <row r="1880">
          <cell r="A1880" t="str">
            <v>02.033.695/0001-33</v>
          </cell>
          <cell r="B1880" t="str">
            <v>Malu Montesino</v>
          </cell>
        </row>
        <row r="1881">
          <cell r="A1881" t="str">
            <v>05.773.360/0001-40</v>
          </cell>
          <cell r="B1881" t="str">
            <v>Mariane Nascimento</v>
          </cell>
        </row>
        <row r="1882">
          <cell r="A1882" t="str">
            <v>05.773.360/0001-40</v>
          </cell>
          <cell r="B1882" t="str">
            <v>Mariane Nascimento</v>
          </cell>
        </row>
        <row r="1883">
          <cell r="A1883" t="str">
            <v>55.847.009/0001-24</v>
          </cell>
          <cell r="B1883" t="str">
            <v>Malu Montesino</v>
          </cell>
        </row>
        <row r="1884">
          <cell r="A1884" t="str">
            <v>33.325.184/0001-19</v>
          </cell>
          <cell r="B1884" t="str">
            <v>Malu Montesino</v>
          </cell>
        </row>
        <row r="1885">
          <cell r="A1885" t="str">
            <v>61.489.381/0001-09</v>
          </cell>
          <cell r="B1885" t="str">
            <v>Malu Montesino</v>
          </cell>
        </row>
        <row r="1886">
          <cell r="A1886" t="str">
            <v>82.901.000/0001-27</v>
          </cell>
          <cell r="B1886" t="str">
            <v>Malu Montesino</v>
          </cell>
        </row>
        <row r="1887">
          <cell r="A1887" t="str">
            <v>84.429.695/0001-11</v>
          </cell>
          <cell r="B1887" t="str">
            <v>Malu Montesino</v>
          </cell>
        </row>
        <row r="1888">
          <cell r="A1888" t="str">
            <v>01.440.590/0001-36</v>
          </cell>
          <cell r="B1888" t="str">
            <v>Malu Montesino</v>
          </cell>
        </row>
        <row r="1889">
          <cell r="A1889" t="str">
            <v>03.685.434/0001-60</v>
          </cell>
          <cell r="B1889" t="str">
            <v>Malu Montesino</v>
          </cell>
        </row>
        <row r="1890">
          <cell r="A1890" t="str">
            <v>02.033.695/0001-33</v>
          </cell>
          <cell r="B1890" t="str">
            <v>Malu Montesino</v>
          </cell>
        </row>
        <row r="1891">
          <cell r="A1891" t="str">
            <v>15.331.924/0001-48</v>
          </cell>
          <cell r="B1891" t="str">
            <v>Malu Montesino</v>
          </cell>
        </row>
        <row r="1892">
          <cell r="A1892" t="str">
            <v>79.805.263/0001-28</v>
          </cell>
          <cell r="B1892" t="str">
            <v>Malu Montesino</v>
          </cell>
        </row>
        <row r="1893">
          <cell r="A1893" t="str">
            <v>42.591.651/0001-43</v>
          </cell>
          <cell r="B1893" t="str">
            <v>Malu Montesino</v>
          </cell>
        </row>
        <row r="1894">
          <cell r="A1894" t="str">
            <v>28.997.632/0001-90</v>
          </cell>
          <cell r="B1894" t="str">
            <v>Malu Montesino</v>
          </cell>
        </row>
        <row r="1895">
          <cell r="A1895" t="str">
            <v>04.963.150/0001-51</v>
          </cell>
          <cell r="B1895" t="str">
            <v>Malu Montesino</v>
          </cell>
        </row>
        <row r="1896">
          <cell r="A1896" t="str">
            <v>49.351.786/0001-80</v>
          </cell>
          <cell r="B1896" t="str">
            <v>Malu Montesino</v>
          </cell>
        </row>
        <row r="1897">
          <cell r="A1897" t="str">
            <v>04.937.243/0001-01</v>
          </cell>
          <cell r="B1897" t="str">
            <v>Malu Montesino</v>
          </cell>
        </row>
        <row r="1898">
          <cell r="A1898" t="str">
            <v>04.937.243/0001-01</v>
          </cell>
          <cell r="B1898" t="str">
            <v>Malu Montesino</v>
          </cell>
        </row>
        <row r="1899">
          <cell r="A1899" t="str">
            <v>13.890.656/0001-79</v>
          </cell>
          <cell r="B1899" t="str">
            <v>Malu Montesino</v>
          </cell>
        </row>
        <row r="1900">
          <cell r="A1900" t="str">
            <v>62.125.836/0001-70</v>
          </cell>
          <cell r="B1900" t="str">
            <v>Malu Montesino</v>
          </cell>
        </row>
        <row r="1901">
          <cell r="A1901" t="str">
            <v>82.927.385/0001-00</v>
          </cell>
          <cell r="B1901" t="str">
            <v>Malu Montesino</v>
          </cell>
        </row>
        <row r="1902">
          <cell r="A1902" t="str">
            <v>59.275.792/0001-50</v>
          </cell>
          <cell r="B1902" t="str">
            <v>Malu Montesino</v>
          </cell>
        </row>
        <row r="1903">
          <cell r="A1903" t="str">
            <v>13.852.007/0001-83</v>
          </cell>
          <cell r="B1903" t="str">
            <v>Malu Montesino</v>
          </cell>
        </row>
        <row r="1904">
          <cell r="A1904" t="str">
            <v>03.470.727/0004-73</v>
          </cell>
          <cell r="B1904" t="str">
            <v>Malu Montesino</v>
          </cell>
        </row>
        <row r="1905">
          <cell r="A1905" t="str">
            <v>54.565.478/0001-98</v>
          </cell>
          <cell r="B1905" t="str">
            <v>Malu Montesino</v>
          </cell>
        </row>
        <row r="1906">
          <cell r="A1906" t="str">
            <v>10.780.790/0001-29</v>
          </cell>
          <cell r="B1906" t="str">
            <v>Malu Montesino</v>
          </cell>
        </row>
        <row r="1907">
          <cell r="A1907" t="str">
            <v>02.357.251/0001-53</v>
          </cell>
          <cell r="B1907" t="str">
            <v>Malu Montesino</v>
          </cell>
        </row>
        <row r="1908">
          <cell r="A1908" t="str">
            <v>03.830.607/0001-97</v>
          </cell>
          <cell r="B1908" t="str">
            <v>Malu Montesino</v>
          </cell>
        </row>
        <row r="1909">
          <cell r="A1909" t="str">
            <v>05.343.029/0001-90</v>
          </cell>
          <cell r="B1909" t="str">
            <v>Malu Montesino</v>
          </cell>
        </row>
        <row r="1910">
          <cell r="A1910" t="str">
            <v>26.852.877/0001-02</v>
          </cell>
          <cell r="B1910" t="str">
            <v>Malu Montesino</v>
          </cell>
        </row>
        <row r="1911">
          <cell r="A1911" t="str">
            <v>37.807.135/0001-73</v>
          </cell>
          <cell r="B1911" t="str">
            <v>Malu Montesino</v>
          </cell>
        </row>
        <row r="1912">
          <cell r="A1912" t="str">
            <v>17.000.769/0001-02</v>
          </cell>
          <cell r="B1912" t="str">
            <v>Malu Montesino</v>
          </cell>
        </row>
        <row r="1913">
          <cell r="A1913" t="str">
            <v>17.000.769/0001-02</v>
          </cell>
          <cell r="B1913" t="str">
            <v>Malu Montesino</v>
          </cell>
        </row>
        <row r="1914">
          <cell r="A1914" t="str">
            <v>07.935.049/0001-85</v>
          </cell>
          <cell r="B1914" t="str">
            <v>Malu Montesino</v>
          </cell>
        </row>
        <row r="1915">
          <cell r="A1915" t="str">
            <v>07.306.281/0001-54</v>
          </cell>
          <cell r="B1915" t="str">
            <v>Malu Montesino</v>
          </cell>
        </row>
        <row r="1916">
          <cell r="A1916" t="str">
            <v>15.431.830/0002-21</v>
          </cell>
          <cell r="B1916" t="str">
            <v>Malu Montesino</v>
          </cell>
        </row>
        <row r="1917">
          <cell r="A1917" t="str">
            <v>15.431.830/0002-21</v>
          </cell>
          <cell r="B1917" t="str">
            <v>Malu Montesino</v>
          </cell>
        </row>
        <row r="1918">
          <cell r="A1918" t="str">
            <v>15.431.830/0002-21</v>
          </cell>
          <cell r="B1918" t="str">
            <v>Malu Montesino</v>
          </cell>
        </row>
        <row r="1919">
          <cell r="A1919" t="str">
            <v>52.273.785/0001-70</v>
          </cell>
          <cell r="B1919" t="str">
            <v>Malu Montesino</v>
          </cell>
        </row>
        <row r="1920">
          <cell r="A1920" t="str">
            <v>12.821.486/0001-08</v>
          </cell>
          <cell r="B1920" t="str">
            <v>Malu Montesino</v>
          </cell>
        </row>
        <row r="1921">
          <cell r="A1921" t="str">
            <v>86.527.934/0001-00</v>
          </cell>
          <cell r="B1921" t="str">
            <v>Malu Montesino</v>
          </cell>
        </row>
        <row r="1922">
          <cell r="A1922" t="str">
            <v>86.527.934/0001-00</v>
          </cell>
          <cell r="B1922" t="str">
            <v>Malu Montesino</v>
          </cell>
        </row>
        <row r="1923">
          <cell r="A1923" t="str">
            <v>10.463.951/0001-50</v>
          </cell>
          <cell r="B1923" t="str">
            <v>Malu Montesino</v>
          </cell>
        </row>
        <row r="1924">
          <cell r="A1924" t="str">
            <v>32.331.864/0001-82</v>
          </cell>
          <cell r="B1924" t="str">
            <v>Malu Montesino</v>
          </cell>
        </row>
        <row r="1925">
          <cell r="A1925" t="str">
            <v>29.950.060/0001-57</v>
          </cell>
          <cell r="B1925" t="str">
            <v>Malu Montesino</v>
          </cell>
        </row>
        <row r="1926">
          <cell r="A1926" t="str">
            <v>58.514.928/0001-74</v>
          </cell>
          <cell r="B1926" t="str">
            <v>Malu Montesino</v>
          </cell>
        </row>
        <row r="1927">
          <cell r="A1927" t="str">
            <v>58.514.928/0001-74</v>
          </cell>
          <cell r="B1927" t="str">
            <v>Malu Montesino</v>
          </cell>
        </row>
        <row r="1928">
          <cell r="A1928" t="str">
            <v>01.763.720/0001-71</v>
          </cell>
          <cell r="B1928" t="str">
            <v>Malu Montesino</v>
          </cell>
        </row>
        <row r="1929">
          <cell r="A1929" t="str">
            <v>01.763.720/0001-71</v>
          </cell>
          <cell r="B1929" t="str">
            <v>Malu Montesino</v>
          </cell>
        </row>
        <row r="1930">
          <cell r="A1930" t="str">
            <v>01.763.720/0001-71</v>
          </cell>
          <cell r="B1930" t="str">
            <v>Malu Montesino</v>
          </cell>
        </row>
        <row r="1931">
          <cell r="A1931" t="str">
            <v>01.763.720/0001-71</v>
          </cell>
          <cell r="B1931" t="str">
            <v>Malu Montesino</v>
          </cell>
        </row>
        <row r="1932">
          <cell r="A1932" t="str">
            <v>46.377.800/0079-97</v>
          </cell>
          <cell r="B1932" t="str">
            <v>Malu Montesino</v>
          </cell>
        </row>
        <row r="1933">
          <cell r="A1933" t="str">
            <v>08.531.759/0001-02</v>
          </cell>
          <cell r="B1933" t="str">
            <v>Malu Montesino</v>
          </cell>
        </row>
        <row r="1934">
          <cell r="A1934" t="str">
            <v>08.531.759/0001-02</v>
          </cell>
          <cell r="B1934" t="str">
            <v>Malu Montesino</v>
          </cell>
        </row>
        <row r="1935">
          <cell r="A1935" t="str">
            <v>49.351.786/0001-80</v>
          </cell>
          <cell r="B1935" t="str">
            <v>Malu Montesino</v>
          </cell>
        </row>
        <row r="1936">
          <cell r="A1936" t="str">
            <v>29.950.060/0001-57</v>
          </cell>
          <cell r="B1936" t="str">
            <v>Malu Montesino</v>
          </cell>
        </row>
        <row r="1937">
          <cell r="A1937" t="str">
            <v>13.852.007/0001-83</v>
          </cell>
          <cell r="B1937" t="str">
            <v>Malu Montesino</v>
          </cell>
        </row>
        <row r="1938">
          <cell r="A1938" t="str">
            <v>13.852.007/0001-83</v>
          </cell>
          <cell r="B1938" t="str">
            <v>Malu Montesino</v>
          </cell>
        </row>
        <row r="1939">
          <cell r="A1939" t="str">
            <v>13.852.007/0001-83</v>
          </cell>
          <cell r="B1939" t="str">
            <v>Malu Montesino</v>
          </cell>
        </row>
        <row r="1940">
          <cell r="A1940" t="str">
            <v>58.763.350/0001-90</v>
          </cell>
          <cell r="B1940" t="str">
            <v>Malu Montesino</v>
          </cell>
        </row>
        <row r="1941">
          <cell r="A1941" t="str">
            <v>29.736.089/0001-30</v>
          </cell>
          <cell r="B1941" t="str">
            <v>Malu Montesino</v>
          </cell>
        </row>
        <row r="1942">
          <cell r="A1942" t="str">
            <v>01.763.720/0001-71</v>
          </cell>
          <cell r="B1942" t="str">
            <v>Malu Montesino</v>
          </cell>
        </row>
        <row r="1943">
          <cell r="A1943" t="str">
            <v>52.273.785/0001-70</v>
          </cell>
          <cell r="B1943" t="str">
            <v>Malu Montesino</v>
          </cell>
        </row>
        <row r="1944">
          <cell r="A1944" t="str">
            <v>08.265.067/0001-60</v>
          </cell>
          <cell r="B1944" t="str">
            <v>Malu Montesino</v>
          </cell>
        </row>
        <row r="1945">
          <cell r="A1945" t="str">
            <v>46.138.319/0001-89</v>
          </cell>
          <cell r="B1945" t="str">
            <v>Malu Montesino</v>
          </cell>
        </row>
        <row r="1946">
          <cell r="A1946" t="str">
            <v>61.936.522/0001-94</v>
          </cell>
          <cell r="B1946" t="str">
            <v>Malu Montesino</v>
          </cell>
        </row>
        <row r="1947">
          <cell r="A1947" t="str">
            <v>16.553.940/0001-48</v>
          </cell>
          <cell r="B1947" t="str">
            <v>Malu Montesino</v>
          </cell>
        </row>
        <row r="1948">
          <cell r="A1948" t="str">
            <v>37.807.135/0001-73</v>
          </cell>
          <cell r="B1948" t="str">
            <v>Malu Montesino</v>
          </cell>
        </row>
        <row r="1949">
          <cell r="A1949" t="str">
            <v>17.000.769/0001-02</v>
          </cell>
          <cell r="B1949" t="str">
            <v>Malu Montesino</v>
          </cell>
        </row>
        <row r="1950">
          <cell r="A1950" t="str">
            <v>07.306.281/0001-54</v>
          </cell>
          <cell r="B1950" t="str">
            <v>Malu Montesino</v>
          </cell>
        </row>
        <row r="1951">
          <cell r="A1951" t="str">
            <v>01.763.720/0001-71</v>
          </cell>
          <cell r="B1951" t="str">
            <v>Malu Montesino</v>
          </cell>
        </row>
        <row r="1952">
          <cell r="A1952" t="str">
            <v>19.428.087/0001-20</v>
          </cell>
          <cell r="B1952" t="str">
            <v>Malu Montesino</v>
          </cell>
        </row>
        <row r="1953">
          <cell r="A1953" t="str">
            <v>33.979.330/0001-20</v>
          </cell>
          <cell r="B1953" t="str">
            <v>Malu Montesino</v>
          </cell>
        </row>
        <row r="1954">
          <cell r="A1954" t="str">
            <v>10.313.717/0001-47</v>
          </cell>
          <cell r="B1954" t="str">
            <v>Malu Montesino</v>
          </cell>
        </row>
        <row r="1955">
          <cell r="A1955" t="str">
            <v>03.797.748/0001-55</v>
          </cell>
          <cell r="B1955" t="str">
            <v>Malu Montesino</v>
          </cell>
        </row>
        <row r="1956">
          <cell r="A1956" t="str">
            <v>80.696.479/0001-81</v>
          </cell>
          <cell r="B1956" t="str">
            <v>Malu Montesino</v>
          </cell>
        </row>
        <row r="1957">
          <cell r="A1957" t="str">
            <v>12.615.299/0001-78</v>
          </cell>
          <cell r="B1957" t="str">
            <v>Malu Montesino</v>
          </cell>
        </row>
        <row r="1958">
          <cell r="A1958" t="str">
            <v>96.228.317/0001-59</v>
          </cell>
          <cell r="B1958" t="str">
            <v>Malu Montesino</v>
          </cell>
        </row>
        <row r="1959">
          <cell r="A1959" t="str">
            <v>77.153.260/0001-21</v>
          </cell>
          <cell r="B1959" t="str">
            <v>Malu Montesino</v>
          </cell>
        </row>
        <row r="1960">
          <cell r="A1960" t="str">
            <v>06.349.959/0001-13</v>
          </cell>
          <cell r="B1960" t="str">
            <v>Malu Montesino</v>
          </cell>
        </row>
        <row r="1961">
          <cell r="A1961" t="str">
            <v>59.275.792/0001-50</v>
          </cell>
          <cell r="B1961" t="str">
            <v>Malu Montesino</v>
          </cell>
        </row>
        <row r="1962">
          <cell r="A1962" t="str">
            <v>10.861.317/0001-76</v>
          </cell>
          <cell r="B1962" t="str">
            <v>Mariane Nascimento</v>
          </cell>
        </row>
        <row r="1963">
          <cell r="A1963" t="str">
            <v>10.861.317/0001-76</v>
          </cell>
          <cell r="B1963" t="str">
            <v>Mariane Nascimento</v>
          </cell>
        </row>
        <row r="1964">
          <cell r="A1964" t="str">
            <v>29.736.089/0001-30</v>
          </cell>
          <cell r="B1964" t="str">
            <v>Malu Montesino</v>
          </cell>
        </row>
        <row r="1965">
          <cell r="A1965" t="str">
            <v>02.674.103/0001-62</v>
          </cell>
          <cell r="B1965" t="str">
            <v>Malu Montesino</v>
          </cell>
        </row>
        <row r="1966">
          <cell r="A1966" t="str">
            <v>01.838.723/0001-27</v>
          </cell>
          <cell r="B1966" t="str">
            <v>Malu Montesino</v>
          </cell>
        </row>
        <row r="1967">
          <cell r="A1967" t="str">
            <v>08.675.394/0001-90</v>
          </cell>
          <cell r="B1967" t="str">
            <v>Mariane Nascimento</v>
          </cell>
        </row>
        <row r="1968">
          <cell r="A1968" t="str">
            <v>08.675.394/0001-90</v>
          </cell>
          <cell r="B1968" t="str">
            <v>Mariane Nascimento</v>
          </cell>
        </row>
        <row r="1969">
          <cell r="A1969" t="str">
            <v>33.958.695/0001-78</v>
          </cell>
          <cell r="B1969" t="str">
            <v>Malu Montesino</v>
          </cell>
        </row>
        <row r="1970">
          <cell r="A1970" t="str">
            <v>39.032.974/0001-92</v>
          </cell>
          <cell r="B1970" t="str">
            <v>Mariane Nascimento</v>
          </cell>
        </row>
        <row r="1971">
          <cell r="A1971" t="str">
            <v>39.032.974/0001-92</v>
          </cell>
          <cell r="B1971" t="str">
            <v>Mariane Nascimento</v>
          </cell>
        </row>
        <row r="1972">
          <cell r="A1972" t="str">
            <v>14.309.992/0001-48</v>
          </cell>
          <cell r="B1972" t="str">
            <v>Malu Montesino</v>
          </cell>
        </row>
        <row r="1973">
          <cell r="A1973" t="str">
            <v>33.373.325/0001-79</v>
          </cell>
          <cell r="B1973" t="str">
            <v>Mariane Nascimento</v>
          </cell>
        </row>
        <row r="1974">
          <cell r="A1974" t="str">
            <v>33.373.325/0001-79</v>
          </cell>
          <cell r="B1974" t="str">
            <v>Mariane Nascimento</v>
          </cell>
        </row>
        <row r="1975">
          <cell r="A1975" t="str">
            <v>00.204.589/0003-01</v>
          </cell>
          <cell r="B1975" t="str">
            <v>Malu Montesino</v>
          </cell>
        </row>
        <row r="1976">
          <cell r="A1976" t="str">
            <v>42.006.441/0001-40</v>
          </cell>
          <cell r="B1976" t="str">
            <v>Malu Montesino</v>
          </cell>
        </row>
        <row r="1977">
          <cell r="A1977" t="str">
            <v>01.352.926/0001-09</v>
          </cell>
          <cell r="B1977" t="str">
            <v>Malu Montesino</v>
          </cell>
        </row>
        <row r="1978">
          <cell r="A1978" t="str">
            <v>05.495.281/0001-14</v>
          </cell>
          <cell r="B1978" t="str">
            <v>Mariane Nascimento</v>
          </cell>
        </row>
        <row r="1979">
          <cell r="A1979" t="str">
            <v>04.743.858/0001-05</v>
          </cell>
          <cell r="B1979" t="str">
            <v>Malu Montesino</v>
          </cell>
        </row>
        <row r="1980">
          <cell r="A1980" t="str">
            <v>16.482.201/0001-02</v>
          </cell>
          <cell r="B1980" t="str">
            <v>Malu Montesino</v>
          </cell>
        </row>
        <row r="1981">
          <cell r="A1981" t="str">
            <v>06.990.590/0001-23</v>
          </cell>
          <cell r="B1981" t="str">
            <v>Malu Montesino</v>
          </cell>
        </row>
        <row r="1982">
          <cell r="A1982" t="str">
            <v>02.629.588/0001-72</v>
          </cell>
          <cell r="B1982" t="str">
            <v>Malu Montesino</v>
          </cell>
        </row>
        <row r="1983">
          <cell r="A1983" t="str">
            <v>01.866.388/0001-70</v>
          </cell>
          <cell r="B1983" t="str">
            <v>Malu Montesino</v>
          </cell>
        </row>
        <row r="1984">
          <cell r="A1984" t="str">
            <v>31.372.346/0001-44</v>
          </cell>
          <cell r="B1984" t="str">
            <v>Malu Montesino</v>
          </cell>
        </row>
        <row r="1985">
          <cell r="A1985" t="str">
            <v>02.814.497/0001-07</v>
          </cell>
          <cell r="B1985" t="str">
            <v>Malu Montesino</v>
          </cell>
        </row>
        <row r="1986">
          <cell r="A1986" t="str">
            <v>02.248.312/0001-44</v>
          </cell>
          <cell r="B1986" t="str">
            <v>Malu Montesino</v>
          </cell>
        </row>
        <row r="1987">
          <cell r="A1987" t="str">
            <v>26.852.877/0001-02</v>
          </cell>
          <cell r="B1987" t="str">
            <v>Malu Montesino</v>
          </cell>
        </row>
        <row r="1988">
          <cell r="A1988" t="str">
            <v>26.852.877/0001-02</v>
          </cell>
          <cell r="B1988" t="str">
            <v>Malu Montesino</v>
          </cell>
        </row>
        <row r="1989">
          <cell r="A1989" t="str">
            <v>26.852.877/0001-02</v>
          </cell>
          <cell r="B1989" t="str">
            <v>Malu Montesino</v>
          </cell>
        </row>
        <row r="1990">
          <cell r="A1990" t="str">
            <v>22.168.141/0001-50</v>
          </cell>
          <cell r="B1990" t="str">
            <v>Malu Montesino</v>
          </cell>
        </row>
        <row r="1991">
          <cell r="A1991" t="str">
            <v>44.144.293/0007-41</v>
          </cell>
          <cell r="B1991" t="str">
            <v>Malu Montesino</v>
          </cell>
        </row>
        <row r="1992">
          <cell r="A1992" t="str">
            <v>19.121.053/0001-99</v>
          </cell>
          <cell r="B1992" t="str">
            <v>Mariane Nascimento</v>
          </cell>
        </row>
        <row r="1993">
          <cell r="A1993" t="str">
            <v>18.771.013/0001-20</v>
          </cell>
          <cell r="B1993" t="str">
            <v>Malu Montesino</v>
          </cell>
        </row>
        <row r="1994">
          <cell r="A1994" t="str">
            <v>19.428.087/0001-20</v>
          </cell>
          <cell r="B1994" t="str">
            <v>Malu Montesino</v>
          </cell>
        </row>
        <row r="1995">
          <cell r="A1995" t="str">
            <v>51.958.220/0001-63</v>
          </cell>
          <cell r="B1995" t="str">
            <v>Malu Montesino</v>
          </cell>
        </row>
        <row r="1996">
          <cell r="A1996" t="str">
            <v>26.852.877/0001-02</v>
          </cell>
          <cell r="B1996" t="str">
            <v>Malu Montesino</v>
          </cell>
        </row>
        <row r="1997">
          <cell r="A1997" t="str">
            <v>26.852.877/0001-02</v>
          </cell>
          <cell r="B1997" t="str">
            <v>Malu Montesino</v>
          </cell>
        </row>
        <row r="1998">
          <cell r="A1998" t="str">
            <v>60.625.829/0001-01</v>
          </cell>
          <cell r="B1998" t="str">
            <v>Malu Montesino</v>
          </cell>
        </row>
        <row r="1999">
          <cell r="A1999" t="str">
            <v>60.625.829/0001-01</v>
          </cell>
          <cell r="B1999" t="str">
            <v>Malu Montesino</v>
          </cell>
        </row>
        <row r="2000">
          <cell r="A2000" t="str">
            <v>22.168.141/0001-50</v>
          </cell>
          <cell r="B2000" t="str">
            <v>Malu Montesino</v>
          </cell>
        </row>
        <row r="2001">
          <cell r="A2001" t="str">
            <v>59.275.792/0001-50</v>
          </cell>
          <cell r="B2001" t="str">
            <v>Malu Montesino</v>
          </cell>
        </row>
        <row r="2002">
          <cell r="A2002" t="str">
            <v>07.018.219/0001-67</v>
          </cell>
          <cell r="B2002" t="str">
            <v>Malu Montesino</v>
          </cell>
        </row>
        <row r="2003">
          <cell r="A2003" t="str">
            <v>07.018.219/0001-67</v>
          </cell>
          <cell r="B2003" t="str">
            <v>Malu Montesino</v>
          </cell>
        </row>
        <row r="2004">
          <cell r="A2004" t="str">
            <v>07.884.692/0001-27</v>
          </cell>
          <cell r="B2004" t="str">
            <v>Malu Montesino</v>
          </cell>
        </row>
        <row r="2005">
          <cell r="A2005" t="str">
            <v>07.884.692/0001-27</v>
          </cell>
          <cell r="B2005" t="str">
            <v>Malu Montesino</v>
          </cell>
        </row>
        <row r="2006">
          <cell r="A2006" t="str">
            <v>47.909.054/0001-38</v>
          </cell>
          <cell r="B2006" t="str">
            <v>Malu Montesino</v>
          </cell>
        </row>
        <row r="2007">
          <cell r="A2007" t="str">
            <v>47.909.054/0001-38</v>
          </cell>
          <cell r="B2007" t="str">
            <v>Malu Montesino</v>
          </cell>
        </row>
        <row r="2008">
          <cell r="A2008" t="str">
            <v>47.909.054/0001-38</v>
          </cell>
          <cell r="B2008" t="str">
            <v>Malu Montesino</v>
          </cell>
        </row>
        <row r="2009">
          <cell r="A2009" t="str">
            <v>47.909.054/0001-38</v>
          </cell>
          <cell r="B2009" t="str">
            <v>Malu Montesino</v>
          </cell>
        </row>
        <row r="2010">
          <cell r="A2010" t="str">
            <v>02.781.376/0001-06</v>
          </cell>
          <cell r="B2010" t="str">
            <v>Malu Montesino</v>
          </cell>
        </row>
        <row r="2011">
          <cell r="A2011" t="str">
            <v>02.781.376/0001-06</v>
          </cell>
          <cell r="B2011" t="str">
            <v>Malu Montesino</v>
          </cell>
        </row>
        <row r="2012">
          <cell r="A2012" t="str">
            <v>00.074.635/0001-33</v>
          </cell>
          <cell r="B2012" t="str">
            <v>Malu Montesino</v>
          </cell>
        </row>
        <row r="2013">
          <cell r="A2013" t="str">
            <v>92.664.028/0001-41</v>
          </cell>
          <cell r="B2013" t="str">
            <v>Malu Montesino</v>
          </cell>
        </row>
        <row r="2014">
          <cell r="A2014" t="str">
            <v>92.664.028/0001-41</v>
          </cell>
          <cell r="B2014" t="str">
            <v>Malu Montesino</v>
          </cell>
        </row>
        <row r="2015">
          <cell r="A2015" t="str">
            <v>46.979.239/0001-56</v>
          </cell>
          <cell r="B2015" t="str">
            <v>Malu Montesino</v>
          </cell>
        </row>
        <row r="2016">
          <cell r="A2016" t="str">
            <v>18.933.677/0004-90</v>
          </cell>
          <cell r="B2016" t="str">
            <v>Malu Montesino</v>
          </cell>
        </row>
        <row r="2017">
          <cell r="A2017" t="str">
            <v>02.248.312/0001-44</v>
          </cell>
          <cell r="B2017" t="str">
            <v>Malu Montesino</v>
          </cell>
        </row>
        <row r="2018">
          <cell r="A2018" t="str">
            <v>02.248.312/0001-44</v>
          </cell>
          <cell r="B2018" t="str">
            <v>Malu Montesino</v>
          </cell>
        </row>
        <row r="2019">
          <cell r="A2019" t="str">
            <v>78.386.505/0001-23</v>
          </cell>
          <cell r="B2019" t="str">
            <v>Malu Montesino</v>
          </cell>
        </row>
        <row r="2020">
          <cell r="A2020" t="str">
            <v>78.386.505/0001-23</v>
          </cell>
          <cell r="B2020" t="str">
            <v>Malu Montesino</v>
          </cell>
        </row>
        <row r="2021">
          <cell r="A2021" t="str">
            <v>11.171.922/0001-88</v>
          </cell>
          <cell r="B2021" t="str">
            <v>Malu Montesino</v>
          </cell>
        </row>
        <row r="2022">
          <cell r="A2022" t="str">
            <v>08.238.299/0001-29</v>
          </cell>
          <cell r="B2022" t="str">
            <v>Malu Montesino</v>
          </cell>
        </row>
        <row r="2023">
          <cell r="A2023" t="str">
            <v>19.503.353/0001-32</v>
          </cell>
          <cell r="B2023" t="str">
            <v>Malu Montesino</v>
          </cell>
        </row>
        <row r="2024">
          <cell r="A2024" t="str">
            <v>07.883.571/0001-60</v>
          </cell>
          <cell r="B2024" t="str">
            <v>Malu Montesino</v>
          </cell>
        </row>
        <row r="2025">
          <cell r="A2025" t="str">
            <v>16.686.026/0001-75</v>
          </cell>
          <cell r="B2025" t="str">
            <v>Malu Montesino</v>
          </cell>
        </row>
        <row r="2026">
          <cell r="A2026" t="str">
            <v>11.171.922/0001-88</v>
          </cell>
          <cell r="B2026" t="str">
            <v>Malu Montesino</v>
          </cell>
        </row>
        <row r="2027">
          <cell r="A2027" t="str">
            <v>92.664.028/0001-41</v>
          </cell>
          <cell r="B2027" t="str">
            <v>Malu Montesino</v>
          </cell>
        </row>
        <row r="2028">
          <cell r="A2028" t="str">
            <v>47.909.054/0001-38</v>
          </cell>
          <cell r="B2028" t="str">
            <v>Malu Montesino</v>
          </cell>
        </row>
        <row r="2029">
          <cell r="A2029" t="str">
            <v>02.781.376/0001-06</v>
          </cell>
          <cell r="B2029" t="str">
            <v>Malu Montesino</v>
          </cell>
        </row>
        <row r="2030">
          <cell r="A2030" t="str">
            <v>78.386.505/0001-23</v>
          </cell>
          <cell r="B2030" t="str">
            <v>Malu Montesino</v>
          </cell>
        </row>
        <row r="2031">
          <cell r="A2031" t="str">
            <v>24.893.687/0011-71</v>
          </cell>
          <cell r="B2031" t="str">
            <v>Malu Montesino</v>
          </cell>
        </row>
        <row r="2032">
          <cell r="A2032" t="str">
            <v>79.712.642/0001-73</v>
          </cell>
          <cell r="B2032" t="str">
            <v>Malu Montesino</v>
          </cell>
        </row>
        <row r="2033">
          <cell r="A2033" t="str">
            <v>59.408.005/0001-09</v>
          </cell>
          <cell r="B2033" t="str">
            <v>Malu Montesino</v>
          </cell>
        </row>
        <row r="2034">
          <cell r="A2034" t="str">
            <v>10.444.624/0001-51</v>
          </cell>
          <cell r="B2034" t="str">
            <v>Malu Montesino</v>
          </cell>
        </row>
        <row r="2035">
          <cell r="A2035" t="str">
            <v>84.683.879/0001-03</v>
          </cell>
          <cell r="B2035" t="str">
            <v>Malu Montesino</v>
          </cell>
        </row>
        <row r="2036">
          <cell r="A2036" t="str">
            <v>84.683.879/0001-03</v>
          </cell>
          <cell r="B2036" t="str">
            <v>Malu Montesino</v>
          </cell>
        </row>
        <row r="2037">
          <cell r="A2037" t="str">
            <v>03.667.420/0001-14</v>
          </cell>
          <cell r="B2037" t="str">
            <v>Malu Montesino</v>
          </cell>
        </row>
        <row r="2038">
          <cell r="A2038" t="str">
            <v>59.233.783/0001-04</v>
          </cell>
          <cell r="B2038" t="str">
            <v>Malu Montesino</v>
          </cell>
        </row>
        <row r="2039">
          <cell r="A2039" t="str">
            <v>01.440.590/0001-36</v>
          </cell>
          <cell r="B2039" t="str">
            <v>Malu Montesino</v>
          </cell>
        </row>
        <row r="2040">
          <cell r="A2040" t="str">
            <v>58.763.350/0001-90</v>
          </cell>
          <cell r="B2040" t="str">
            <v>Malu Montesino</v>
          </cell>
        </row>
        <row r="2041">
          <cell r="A2041" t="str">
            <v>79.805.263/0001-28</v>
          </cell>
          <cell r="B2041" t="str">
            <v>Malu Montesino</v>
          </cell>
        </row>
        <row r="2042">
          <cell r="A2042" t="str">
            <v>78.386.505/0001-23</v>
          </cell>
          <cell r="B2042" t="str">
            <v>Malu Montesino</v>
          </cell>
        </row>
        <row r="2043">
          <cell r="A2043" t="str">
            <v>27.401.513/0001-60</v>
          </cell>
          <cell r="B2043" t="str">
            <v>Malu Montesino</v>
          </cell>
        </row>
        <row r="2044">
          <cell r="A2044" t="str">
            <v>56.704.015/0001-95</v>
          </cell>
          <cell r="B2044" t="str">
            <v>Malu Montesino</v>
          </cell>
        </row>
        <row r="2045">
          <cell r="A2045" t="str">
            <v>17.000.769/0001-02</v>
          </cell>
          <cell r="B2045" t="str">
            <v>Malu Montesino</v>
          </cell>
        </row>
        <row r="2046">
          <cell r="A2046" t="str">
            <v>17.000.769/0001-02</v>
          </cell>
          <cell r="B2046" t="str">
            <v>Malu Montesino</v>
          </cell>
        </row>
        <row r="2047">
          <cell r="A2047" t="str">
            <v>81.243.735/0001-48</v>
          </cell>
          <cell r="B2047" t="str">
            <v>Malu Montesino</v>
          </cell>
        </row>
        <row r="2048">
          <cell r="A2048" t="str">
            <v>06.944.369/0001-39</v>
          </cell>
          <cell r="B2048" t="str">
            <v>Malu Montesino</v>
          </cell>
        </row>
        <row r="2049">
          <cell r="A2049" t="str">
            <v>11.171.922/0001-88</v>
          </cell>
          <cell r="B2049" t="str">
            <v>Malu Montesino</v>
          </cell>
        </row>
        <row r="2050">
          <cell r="A2050" t="str">
            <v>61.064.838/0001-33</v>
          </cell>
          <cell r="B2050" t="str">
            <v>Malu Montesino</v>
          </cell>
        </row>
        <row r="2051">
          <cell r="A2051" t="str">
            <v>06.224.121/0001-01</v>
          </cell>
          <cell r="B2051" t="str">
            <v>Malu Montesino</v>
          </cell>
        </row>
        <row r="2052">
          <cell r="A2052" t="str">
            <v>33.979.330/0001-20</v>
          </cell>
          <cell r="B2052" t="str">
            <v>Malu Montesino</v>
          </cell>
        </row>
        <row r="2053">
          <cell r="A2053" t="str">
            <v>52.770.005/0001-05</v>
          </cell>
          <cell r="B2053" t="str">
            <v>Malu Montesino</v>
          </cell>
        </row>
        <row r="2054">
          <cell r="A2054" t="str">
            <v>79.712.642/0001-73</v>
          </cell>
          <cell r="B2054" t="str">
            <v>Malu Montesino</v>
          </cell>
        </row>
        <row r="2055">
          <cell r="A2055" t="str">
            <v>78.386.505/0001-23</v>
          </cell>
          <cell r="B2055" t="str">
            <v>Malu Montesino</v>
          </cell>
        </row>
        <row r="2056">
          <cell r="A2056" t="str">
            <v>29.127.216/0001-02</v>
          </cell>
          <cell r="B2056" t="str">
            <v>Malu Montesino</v>
          </cell>
        </row>
        <row r="2057">
          <cell r="A2057" t="str">
            <v>61.074.506/0001-30</v>
          </cell>
          <cell r="B2057" t="str">
            <v>Malu Montesino</v>
          </cell>
        </row>
        <row r="2058">
          <cell r="A2058" t="str">
            <v>61.074.506/0001-30</v>
          </cell>
          <cell r="B2058" t="str">
            <v>Malu Montesino</v>
          </cell>
        </row>
        <row r="2059">
          <cell r="A2059" t="str">
            <v>58.752.460/0001-56</v>
          </cell>
          <cell r="B2059" t="str">
            <v>Mariane Nascimento</v>
          </cell>
        </row>
        <row r="2060">
          <cell r="A2060" t="str">
            <v>58.752.460/0001-56</v>
          </cell>
          <cell r="B2060" t="str">
            <v>Mariane Nascimento</v>
          </cell>
        </row>
        <row r="2061">
          <cell r="A2061" t="str">
            <v>08.675.394/0001-90</v>
          </cell>
          <cell r="B2061" t="str">
            <v>Mariane Nascimento</v>
          </cell>
        </row>
        <row r="2062">
          <cell r="A2062" t="str">
            <v>08.675.394/0001-90</v>
          </cell>
          <cell r="B2062" t="str">
            <v>Mariane Nascimento</v>
          </cell>
        </row>
        <row r="2063">
          <cell r="A2063" t="str">
            <v>79.712.642/0001-73</v>
          </cell>
          <cell r="B2063" t="str">
            <v>Malu Montesino</v>
          </cell>
        </row>
        <row r="2064">
          <cell r="A2064" t="str">
            <v>79.712.642/0001-73</v>
          </cell>
          <cell r="B2064" t="str">
            <v>Malu Montesino</v>
          </cell>
        </row>
        <row r="2065">
          <cell r="A2065" t="str">
            <v>53.113.791/0001-22</v>
          </cell>
          <cell r="B2065" t="str">
            <v>Malu Montesino</v>
          </cell>
        </row>
        <row r="2066">
          <cell r="A2066" t="str">
            <v>16.549.335/0001-01</v>
          </cell>
          <cell r="B2066" t="str">
            <v>Malu Montesino</v>
          </cell>
        </row>
        <row r="2067">
          <cell r="A2067" t="str">
            <v>00.074.635/0001-33</v>
          </cell>
          <cell r="B2067" t="str">
            <v>Malu Montesino</v>
          </cell>
        </row>
        <row r="2068">
          <cell r="A2068" t="str">
            <v>57.680.049/0001-50</v>
          </cell>
          <cell r="B2068" t="str">
            <v>Malu Montesino</v>
          </cell>
        </row>
        <row r="2069">
          <cell r="A2069" t="str">
            <v>06.207.067/0001-88</v>
          </cell>
          <cell r="B2069" t="str">
            <v>Malu Montesino</v>
          </cell>
        </row>
        <row r="2070">
          <cell r="A2070" t="str">
            <v>06.990.590/0001-23</v>
          </cell>
          <cell r="B2070" t="str">
            <v>Malu Montesino</v>
          </cell>
        </row>
        <row r="2071">
          <cell r="A2071" t="str">
            <v>45.510.160/0001-19</v>
          </cell>
          <cell r="B2071" t="str">
            <v>Malu Montesino</v>
          </cell>
        </row>
        <row r="2072">
          <cell r="A2072" t="str">
            <v>71.256.283/0001-85</v>
          </cell>
          <cell r="B2072" t="str">
            <v>Malu Montesino</v>
          </cell>
        </row>
        <row r="2073">
          <cell r="A2073" t="str">
            <v>48.240.709/0001-90</v>
          </cell>
          <cell r="B2073" t="str">
            <v>Malu Montesino</v>
          </cell>
        </row>
        <row r="2074">
          <cell r="A2074" t="str">
            <v>27.401.513/0001-60</v>
          </cell>
          <cell r="B2074" t="str">
            <v>Malu Montesino</v>
          </cell>
        </row>
        <row r="2075">
          <cell r="A2075" t="str">
            <v>27.401.513/0001-60</v>
          </cell>
          <cell r="B2075" t="str">
            <v>Malu Montesino</v>
          </cell>
        </row>
        <row r="2076">
          <cell r="A2076" t="str">
            <v>27.401.513/0001-60</v>
          </cell>
          <cell r="B2076" t="str">
            <v>Malu Montesino</v>
          </cell>
        </row>
        <row r="2077">
          <cell r="A2077" t="str">
            <v>59.650.556/0001-76</v>
          </cell>
          <cell r="B2077" t="str">
            <v>Malu Montesino</v>
          </cell>
        </row>
        <row r="2078">
          <cell r="A2078" t="str">
            <v>56.704.015/0001-95</v>
          </cell>
          <cell r="B2078" t="str">
            <v>Malu Montesino</v>
          </cell>
        </row>
        <row r="2079">
          <cell r="A2079" t="str">
            <v>21.725.948/0001-84</v>
          </cell>
          <cell r="B2079" t="str">
            <v>Malu Montesino</v>
          </cell>
        </row>
        <row r="2080">
          <cell r="A2080" t="str">
            <v>02.059.753/0001-06</v>
          </cell>
          <cell r="B2080" t="str">
            <v>Malu Montesino</v>
          </cell>
        </row>
        <row r="2081">
          <cell r="A2081" t="str">
            <v>06.944.369/0001-39</v>
          </cell>
          <cell r="B2081" t="str">
            <v>Malu Montesino</v>
          </cell>
        </row>
        <row r="2082">
          <cell r="A2082" t="str">
            <v>03.853.896/0001-40</v>
          </cell>
          <cell r="B2082" t="str">
            <v>Malu Montesino</v>
          </cell>
        </row>
        <row r="2083">
          <cell r="A2083" t="str">
            <v>11.171.922/0001-88</v>
          </cell>
          <cell r="B2083" t="str">
            <v>Malu Montesino</v>
          </cell>
        </row>
        <row r="2084">
          <cell r="A2084" t="str">
            <v>52.770.005/0001-05</v>
          </cell>
          <cell r="B2084" t="str">
            <v>Malu Montesino</v>
          </cell>
        </row>
        <row r="2085">
          <cell r="A2085" t="str">
            <v>28.131.759/0001-22</v>
          </cell>
          <cell r="B2085" t="str">
            <v>Mariane Nascimento</v>
          </cell>
        </row>
        <row r="2086">
          <cell r="A2086" t="str">
            <v>28.131.759/0001-22</v>
          </cell>
          <cell r="B2086" t="str">
            <v>Mariane Nascimento</v>
          </cell>
        </row>
        <row r="2087">
          <cell r="A2087" t="str">
            <v>16.549.335/0001-01</v>
          </cell>
          <cell r="B2087" t="str">
            <v>Malu Montesino</v>
          </cell>
        </row>
        <row r="2088">
          <cell r="A2088" t="str">
            <v>02.059.753/0001-06</v>
          </cell>
          <cell r="B2088" t="str">
            <v>Malu Montesino</v>
          </cell>
        </row>
        <row r="2089">
          <cell r="A2089" t="str">
            <v>21.725.948/0001-84</v>
          </cell>
          <cell r="B2089" t="str">
            <v>Malu Montesino</v>
          </cell>
        </row>
        <row r="2090">
          <cell r="A2090" t="str">
            <v>79.712.642/0001-73</v>
          </cell>
          <cell r="B2090" t="str">
            <v>Malu Montesino</v>
          </cell>
        </row>
        <row r="2091">
          <cell r="A2091" t="str">
            <v>27.401.513/0001-60</v>
          </cell>
          <cell r="B2091" t="str">
            <v>Malu Montesino</v>
          </cell>
        </row>
        <row r="2092">
          <cell r="A2092" t="str">
            <v>59.275.792/0001-50</v>
          </cell>
          <cell r="B2092" t="str">
            <v>Malu Montesino</v>
          </cell>
        </row>
        <row r="2093">
          <cell r="A2093" t="str">
            <v>10.861.317/0001-76</v>
          </cell>
          <cell r="B2093" t="str">
            <v>Mariane Nascimento</v>
          </cell>
        </row>
        <row r="2094">
          <cell r="A2094" t="str">
            <v>10.861.317/0001-76</v>
          </cell>
          <cell r="B2094" t="str">
            <v>Mariane Nascimento</v>
          </cell>
        </row>
        <row r="2095">
          <cell r="A2095" t="str">
            <v>10.861.317/0001-76</v>
          </cell>
          <cell r="B2095" t="str">
            <v>Mariane Nascimento</v>
          </cell>
        </row>
        <row r="2096">
          <cell r="A2096" t="str">
            <v>10.861.317/0001-76</v>
          </cell>
          <cell r="B2096" t="str">
            <v>Mariane Nascimento</v>
          </cell>
        </row>
        <row r="2097">
          <cell r="A2097" t="str">
            <v>29.127.216/0001-02</v>
          </cell>
          <cell r="B2097" t="str">
            <v>Malu Montesino</v>
          </cell>
        </row>
        <row r="2098">
          <cell r="A2098" t="str">
            <v>90.909.631/0001-10</v>
          </cell>
          <cell r="B2098" t="str">
            <v>Malu Montesino</v>
          </cell>
        </row>
        <row r="2099">
          <cell r="A2099" t="str">
            <v>46.550.505/0001-20</v>
          </cell>
          <cell r="B2099" t="str">
            <v>Malu Montesino</v>
          </cell>
        </row>
        <row r="2100">
          <cell r="A2100" t="str">
            <v>89.637.490/0001-45</v>
          </cell>
          <cell r="B2100" t="str">
            <v>Malu Montesino</v>
          </cell>
        </row>
        <row r="2101">
          <cell r="A2101" t="str">
            <v>33.373.325/0001-79</v>
          </cell>
          <cell r="B2101" t="str">
            <v>Mariane Nascimento</v>
          </cell>
        </row>
        <row r="2102">
          <cell r="A2102" t="str">
            <v>03.762.480/0001-16</v>
          </cell>
          <cell r="B2102" t="str">
            <v>Malu Montesino</v>
          </cell>
        </row>
        <row r="2103">
          <cell r="A2103" t="str">
            <v>60.680.873/0001-14</v>
          </cell>
          <cell r="B2103" t="str">
            <v>Malu Montesino</v>
          </cell>
        </row>
        <row r="2104">
          <cell r="A2104" t="str">
            <v>53.113.791/0001-22</v>
          </cell>
          <cell r="B2104" t="str">
            <v>Malu Montesino</v>
          </cell>
        </row>
        <row r="2105">
          <cell r="A2105" t="str">
            <v>59.104.760/0001-91</v>
          </cell>
          <cell r="B2105" t="str">
            <v>Malu Montesino</v>
          </cell>
        </row>
        <row r="2106">
          <cell r="A2106" t="str">
            <v>04.615.114/0001-05</v>
          </cell>
          <cell r="B2106" t="str">
            <v>Malu Montesino</v>
          </cell>
        </row>
        <row r="2107">
          <cell r="A2107" t="str">
            <v>05.551.328/0001-10</v>
          </cell>
          <cell r="B2107" t="str">
            <v>Malu Montesino</v>
          </cell>
        </row>
        <row r="2108">
          <cell r="A2108" t="str">
            <v>05.551.328/0001-10</v>
          </cell>
          <cell r="B2108" t="str">
            <v>Malu Montesino</v>
          </cell>
        </row>
        <row r="2109">
          <cell r="A2109" t="str">
            <v>00.028.986/0001-08</v>
          </cell>
          <cell r="B2109" t="str">
            <v>Malu Montesino</v>
          </cell>
        </row>
        <row r="2110">
          <cell r="A2110" t="str">
            <v>27.460.001/0001-75</v>
          </cell>
          <cell r="B2110" t="str">
            <v>Mariane Nascimento</v>
          </cell>
        </row>
        <row r="2111">
          <cell r="A2111" t="str">
            <v>27.460.001/0001-75</v>
          </cell>
          <cell r="B2111" t="str">
            <v>Mariane Nascimento</v>
          </cell>
        </row>
        <row r="2112">
          <cell r="A2112" t="str">
            <v>82.429.994/0001-20</v>
          </cell>
          <cell r="B2112" t="str">
            <v>Malu Montesino</v>
          </cell>
        </row>
        <row r="2113">
          <cell r="A2113" t="str">
            <v>59.233.783/0001-04</v>
          </cell>
          <cell r="B2113" t="str">
            <v>Malu Montesino</v>
          </cell>
        </row>
        <row r="2114">
          <cell r="A2114" t="str">
            <v>11.405.384/0001-49</v>
          </cell>
          <cell r="B2114" t="str">
            <v>Malu Montesino</v>
          </cell>
        </row>
        <row r="2115">
          <cell r="A2115" t="str">
            <v>11.405.384/0001-49</v>
          </cell>
          <cell r="B2115" t="str">
            <v>Malu Montesino</v>
          </cell>
        </row>
        <row r="2116">
          <cell r="A2116" t="str">
            <v>60.492.131/0001-65</v>
          </cell>
          <cell r="B2116" t="str">
            <v>Malu Montesino</v>
          </cell>
        </row>
        <row r="2117">
          <cell r="A2117" t="str">
            <v>02.357.251/0001-53</v>
          </cell>
          <cell r="B2117" t="str">
            <v>Malu Montesino</v>
          </cell>
        </row>
        <row r="2118">
          <cell r="A2118" t="str">
            <v>02.357.251/0001-53</v>
          </cell>
          <cell r="B2118" t="str">
            <v>Malu Montesino</v>
          </cell>
        </row>
        <row r="2119">
          <cell r="A2119" t="str">
            <v>12.077.181/0001-33</v>
          </cell>
          <cell r="B2119" t="str">
            <v>Malu Montesino</v>
          </cell>
        </row>
        <row r="2120">
          <cell r="A2120" t="str">
            <v>07.935.049/0001-85</v>
          </cell>
          <cell r="B2120" t="str">
            <v>Malu Montesino</v>
          </cell>
        </row>
        <row r="2121">
          <cell r="A2121" t="str">
            <v>13.279.550/0001-33</v>
          </cell>
          <cell r="B2121" t="str">
            <v>Malu Montesino</v>
          </cell>
        </row>
        <row r="2122">
          <cell r="A2122" t="str">
            <v>09.811.654/0001-70</v>
          </cell>
          <cell r="B2122" t="str">
            <v>Malu Montesino</v>
          </cell>
        </row>
        <row r="2123">
          <cell r="A2123" t="str">
            <v>52.273.785/0001-70</v>
          </cell>
          <cell r="B2123" t="str">
            <v>Malu Montesino</v>
          </cell>
        </row>
        <row r="2124">
          <cell r="A2124" t="str">
            <v>51.958.220/0001-63</v>
          </cell>
          <cell r="B2124" t="str">
            <v>Malu Montesino</v>
          </cell>
        </row>
        <row r="2125">
          <cell r="A2125" t="str">
            <v>05.551.328/0001-10</v>
          </cell>
          <cell r="B2125" t="str">
            <v>Malu Montesino</v>
          </cell>
        </row>
        <row r="2126">
          <cell r="A2126" t="str">
            <v>11.405.384/0001-49</v>
          </cell>
          <cell r="B2126" t="str">
            <v>Malu Montesino</v>
          </cell>
        </row>
        <row r="2127">
          <cell r="A2127" t="str">
            <v>00.028.986/0001-08</v>
          </cell>
          <cell r="B2127" t="str">
            <v>Malu Montesino</v>
          </cell>
        </row>
        <row r="2128">
          <cell r="A2128" t="str">
            <v>00.028.986/0001-08</v>
          </cell>
          <cell r="B2128" t="str">
            <v>Malu Montesino</v>
          </cell>
        </row>
        <row r="2129">
          <cell r="A2129" t="str">
            <v>60.680.873/0001-14</v>
          </cell>
          <cell r="B2129" t="str">
            <v>Malu Montesino</v>
          </cell>
        </row>
        <row r="2130">
          <cell r="A2130" t="str">
            <v>03.770.521/0001-16</v>
          </cell>
          <cell r="B2130" t="str">
            <v>Malu Montesino</v>
          </cell>
        </row>
        <row r="2131">
          <cell r="A2131" t="str">
            <v>59.275.792/0001-50</v>
          </cell>
          <cell r="B2131" t="str">
            <v>Malu Montesino</v>
          </cell>
        </row>
        <row r="2132">
          <cell r="A2132" t="str">
            <v>61.074.506/0001-30</v>
          </cell>
          <cell r="B2132" t="str">
            <v>Malu Montesino</v>
          </cell>
        </row>
        <row r="2133">
          <cell r="A2133" t="str">
            <v>40.276.235/0001-25</v>
          </cell>
          <cell r="B2133" t="str">
            <v>Mariane Nascimento</v>
          </cell>
        </row>
        <row r="2134">
          <cell r="A2134" t="str">
            <v>33.373.325/0001-79</v>
          </cell>
          <cell r="B2134" t="str">
            <v>Mariane Nascimento</v>
          </cell>
        </row>
        <row r="2135">
          <cell r="A2135" t="str">
            <v>28.531.958/0001-28</v>
          </cell>
          <cell r="B2135" t="str">
            <v>Mariane Nascimento</v>
          </cell>
        </row>
        <row r="2136">
          <cell r="A2136" t="str">
            <v>28.531.958/0001-28</v>
          </cell>
          <cell r="B2136" t="str">
            <v>Mariane Nascimento</v>
          </cell>
        </row>
        <row r="2137">
          <cell r="A2137" t="str">
            <v>28.531.958/0001-28</v>
          </cell>
          <cell r="B2137" t="str">
            <v>Mariane Nascimento</v>
          </cell>
        </row>
        <row r="2138">
          <cell r="A2138" t="str">
            <v>28.531.958/0001-28</v>
          </cell>
          <cell r="B2138" t="str">
            <v>Mariane Nascimento</v>
          </cell>
        </row>
        <row r="2139">
          <cell r="A2139" t="str">
            <v>21.551.379/0007-93</v>
          </cell>
          <cell r="B2139" t="str">
            <v>Malu Montesino</v>
          </cell>
        </row>
        <row r="2140">
          <cell r="A2140" t="str">
            <v>21.551.379/0007-93</v>
          </cell>
          <cell r="B2140" t="str">
            <v>Malu Montesino</v>
          </cell>
        </row>
        <row r="2141">
          <cell r="A2141" t="str">
            <v>13.852.007/0001-83</v>
          </cell>
          <cell r="B2141" t="str">
            <v>Malu Montesino</v>
          </cell>
        </row>
        <row r="2142">
          <cell r="A2142" t="str">
            <v>59.233.783/0001-04</v>
          </cell>
          <cell r="B2142" t="str">
            <v>Malu Montesino</v>
          </cell>
        </row>
        <row r="2143">
          <cell r="A2143" t="str">
            <v>01.123.973/0001-80</v>
          </cell>
          <cell r="B2143" t="str">
            <v>Malu Montesino</v>
          </cell>
        </row>
        <row r="2144">
          <cell r="A2144" t="str">
            <v>01.123.973/0001-80</v>
          </cell>
          <cell r="B2144" t="str">
            <v>Malu Montesino</v>
          </cell>
        </row>
        <row r="2145">
          <cell r="A2145" t="str">
            <v>80.696.479/0001-81</v>
          </cell>
          <cell r="B2145" t="str">
            <v>Malu Montesino</v>
          </cell>
        </row>
        <row r="2146">
          <cell r="A2146" t="str">
            <v>13.852.007/0001-83</v>
          </cell>
          <cell r="B2146" t="str">
            <v>Malu Montesino</v>
          </cell>
        </row>
        <row r="2147">
          <cell r="A2147" t="str">
            <v>59.275.792/0001-50</v>
          </cell>
          <cell r="B2147" t="str">
            <v>Malu Montesino</v>
          </cell>
        </row>
        <row r="2148">
          <cell r="A2148" t="str">
            <v>80.696.479/0001-81</v>
          </cell>
          <cell r="B2148" t="str">
            <v>Malu Montesino</v>
          </cell>
        </row>
        <row r="2149">
          <cell r="A2149" t="str">
            <v>03.770.521/0001-16</v>
          </cell>
          <cell r="B2149" t="str">
            <v>Malu Montesino</v>
          </cell>
        </row>
        <row r="2150">
          <cell r="A2150" t="str">
            <v>59.275.792/0001-50</v>
          </cell>
          <cell r="B2150" t="str">
            <v>Malu Montesino</v>
          </cell>
        </row>
        <row r="2151">
          <cell r="A2151" t="str">
            <v>10.861.317/0001-76</v>
          </cell>
          <cell r="B2151" t="str">
            <v>Mariane Nascimento</v>
          </cell>
        </row>
        <row r="2152">
          <cell r="A2152" t="str">
            <v>04.963.150/0001-51</v>
          </cell>
          <cell r="B2152" t="str">
            <v>Malu Montesino</v>
          </cell>
        </row>
        <row r="2153">
          <cell r="A2153" t="str">
            <v>33.958.695/0001-78</v>
          </cell>
          <cell r="B2153" t="str">
            <v>Malu Montesino</v>
          </cell>
        </row>
        <row r="2154">
          <cell r="A2154" t="str">
            <v>02.781.376/0001-06</v>
          </cell>
          <cell r="B2154" t="str">
            <v>Malu Montesino</v>
          </cell>
        </row>
        <row r="2155">
          <cell r="A2155" t="str">
            <v>53.113.791/0001-22</v>
          </cell>
          <cell r="B2155" t="str">
            <v>Malu Montesino</v>
          </cell>
        </row>
        <row r="2156">
          <cell r="A2156" t="str">
            <v>53.113.791/0001-22</v>
          </cell>
          <cell r="B2156" t="str">
            <v>Malu Montesino</v>
          </cell>
        </row>
        <row r="2157">
          <cell r="A2157" t="str">
            <v>59.233.783/0001-04</v>
          </cell>
          <cell r="B2157" t="str">
            <v>Malu Montesino</v>
          </cell>
        </row>
        <row r="2158">
          <cell r="A2158" t="str">
            <v>02.629.588/0001-72</v>
          </cell>
          <cell r="B2158" t="str">
            <v>Malu Montesino</v>
          </cell>
        </row>
        <row r="2159">
          <cell r="A2159" t="str">
            <v>02.629.588/0001-72</v>
          </cell>
          <cell r="B2159" t="str">
            <v>Malu Montesino</v>
          </cell>
        </row>
        <row r="2160">
          <cell r="A2160" t="str">
            <v>01.123.973/0001-80</v>
          </cell>
          <cell r="B2160" t="str">
            <v>Malu Montesino</v>
          </cell>
        </row>
        <row r="2161">
          <cell r="A2161" t="str">
            <v>15.431.830/0002-21</v>
          </cell>
          <cell r="B2161" t="str">
            <v>Malu Montesino</v>
          </cell>
        </row>
        <row r="2162">
          <cell r="A2162" t="str">
            <v>59.233.783/0001-04</v>
          </cell>
          <cell r="B2162" t="str">
            <v>Malu Montesino</v>
          </cell>
        </row>
        <row r="2163">
          <cell r="A2163" t="str">
            <v>59.233.783/0001-04</v>
          </cell>
          <cell r="B2163" t="str">
            <v>Malu Montesino</v>
          </cell>
        </row>
        <row r="2164">
          <cell r="A2164" t="str">
            <v>02.629.588/0001-72</v>
          </cell>
          <cell r="B2164" t="str">
            <v>Malu Montesino</v>
          </cell>
        </row>
        <row r="2165">
          <cell r="A2165" t="str">
            <v>01.123.973/0001-80</v>
          </cell>
          <cell r="B2165" t="str">
            <v>Malu Montesino</v>
          </cell>
        </row>
        <row r="2166">
          <cell r="A2166" t="str">
            <v>59.104.422/0001-50</v>
          </cell>
          <cell r="B2166" t="str">
            <v>Malu Montesino</v>
          </cell>
        </row>
        <row r="2167">
          <cell r="A2167" t="str">
            <v>05.431.967/0001-41</v>
          </cell>
          <cell r="B2167" t="str">
            <v>Malu Montesino</v>
          </cell>
        </row>
        <row r="2168">
          <cell r="A2168" t="str">
            <v>03.117.534/0001-90</v>
          </cell>
          <cell r="B2168" t="str">
            <v>Malu Montesino</v>
          </cell>
        </row>
        <row r="2169">
          <cell r="A2169" t="str">
            <v>56.998.701/0001-16</v>
          </cell>
          <cell r="B2169" t="str">
            <v>Malu Montesino</v>
          </cell>
        </row>
        <row r="2170">
          <cell r="A2170" t="str">
            <v>24.893.687/0011-71</v>
          </cell>
          <cell r="B2170" t="str">
            <v>Malu Montesino</v>
          </cell>
        </row>
        <row r="2171">
          <cell r="A2171" t="str">
            <v>01.449.930/0001-90</v>
          </cell>
          <cell r="B2171" t="str">
            <v>Malu Montesino</v>
          </cell>
        </row>
        <row r="2172">
          <cell r="A2172" t="str">
            <v>01.449.930/0001-90</v>
          </cell>
          <cell r="B2172" t="str">
            <v>Malu Montesino</v>
          </cell>
        </row>
        <row r="2173">
          <cell r="A2173" t="str">
            <v>47.419.270/0005-29</v>
          </cell>
          <cell r="B2173" t="str">
            <v>Malu Montesino</v>
          </cell>
        </row>
        <row r="2174">
          <cell r="A2174" t="str">
            <v>59.275.792/0001-50</v>
          </cell>
          <cell r="B2174" t="str">
            <v>Malu Montesino</v>
          </cell>
        </row>
        <row r="2175">
          <cell r="A2175" t="str">
            <v>00.074.635/0001-33</v>
          </cell>
          <cell r="B2175" t="str">
            <v>Malu Montesino</v>
          </cell>
        </row>
        <row r="2176">
          <cell r="A2176" t="str">
            <v>02.877.654/0001-23</v>
          </cell>
          <cell r="B2176" t="str">
            <v>Malu Montesino</v>
          </cell>
        </row>
        <row r="2177">
          <cell r="A2177" t="str">
            <v>21.551.379/0007-93</v>
          </cell>
          <cell r="B2177" t="str">
            <v>Malu Montesino</v>
          </cell>
        </row>
        <row r="2178">
          <cell r="A2178" t="str">
            <v>13.852.007/0001-83</v>
          </cell>
          <cell r="B2178" t="str">
            <v>Malu Montesino</v>
          </cell>
        </row>
        <row r="2179">
          <cell r="A2179" t="str">
            <v>01.123.973/0001-80</v>
          </cell>
          <cell r="B2179" t="str">
            <v>Malu Montesino</v>
          </cell>
        </row>
        <row r="2180">
          <cell r="A2180" t="str">
            <v>01.123.973/0001-80</v>
          </cell>
          <cell r="B2180" t="str">
            <v>Malu Montesino</v>
          </cell>
        </row>
        <row r="2181">
          <cell r="A2181" t="str">
            <v>11.405.384/0001-49</v>
          </cell>
          <cell r="B2181" t="str">
            <v>Malu Montesino</v>
          </cell>
        </row>
        <row r="2182">
          <cell r="A2182" t="str">
            <v>15.284.176/0001-90</v>
          </cell>
          <cell r="B2182" t="str">
            <v>Malu Montesino</v>
          </cell>
        </row>
        <row r="2183">
          <cell r="A2183" t="str">
            <v>79.805.263/0001-28</v>
          </cell>
          <cell r="B2183" t="str">
            <v>Malu Montesino</v>
          </cell>
        </row>
        <row r="2184">
          <cell r="A2184" t="str">
            <v>48.240.709/0001-90</v>
          </cell>
          <cell r="B2184" t="str">
            <v>Malu Montesino</v>
          </cell>
        </row>
        <row r="2185">
          <cell r="A2185" t="str">
            <v>27.401.513/0001-60</v>
          </cell>
          <cell r="B2185" t="str">
            <v>Malu Montesino</v>
          </cell>
        </row>
        <row r="2186">
          <cell r="A2186" t="str">
            <v>16.553.940/0001-48</v>
          </cell>
          <cell r="B2186" t="str">
            <v>Malu Montesino</v>
          </cell>
        </row>
        <row r="2187">
          <cell r="A2187" t="str">
            <v>06.282.480/0001-07</v>
          </cell>
          <cell r="B2187" t="str">
            <v>Malu Montesino</v>
          </cell>
        </row>
        <row r="2188">
          <cell r="A2188" t="str">
            <v>21.725.948/0001-84</v>
          </cell>
          <cell r="B2188" t="str">
            <v>Malu Montesino</v>
          </cell>
        </row>
        <row r="2189">
          <cell r="A2189" t="str">
            <v>07.935.049/0001-85</v>
          </cell>
          <cell r="B2189" t="str">
            <v>Malu Montesino</v>
          </cell>
        </row>
        <row r="2190">
          <cell r="A2190" t="str">
            <v>07.935.049/0001-85</v>
          </cell>
          <cell r="B2190" t="str">
            <v>Malu Montesino</v>
          </cell>
        </row>
        <row r="2191">
          <cell r="A2191" t="str">
            <v>05.857.218/0001-80</v>
          </cell>
          <cell r="B2191" t="str">
            <v>Malu Montesino</v>
          </cell>
        </row>
        <row r="2192">
          <cell r="A2192" t="str">
            <v>11.171.922/0001-88</v>
          </cell>
          <cell r="B2192" t="str">
            <v>Malu Montesino</v>
          </cell>
        </row>
        <row r="2193">
          <cell r="A2193" t="str">
            <v>58.514.928/0001-74</v>
          </cell>
          <cell r="B2193" t="str">
            <v>Malu Montesino</v>
          </cell>
        </row>
        <row r="2194">
          <cell r="A2194" t="str">
            <v>58.514.928/0001-74</v>
          </cell>
          <cell r="B2194" t="str">
            <v>Malu Montesino</v>
          </cell>
        </row>
        <row r="2195">
          <cell r="A2195" t="str">
            <v>33.979.330/0001-20</v>
          </cell>
          <cell r="B2195" t="str">
            <v>Malu Montesino</v>
          </cell>
        </row>
        <row r="2196">
          <cell r="A2196" t="str">
            <v>33.979.330/0001-20</v>
          </cell>
          <cell r="B2196" t="str">
            <v>Malu Montesino</v>
          </cell>
        </row>
        <row r="2197">
          <cell r="A2197" t="str">
            <v>26.852.877/0001-02</v>
          </cell>
          <cell r="B2197" t="str">
            <v>Malu Montesino</v>
          </cell>
        </row>
        <row r="2198">
          <cell r="A2198" t="str">
            <v>35.715.234/0001-08</v>
          </cell>
          <cell r="B2198" t="str">
            <v>Malu Montesino</v>
          </cell>
        </row>
        <row r="2199">
          <cell r="A2199" t="str">
            <v>58.514.928/0001-74</v>
          </cell>
          <cell r="B2199" t="str">
            <v>Malu Montesino</v>
          </cell>
        </row>
        <row r="2200">
          <cell r="A2200" t="str">
            <v>13.852.007/0001-83</v>
          </cell>
          <cell r="B2200" t="str">
            <v>Malu Montesino</v>
          </cell>
        </row>
        <row r="2201">
          <cell r="A2201" t="str">
            <v>21.725.948/0001-84</v>
          </cell>
          <cell r="B2201" t="str">
            <v>Malu Montesino</v>
          </cell>
        </row>
        <row r="2202">
          <cell r="A2202" t="str">
            <v>79.805.263/0001-28</v>
          </cell>
          <cell r="B2202" t="str">
            <v>Malu Montesino</v>
          </cell>
        </row>
        <row r="2203">
          <cell r="A2203" t="str">
            <v>29.736.089/0001-30</v>
          </cell>
          <cell r="B2203" t="str">
            <v>Malu Montesino</v>
          </cell>
        </row>
        <row r="2204">
          <cell r="A2204" t="str">
            <v>29.736.089/0001-30</v>
          </cell>
          <cell r="B2204" t="str">
            <v>Malu Montesino</v>
          </cell>
        </row>
        <row r="2205">
          <cell r="A2205" t="str">
            <v>29.736.089/0001-30</v>
          </cell>
          <cell r="B2205" t="str">
            <v>Malu Montesino</v>
          </cell>
        </row>
        <row r="2206">
          <cell r="A2206" t="str">
            <v>29.736.089/0001-30</v>
          </cell>
          <cell r="B2206" t="str">
            <v>Malu Montesino</v>
          </cell>
        </row>
        <row r="2207">
          <cell r="A2207" t="str">
            <v>42.150.391/0001-70</v>
          </cell>
          <cell r="B2207" t="str">
            <v>Malu Montesino</v>
          </cell>
        </row>
        <row r="2208">
          <cell r="A2208" t="str">
            <v>58.752.460/0001-56</v>
          </cell>
          <cell r="B2208" t="str">
            <v>Mariane Nascimento</v>
          </cell>
        </row>
        <row r="2209">
          <cell r="A2209" t="str">
            <v>40.276.235/0001-25</v>
          </cell>
          <cell r="B2209" t="str">
            <v>Mariane Nascimento</v>
          </cell>
        </row>
        <row r="2210">
          <cell r="A2210" t="str">
            <v>40.276.235/0001-25</v>
          </cell>
          <cell r="B2210" t="str">
            <v>Mariane Nascimento</v>
          </cell>
        </row>
        <row r="2211">
          <cell r="A2211" t="str">
            <v>05.389.365/0001-73</v>
          </cell>
          <cell r="B2211" t="str">
            <v>Malu Montesino</v>
          </cell>
        </row>
        <row r="2212">
          <cell r="A2212" t="str">
            <v>03.685.434/0001-60</v>
          </cell>
          <cell r="B2212" t="str">
            <v>Malu Montesino</v>
          </cell>
        </row>
        <row r="2213">
          <cell r="A2213" t="str">
            <v>05.059.358/0001-03</v>
          </cell>
          <cell r="B2213" t="str">
            <v>Mariane Nascimento</v>
          </cell>
        </row>
        <row r="2214">
          <cell r="A2214" t="str">
            <v>05.059.358/0001-03</v>
          </cell>
          <cell r="B2214" t="str">
            <v>Mariane Nascimento</v>
          </cell>
        </row>
        <row r="2215">
          <cell r="A2215" t="str">
            <v>28.531.958/0001-28</v>
          </cell>
          <cell r="B2215" t="str">
            <v>Mariane Nascimento</v>
          </cell>
        </row>
        <row r="2216">
          <cell r="A2216" t="str">
            <v>84.683.879/0001-03</v>
          </cell>
          <cell r="B2216" t="str">
            <v>Malu Montesino</v>
          </cell>
        </row>
        <row r="2217">
          <cell r="A2217" t="str">
            <v>84.683.879/0001-03</v>
          </cell>
          <cell r="B2217" t="str">
            <v>Malu Montesino</v>
          </cell>
        </row>
        <row r="2218">
          <cell r="A2218" t="str">
            <v>92.664.028/0001-41</v>
          </cell>
          <cell r="B2218" t="str">
            <v>Malu Montesino</v>
          </cell>
        </row>
        <row r="2219">
          <cell r="A2219" t="str">
            <v>06.990.590/0001-23</v>
          </cell>
          <cell r="B2219" t="str">
            <v>Malu Montesino</v>
          </cell>
        </row>
        <row r="2220">
          <cell r="A2220" t="str">
            <v>61.185.922/0001-05</v>
          </cell>
          <cell r="B2220" t="str">
            <v>Malu Montesino</v>
          </cell>
        </row>
        <row r="2221">
          <cell r="A2221" t="str">
            <v>02.033.695/0001-33</v>
          </cell>
          <cell r="B2221" t="str">
            <v>Malu Montesino</v>
          </cell>
        </row>
        <row r="2222">
          <cell r="A2222" t="str">
            <v>52.079.388/0001-61</v>
          </cell>
          <cell r="B2222" t="str">
            <v>Malu Montesino</v>
          </cell>
        </row>
        <row r="2223">
          <cell r="A2223" t="str">
            <v>10.399.398/0001-34</v>
          </cell>
          <cell r="B2223" t="str">
            <v>Malu Montesino</v>
          </cell>
        </row>
        <row r="2224">
          <cell r="A2224" t="str">
            <v>52.273.785/0001-70</v>
          </cell>
          <cell r="B2224" t="str">
            <v>Malu Montesino</v>
          </cell>
        </row>
        <row r="2225">
          <cell r="A2225" t="str">
            <v>61.817.664/0001-32</v>
          </cell>
          <cell r="B2225" t="str">
            <v>Mariane Nascimento</v>
          </cell>
        </row>
        <row r="2226">
          <cell r="A2226" t="str">
            <v>61.817.664/0001-32</v>
          </cell>
          <cell r="B2226" t="str">
            <v>Mariane Nascimento</v>
          </cell>
        </row>
        <row r="2227">
          <cell r="A2227" t="str">
            <v>59.231.530/0001-93</v>
          </cell>
          <cell r="B2227" t="str">
            <v>Malu Montesino</v>
          </cell>
        </row>
        <row r="2228">
          <cell r="A2228" t="str">
            <v>19.428.087/0001-20</v>
          </cell>
          <cell r="B2228" t="str">
            <v>Malu Montesino</v>
          </cell>
        </row>
        <row r="2229">
          <cell r="A2229" t="str">
            <v>80.696.479/0001-81</v>
          </cell>
          <cell r="B2229" t="str">
            <v>Malu Montesino</v>
          </cell>
        </row>
        <row r="2230">
          <cell r="A2230" t="str">
            <v>80.696.479/0001-81</v>
          </cell>
          <cell r="B2230" t="str">
            <v>Malu Montesino</v>
          </cell>
        </row>
        <row r="2231">
          <cell r="A2231" t="str">
            <v>08.762.826/0001-08</v>
          </cell>
          <cell r="B2231" t="str">
            <v>Malu Montesino</v>
          </cell>
        </row>
        <row r="2232">
          <cell r="A2232" t="str">
            <v>08.762.826/0001-08</v>
          </cell>
          <cell r="B2232" t="str">
            <v>Malu Montesino</v>
          </cell>
        </row>
        <row r="2233">
          <cell r="A2233" t="str">
            <v>05.857.218/0001-80</v>
          </cell>
          <cell r="B2233" t="str">
            <v>Malu Montesino</v>
          </cell>
        </row>
        <row r="2234">
          <cell r="A2234" t="str">
            <v>92.664.028/0001-41</v>
          </cell>
          <cell r="B2234" t="str">
            <v>Malu Montesino</v>
          </cell>
        </row>
        <row r="2235">
          <cell r="A2235" t="str">
            <v>92.664.028/0001-41</v>
          </cell>
          <cell r="B2235" t="str">
            <v>Malu Montesino</v>
          </cell>
        </row>
        <row r="2236">
          <cell r="A2236" t="str">
            <v>10.399.398/0001-34</v>
          </cell>
          <cell r="B2236" t="str">
            <v>Malu Montesino</v>
          </cell>
        </row>
        <row r="2237">
          <cell r="A2237" t="str">
            <v>29.736.089/0001-30</v>
          </cell>
          <cell r="B2237" t="str">
            <v>Malu Montesino</v>
          </cell>
        </row>
        <row r="2238">
          <cell r="A2238" t="str">
            <v>03.055.200/0001-30</v>
          </cell>
          <cell r="B2238" t="str">
            <v>Malu Montesino</v>
          </cell>
        </row>
        <row r="2239">
          <cell r="A2239" t="str">
            <v>12.246.862/0001-88</v>
          </cell>
          <cell r="B2239" t="str">
            <v>Mariane Nascimento</v>
          </cell>
        </row>
        <row r="2240">
          <cell r="A2240" t="str">
            <v>59.275.792/0001-50</v>
          </cell>
          <cell r="B2240" t="str">
            <v>Malu Montesino</v>
          </cell>
        </row>
        <row r="2241">
          <cell r="A2241" t="str">
            <v>15.284.176/0001-90</v>
          </cell>
          <cell r="B2241" t="str">
            <v>Malu Montesino</v>
          </cell>
        </row>
        <row r="2242">
          <cell r="A2242" t="str">
            <v>15.284.176/0001-90</v>
          </cell>
          <cell r="B2242" t="str">
            <v>Malu Montesino</v>
          </cell>
        </row>
        <row r="2243">
          <cell r="A2243" t="str">
            <v>15.431.830/0002-21</v>
          </cell>
          <cell r="B2243" t="str">
            <v>Malu Montesino</v>
          </cell>
        </row>
        <row r="2244">
          <cell r="A2244" t="str">
            <v>24.792.315/0001-87</v>
          </cell>
          <cell r="B2244" t="str">
            <v>Malu Montesino</v>
          </cell>
        </row>
        <row r="2245">
          <cell r="A2245" t="str">
            <v>58.752.460/0001-56</v>
          </cell>
          <cell r="B2245" t="str">
            <v>Mariane Nascimento</v>
          </cell>
        </row>
        <row r="2246">
          <cell r="A2246" t="str">
            <v>04.078.043/0001-40</v>
          </cell>
          <cell r="B2246" t="str">
            <v>Mariane Nascimento</v>
          </cell>
        </row>
        <row r="2247">
          <cell r="A2247" t="str">
            <v>05.389.365/0001-73</v>
          </cell>
          <cell r="B2247" t="str">
            <v>Malu Montesino</v>
          </cell>
        </row>
        <row r="2248">
          <cell r="A2248" t="str">
            <v>05.743.288/0001-08</v>
          </cell>
          <cell r="B2248" t="str">
            <v>Mariane Nascimento</v>
          </cell>
        </row>
        <row r="2249">
          <cell r="A2249" t="str">
            <v>05.743.288/0001-08</v>
          </cell>
          <cell r="B2249" t="str">
            <v>Mariane Nascimento</v>
          </cell>
        </row>
        <row r="2250">
          <cell r="A2250" t="str">
            <v>27.547.607/0001-42</v>
          </cell>
          <cell r="B2250" t="str">
            <v>Malu Montesino</v>
          </cell>
        </row>
        <row r="2251">
          <cell r="A2251" t="str">
            <v>05.059.358/0001-03</v>
          </cell>
          <cell r="B2251" t="str">
            <v>Mariane Nascimento</v>
          </cell>
        </row>
        <row r="2252">
          <cell r="A2252" t="str">
            <v>13.114.506/0001-73</v>
          </cell>
          <cell r="B2252" t="str">
            <v>Malu Montesino</v>
          </cell>
        </row>
        <row r="2253">
          <cell r="A2253" t="str">
            <v>46.550.505/0001-20</v>
          </cell>
          <cell r="B2253" t="str">
            <v>Malu Montesino</v>
          </cell>
        </row>
        <row r="2254">
          <cell r="A2254" t="str">
            <v>46.550.505/0001-20</v>
          </cell>
          <cell r="B2254" t="str">
            <v>Malu Montesino</v>
          </cell>
        </row>
        <row r="2255">
          <cell r="A2255" t="str">
            <v>39.032.974/0001-92</v>
          </cell>
          <cell r="B2255" t="str">
            <v>Mariane Nascimento</v>
          </cell>
        </row>
        <row r="2256">
          <cell r="A2256" t="str">
            <v>28.531.958/0001-28</v>
          </cell>
          <cell r="B2256" t="str">
            <v>Mariane Nascimento</v>
          </cell>
        </row>
        <row r="2257">
          <cell r="A2257" t="str">
            <v>11.619.992/0001-56</v>
          </cell>
          <cell r="B2257" t="str">
            <v>Mariane Nascimento</v>
          </cell>
        </row>
        <row r="2258">
          <cell r="A2258" t="str">
            <v>11.619.992/0001-56</v>
          </cell>
          <cell r="B2258" t="str">
            <v>Mariane Nascimento</v>
          </cell>
        </row>
        <row r="2259">
          <cell r="A2259" t="str">
            <v>32.737.279/0001-87</v>
          </cell>
          <cell r="B2259" t="str">
            <v>Mariane Nascimento</v>
          </cell>
        </row>
        <row r="2260">
          <cell r="A2260" t="str">
            <v>32.737.279/0001-87</v>
          </cell>
          <cell r="B2260" t="str">
            <v>Mariane Nascimento</v>
          </cell>
        </row>
        <row r="2261">
          <cell r="A2261" t="str">
            <v>47.909.054/0001-38</v>
          </cell>
          <cell r="B2261" t="str">
            <v>Malu Montesino</v>
          </cell>
        </row>
        <row r="2262">
          <cell r="A2262" t="str">
            <v>02.781.376/0001-06</v>
          </cell>
          <cell r="B2262" t="str">
            <v>Malu Montesino</v>
          </cell>
        </row>
        <row r="2263">
          <cell r="A2263" t="str">
            <v>16.549.335/0001-01</v>
          </cell>
          <cell r="B2263" t="str">
            <v>Malu Montesino</v>
          </cell>
        </row>
        <row r="2264">
          <cell r="A2264" t="str">
            <v>00.028.986/0001-08</v>
          </cell>
          <cell r="B2264" t="str">
            <v>Malu Montesino</v>
          </cell>
        </row>
        <row r="2265">
          <cell r="A2265" t="str">
            <v>00.028.986/0001-08</v>
          </cell>
          <cell r="B2265" t="str">
            <v>Malu Montesino</v>
          </cell>
        </row>
        <row r="2266">
          <cell r="A2266" t="str">
            <v>02.291.486/0001-90</v>
          </cell>
          <cell r="B2266" t="str">
            <v>Malu Montesino</v>
          </cell>
        </row>
        <row r="2267">
          <cell r="A2267" t="str">
            <v>02.291.486/0001-90</v>
          </cell>
          <cell r="B2267" t="str">
            <v>Malu Montesino</v>
          </cell>
        </row>
        <row r="2268">
          <cell r="A2268" t="str">
            <v>82.429.994/0001-20</v>
          </cell>
          <cell r="B2268" t="str">
            <v>Malu Montesino</v>
          </cell>
        </row>
        <row r="2269">
          <cell r="A2269" t="str">
            <v>06.207.067/0001-88</v>
          </cell>
          <cell r="B2269" t="str">
            <v>Malu Montesino</v>
          </cell>
        </row>
        <row r="2270">
          <cell r="A2270" t="str">
            <v>45.510.160/0001-19</v>
          </cell>
          <cell r="B2270" t="str">
            <v>Malu Montesino</v>
          </cell>
        </row>
        <row r="2271">
          <cell r="A2271" t="str">
            <v>02.814.497/0001-07</v>
          </cell>
          <cell r="B2271" t="str">
            <v>Malu Montesino</v>
          </cell>
        </row>
        <row r="2272">
          <cell r="A2272" t="str">
            <v>54.565.478/0001-98</v>
          </cell>
          <cell r="B2272" t="str">
            <v>Malu Montesino</v>
          </cell>
        </row>
        <row r="2273">
          <cell r="A2273" t="str">
            <v>44.880.091/0001-72</v>
          </cell>
          <cell r="B2273" t="str">
            <v>Malu Montesino</v>
          </cell>
        </row>
        <row r="2274">
          <cell r="A2274" t="str">
            <v>05.857.218/0001-80</v>
          </cell>
          <cell r="B2274" t="str">
            <v>Malu Montesino</v>
          </cell>
        </row>
        <row r="2275">
          <cell r="A2275" t="str">
            <v>12.821.486/0001-08</v>
          </cell>
          <cell r="B2275" t="str">
            <v>Malu Montesino</v>
          </cell>
        </row>
        <row r="2276">
          <cell r="A2276" t="str">
            <v>58.514.928/0001-74</v>
          </cell>
          <cell r="B2276" t="str">
            <v>Malu Montesino</v>
          </cell>
        </row>
        <row r="2277">
          <cell r="A2277" t="str">
            <v>05.603.470/0002-44</v>
          </cell>
          <cell r="B2277" t="str">
            <v>Malu Montesino</v>
          </cell>
        </row>
        <row r="2278">
          <cell r="A2278" t="str">
            <v>16.549.335/0001-01</v>
          </cell>
          <cell r="B2278" t="str">
            <v>Malu Montesino</v>
          </cell>
        </row>
        <row r="2279">
          <cell r="A2279" t="str">
            <v>58.514.928/0001-74</v>
          </cell>
          <cell r="B2279" t="str">
            <v>Malu Montesino</v>
          </cell>
        </row>
        <row r="2280">
          <cell r="A2280" t="str">
            <v>96.228.317/0001-59</v>
          </cell>
          <cell r="B2280" t="str">
            <v>Malu Montesino</v>
          </cell>
        </row>
        <row r="2281">
          <cell r="A2281" t="str">
            <v>02.781.376/0001-06</v>
          </cell>
          <cell r="B2281" t="str">
            <v>Malu Montesino</v>
          </cell>
        </row>
        <row r="2282">
          <cell r="A2282" t="str">
            <v>54.565.478/0001-98</v>
          </cell>
          <cell r="B2282" t="str">
            <v>Malu Montesino</v>
          </cell>
        </row>
        <row r="2283">
          <cell r="A2283" t="str">
            <v>46.550.505/0001-20</v>
          </cell>
          <cell r="B2283" t="str">
            <v>Malu Montesino</v>
          </cell>
        </row>
        <row r="2284">
          <cell r="A2284" t="str">
            <v>07.018.219/0001-67</v>
          </cell>
          <cell r="B2284" t="str">
            <v>Malu Montesino</v>
          </cell>
        </row>
        <row r="2285">
          <cell r="A2285" t="str">
            <v>53.910.899/0001-46</v>
          </cell>
          <cell r="B2285" t="str">
            <v>Malu Montesino</v>
          </cell>
        </row>
        <row r="2286">
          <cell r="A2286" t="str">
            <v>40.276.235/0001-25</v>
          </cell>
          <cell r="B2286" t="str">
            <v>Mariane Nascimento</v>
          </cell>
        </row>
        <row r="2287">
          <cell r="A2287" t="str">
            <v>49.930.514/0001-35</v>
          </cell>
          <cell r="B2287" t="str">
            <v>Malu Montesino</v>
          </cell>
        </row>
        <row r="2288">
          <cell r="A2288" t="str">
            <v>13.114.506/0001-73</v>
          </cell>
          <cell r="B2288" t="str">
            <v>Malu Montesino</v>
          </cell>
        </row>
        <row r="2289">
          <cell r="A2289" t="str">
            <v>33.373.325/0001-79</v>
          </cell>
          <cell r="B2289" t="str">
            <v>Mariane Nascimento</v>
          </cell>
        </row>
        <row r="2290">
          <cell r="A2290" t="str">
            <v>33.373.325/0001-79</v>
          </cell>
          <cell r="B2290" t="str">
            <v>Mariane Nascimento</v>
          </cell>
        </row>
        <row r="2291">
          <cell r="A2291" t="str">
            <v>02.777.131/0001-05</v>
          </cell>
          <cell r="B2291" t="str">
            <v>Malu Montesino</v>
          </cell>
        </row>
        <row r="2292">
          <cell r="A2292" t="str">
            <v>02.777.131/0001-05</v>
          </cell>
          <cell r="B2292" t="str">
            <v>Malu Montesino</v>
          </cell>
        </row>
        <row r="2293">
          <cell r="A2293" t="str">
            <v>11.619.992/0001-56</v>
          </cell>
          <cell r="B2293" t="str">
            <v>Mariane Nascimento</v>
          </cell>
        </row>
        <row r="2294">
          <cell r="A2294" t="str">
            <v>02.470.279/0001-00</v>
          </cell>
          <cell r="B2294" t="str">
            <v>Malu Montesino</v>
          </cell>
        </row>
        <row r="2295">
          <cell r="A2295" t="str">
            <v>02.470.279/0001-00</v>
          </cell>
          <cell r="B2295" t="str">
            <v>Malu Montesino</v>
          </cell>
        </row>
        <row r="2296">
          <cell r="A2296" t="str">
            <v>02.470.279/0001-00</v>
          </cell>
          <cell r="B2296" t="str">
            <v>Malu Montesino</v>
          </cell>
        </row>
        <row r="2297">
          <cell r="A2297" t="str">
            <v>21.333.748/0001-86</v>
          </cell>
          <cell r="B2297" t="str">
            <v>Malu Montesino</v>
          </cell>
        </row>
        <row r="2298">
          <cell r="A2298" t="str">
            <v>22.090.928/0001-47</v>
          </cell>
          <cell r="B2298" t="str">
            <v>Malu Montesino</v>
          </cell>
        </row>
        <row r="2299">
          <cell r="A2299" t="str">
            <v>02.781.376/0001-06</v>
          </cell>
          <cell r="B2299" t="str">
            <v>Malu Montesino</v>
          </cell>
        </row>
        <row r="2300">
          <cell r="A2300" t="str">
            <v>02.781.376/0001-06</v>
          </cell>
          <cell r="B2300" t="str">
            <v>Malu Montesino</v>
          </cell>
        </row>
        <row r="2301">
          <cell r="A2301" t="str">
            <v>00.416.170/0001-51</v>
          </cell>
          <cell r="B2301" t="str">
            <v>Malu Montesino</v>
          </cell>
        </row>
        <row r="2302">
          <cell r="A2302" t="str">
            <v>03.667.420/0001-14</v>
          </cell>
          <cell r="B2302" t="str">
            <v>Malu Montesino</v>
          </cell>
        </row>
        <row r="2303">
          <cell r="A2303" t="str">
            <v>82.429.994/0001-20</v>
          </cell>
          <cell r="B2303" t="str">
            <v>Malu Montesino</v>
          </cell>
        </row>
        <row r="2304">
          <cell r="A2304" t="str">
            <v>45.510.160/0001-19</v>
          </cell>
          <cell r="B2304" t="str">
            <v>Malu Montesino</v>
          </cell>
        </row>
        <row r="2305">
          <cell r="A2305" t="str">
            <v>54.565.478/0001-98</v>
          </cell>
          <cell r="B2305" t="str">
            <v>Malu Montesino</v>
          </cell>
        </row>
        <row r="2306">
          <cell r="A2306" t="str">
            <v>15.331.924/0001-48</v>
          </cell>
          <cell r="B2306" t="str">
            <v>Malu Montesino</v>
          </cell>
        </row>
        <row r="2307">
          <cell r="A2307" t="str">
            <v>82.901.000/0001-27</v>
          </cell>
          <cell r="B2307" t="str">
            <v>Malu Montesino</v>
          </cell>
        </row>
        <row r="2308">
          <cell r="A2308" t="str">
            <v>13.279.550/0001-33</v>
          </cell>
          <cell r="B2308" t="str">
            <v>Malu Montesino</v>
          </cell>
        </row>
        <row r="2309">
          <cell r="A2309" t="str">
            <v>44.880.091/0001-72</v>
          </cell>
          <cell r="B2309" t="str">
            <v>Malu Montesino</v>
          </cell>
        </row>
        <row r="2310">
          <cell r="A2310" t="str">
            <v>44.880.091/0001-72</v>
          </cell>
          <cell r="B2310" t="str">
            <v>Malu Montesino</v>
          </cell>
        </row>
        <row r="2311">
          <cell r="A2311" t="str">
            <v>33.069.212/0001-84</v>
          </cell>
          <cell r="B2311" t="str">
            <v>Malu Montesino</v>
          </cell>
        </row>
        <row r="2312">
          <cell r="A2312" t="str">
            <v>77.152.338/0001-93</v>
          </cell>
          <cell r="B2312" t="str">
            <v>Malu Montesino</v>
          </cell>
        </row>
        <row r="2313">
          <cell r="A2313" t="str">
            <v>33.979.330/0001-20</v>
          </cell>
          <cell r="B2313" t="str">
            <v>Malu Montesino</v>
          </cell>
        </row>
        <row r="2314">
          <cell r="A2314" t="str">
            <v>33.979.330/0001-20</v>
          </cell>
          <cell r="B2314" t="str">
            <v>Malu Montesino</v>
          </cell>
        </row>
        <row r="2315">
          <cell r="A2315" t="str">
            <v>33.979.330/0001-20</v>
          </cell>
          <cell r="B2315" t="str">
            <v>Malu Montesino</v>
          </cell>
        </row>
        <row r="2316">
          <cell r="A2316" t="str">
            <v>33.979.330/0001-20</v>
          </cell>
          <cell r="B2316" t="str">
            <v>Malu Montesino</v>
          </cell>
        </row>
        <row r="2317">
          <cell r="A2317" t="str">
            <v>06.980.064/0001-82</v>
          </cell>
          <cell r="B2317" t="str">
            <v>Malu Montesino</v>
          </cell>
        </row>
        <row r="2318">
          <cell r="A2318" t="str">
            <v>06.980.064/0001-82</v>
          </cell>
          <cell r="B2318" t="str">
            <v>Malu Montesino</v>
          </cell>
        </row>
        <row r="2319">
          <cell r="A2319" t="str">
            <v>06.980.064/0001-82</v>
          </cell>
          <cell r="B2319" t="str">
            <v>Malu Montesino</v>
          </cell>
        </row>
        <row r="2320">
          <cell r="A2320" t="str">
            <v>10.394.422/0001-42</v>
          </cell>
          <cell r="B2320" t="str">
            <v>Malu Montesino</v>
          </cell>
        </row>
        <row r="2321">
          <cell r="A2321" t="str">
            <v>10.394.422/0001-42</v>
          </cell>
          <cell r="B2321" t="str">
            <v>Malu Montesino</v>
          </cell>
        </row>
        <row r="2322">
          <cell r="A2322" t="str">
            <v>61.797.924/0001-55</v>
          </cell>
          <cell r="B2322" t="str">
            <v>Malu Montesino</v>
          </cell>
        </row>
        <row r="2323">
          <cell r="A2323" t="str">
            <v>02.777.131/0001-05</v>
          </cell>
          <cell r="B2323" t="str">
            <v>Malu Montesino</v>
          </cell>
        </row>
        <row r="2324">
          <cell r="A2324" t="str">
            <v>02.470.279/0001-00</v>
          </cell>
          <cell r="B2324" t="str">
            <v>Malu Montesino</v>
          </cell>
        </row>
        <row r="2325">
          <cell r="A2325" t="str">
            <v>02.781.376/0001-06</v>
          </cell>
          <cell r="B2325" t="str">
            <v>Malu Montesino</v>
          </cell>
        </row>
        <row r="2326">
          <cell r="A2326" t="str">
            <v>88.610.324/0001-92</v>
          </cell>
          <cell r="B2326" t="str">
            <v>Malu Montesino</v>
          </cell>
        </row>
        <row r="2327">
          <cell r="A2327" t="str">
            <v>49.351.786/0001-80</v>
          </cell>
          <cell r="B2327" t="str">
            <v>Malu Montesino</v>
          </cell>
        </row>
        <row r="2328">
          <cell r="A2328" t="str">
            <v>04.937.243/0001-01</v>
          </cell>
          <cell r="B2328" t="str">
            <v>Malu Montesino</v>
          </cell>
        </row>
        <row r="2329">
          <cell r="A2329" t="str">
            <v>46.138.319/0001-89</v>
          </cell>
          <cell r="B2329" t="str">
            <v>Malu Montesino</v>
          </cell>
        </row>
        <row r="2330">
          <cell r="A2330" t="str">
            <v>46.138.319/0001-89</v>
          </cell>
          <cell r="B2330" t="str">
            <v>Malu Montesino</v>
          </cell>
        </row>
        <row r="2331">
          <cell r="A2331" t="str">
            <v>08.658.622/0001-13</v>
          </cell>
          <cell r="B2331" t="str">
            <v>Malu Montesino</v>
          </cell>
        </row>
        <row r="2332">
          <cell r="A2332" t="str">
            <v>32.737.279/0001-87</v>
          </cell>
          <cell r="B2332" t="str">
            <v>Mariane Nascimento</v>
          </cell>
        </row>
        <row r="2333">
          <cell r="A2333" t="str">
            <v>53.113.791/0001-22</v>
          </cell>
          <cell r="B2333" t="str">
            <v>Malu Montesino</v>
          </cell>
        </row>
        <row r="2334">
          <cell r="A2334" t="str">
            <v>22.301.988/0001-61</v>
          </cell>
          <cell r="B2334" t="str">
            <v>Malu Montesino</v>
          </cell>
        </row>
        <row r="2335">
          <cell r="A2335" t="str">
            <v>00.028.986/0001-08</v>
          </cell>
          <cell r="B2335" t="str">
            <v>Malu Montesino</v>
          </cell>
        </row>
        <row r="2336">
          <cell r="A2336" t="str">
            <v>04.079.384/0001-30</v>
          </cell>
          <cell r="B2336" t="str">
            <v>Malu Montesino</v>
          </cell>
        </row>
        <row r="2337">
          <cell r="A2337" t="str">
            <v>79.841.904/0001-08</v>
          </cell>
          <cell r="B2337" t="str">
            <v>Malu Montesino</v>
          </cell>
        </row>
        <row r="2338">
          <cell r="A2338" t="str">
            <v>79.841.904/0001-08</v>
          </cell>
          <cell r="B2338" t="str">
            <v>Malu Montesino</v>
          </cell>
        </row>
        <row r="2339">
          <cell r="A2339" t="str">
            <v>79.841.904/0001-08</v>
          </cell>
          <cell r="B2339" t="str">
            <v>Malu Montesino</v>
          </cell>
        </row>
        <row r="2340">
          <cell r="A2340" t="str">
            <v>59.233.783/0001-04</v>
          </cell>
          <cell r="B2340" t="str">
            <v>Malu Montesino</v>
          </cell>
        </row>
        <row r="2341">
          <cell r="A2341" t="str">
            <v>59.233.783/0001-04</v>
          </cell>
          <cell r="B2341" t="str">
            <v>Malu Montesino</v>
          </cell>
        </row>
        <row r="2342">
          <cell r="A2342" t="str">
            <v>45.510.160/0001-19</v>
          </cell>
          <cell r="B2342" t="str">
            <v>Malu Montesino</v>
          </cell>
        </row>
        <row r="2343">
          <cell r="A2343" t="str">
            <v>44.880.091/0001-72</v>
          </cell>
          <cell r="B2343" t="str">
            <v>Malu Montesino</v>
          </cell>
        </row>
        <row r="2344">
          <cell r="A2344" t="str">
            <v>33.979.330/0001-20</v>
          </cell>
          <cell r="B2344" t="str">
            <v>Malu Montesino</v>
          </cell>
        </row>
        <row r="2345">
          <cell r="A2345" t="str">
            <v>10.313.717/0001-47</v>
          </cell>
          <cell r="B2345" t="str">
            <v>Malu Montesino</v>
          </cell>
        </row>
        <row r="2346">
          <cell r="A2346" t="str">
            <v>43.235.795/0001-20</v>
          </cell>
          <cell r="B2346" t="str">
            <v>Malu Montesino</v>
          </cell>
        </row>
        <row r="2347">
          <cell r="A2347" t="str">
            <v>46.138.319/0001-89</v>
          </cell>
          <cell r="B2347" t="str">
            <v>Malu Montesino</v>
          </cell>
        </row>
        <row r="2348">
          <cell r="A2348" t="str">
            <v>79.841.904/0001-08</v>
          </cell>
          <cell r="B2348" t="str">
            <v>Malu Montesino</v>
          </cell>
        </row>
        <row r="2349">
          <cell r="A2349" t="str">
            <v>10.313.717/0001-47</v>
          </cell>
          <cell r="B2349" t="str">
            <v>Malu Montesino</v>
          </cell>
        </row>
        <row r="2350">
          <cell r="A2350" t="str">
            <v>10.861.317/0001-76</v>
          </cell>
          <cell r="B2350" t="str">
            <v>Mariane Nascimento</v>
          </cell>
        </row>
        <row r="2351">
          <cell r="A2351" t="str">
            <v>03.117.534/0001-90</v>
          </cell>
          <cell r="B2351" t="str">
            <v>Malu Montesino</v>
          </cell>
        </row>
        <row r="2352">
          <cell r="A2352" t="str">
            <v>03.117.534/0001-90</v>
          </cell>
          <cell r="B2352" t="str">
            <v>Malu Montesino</v>
          </cell>
        </row>
        <row r="2353">
          <cell r="A2353" t="str">
            <v>40.276.235/0001-25</v>
          </cell>
          <cell r="B2353" t="str">
            <v>Mariane Nascimento</v>
          </cell>
        </row>
        <row r="2354">
          <cell r="A2354" t="str">
            <v>40.276.235/0001-25</v>
          </cell>
          <cell r="B2354" t="str">
            <v>Mariane Nascimento</v>
          </cell>
        </row>
        <row r="2355">
          <cell r="A2355" t="str">
            <v>79.712.642/0001-73</v>
          </cell>
          <cell r="B2355" t="str">
            <v>Malu Montesino</v>
          </cell>
        </row>
        <row r="2356">
          <cell r="A2356" t="str">
            <v>79.712.642/0001-73</v>
          </cell>
          <cell r="B2356" t="str">
            <v>Malu Montesino</v>
          </cell>
        </row>
        <row r="2357">
          <cell r="A2357" t="str">
            <v>31.406.860/0001-53</v>
          </cell>
          <cell r="B2357" t="str">
            <v>Malu Montesino</v>
          </cell>
        </row>
        <row r="2358">
          <cell r="A2358" t="str">
            <v>01.679.569/0001-98</v>
          </cell>
          <cell r="B2358" t="str">
            <v>Malu Montesino</v>
          </cell>
        </row>
        <row r="2359">
          <cell r="A2359" t="str">
            <v>05.743.288/0001-08</v>
          </cell>
          <cell r="B2359" t="str">
            <v>Mariane Nascimento</v>
          </cell>
        </row>
        <row r="2360">
          <cell r="A2360" t="str">
            <v>05.059.358/0001-03</v>
          </cell>
          <cell r="B2360" t="str">
            <v>Mariane Nascimento</v>
          </cell>
        </row>
        <row r="2361">
          <cell r="A2361" t="str">
            <v>07.065.479/0001-93</v>
          </cell>
          <cell r="B2361" t="str">
            <v>Malu Montesino</v>
          </cell>
        </row>
        <row r="2362">
          <cell r="A2362" t="str">
            <v>60.680.873/0001-14</v>
          </cell>
          <cell r="B2362" t="str">
            <v>Malu Montesino</v>
          </cell>
        </row>
        <row r="2363">
          <cell r="A2363" t="str">
            <v>28.531.958/0001-28</v>
          </cell>
          <cell r="B2363" t="str">
            <v>Mariane Nascimento</v>
          </cell>
        </row>
        <row r="2364">
          <cell r="A2364" t="str">
            <v>22.301.988/0001-61</v>
          </cell>
          <cell r="B2364" t="str">
            <v>Malu Montesino</v>
          </cell>
        </row>
        <row r="2365">
          <cell r="A2365" t="str">
            <v>14.707.364/0001-10</v>
          </cell>
          <cell r="B2365" t="str">
            <v>Malu Montesino</v>
          </cell>
        </row>
        <row r="2366">
          <cell r="A2366" t="str">
            <v>02.877.654/0001-23</v>
          </cell>
          <cell r="B2366" t="str">
            <v>Malu Montesino</v>
          </cell>
        </row>
        <row r="2367">
          <cell r="A2367" t="str">
            <v>02.877.654/0001-23</v>
          </cell>
          <cell r="B2367" t="str">
            <v>Malu Montesino</v>
          </cell>
        </row>
        <row r="2368">
          <cell r="A2368" t="str">
            <v>47.253.307/0001-68</v>
          </cell>
          <cell r="B2368" t="str">
            <v>Malu Montesino</v>
          </cell>
        </row>
        <row r="2369">
          <cell r="A2369" t="str">
            <v>11.405.384/0001-49</v>
          </cell>
          <cell r="B2369" t="str">
            <v>Malu Montesino</v>
          </cell>
        </row>
        <row r="2370">
          <cell r="A2370" t="str">
            <v>09.454.377/0001-95</v>
          </cell>
          <cell r="B2370" t="str">
            <v>Malu Montesino</v>
          </cell>
        </row>
        <row r="2371">
          <cell r="A2371" t="str">
            <v>04.238.951/0001-54</v>
          </cell>
          <cell r="B2371" t="str">
            <v>Malu Montesino</v>
          </cell>
        </row>
        <row r="2372">
          <cell r="A2372" t="str">
            <v>22.873.750/0001-00</v>
          </cell>
          <cell r="B2372" t="str">
            <v>Malu Montesino</v>
          </cell>
        </row>
        <row r="2373">
          <cell r="A2373" t="str">
            <v>22.168.141/0001-50</v>
          </cell>
          <cell r="B2373" t="str">
            <v>Malu Montesino</v>
          </cell>
        </row>
        <row r="2374">
          <cell r="A2374" t="str">
            <v>56.704.015/0001-95</v>
          </cell>
          <cell r="B2374" t="str">
            <v>Malu Montesino</v>
          </cell>
        </row>
        <row r="2375">
          <cell r="A2375" t="str">
            <v>56.704.015/0001-95</v>
          </cell>
          <cell r="B2375" t="str">
            <v>Malu Montesino</v>
          </cell>
        </row>
        <row r="2376">
          <cell r="A2376" t="str">
            <v>17.000.769/0001-02</v>
          </cell>
          <cell r="B2376" t="str">
            <v>Malu Montesino</v>
          </cell>
        </row>
        <row r="2377">
          <cell r="A2377" t="str">
            <v>23.706.789/0001-04</v>
          </cell>
          <cell r="B2377" t="str">
            <v>Malu Montesino</v>
          </cell>
        </row>
        <row r="2378">
          <cell r="A2378" t="str">
            <v>23.706.789/0001-04</v>
          </cell>
          <cell r="B2378" t="str">
            <v>Malu Montesino</v>
          </cell>
        </row>
        <row r="2379">
          <cell r="A2379" t="str">
            <v>26.852.877/0001-02</v>
          </cell>
          <cell r="B2379" t="str">
            <v>Malu Montesino</v>
          </cell>
        </row>
        <row r="2380">
          <cell r="A2380" t="str">
            <v>06.349.959/0001-13</v>
          </cell>
          <cell r="B2380" t="str">
            <v>Malu Montesino</v>
          </cell>
        </row>
        <row r="2381">
          <cell r="A2381" t="str">
            <v>59.276.858/0001-26</v>
          </cell>
          <cell r="B2381" t="str">
            <v>Malu Montesino</v>
          </cell>
        </row>
        <row r="2382">
          <cell r="A2382" t="str">
            <v>59.276.858/0001-26</v>
          </cell>
          <cell r="B2382" t="str">
            <v>Malu Montesino</v>
          </cell>
        </row>
        <row r="2383">
          <cell r="A2383" t="str">
            <v>31.406.860/0001-53</v>
          </cell>
          <cell r="B2383" t="str">
            <v>Malu Montesino</v>
          </cell>
        </row>
        <row r="2384">
          <cell r="A2384" t="str">
            <v>07.065.479/0001-93</v>
          </cell>
          <cell r="B2384" t="str">
            <v>Malu Montesino</v>
          </cell>
        </row>
        <row r="2385">
          <cell r="A2385" t="str">
            <v>11.405.384/0001-49</v>
          </cell>
          <cell r="B2385" t="str">
            <v>Malu Montesino</v>
          </cell>
        </row>
        <row r="2386">
          <cell r="A2386" t="str">
            <v>23.706.789/0001-04</v>
          </cell>
          <cell r="B2386" t="str">
            <v>Malu Montesino</v>
          </cell>
        </row>
        <row r="2387">
          <cell r="A2387" t="str">
            <v>03.117.534/0001-90</v>
          </cell>
          <cell r="B2387" t="str">
            <v>Malu Montesino</v>
          </cell>
        </row>
        <row r="2388">
          <cell r="A2388" t="str">
            <v>05.431.967/0001-41</v>
          </cell>
          <cell r="B2388" t="str">
            <v>Malu Montesino</v>
          </cell>
        </row>
        <row r="2389">
          <cell r="A2389" t="str">
            <v>01.000.334/0001-28</v>
          </cell>
          <cell r="B2389" t="str">
            <v>Malu Montesino</v>
          </cell>
        </row>
        <row r="2390">
          <cell r="A2390" t="str">
            <v>00.385.650/0001-00</v>
          </cell>
          <cell r="B2390" t="str">
            <v>Malu Montesino</v>
          </cell>
        </row>
        <row r="2391">
          <cell r="A2391" t="str">
            <v>04.078.043/0001-40</v>
          </cell>
          <cell r="B2391" t="str">
            <v>Mariane Nascimento</v>
          </cell>
        </row>
        <row r="2392">
          <cell r="A2392" t="str">
            <v>04.078.043/0001-40</v>
          </cell>
          <cell r="B2392" t="str">
            <v>Mariane Nascimento</v>
          </cell>
        </row>
        <row r="2393">
          <cell r="A2393" t="str">
            <v>34.958.955/0001-78</v>
          </cell>
          <cell r="B2393" t="str">
            <v>Malu Montesino</v>
          </cell>
        </row>
        <row r="2394">
          <cell r="A2394" t="str">
            <v>12.420.164/0001-57</v>
          </cell>
          <cell r="B2394" t="str">
            <v>Malu Montesino</v>
          </cell>
        </row>
        <row r="2395">
          <cell r="A2395" t="str">
            <v>12.420.164/0001-57</v>
          </cell>
          <cell r="B2395" t="str">
            <v>Malu Montesino</v>
          </cell>
        </row>
        <row r="2396">
          <cell r="A2396" t="str">
            <v>12.420.164/0001-57</v>
          </cell>
          <cell r="B2396" t="str">
            <v>Malu Montesino</v>
          </cell>
        </row>
        <row r="2397">
          <cell r="A2397" t="str">
            <v>12.420.164/0001-57</v>
          </cell>
          <cell r="B2397" t="str">
            <v>Malu Montesino</v>
          </cell>
        </row>
        <row r="2398">
          <cell r="A2398" t="str">
            <v>61.602.306/0001-02</v>
          </cell>
          <cell r="B2398" t="str">
            <v>Malu Montesino</v>
          </cell>
        </row>
        <row r="2399">
          <cell r="A2399" t="str">
            <v>61.602.306/0001-02</v>
          </cell>
          <cell r="B2399" t="str">
            <v>Malu Montesino</v>
          </cell>
        </row>
        <row r="2400">
          <cell r="A2400" t="str">
            <v>07.040.941/0001-06</v>
          </cell>
          <cell r="B2400" t="str">
            <v>Malu Montesino</v>
          </cell>
        </row>
        <row r="2401">
          <cell r="A2401" t="str">
            <v>81.067.860/0001-44</v>
          </cell>
          <cell r="B2401" t="str">
            <v>Malu Montesino</v>
          </cell>
        </row>
        <row r="2402">
          <cell r="A2402" t="str">
            <v>22.090.928/0001-47</v>
          </cell>
          <cell r="B2402" t="str">
            <v>Malu Montesino</v>
          </cell>
        </row>
        <row r="2403">
          <cell r="A2403" t="str">
            <v>61.591.459/0001-00</v>
          </cell>
          <cell r="B2403" t="str">
            <v>Malu Montesino</v>
          </cell>
        </row>
        <row r="2404">
          <cell r="A2404" t="str">
            <v>31.715.616/0001-72</v>
          </cell>
          <cell r="B2404" t="str">
            <v>Malu Montesino</v>
          </cell>
        </row>
        <row r="2405">
          <cell r="A2405" t="str">
            <v>92.664.028/0001-41</v>
          </cell>
          <cell r="B2405" t="str">
            <v>Malu Montesino</v>
          </cell>
        </row>
        <row r="2406">
          <cell r="A2406" t="str">
            <v>92.664.028/0001-41</v>
          </cell>
          <cell r="B2406" t="str">
            <v>Malu Montesino</v>
          </cell>
        </row>
        <row r="2407">
          <cell r="A2407" t="str">
            <v>16.701.716/0001-56</v>
          </cell>
          <cell r="B2407" t="str">
            <v>Malu Montesino</v>
          </cell>
        </row>
        <row r="2408">
          <cell r="A2408" t="str">
            <v>15.284.176/0001-90</v>
          </cell>
          <cell r="B2408" t="str">
            <v>Malu Montesino</v>
          </cell>
        </row>
        <row r="2409">
          <cell r="A2409" t="str">
            <v>15.431.830/0002-21</v>
          </cell>
          <cell r="B2409" t="str">
            <v>Malu Montesino</v>
          </cell>
        </row>
        <row r="2410">
          <cell r="A2410" t="str">
            <v>33.979.330/0001-20</v>
          </cell>
          <cell r="B2410" t="str">
            <v>Malu Montesino</v>
          </cell>
        </row>
        <row r="2411">
          <cell r="A2411" t="str">
            <v>33.979.330/0001-20</v>
          </cell>
          <cell r="B2411" t="str">
            <v>Malu Montesino</v>
          </cell>
        </row>
        <row r="2412">
          <cell r="A2412" t="str">
            <v>10.560.660/0001-80</v>
          </cell>
          <cell r="B2412" t="str">
            <v>Malu Montesino</v>
          </cell>
        </row>
        <row r="2413">
          <cell r="A2413" t="str">
            <v>44.930.780/0001-44</v>
          </cell>
          <cell r="B2413" t="str">
            <v>Malu Montesino</v>
          </cell>
        </row>
        <row r="2414">
          <cell r="A2414" t="str">
            <v>92.664.028/0001-41</v>
          </cell>
          <cell r="B2414" t="str">
            <v>Malu Montesino</v>
          </cell>
        </row>
        <row r="2415">
          <cell r="A2415" t="str">
            <v>61.591.459/0001-00</v>
          </cell>
          <cell r="B2415" t="str">
            <v>Malu Montesino</v>
          </cell>
        </row>
        <row r="2416">
          <cell r="A2416" t="str">
            <v>01.000.334/0001-28</v>
          </cell>
          <cell r="B2416" t="str">
            <v>Malu Montesino</v>
          </cell>
        </row>
        <row r="2417">
          <cell r="A2417" t="str">
            <v>10.560.660/0001-80</v>
          </cell>
          <cell r="B2417" t="str">
            <v>Malu Montesino</v>
          </cell>
        </row>
        <row r="2418">
          <cell r="A2418" t="str">
            <v>40.276.235/0001-25</v>
          </cell>
          <cell r="B2418" t="str">
            <v>Mariane Nascimento</v>
          </cell>
        </row>
        <row r="2419">
          <cell r="A2419" t="str">
            <v>04.078.043/0001-40</v>
          </cell>
          <cell r="B2419" t="str">
            <v>Mariane Nascimento</v>
          </cell>
        </row>
        <row r="2420">
          <cell r="A2420" t="str">
            <v>05.743.288/0001-08</v>
          </cell>
          <cell r="B2420" t="str">
            <v>Mariane Nascimento</v>
          </cell>
        </row>
        <row r="2421">
          <cell r="A2421" t="str">
            <v>05.743.288/0001-08</v>
          </cell>
          <cell r="B2421" t="str">
            <v>Mariane Nascimento</v>
          </cell>
        </row>
        <row r="2422">
          <cell r="A2422" t="str">
            <v>05.059.358/0001-03</v>
          </cell>
          <cell r="B2422" t="str">
            <v>Mariane Nascimento</v>
          </cell>
        </row>
        <row r="2423">
          <cell r="A2423" t="str">
            <v>12.936.032/0001-82</v>
          </cell>
          <cell r="B2423" t="str">
            <v>Malu Montesino</v>
          </cell>
        </row>
        <row r="2424">
          <cell r="A2424" t="str">
            <v>33.373.325/0001-79</v>
          </cell>
          <cell r="B2424" t="str">
            <v>Mariane Nascimento</v>
          </cell>
        </row>
        <row r="2425">
          <cell r="A2425" t="str">
            <v>32.737.279/0001-87</v>
          </cell>
          <cell r="B2425" t="str">
            <v>Mariane Nascimento</v>
          </cell>
        </row>
        <row r="2426">
          <cell r="A2426" t="str">
            <v>32.737.279/0001-87</v>
          </cell>
          <cell r="B2426" t="str">
            <v>Mariane Nascimento</v>
          </cell>
        </row>
        <row r="2427">
          <cell r="A2427" t="str">
            <v>57.394.447/0004-52</v>
          </cell>
          <cell r="B2427" t="str">
            <v>Malu Montesino</v>
          </cell>
        </row>
        <row r="2428">
          <cell r="A2428" t="str">
            <v>53.113.791/0001-22</v>
          </cell>
          <cell r="B2428" t="str">
            <v>Malu Montesino</v>
          </cell>
        </row>
        <row r="2429">
          <cell r="A2429" t="str">
            <v>04.608.635/0001-27</v>
          </cell>
          <cell r="B2429" t="str">
            <v>Malu Montesino</v>
          </cell>
        </row>
        <row r="2430">
          <cell r="A2430" t="str">
            <v>16.482.201/0001-02</v>
          </cell>
          <cell r="B2430" t="str">
            <v>Malu Montesino</v>
          </cell>
        </row>
        <row r="2431">
          <cell r="A2431" t="str">
            <v>00.074.635/0001-33</v>
          </cell>
          <cell r="B2431" t="str">
            <v>Malu Montesino</v>
          </cell>
        </row>
        <row r="2432">
          <cell r="A2432" t="str">
            <v>01.123.973/0001-80</v>
          </cell>
          <cell r="B2432" t="str">
            <v>Malu Montesino</v>
          </cell>
        </row>
        <row r="2433">
          <cell r="A2433" t="str">
            <v>01.123.973/0001-80</v>
          </cell>
          <cell r="B2433" t="str">
            <v>Malu Montesino</v>
          </cell>
        </row>
        <row r="2434">
          <cell r="A2434" t="str">
            <v>02.814.497/0001-07</v>
          </cell>
          <cell r="B2434" t="str">
            <v>Malu Montesino</v>
          </cell>
        </row>
        <row r="2435">
          <cell r="A2435" t="str">
            <v>54.565.478/0001-98</v>
          </cell>
          <cell r="B2435" t="str">
            <v>Malu Montesino</v>
          </cell>
        </row>
        <row r="2436">
          <cell r="A2436" t="str">
            <v>15.331.924/0001-48</v>
          </cell>
          <cell r="B2436" t="str">
            <v>Malu Montesino</v>
          </cell>
        </row>
        <row r="2437">
          <cell r="A2437" t="str">
            <v>81.243.735/0001-48</v>
          </cell>
          <cell r="B2437" t="str">
            <v>Malu Montesino</v>
          </cell>
        </row>
        <row r="2438">
          <cell r="A2438" t="str">
            <v>02.033.695/0001-33</v>
          </cell>
          <cell r="B2438" t="str">
            <v>Malu Montesino</v>
          </cell>
        </row>
        <row r="2439">
          <cell r="A2439" t="str">
            <v>29.950.060/0001-57</v>
          </cell>
          <cell r="B2439" t="str">
            <v>Malu Montesino</v>
          </cell>
        </row>
        <row r="2440">
          <cell r="A2440" t="str">
            <v>05.603.470/0002-44</v>
          </cell>
          <cell r="B2440" t="str">
            <v>Malu Montesino</v>
          </cell>
        </row>
        <row r="2441">
          <cell r="A2441" t="str">
            <v>59.276.858/0001-26</v>
          </cell>
          <cell r="B2441" t="str">
            <v>Malu Montesino</v>
          </cell>
        </row>
        <row r="2442">
          <cell r="A2442" t="str">
            <v>59.276.858/0001-26</v>
          </cell>
          <cell r="B2442" t="str">
            <v>Malu Montesino</v>
          </cell>
        </row>
        <row r="2443">
          <cell r="A2443" t="str">
            <v>31.829.598/0001-50</v>
          </cell>
          <cell r="B2443" t="str">
            <v>Malu Montesino</v>
          </cell>
        </row>
        <row r="2444">
          <cell r="A2444" t="str">
            <v>02.794.555/0001-88</v>
          </cell>
          <cell r="B2444" t="str">
            <v>Malu Montesino</v>
          </cell>
        </row>
        <row r="2445">
          <cell r="A2445" t="str">
            <v>02.794.555/0001-88</v>
          </cell>
          <cell r="B2445" t="str">
            <v>Malu Montesino</v>
          </cell>
        </row>
        <row r="2446">
          <cell r="A2446" t="str">
            <v>81.243.735/0001-48</v>
          </cell>
          <cell r="B2446" t="str">
            <v>Malu Montesino</v>
          </cell>
        </row>
        <row r="2447">
          <cell r="A2447" t="str">
            <v>02.794.555/0001-88</v>
          </cell>
          <cell r="B2447" t="str">
            <v>Malu Montesino</v>
          </cell>
        </row>
        <row r="2448">
          <cell r="A2448" t="str">
            <v>54.565.478/0001-98</v>
          </cell>
          <cell r="B2448" t="str">
            <v>Malu Montesino</v>
          </cell>
        </row>
        <row r="2449">
          <cell r="A2449" t="str">
            <v>02.033.695/0001-33</v>
          </cell>
          <cell r="B2449" t="str">
            <v>Malu Montesino</v>
          </cell>
        </row>
        <row r="2450">
          <cell r="A2450" t="str">
            <v>05.222.267/0001-47</v>
          </cell>
          <cell r="B2450" t="str">
            <v>Malu Montesino</v>
          </cell>
        </row>
        <row r="2451">
          <cell r="A2451" t="str">
            <v>02.777.131/0001-05</v>
          </cell>
          <cell r="B2451" t="str">
            <v>Malu Montesino</v>
          </cell>
        </row>
        <row r="2452">
          <cell r="A2452" t="str">
            <v>16.549.335/0001-01</v>
          </cell>
          <cell r="B2452" t="str">
            <v>Malu Montesino</v>
          </cell>
        </row>
        <row r="2453">
          <cell r="A2453" t="str">
            <v>05.551.328/0001-10</v>
          </cell>
          <cell r="B2453" t="str">
            <v>Malu Montesino</v>
          </cell>
        </row>
        <row r="2454">
          <cell r="A2454" t="str">
            <v>82.927.385/0001-00</v>
          </cell>
          <cell r="B2454" t="str">
            <v>Malu Montesino</v>
          </cell>
        </row>
        <row r="2455">
          <cell r="A2455" t="str">
            <v>61.489.381/0001-09</v>
          </cell>
          <cell r="B2455" t="str">
            <v>Malu Montesino</v>
          </cell>
        </row>
        <row r="2456">
          <cell r="A2456" t="str">
            <v>61.489.381/0001-09</v>
          </cell>
          <cell r="B2456" t="str">
            <v>Malu Montesino</v>
          </cell>
        </row>
        <row r="2457">
          <cell r="A2457" t="str">
            <v>78.386.505/0001-23</v>
          </cell>
          <cell r="B2457" t="str">
            <v>Malu Montesino</v>
          </cell>
        </row>
        <row r="2458">
          <cell r="A2458" t="str">
            <v>37.807.135/0001-73</v>
          </cell>
          <cell r="B2458" t="str">
            <v>Malu Montesino</v>
          </cell>
        </row>
        <row r="2459">
          <cell r="A2459" t="str">
            <v>02.059.753/0001-06</v>
          </cell>
          <cell r="B2459" t="str">
            <v>Malu Montesino</v>
          </cell>
        </row>
        <row r="2460">
          <cell r="A2460" t="str">
            <v>13.279.550/0001-33</v>
          </cell>
          <cell r="B2460" t="str">
            <v>Malu Montesino</v>
          </cell>
        </row>
        <row r="2461">
          <cell r="A2461" t="str">
            <v>44.880.091/0001-72</v>
          </cell>
          <cell r="B2461" t="str">
            <v>Malu Montesino</v>
          </cell>
        </row>
        <row r="2462">
          <cell r="A2462" t="str">
            <v>47.067.525/0054-10</v>
          </cell>
          <cell r="B2462" t="str">
            <v>Malu Montesino</v>
          </cell>
        </row>
        <row r="2463">
          <cell r="A2463" t="str">
            <v>06.224.121/0001-01</v>
          </cell>
          <cell r="B2463" t="str">
            <v>Malu Montesino</v>
          </cell>
        </row>
        <row r="2464">
          <cell r="A2464" t="str">
            <v>12.615.299/0001-78</v>
          </cell>
          <cell r="B2464" t="str">
            <v>Malu Montesino</v>
          </cell>
        </row>
        <row r="2465">
          <cell r="A2465" t="str">
            <v>40.823.640/0001-16</v>
          </cell>
          <cell r="B2465" t="str">
            <v>Malu Montesino</v>
          </cell>
        </row>
        <row r="2466">
          <cell r="A2466" t="str">
            <v>03.558.055/0001-00</v>
          </cell>
          <cell r="B2466" t="str">
            <v>Malu Montesino</v>
          </cell>
        </row>
        <row r="2467">
          <cell r="A2467" t="str">
            <v>61.489.381/0001-09</v>
          </cell>
          <cell r="B2467" t="str">
            <v>Malu Montesino</v>
          </cell>
        </row>
        <row r="2468">
          <cell r="A2468" t="str">
            <v>05.222.267/0001-47</v>
          </cell>
          <cell r="B2468" t="str">
            <v>Malu Montesino</v>
          </cell>
        </row>
        <row r="2469">
          <cell r="A2469" t="str">
            <v>12.615.299/0001-78</v>
          </cell>
          <cell r="B2469" t="str">
            <v>Malu Montesino</v>
          </cell>
        </row>
        <row r="2470">
          <cell r="A2470" t="str">
            <v>33.979.330/0001-20</v>
          </cell>
          <cell r="B2470" t="str">
            <v>Malu Montesino</v>
          </cell>
        </row>
        <row r="2471">
          <cell r="A2471" t="str">
            <v>12.483.930/0001-22</v>
          </cell>
          <cell r="B2471" t="str">
            <v>Malu Montesino</v>
          </cell>
        </row>
        <row r="2472">
          <cell r="A2472" t="str">
            <v>04.078.043/0001-40</v>
          </cell>
          <cell r="B2472" t="str">
            <v>Mariane Nascimento</v>
          </cell>
        </row>
        <row r="2473">
          <cell r="A2473" t="str">
            <v>07.626.776/0001-60</v>
          </cell>
          <cell r="B2473" t="str">
            <v>Malu Montesino</v>
          </cell>
        </row>
        <row r="2474">
          <cell r="A2474" t="str">
            <v>07.626.776/0001-60</v>
          </cell>
          <cell r="B2474" t="str">
            <v>Malu Montesino</v>
          </cell>
        </row>
        <row r="2475">
          <cell r="A2475" t="str">
            <v>19.653.054/0001-84</v>
          </cell>
          <cell r="B2475" t="str">
            <v>Malu Montesino</v>
          </cell>
        </row>
        <row r="2476">
          <cell r="A2476" t="str">
            <v>53.113.791/0001-22</v>
          </cell>
          <cell r="B2476" t="str">
            <v>Malu Montesino</v>
          </cell>
        </row>
        <row r="2477">
          <cell r="A2477" t="str">
            <v>53.113.791/0001-22</v>
          </cell>
          <cell r="B2477" t="str">
            <v>Malu Montesino</v>
          </cell>
        </row>
        <row r="2478">
          <cell r="A2478" t="str">
            <v>22.301.988/0001-61</v>
          </cell>
          <cell r="B2478" t="str">
            <v>Malu Montesino</v>
          </cell>
        </row>
        <row r="2479">
          <cell r="A2479" t="str">
            <v>06.990.590/0001-23</v>
          </cell>
          <cell r="B2479" t="str">
            <v>Malu Montesino</v>
          </cell>
        </row>
        <row r="2480">
          <cell r="A2480" t="str">
            <v>06.990.590/0001-23</v>
          </cell>
          <cell r="B2480" t="str">
            <v>Malu Montesino</v>
          </cell>
        </row>
        <row r="2481">
          <cell r="A2481" t="str">
            <v>54.565.478/0001-98</v>
          </cell>
          <cell r="B2481" t="str">
            <v>Malu Montesino</v>
          </cell>
        </row>
        <row r="2482">
          <cell r="A2482" t="str">
            <v>54.565.478/0001-98</v>
          </cell>
          <cell r="B2482" t="str">
            <v>Malu Montesino</v>
          </cell>
        </row>
        <row r="2483">
          <cell r="A2483" t="str">
            <v>54.565.478/0001-98</v>
          </cell>
          <cell r="B2483" t="str">
            <v>Malu Montesino</v>
          </cell>
        </row>
        <row r="2484">
          <cell r="A2484" t="str">
            <v>20.513.627/0001-53</v>
          </cell>
          <cell r="B2484" t="str">
            <v>Malu Montesino</v>
          </cell>
        </row>
        <row r="2485">
          <cell r="A2485" t="str">
            <v>42.913.658/0001-34</v>
          </cell>
          <cell r="B2485" t="str">
            <v>Malu Montesino</v>
          </cell>
        </row>
        <row r="2486">
          <cell r="A2486" t="str">
            <v>44.144.293/0007-41</v>
          </cell>
          <cell r="B2486" t="str">
            <v>Malu Montesino</v>
          </cell>
        </row>
        <row r="2487">
          <cell r="A2487" t="str">
            <v>08.531.759/0001-02</v>
          </cell>
          <cell r="B2487" t="str">
            <v>Malu Montesino</v>
          </cell>
        </row>
        <row r="2488">
          <cell r="A2488" t="str">
            <v>33.979.330/0001-20</v>
          </cell>
          <cell r="B2488" t="str">
            <v>Malu Montesino</v>
          </cell>
        </row>
        <row r="2489">
          <cell r="A2489" t="str">
            <v>51.958.220/0001-63</v>
          </cell>
          <cell r="B2489" t="str">
            <v>Malu Montesino</v>
          </cell>
        </row>
        <row r="2490">
          <cell r="A2490" t="str">
            <v>51.958.220/0001-63</v>
          </cell>
          <cell r="B2490" t="str">
            <v>Malu Montesino</v>
          </cell>
        </row>
        <row r="2491">
          <cell r="A2491" t="str">
            <v>10.394.422/0001-42</v>
          </cell>
          <cell r="B2491" t="str">
            <v>Malu Montesino</v>
          </cell>
        </row>
        <row r="2492">
          <cell r="A2492" t="str">
            <v>10.394.422/0001-42</v>
          </cell>
          <cell r="B2492" t="str">
            <v>Malu Montesino</v>
          </cell>
        </row>
        <row r="2493">
          <cell r="A2493" t="str">
            <v>54.565.478/0001-98</v>
          </cell>
          <cell r="B2493" t="str">
            <v>Malu Montesino</v>
          </cell>
        </row>
        <row r="2494">
          <cell r="A2494" t="str">
            <v>51.958.220/0001-63</v>
          </cell>
          <cell r="B2494" t="str">
            <v>Malu Montesino</v>
          </cell>
        </row>
        <row r="2495">
          <cell r="A2495" t="str">
            <v>51.958.220/0001-63</v>
          </cell>
          <cell r="B2495" t="str">
            <v>Malu Montesino</v>
          </cell>
        </row>
        <row r="2496">
          <cell r="A2496" t="str">
            <v>00.904.728/0001-48</v>
          </cell>
          <cell r="B2496" t="str">
            <v>Malu Montesino</v>
          </cell>
        </row>
        <row r="2497">
          <cell r="A2497" t="str">
            <v>04.743.025/0001-36</v>
          </cell>
          <cell r="B2497" t="str">
            <v>Malu Montesino</v>
          </cell>
        </row>
        <row r="2498">
          <cell r="A2498" t="str">
            <v>56.395.510/0001-60</v>
          </cell>
          <cell r="B2498" t="str">
            <v>Malu Montesino</v>
          </cell>
        </row>
        <row r="2499">
          <cell r="A2499" t="str">
            <v>05.743.288/0001-08</v>
          </cell>
          <cell r="B2499" t="str">
            <v>Mariane Nascimento</v>
          </cell>
        </row>
        <row r="2500">
          <cell r="A2500" t="str">
            <v>05.743.288/0001-08</v>
          </cell>
          <cell r="B2500" t="str">
            <v>Mariane Nascimento</v>
          </cell>
        </row>
        <row r="2501">
          <cell r="A2501" t="str">
            <v>05.743.288/0001-08</v>
          </cell>
          <cell r="B2501" t="str">
            <v>Mariane Nascimento</v>
          </cell>
        </row>
        <row r="2502">
          <cell r="A2502" t="str">
            <v>19.001.659/0001-90</v>
          </cell>
          <cell r="B2502" t="str">
            <v>Mariane Nascimento</v>
          </cell>
        </row>
        <row r="2503">
          <cell r="A2503" t="str">
            <v>14.309.992/0001-48</v>
          </cell>
          <cell r="B2503" t="str">
            <v>Malu Montesino</v>
          </cell>
        </row>
        <row r="2504">
          <cell r="A2504" t="str">
            <v>33.373.325/0001-79</v>
          </cell>
          <cell r="B2504" t="str">
            <v>Mariane Nascimento</v>
          </cell>
        </row>
        <row r="2505">
          <cell r="A2505" t="str">
            <v>28.531.958/0001-28</v>
          </cell>
          <cell r="B2505" t="str">
            <v>Mariane Nascimento</v>
          </cell>
        </row>
        <row r="2506">
          <cell r="A2506" t="str">
            <v>28.531.958/0001-28</v>
          </cell>
          <cell r="B2506" t="str">
            <v>Mariane Nascimento</v>
          </cell>
        </row>
        <row r="2507">
          <cell r="A2507" t="str">
            <v>61.591.459/0001-00</v>
          </cell>
          <cell r="B2507" t="str">
            <v>Malu Montesino</v>
          </cell>
        </row>
        <row r="2508">
          <cell r="A2508" t="str">
            <v>61.591.459/0001-00</v>
          </cell>
          <cell r="B2508" t="str">
            <v>Malu Montesino</v>
          </cell>
        </row>
        <row r="2509">
          <cell r="A2509" t="str">
            <v>31.715.616/0001-72</v>
          </cell>
          <cell r="B2509" t="str">
            <v>Malu Montesino</v>
          </cell>
        </row>
        <row r="2510">
          <cell r="A2510" t="str">
            <v>31.715.616/0001-72</v>
          </cell>
          <cell r="B2510" t="str">
            <v>Malu Montesino</v>
          </cell>
        </row>
        <row r="2511">
          <cell r="A2511" t="str">
            <v>31.715.616/0001-72</v>
          </cell>
          <cell r="B2511" t="str">
            <v>Malu Montesino</v>
          </cell>
        </row>
        <row r="2512">
          <cell r="A2512" t="str">
            <v>04.608.635/0001-27</v>
          </cell>
          <cell r="B2512" t="str">
            <v>Malu Montesino</v>
          </cell>
        </row>
        <row r="2513">
          <cell r="A2513" t="str">
            <v>02.291.486/0001-90</v>
          </cell>
          <cell r="B2513" t="str">
            <v>Malu Montesino</v>
          </cell>
        </row>
        <row r="2514">
          <cell r="A2514" t="str">
            <v>26.852.877/0001-02</v>
          </cell>
          <cell r="B2514" t="str">
            <v>Malu Montesino</v>
          </cell>
        </row>
        <row r="2515">
          <cell r="A2515" t="str">
            <v>05.857.218/0001-80</v>
          </cell>
          <cell r="B2515" t="str">
            <v>Malu Montesino</v>
          </cell>
        </row>
        <row r="2516">
          <cell r="A2516" t="str">
            <v>52.273.785/0001-70</v>
          </cell>
          <cell r="B2516" t="str">
            <v>Malu Montesino</v>
          </cell>
        </row>
        <row r="2517">
          <cell r="A2517" t="str">
            <v>61.817.664/0001-32</v>
          </cell>
          <cell r="B2517" t="str">
            <v>Mariane Nascimento</v>
          </cell>
        </row>
        <row r="2518">
          <cell r="A2518" t="str">
            <v>08.531.759/0001-02</v>
          </cell>
          <cell r="B2518" t="str">
            <v>Malu Montesino</v>
          </cell>
        </row>
        <row r="2519">
          <cell r="A2519" t="str">
            <v>10.313.717/0001-47</v>
          </cell>
          <cell r="B2519" t="str">
            <v>Malu Montesino</v>
          </cell>
        </row>
        <row r="2520">
          <cell r="A2520" t="str">
            <v>03.558.055/0001-00</v>
          </cell>
          <cell r="B2520" t="str">
            <v>Malu Montesino</v>
          </cell>
        </row>
        <row r="2521">
          <cell r="A2521" t="str">
            <v>20.250.792/0001-60</v>
          </cell>
          <cell r="B2521" t="str">
            <v>Malu Montesino</v>
          </cell>
        </row>
        <row r="2522">
          <cell r="A2522" t="str">
            <v>03.558.055/0001-00</v>
          </cell>
          <cell r="B2522" t="str">
            <v>Malu Montesino</v>
          </cell>
        </row>
        <row r="2523">
          <cell r="A2523" t="str">
            <v>42.150.391/0001-70</v>
          </cell>
          <cell r="B2523" t="str">
            <v>Malu Montesino</v>
          </cell>
        </row>
        <row r="2524">
          <cell r="A2524" t="str">
            <v>28.531.958/0001-28</v>
          </cell>
          <cell r="B2524" t="str">
            <v>Mariane Nascimento</v>
          </cell>
        </row>
        <row r="2525">
          <cell r="A2525" t="str">
            <v>61.591.459/0001-00</v>
          </cell>
          <cell r="B2525" t="str">
            <v>Malu Montesino</v>
          </cell>
        </row>
        <row r="2526">
          <cell r="A2526" t="str">
            <v>11.405.384/0001-49</v>
          </cell>
          <cell r="B2526" t="str">
            <v>Malu Montesino</v>
          </cell>
        </row>
        <row r="2527">
          <cell r="A2527" t="str">
            <v>82.901.000/0001-27</v>
          </cell>
          <cell r="B2527" t="str">
            <v>Malu Montesino</v>
          </cell>
        </row>
        <row r="2528">
          <cell r="A2528" t="str">
            <v>82.901.000/0001-27</v>
          </cell>
          <cell r="B2528" t="str">
            <v>Malu Montesino</v>
          </cell>
        </row>
        <row r="2529">
          <cell r="A2529" t="str">
            <v>82.901.000/0001-27</v>
          </cell>
          <cell r="B2529" t="str">
            <v>Malu Montesino</v>
          </cell>
        </row>
        <row r="2530">
          <cell r="A2530" t="str">
            <v>82.901.000/0001-27</v>
          </cell>
          <cell r="B2530" t="str">
            <v>Malu Montesino</v>
          </cell>
        </row>
        <row r="2531">
          <cell r="A2531" t="str">
            <v>82.901.000/0001-27</v>
          </cell>
          <cell r="B2531" t="str">
            <v>Malu Montesino</v>
          </cell>
        </row>
        <row r="2532">
          <cell r="A2532" t="str">
            <v>23.706.789/0001-04</v>
          </cell>
          <cell r="B2532" t="str">
            <v>Malu Montesino</v>
          </cell>
        </row>
        <row r="2533">
          <cell r="A2533" t="str">
            <v>19.503.353/0001-32</v>
          </cell>
          <cell r="B2533" t="str">
            <v>Malu Montesino</v>
          </cell>
        </row>
        <row r="2534">
          <cell r="A2534" t="str">
            <v>44.930.780/0001-44</v>
          </cell>
          <cell r="B2534" t="str">
            <v>Malu Montesino</v>
          </cell>
        </row>
        <row r="2535">
          <cell r="A2535" t="str">
            <v>44.930.780/0001-44</v>
          </cell>
          <cell r="B2535" t="str">
            <v>Malu Montesino</v>
          </cell>
        </row>
        <row r="2536">
          <cell r="A2536" t="str">
            <v>03.944.724/0001-81</v>
          </cell>
          <cell r="B2536" t="str">
            <v>Malu Montesino</v>
          </cell>
        </row>
        <row r="2537">
          <cell r="A2537" t="str">
            <v>03.944.724/0001-81</v>
          </cell>
          <cell r="B2537" t="str">
            <v>Malu Montesino</v>
          </cell>
        </row>
        <row r="2538">
          <cell r="A2538" t="str">
            <v>03.944.724/0001-81</v>
          </cell>
          <cell r="B2538" t="str">
            <v>Malu Montesino</v>
          </cell>
        </row>
        <row r="2539">
          <cell r="A2539" t="str">
            <v>07.847.453/0001-05</v>
          </cell>
          <cell r="B2539" t="str">
            <v>Malu Montesino</v>
          </cell>
        </row>
        <row r="2540">
          <cell r="A2540" t="str">
            <v>11.405.384/0001-49</v>
          </cell>
          <cell r="B2540" t="str">
            <v>Malu Montesino</v>
          </cell>
        </row>
        <row r="2541">
          <cell r="A2541" t="str">
            <v>82.901.000/0001-27</v>
          </cell>
          <cell r="B2541" t="str">
            <v>Malu Montesino</v>
          </cell>
        </row>
        <row r="2542">
          <cell r="A2542" t="str">
            <v>54.565.478/0001-98</v>
          </cell>
          <cell r="B2542" t="str">
            <v>Malu Montesino</v>
          </cell>
        </row>
        <row r="2543">
          <cell r="A2543" t="str">
            <v>44.930.780/0001-44</v>
          </cell>
          <cell r="B2543" t="str">
            <v>Malu Montesino</v>
          </cell>
        </row>
        <row r="2544">
          <cell r="A2544" t="str">
            <v>55.824.693/0001-29</v>
          </cell>
          <cell r="B2544" t="str">
            <v>Malu Montesino</v>
          </cell>
        </row>
        <row r="2545">
          <cell r="A2545" t="str">
            <v>26.852.877/0001-02</v>
          </cell>
          <cell r="B2545" t="str">
            <v>Malu Montesino</v>
          </cell>
        </row>
        <row r="2546">
          <cell r="A2546" t="str">
            <v>28.736.974/0001-57</v>
          </cell>
          <cell r="B2546" t="str">
            <v>Malu Montesino</v>
          </cell>
        </row>
        <row r="2547">
          <cell r="A2547" t="str">
            <v>45.428.839/0001-63</v>
          </cell>
          <cell r="B2547" t="str">
            <v>Malu Montesino</v>
          </cell>
        </row>
        <row r="2548">
          <cell r="A2548" t="str">
            <v>59.275.792/0001-50</v>
          </cell>
          <cell r="B2548" t="str">
            <v>Malu Montesino</v>
          </cell>
        </row>
        <row r="2549">
          <cell r="A2549" t="str">
            <v>59.275.792/0001-50</v>
          </cell>
          <cell r="B2549" t="str">
            <v>Malu Montesino</v>
          </cell>
        </row>
        <row r="2550">
          <cell r="A2550" t="str">
            <v>05.743.288/0001-08</v>
          </cell>
          <cell r="B2550" t="str">
            <v>Mariane Nascimento</v>
          </cell>
        </row>
        <row r="2551">
          <cell r="A2551" t="str">
            <v>14.309.992/0001-48</v>
          </cell>
          <cell r="B2551" t="str">
            <v>Malu Montesino</v>
          </cell>
        </row>
        <row r="2552">
          <cell r="A2552" t="str">
            <v>01.165.514/0001-60</v>
          </cell>
          <cell r="B2552" t="str">
            <v>Malu Montesino</v>
          </cell>
        </row>
        <row r="2553">
          <cell r="A2553" t="str">
            <v>61.591.459/0001-00</v>
          </cell>
          <cell r="B2553" t="str">
            <v>Malu Montesino</v>
          </cell>
        </row>
        <row r="2554">
          <cell r="A2554" t="str">
            <v>20.250.792/0001-60</v>
          </cell>
          <cell r="B2554" t="str">
            <v>Malu Montesino</v>
          </cell>
        </row>
        <row r="2555">
          <cell r="A2555" t="str">
            <v>40.829.708/0001-74</v>
          </cell>
          <cell r="B2555" t="str">
            <v>Malu Montesino</v>
          </cell>
        </row>
        <row r="2556">
          <cell r="A2556" t="str">
            <v>45.541.588/0001-29</v>
          </cell>
          <cell r="B2556" t="str">
            <v>Malu Montesino</v>
          </cell>
        </row>
        <row r="2557">
          <cell r="A2557" t="str">
            <v>61.591.459/0001-00</v>
          </cell>
          <cell r="B2557" t="str">
            <v>Malu Montesino</v>
          </cell>
        </row>
        <row r="2558">
          <cell r="A2558" t="str">
            <v>62.334.156/0001-66</v>
          </cell>
          <cell r="B2558" t="str">
            <v>Malu Montesino</v>
          </cell>
        </row>
        <row r="2559">
          <cell r="A2559" t="str">
            <v>04.743.025/0001-36</v>
          </cell>
          <cell r="B2559" t="str">
            <v>Malu Montesino</v>
          </cell>
        </row>
        <row r="2560">
          <cell r="A2560" t="str">
            <v>12.936.032/0001-82</v>
          </cell>
          <cell r="B2560" t="str">
            <v>Malu Montesino</v>
          </cell>
        </row>
        <row r="2561">
          <cell r="A2561" t="str">
            <v>12.936.032/0001-82</v>
          </cell>
          <cell r="B2561" t="str">
            <v>Malu Montesino</v>
          </cell>
        </row>
        <row r="2562">
          <cell r="A2562" t="str">
            <v>10.426.974/0001-95</v>
          </cell>
          <cell r="B2562" t="str">
            <v>Malu Montesino</v>
          </cell>
        </row>
        <row r="2563">
          <cell r="A2563" t="str">
            <v>10.426.974/0001-95</v>
          </cell>
          <cell r="B2563" t="str">
            <v>Malu Montesino</v>
          </cell>
        </row>
        <row r="2564">
          <cell r="A2564" t="str">
            <v>20.245.901/0001-50</v>
          </cell>
          <cell r="B2564" t="str">
            <v>Malu Montesino</v>
          </cell>
        </row>
        <row r="2565">
          <cell r="A2565" t="str">
            <v>88.611.835/0001-29</v>
          </cell>
          <cell r="B2565" t="str">
            <v>Malu Montesino</v>
          </cell>
        </row>
        <row r="2566">
          <cell r="A2566" t="str">
            <v>88.611.835/0001-29</v>
          </cell>
          <cell r="B2566" t="str">
            <v>Malu Montesino</v>
          </cell>
        </row>
        <row r="2567">
          <cell r="A2567" t="str">
            <v>59.275.792/0001-50</v>
          </cell>
          <cell r="B2567" t="str">
            <v>Malu Montesino</v>
          </cell>
        </row>
        <row r="2568">
          <cell r="A2568" t="str">
            <v>48.240.709/0001-90</v>
          </cell>
          <cell r="B2568" t="str">
            <v>Malu Montesino</v>
          </cell>
        </row>
        <row r="2569">
          <cell r="A2569" t="str">
            <v>10.313.717/0001-47</v>
          </cell>
          <cell r="B2569" t="str">
            <v>Malu Montesino</v>
          </cell>
        </row>
        <row r="2570">
          <cell r="A2570" t="str">
            <v>10.313.717/0001-47</v>
          </cell>
          <cell r="B2570" t="str">
            <v>Malu Montesino</v>
          </cell>
        </row>
        <row r="2571">
          <cell r="A2571" t="str">
            <v>61.083.804/0001-96</v>
          </cell>
          <cell r="B2571" t="str">
            <v>Malu Montesino</v>
          </cell>
        </row>
        <row r="2572">
          <cell r="A2572" t="str">
            <v>68.351.204/0001-00</v>
          </cell>
          <cell r="B2572" t="str">
            <v>Malu Montesino</v>
          </cell>
        </row>
        <row r="2573">
          <cell r="A2573" t="str">
            <v>00.771.598/0005-46</v>
          </cell>
          <cell r="B2573" t="str">
            <v>Malu Montesino</v>
          </cell>
        </row>
        <row r="2574">
          <cell r="A2574" t="str">
            <v>12.936.032/0001-82</v>
          </cell>
          <cell r="B2574" t="str">
            <v>Malu Montesino</v>
          </cell>
        </row>
        <row r="2575">
          <cell r="A2575" t="str">
            <v>00.771.598/0005-46</v>
          </cell>
          <cell r="B2575" t="str">
            <v>Malu Montesino</v>
          </cell>
        </row>
        <row r="2576">
          <cell r="A2576" t="str">
            <v>10.313.717/0001-47</v>
          </cell>
          <cell r="B2576" t="str">
            <v>Malu Montesino</v>
          </cell>
        </row>
        <row r="2577">
          <cell r="A2577" t="str">
            <v>62.334.156/0001-66</v>
          </cell>
          <cell r="B2577" t="str">
            <v>Malu Montesino</v>
          </cell>
        </row>
        <row r="2578">
          <cell r="A2578" t="str">
            <v>04.743.025/0001-36</v>
          </cell>
          <cell r="B2578" t="str">
            <v>Malu Montesino</v>
          </cell>
        </row>
        <row r="2579">
          <cell r="A2579" t="str">
            <v>05.222.267/0001-47</v>
          </cell>
          <cell r="B2579" t="str">
            <v>Malu Montesino</v>
          </cell>
        </row>
        <row r="2580">
          <cell r="A2580" t="str">
            <v>01.000.334/0001-28</v>
          </cell>
          <cell r="B2580" t="str">
            <v>Malu Montesino</v>
          </cell>
        </row>
        <row r="2581">
          <cell r="A2581" t="str">
            <v>04.078.043/0001-40</v>
          </cell>
          <cell r="B2581" t="str">
            <v>Mariane Nascimento</v>
          </cell>
        </row>
        <row r="2582">
          <cell r="A2582" t="str">
            <v>03.055.200/0001-30</v>
          </cell>
          <cell r="B2582" t="str">
            <v>Malu Montesino</v>
          </cell>
        </row>
        <row r="2583">
          <cell r="A2583" t="str">
            <v>05.743.288/0001-08</v>
          </cell>
          <cell r="B2583" t="str">
            <v>Mariane Nascimento</v>
          </cell>
        </row>
        <row r="2584">
          <cell r="A2584" t="str">
            <v>19.001.659/0001-90</v>
          </cell>
          <cell r="B2584" t="str">
            <v>Mariane Nascimento</v>
          </cell>
        </row>
        <row r="2585">
          <cell r="A2585" t="str">
            <v>33.373.325/0001-79</v>
          </cell>
          <cell r="B2585" t="str">
            <v>Mariane Nascimento</v>
          </cell>
        </row>
        <row r="2586">
          <cell r="A2586" t="str">
            <v>33.373.325/0001-79</v>
          </cell>
          <cell r="B2586" t="str">
            <v>Mariane Nascimento</v>
          </cell>
        </row>
        <row r="2587">
          <cell r="A2587" t="str">
            <v>28.531.958/0001-28</v>
          </cell>
          <cell r="B2587" t="str">
            <v>Mariane Nascimento</v>
          </cell>
        </row>
        <row r="2588">
          <cell r="A2588" t="str">
            <v>28.531.958/0001-28</v>
          </cell>
          <cell r="B2588" t="str">
            <v>Mariane Nascimento</v>
          </cell>
        </row>
        <row r="2589">
          <cell r="A2589" t="str">
            <v>28.531.958/0001-28</v>
          </cell>
          <cell r="B2589" t="str">
            <v>Mariane Nascimento</v>
          </cell>
        </row>
        <row r="2590">
          <cell r="A2590" t="str">
            <v>28.531.958/0001-28</v>
          </cell>
          <cell r="B2590" t="str">
            <v>Mariane Nascimento</v>
          </cell>
        </row>
        <row r="2591">
          <cell r="A2591" t="str">
            <v>28.531.958/0001-28</v>
          </cell>
          <cell r="B2591" t="str">
            <v>Mariane Nascimento</v>
          </cell>
        </row>
        <row r="2592">
          <cell r="A2592" t="str">
            <v>05.495.281/0001-14</v>
          </cell>
          <cell r="B2592" t="str">
            <v>Mariane Nascimento</v>
          </cell>
        </row>
        <row r="2593">
          <cell r="A2593" t="str">
            <v>05.495.281/0001-14</v>
          </cell>
          <cell r="B2593" t="str">
            <v>Mariane Nascimento</v>
          </cell>
        </row>
        <row r="2594">
          <cell r="A2594" t="str">
            <v>59.104.760/0001-91</v>
          </cell>
          <cell r="B2594" t="str">
            <v>Malu Montesino</v>
          </cell>
        </row>
        <row r="2595">
          <cell r="A2595" t="str">
            <v>46.979.239/0001-56</v>
          </cell>
          <cell r="B2595" t="str">
            <v>Malu Montesino</v>
          </cell>
        </row>
        <row r="2596">
          <cell r="A2596" t="str">
            <v>13.279.550/0001-33</v>
          </cell>
          <cell r="B2596" t="str">
            <v>Malu Montesino</v>
          </cell>
        </row>
        <row r="2597">
          <cell r="A2597" t="str">
            <v>44.144.293/0007-41</v>
          </cell>
          <cell r="B2597" t="str">
            <v>Malu Montesino</v>
          </cell>
        </row>
        <row r="2598">
          <cell r="A2598" t="str">
            <v>52.273.785/0001-70</v>
          </cell>
          <cell r="B2598" t="str">
            <v>Malu Montesino</v>
          </cell>
        </row>
        <row r="2599">
          <cell r="A2599" t="str">
            <v>12.821.486/0001-08</v>
          </cell>
          <cell r="B2599" t="str">
            <v>Malu Montesino</v>
          </cell>
        </row>
        <row r="2600">
          <cell r="A2600" t="str">
            <v>10.313.717/0001-47</v>
          </cell>
          <cell r="B2600" t="str">
            <v>Malu Montesino</v>
          </cell>
        </row>
        <row r="2601">
          <cell r="A2601" t="str">
            <v>06.980.064/0001-82</v>
          </cell>
          <cell r="B2601" t="str">
            <v>Malu Montesino</v>
          </cell>
        </row>
        <row r="2602">
          <cell r="A2602" t="str">
            <v>06.980.064/0001-82</v>
          </cell>
          <cell r="B2602" t="str">
            <v>Malu Montesino</v>
          </cell>
        </row>
        <row r="2603">
          <cell r="A2603" t="str">
            <v>04.262.870/0001-90</v>
          </cell>
          <cell r="B2603" t="str">
            <v>Malu Montesino</v>
          </cell>
        </row>
        <row r="2604">
          <cell r="A2604" t="str">
            <v>20.513.627/0001-53</v>
          </cell>
          <cell r="B2604" t="str">
            <v>Malu Montesino</v>
          </cell>
        </row>
        <row r="2605">
          <cell r="A2605" t="str">
            <v>33.979.330/0001-20</v>
          </cell>
          <cell r="B2605" t="str">
            <v>Malu Montesino</v>
          </cell>
        </row>
        <row r="2606">
          <cell r="A2606" t="str">
            <v>33.979.330/0001-20</v>
          </cell>
          <cell r="B2606" t="str">
            <v>Malu Montesino</v>
          </cell>
        </row>
        <row r="2607">
          <cell r="A2607" t="str">
            <v>04.743.025/0001-36</v>
          </cell>
          <cell r="B2607" t="str">
            <v>Malu Montesino</v>
          </cell>
        </row>
        <row r="2608">
          <cell r="A2608" t="str">
            <v>59.275.792/0001-50</v>
          </cell>
          <cell r="B2608" t="str">
            <v>Malu Montesino</v>
          </cell>
        </row>
        <row r="2609">
          <cell r="A2609" t="str">
            <v>03.117.534/0001-90</v>
          </cell>
          <cell r="B2609" t="str">
            <v>Malu Montesino</v>
          </cell>
        </row>
        <row r="2610">
          <cell r="A2610" t="str">
            <v>02.635.031/0001-44</v>
          </cell>
          <cell r="B2610" t="str">
            <v>Malu Montesino</v>
          </cell>
        </row>
        <row r="2611">
          <cell r="A2611" t="str">
            <v>41.840.668/0001-24</v>
          </cell>
          <cell r="B2611" t="str">
            <v>Malu Montesino</v>
          </cell>
        </row>
        <row r="2612">
          <cell r="A2612" t="str">
            <v>40.276.235/0001-25</v>
          </cell>
          <cell r="B2612" t="str">
            <v>Mariane Nascimento</v>
          </cell>
        </row>
        <row r="2613">
          <cell r="A2613" t="str">
            <v>04.078.043/0001-40</v>
          </cell>
          <cell r="B2613" t="str">
            <v>Mariane Nascimento</v>
          </cell>
        </row>
        <row r="2614">
          <cell r="A2614" t="str">
            <v>04.078.043/0001-40</v>
          </cell>
          <cell r="B2614" t="str">
            <v>Mariane Nascimento</v>
          </cell>
        </row>
        <row r="2615">
          <cell r="A2615" t="str">
            <v>05.743.288/0001-08</v>
          </cell>
          <cell r="B2615" t="str">
            <v>Mariane Nascimento</v>
          </cell>
        </row>
        <row r="2616">
          <cell r="A2616" t="str">
            <v>33.373.325/0001-79</v>
          </cell>
          <cell r="B2616" t="str">
            <v>Mariane Nascimento</v>
          </cell>
        </row>
        <row r="2617">
          <cell r="A2617" t="str">
            <v>14.646.435/0001-12</v>
          </cell>
          <cell r="B2617" t="str">
            <v>Mariane Nascimento</v>
          </cell>
        </row>
        <row r="2618">
          <cell r="A2618" t="str">
            <v>05.495.281/0001-14</v>
          </cell>
          <cell r="B2618" t="str">
            <v>Mariane Nascimento</v>
          </cell>
        </row>
        <row r="2619">
          <cell r="A2619" t="str">
            <v>05.495.281/0001-14</v>
          </cell>
          <cell r="B2619" t="str">
            <v>Mariane Nascimento</v>
          </cell>
        </row>
        <row r="2620">
          <cell r="A2620" t="str">
            <v>05.495.281/0001-14</v>
          </cell>
          <cell r="B2620" t="str">
            <v>Mariane Nascimento</v>
          </cell>
        </row>
        <row r="2621">
          <cell r="A2621" t="str">
            <v>05.495.281/0001-14</v>
          </cell>
          <cell r="B2621" t="str">
            <v>Mariane Nascimento</v>
          </cell>
        </row>
        <row r="2622">
          <cell r="A2622" t="str">
            <v>05.495.281/0001-14</v>
          </cell>
          <cell r="B2622" t="str">
            <v>Mariane Nascimento</v>
          </cell>
        </row>
        <row r="2623">
          <cell r="A2623" t="str">
            <v>59.104.760/0001-91</v>
          </cell>
          <cell r="B2623" t="str">
            <v>Malu Montesino</v>
          </cell>
        </row>
        <row r="2624">
          <cell r="A2624" t="str">
            <v>59.104.760/0001-91</v>
          </cell>
          <cell r="B2624" t="str">
            <v>Malu Montesino</v>
          </cell>
        </row>
        <row r="2625">
          <cell r="A2625" t="str">
            <v>59.104.760/0001-91</v>
          </cell>
          <cell r="B2625" t="str">
            <v>Malu Montesino</v>
          </cell>
        </row>
        <row r="2626">
          <cell r="A2626" t="str">
            <v>04.608.635/0001-27</v>
          </cell>
          <cell r="B2626" t="str">
            <v>Malu Montesino</v>
          </cell>
        </row>
        <row r="2627">
          <cell r="A2627" t="str">
            <v>04.608.635/0001-27</v>
          </cell>
          <cell r="B2627" t="str">
            <v>Malu Montesino</v>
          </cell>
        </row>
        <row r="2628">
          <cell r="A2628" t="str">
            <v>04.608.635/0001-27</v>
          </cell>
          <cell r="B2628" t="str">
            <v>Malu Montesino</v>
          </cell>
        </row>
        <row r="2629">
          <cell r="A2629" t="str">
            <v>04.608.635/0001-27</v>
          </cell>
          <cell r="B2629" t="str">
            <v>Malu Montesino</v>
          </cell>
        </row>
        <row r="2630">
          <cell r="A2630" t="str">
            <v>59.275.792/0001-50</v>
          </cell>
          <cell r="B2630" t="str">
            <v>Malu Montesino</v>
          </cell>
        </row>
        <row r="2631">
          <cell r="A2631" t="str">
            <v>00.028.986/0001-08</v>
          </cell>
          <cell r="B2631" t="str">
            <v>Malu Montesino</v>
          </cell>
        </row>
        <row r="2632">
          <cell r="A2632" t="str">
            <v>79.805.263/0001-28</v>
          </cell>
          <cell r="B2632" t="str">
            <v>Malu Montesino</v>
          </cell>
        </row>
        <row r="2633">
          <cell r="A2633" t="str">
            <v>79.805.263/0001-28</v>
          </cell>
          <cell r="B2633" t="str">
            <v>Malu Montesino</v>
          </cell>
        </row>
        <row r="2634">
          <cell r="A2634" t="str">
            <v>26.852.877/0001-02</v>
          </cell>
          <cell r="B2634" t="str">
            <v>Malu Montesino</v>
          </cell>
        </row>
        <row r="2635">
          <cell r="A2635" t="str">
            <v>52.273.785/0001-70</v>
          </cell>
          <cell r="B2635" t="str">
            <v>Malu Montesino</v>
          </cell>
        </row>
        <row r="2636">
          <cell r="A2636" t="str">
            <v>61.817.664/0001-32</v>
          </cell>
          <cell r="B2636" t="str">
            <v>Mariane Nascimento</v>
          </cell>
        </row>
        <row r="2637">
          <cell r="A2637" t="str">
            <v>61.817.664/0001-32</v>
          </cell>
          <cell r="B2637" t="str">
            <v>Mariane Nascimento</v>
          </cell>
        </row>
        <row r="2638">
          <cell r="A2638" t="str">
            <v>10.962.495/0001-93</v>
          </cell>
          <cell r="B2638" t="str">
            <v>Malu Montesino</v>
          </cell>
        </row>
        <row r="2639">
          <cell r="A2639" t="str">
            <v>12.615.299/0001-78</v>
          </cell>
          <cell r="B2639" t="str">
            <v>Malu Montesino</v>
          </cell>
        </row>
        <row r="2640">
          <cell r="A2640" t="str">
            <v>41.281.881/0001-43</v>
          </cell>
          <cell r="B2640" t="str">
            <v>Malu Montesino</v>
          </cell>
        </row>
        <row r="2641">
          <cell r="A2641" t="str">
            <v>20.250.792/0001-60</v>
          </cell>
          <cell r="B2641" t="str">
            <v>Malu Montesino</v>
          </cell>
        </row>
        <row r="2642">
          <cell r="A2642" t="str">
            <v>68.857.085/0001-62</v>
          </cell>
          <cell r="B2642" t="str">
            <v>Malu Montesino</v>
          </cell>
        </row>
        <row r="2643">
          <cell r="A2643" t="str">
            <v>68.857.085/0001-62</v>
          </cell>
          <cell r="B2643" t="str">
            <v>Malu Montesino</v>
          </cell>
        </row>
        <row r="2644">
          <cell r="A2644">
            <v>1180000126</v>
          </cell>
          <cell r="B2644" t="str">
            <v>Malu Montesino</v>
          </cell>
        </row>
        <row r="2645">
          <cell r="A2645" t="str">
            <v>44.145.845/0001-40</v>
          </cell>
          <cell r="B2645" t="str">
            <v>Malu Montesino</v>
          </cell>
        </row>
        <row r="2646">
          <cell r="A2646" t="str">
            <v>59.275.792/0001-50</v>
          </cell>
          <cell r="B2646" t="str">
            <v>Malu Montesino</v>
          </cell>
        </row>
        <row r="2647">
          <cell r="A2647" t="str">
            <v>04.608.635/0001-27</v>
          </cell>
          <cell r="B2647" t="str">
            <v>Malu Montesino</v>
          </cell>
        </row>
        <row r="2648">
          <cell r="A2648" t="str">
            <v>04.608.635/0001-27</v>
          </cell>
          <cell r="B2648" t="str">
            <v>Malu Montesino</v>
          </cell>
        </row>
        <row r="2649">
          <cell r="A2649" t="str">
            <v>79.805.263/0001-28</v>
          </cell>
          <cell r="B2649" t="str">
            <v>Malu Montesino</v>
          </cell>
        </row>
        <row r="2650">
          <cell r="A2650" t="str">
            <v>23.586.413/0001-03</v>
          </cell>
          <cell r="B2650" t="str">
            <v>Malu Montesino</v>
          </cell>
        </row>
        <row r="2651">
          <cell r="A2651" t="str">
            <v>01.000.334/0001-28</v>
          </cell>
          <cell r="B2651" t="str">
            <v>Malu Montesino</v>
          </cell>
        </row>
        <row r="2652">
          <cell r="A2652" t="str">
            <v>07.065.479/0001-93</v>
          </cell>
          <cell r="B2652" t="str">
            <v>Malu Montesino</v>
          </cell>
        </row>
        <row r="2653">
          <cell r="A2653" t="str">
            <v>14.646.435/0001-12</v>
          </cell>
          <cell r="B2653" t="str">
            <v>Mariane Nascimento</v>
          </cell>
        </row>
        <row r="2654">
          <cell r="A2654" t="str">
            <v>60.680.873/0001-14</v>
          </cell>
          <cell r="B2654" t="str">
            <v>Malu Montesino</v>
          </cell>
        </row>
        <row r="2655">
          <cell r="A2655" t="str">
            <v>60.680.873/0001-14</v>
          </cell>
          <cell r="B2655" t="str">
            <v>Malu Montesino</v>
          </cell>
        </row>
        <row r="2656">
          <cell r="A2656" t="str">
            <v>07.598.814/0001-19</v>
          </cell>
          <cell r="B2656" t="str">
            <v>Malu Montesino</v>
          </cell>
        </row>
        <row r="2657">
          <cell r="A2657" t="str">
            <v>14.510.712/0001-65</v>
          </cell>
          <cell r="B2657" t="str">
            <v>Mariane Nascimento</v>
          </cell>
        </row>
        <row r="2658">
          <cell r="A2658" t="str">
            <v>14.510.712/0001-65</v>
          </cell>
          <cell r="B2658" t="str">
            <v>Mariane Nascimento</v>
          </cell>
        </row>
        <row r="2659">
          <cell r="A2659" t="str">
            <v>14.510.712/0001-65</v>
          </cell>
          <cell r="B2659" t="str">
            <v>Mariane Nascimento</v>
          </cell>
        </row>
        <row r="2660">
          <cell r="A2660" t="str">
            <v>60.665.981/0001-18</v>
          </cell>
          <cell r="B2660" t="str">
            <v>Mariane Nascimento</v>
          </cell>
        </row>
        <row r="2661">
          <cell r="A2661" t="str">
            <v>60.665.981/0001-18</v>
          </cell>
          <cell r="B2661" t="str">
            <v>Mariane Nascimento</v>
          </cell>
        </row>
        <row r="2662">
          <cell r="A2662" t="str">
            <v>05.495.281/0001-14</v>
          </cell>
          <cell r="B2662" t="str">
            <v>Mariane Nascimento</v>
          </cell>
        </row>
        <row r="2663">
          <cell r="A2663" t="str">
            <v>05.495.281/0001-14</v>
          </cell>
          <cell r="B2663" t="str">
            <v>Mariane Nascimento</v>
          </cell>
        </row>
        <row r="2664">
          <cell r="A2664" t="str">
            <v>05.495.281/0001-14</v>
          </cell>
          <cell r="B2664" t="str">
            <v>Mariane Nascimento</v>
          </cell>
        </row>
        <row r="2665">
          <cell r="A2665" t="str">
            <v>05.495.281/0001-14</v>
          </cell>
          <cell r="B2665" t="str">
            <v>Mariane Nascimento</v>
          </cell>
        </row>
        <row r="2666">
          <cell r="A2666" t="str">
            <v>04.608.635/0001-27</v>
          </cell>
          <cell r="B2666" t="str">
            <v>Malu Montesino</v>
          </cell>
        </row>
        <row r="2667">
          <cell r="A2667" t="str">
            <v>61.489.381/0001-09</v>
          </cell>
          <cell r="B2667" t="str">
            <v>Malu Montesino</v>
          </cell>
        </row>
        <row r="2668">
          <cell r="A2668" t="str">
            <v>61.489.381/0001-09</v>
          </cell>
          <cell r="B2668" t="str">
            <v>Malu Montesino</v>
          </cell>
        </row>
        <row r="2669">
          <cell r="A2669" t="str">
            <v>02.059.753/0001-06</v>
          </cell>
          <cell r="B2669" t="str">
            <v>Malu Montesino</v>
          </cell>
        </row>
        <row r="2670">
          <cell r="A2670" t="str">
            <v>02.059.753/0001-06</v>
          </cell>
          <cell r="B2670" t="str">
            <v>Malu Montesino</v>
          </cell>
        </row>
        <row r="2671">
          <cell r="A2671" t="str">
            <v>02.059.753/0001-06</v>
          </cell>
          <cell r="B2671" t="str">
            <v>Malu Montesino</v>
          </cell>
        </row>
        <row r="2672">
          <cell r="A2672" t="str">
            <v>81.243.735/0001-48</v>
          </cell>
          <cell r="B2672" t="str">
            <v>Malu Montesino</v>
          </cell>
        </row>
        <row r="2673">
          <cell r="A2673" t="str">
            <v>10.962.495/0001-93</v>
          </cell>
          <cell r="B2673" t="str">
            <v>Malu Montesino</v>
          </cell>
        </row>
        <row r="2674">
          <cell r="A2674" t="str">
            <v>10.962.495/0001-93</v>
          </cell>
          <cell r="B2674" t="str">
            <v>Malu Montesino</v>
          </cell>
        </row>
        <row r="2675">
          <cell r="A2675" t="str">
            <v>59.276.858/0001-26</v>
          </cell>
          <cell r="B2675" t="str">
            <v>Malu Montesino</v>
          </cell>
        </row>
        <row r="2676">
          <cell r="A2676" t="str">
            <v>59.276.858/0001-26</v>
          </cell>
          <cell r="B2676" t="str">
            <v>Malu Montesino</v>
          </cell>
        </row>
        <row r="2677">
          <cell r="A2677" t="str">
            <v>49.074.412/0001-65</v>
          </cell>
          <cell r="B2677" t="str">
            <v>Malu Montesino</v>
          </cell>
        </row>
        <row r="2678">
          <cell r="A2678" t="str">
            <v>02.059.753/0001-06</v>
          </cell>
          <cell r="B2678" t="str">
            <v>Malu Montesino</v>
          </cell>
        </row>
        <row r="2679">
          <cell r="A2679" t="str">
            <v>49.074.412/0001-65</v>
          </cell>
          <cell r="B2679" t="str">
            <v>Malu Montesino</v>
          </cell>
        </row>
        <row r="2680">
          <cell r="A2680" t="str">
            <v>01.000.334/0001-28</v>
          </cell>
          <cell r="B2680" t="str">
            <v>Malu Montesino</v>
          </cell>
        </row>
        <row r="2681">
          <cell r="A2681" t="str">
            <v>60.680.873/0001-14</v>
          </cell>
          <cell r="B2681" t="str">
            <v>Malu Montesino</v>
          </cell>
        </row>
        <row r="2682">
          <cell r="A2682" t="str">
            <v>10.962.495/0001-93</v>
          </cell>
          <cell r="B2682" t="str">
            <v>Malu Montesino</v>
          </cell>
        </row>
        <row r="2683">
          <cell r="A2683" t="str">
            <v>10.962.495/0001-93</v>
          </cell>
          <cell r="B2683" t="str">
            <v>Malu Montesino</v>
          </cell>
        </row>
        <row r="2684">
          <cell r="A2684" t="str">
            <v>60.680.873/0001-14</v>
          </cell>
          <cell r="B2684" t="str">
            <v>Malu Montesino</v>
          </cell>
        </row>
        <row r="2685">
          <cell r="A2685" t="str">
            <v>06.172.467/0001-03</v>
          </cell>
          <cell r="B2685" t="str">
            <v>Mariane Nascimento</v>
          </cell>
        </row>
        <row r="2686">
          <cell r="A2686" t="str">
            <v>06.172.467/0001-03</v>
          </cell>
          <cell r="B2686" t="str">
            <v>Mariane Nascimento</v>
          </cell>
        </row>
        <row r="2687">
          <cell r="A2687" t="str">
            <v>02.535.707/0001-28</v>
          </cell>
          <cell r="B2687" t="str">
            <v>Mariane Nascimento</v>
          </cell>
        </row>
        <row r="2688">
          <cell r="A2688" t="str">
            <v>02.535.707/0001-28</v>
          </cell>
          <cell r="B2688" t="str">
            <v>Mariane Nascimento</v>
          </cell>
        </row>
        <row r="2689">
          <cell r="A2689" t="str">
            <v>23.677.604/0001-72</v>
          </cell>
          <cell r="B2689" t="str">
            <v>Mariane Nascimento</v>
          </cell>
        </row>
        <row r="2690">
          <cell r="A2690" t="str">
            <v>22.090.928/0001-47</v>
          </cell>
          <cell r="B2690" t="str">
            <v>Malu Montesino</v>
          </cell>
        </row>
        <row r="2691">
          <cell r="A2691" t="str">
            <v>22.090.928/0001-47</v>
          </cell>
          <cell r="B2691" t="str">
            <v>Malu Montesino</v>
          </cell>
        </row>
        <row r="2692">
          <cell r="A2692" t="str">
            <v>79.841.904/0001-08</v>
          </cell>
          <cell r="B2692" t="str">
            <v>Malu Montesino</v>
          </cell>
        </row>
        <row r="2693">
          <cell r="A2693" t="str">
            <v>66.783.630/0001-98</v>
          </cell>
          <cell r="B2693" t="str">
            <v>Malu Montesino</v>
          </cell>
        </row>
        <row r="2694">
          <cell r="A2694" t="str">
            <v>66.783.630/0001-98</v>
          </cell>
          <cell r="B2694" t="str">
            <v>Malu Montesino</v>
          </cell>
        </row>
        <row r="2695">
          <cell r="A2695" t="str">
            <v>20.102.529/0001-23</v>
          </cell>
          <cell r="B2695" t="str">
            <v>Malu Montesino</v>
          </cell>
        </row>
        <row r="2696">
          <cell r="A2696" t="str">
            <v>20.102.529/0001-23</v>
          </cell>
          <cell r="B2696" t="str">
            <v>Malu Montesino</v>
          </cell>
        </row>
        <row r="2697">
          <cell r="A2697" t="str">
            <v>21.725.948/0001-84</v>
          </cell>
          <cell r="B2697" t="str">
            <v>Malu Montesino</v>
          </cell>
        </row>
        <row r="2698">
          <cell r="A2698" t="str">
            <v>07.935.049/0001-85</v>
          </cell>
          <cell r="B2698" t="str">
            <v>Malu Montesino</v>
          </cell>
        </row>
        <row r="2699">
          <cell r="A2699" t="str">
            <v>16.587.133/0001-46</v>
          </cell>
          <cell r="B2699" t="str">
            <v>Malu Montesino</v>
          </cell>
        </row>
        <row r="2700">
          <cell r="A2700" t="str">
            <v>52.273.785/0001-70</v>
          </cell>
          <cell r="B2700" t="str">
            <v>Malu Montesino</v>
          </cell>
        </row>
        <row r="2701">
          <cell r="A2701" t="str">
            <v>05.012.368/0001-93</v>
          </cell>
          <cell r="B2701" t="str">
            <v>Malu Montesino</v>
          </cell>
        </row>
        <row r="2702">
          <cell r="A2702" t="str">
            <v>59.276.858/0001-26</v>
          </cell>
          <cell r="B2702" t="str">
            <v>Malu Montesino</v>
          </cell>
        </row>
        <row r="2703">
          <cell r="A2703" t="str">
            <v>04.262.870/0001-90</v>
          </cell>
          <cell r="B2703" t="str">
            <v>Malu Montesino</v>
          </cell>
        </row>
        <row r="2704">
          <cell r="A2704" t="str">
            <v>52.736.949/0001-58</v>
          </cell>
          <cell r="B2704" t="str">
            <v>Malu Montesino</v>
          </cell>
        </row>
        <row r="2705">
          <cell r="A2705" t="str">
            <v>52.736.949/0001-58</v>
          </cell>
          <cell r="B2705" t="str">
            <v>Malu Montesino</v>
          </cell>
        </row>
        <row r="2706">
          <cell r="A2706" t="str">
            <v>05.551.328/0001-10</v>
          </cell>
          <cell r="B2706" t="str">
            <v>Malu Montesino</v>
          </cell>
        </row>
        <row r="2707">
          <cell r="A2707" t="str">
            <v>67.886.408/0001-83</v>
          </cell>
          <cell r="B2707" t="str">
            <v>Malu Montesino</v>
          </cell>
        </row>
        <row r="2708">
          <cell r="A2708" t="str">
            <v>79.841.904/0001-08</v>
          </cell>
          <cell r="B2708" t="str">
            <v>Malu Montesino</v>
          </cell>
        </row>
        <row r="2709">
          <cell r="A2709" t="str">
            <v>66.783.630/0001-98</v>
          </cell>
          <cell r="B2709" t="str">
            <v>Malu Montesino</v>
          </cell>
        </row>
        <row r="2710">
          <cell r="A2710" t="str">
            <v>66.783.630/0001-98</v>
          </cell>
          <cell r="B2710" t="str">
            <v>Malu Montesino</v>
          </cell>
        </row>
        <row r="2711">
          <cell r="A2711" t="str">
            <v>07.935.049/0001-85</v>
          </cell>
          <cell r="B2711" t="str">
            <v>Malu Montesino</v>
          </cell>
        </row>
        <row r="2712">
          <cell r="A2712" t="str">
            <v>05.012.368/0001-93</v>
          </cell>
          <cell r="B2712" t="str">
            <v>Malu Montesino</v>
          </cell>
        </row>
        <row r="2713">
          <cell r="A2713" t="str">
            <v>21.725.948/0001-84</v>
          </cell>
          <cell r="B2713" t="str">
            <v>Malu Montesino</v>
          </cell>
        </row>
        <row r="2714">
          <cell r="A2714" t="str">
            <v>52.273.785/0001-70</v>
          </cell>
          <cell r="B2714" t="str">
            <v>Malu Montesino</v>
          </cell>
        </row>
        <row r="2715">
          <cell r="A2715" t="str">
            <v>60.680.873/0001-14</v>
          </cell>
          <cell r="B2715" t="str">
            <v>Malu Montesino</v>
          </cell>
        </row>
        <row r="2716">
          <cell r="A2716" t="str">
            <v>01.679.569/0001-98</v>
          </cell>
          <cell r="B2716" t="str">
            <v>Malu Montesino</v>
          </cell>
        </row>
        <row r="2717">
          <cell r="A2717" t="str">
            <v>59.104.422/0001-50</v>
          </cell>
          <cell r="B2717" t="str">
            <v>Malu Montesino</v>
          </cell>
        </row>
        <row r="2718">
          <cell r="A2718" t="str">
            <v>29.736.089/0001-30</v>
          </cell>
          <cell r="B2718" t="str">
            <v>Malu Montesino</v>
          </cell>
        </row>
        <row r="2719">
          <cell r="A2719" t="str">
            <v>26.308.513/0001-58</v>
          </cell>
          <cell r="B2719" t="str">
            <v>Malu Montesino</v>
          </cell>
        </row>
        <row r="2720">
          <cell r="A2720" t="str">
            <v>02.283.886/0001-53</v>
          </cell>
          <cell r="B2720" t="str">
            <v>Malu Montesino</v>
          </cell>
        </row>
        <row r="2721">
          <cell r="A2721" t="str">
            <v>02.283.886/0001-53</v>
          </cell>
          <cell r="B2721" t="str">
            <v>Malu Montesino</v>
          </cell>
        </row>
        <row r="2722">
          <cell r="A2722" t="str">
            <v>24.893.687/0011-71</v>
          </cell>
          <cell r="B2722" t="str">
            <v>Malu Montesino</v>
          </cell>
        </row>
        <row r="2723">
          <cell r="A2723" t="str">
            <v>24.893.687/0011-71</v>
          </cell>
          <cell r="B2723" t="str">
            <v>Malu Montesino</v>
          </cell>
        </row>
        <row r="2724">
          <cell r="A2724" t="str">
            <v>03.106.735/0001-92</v>
          </cell>
          <cell r="B2724" t="str">
            <v>Malu Montesino</v>
          </cell>
        </row>
        <row r="2725">
          <cell r="A2725" t="str">
            <v>59.519.603/0001-47</v>
          </cell>
          <cell r="B2725" t="str">
            <v>Malu Montesino</v>
          </cell>
        </row>
        <row r="2726">
          <cell r="A2726" t="str">
            <v>59.519.603/0001-47</v>
          </cell>
          <cell r="B2726" t="str">
            <v>Malu Montesino</v>
          </cell>
        </row>
        <row r="2727">
          <cell r="A2727" t="str">
            <v>59.519.603/0001-47</v>
          </cell>
          <cell r="B2727" t="str">
            <v>Malu Montesino</v>
          </cell>
        </row>
        <row r="2728">
          <cell r="A2728" t="str">
            <v>72.381.189/0001-10</v>
          </cell>
          <cell r="B2728" t="str">
            <v>Malu Montesino</v>
          </cell>
        </row>
        <row r="2729">
          <cell r="A2729" t="str">
            <v>72.381.189/0001-10</v>
          </cell>
          <cell r="B2729" t="str">
            <v>Malu Montesino</v>
          </cell>
        </row>
        <row r="2730">
          <cell r="A2730" t="str">
            <v>72.381.189/0001-10</v>
          </cell>
          <cell r="B2730" t="str">
            <v>Malu Montesino</v>
          </cell>
        </row>
        <row r="2731">
          <cell r="A2731" t="str">
            <v>46.550.505/0001-20</v>
          </cell>
          <cell r="B2731" t="str">
            <v>Malu Montesino</v>
          </cell>
        </row>
        <row r="2732">
          <cell r="A2732" t="str">
            <v>46.550.505/0001-20</v>
          </cell>
          <cell r="B2732" t="str">
            <v>Malu Montesino</v>
          </cell>
        </row>
        <row r="2733">
          <cell r="A2733" t="str">
            <v>22.090.928/0001-47</v>
          </cell>
          <cell r="B2733" t="str">
            <v>Malu Montesino</v>
          </cell>
        </row>
        <row r="2734">
          <cell r="A2734" t="str">
            <v>31.715.616/0001-72</v>
          </cell>
          <cell r="B2734" t="str">
            <v>Malu Montesino</v>
          </cell>
        </row>
        <row r="2735">
          <cell r="A2735" t="str">
            <v>67.886.408/0001-83</v>
          </cell>
          <cell r="B2735" t="str">
            <v>Malu Montesino</v>
          </cell>
        </row>
        <row r="2736">
          <cell r="A2736" t="str">
            <v>82.429.994/0001-20</v>
          </cell>
          <cell r="B2736" t="str">
            <v>Malu Montesino</v>
          </cell>
        </row>
        <row r="2737">
          <cell r="A2737" t="str">
            <v>06.990.590/0001-23</v>
          </cell>
          <cell r="B2737" t="str">
            <v>Malu Montesino</v>
          </cell>
        </row>
        <row r="2738">
          <cell r="A2738" t="str">
            <v>20.513.627/0001-53</v>
          </cell>
          <cell r="B2738" t="str">
            <v>Malu Montesino</v>
          </cell>
        </row>
        <row r="2739">
          <cell r="A2739" t="str">
            <v>48.240.709/0001-90</v>
          </cell>
          <cell r="B2739" t="str">
            <v>Malu Montesino</v>
          </cell>
        </row>
        <row r="2740">
          <cell r="A2740" t="str">
            <v>48.240.709/0001-90</v>
          </cell>
          <cell r="B2740" t="str">
            <v>Malu Montesino</v>
          </cell>
        </row>
        <row r="2741">
          <cell r="A2741" t="str">
            <v>02.357.251/0001-53</v>
          </cell>
          <cell r="B2741" t="str">
            <v>Malu Montesino</v>
          </cell>
        </row>
        <row r="2742">
          <cell r="A2742" t="str">
            <v>47.098.918/0001-89</v>
          </cell>
          <cell r="B2742" t="str">
            <v>Malu Montesino</v>
          </cell>
        </row>
        <row r="2743">
          <cell r="A2743" t="str">
            <v>47.098.918/0001-89</v>
          </cell>
          <cell r="B2743" t="str">
            <v>Malu Montesino</v>
          </cell>
        </row>
        <row r="2744">
          <cell r="A2744" t="str">
            <v>05.857.218/0001-80</v>
          </cell>
          <cell r="B2744" t="str">
            <v>Malu Montesino</v>
          </cell>
        </row>
        <row r="2745">
          <cell r="A2745" t="str">
            <v>33.325.184/0001-19</v>
          </cell>
          <cell r="B2745" t="str">
            <v>Malu Montesino</v>
          </cell>
        </row>
        <row r="2746">
          <cell r="A2746" t="str">
            <v>33.325.184/0001-19</v>
          </cell>
          <cell r="B2746" t="str">
            <v>Malu Montesino</v>
          </cell>
        </row>
        <row r="2747">
          <cell r="A2747" t="str">
            <v>06.224.121/0001-01</v>
          </cell>
          <cell r="B2747" t="str">
            <v>Malu Montesino</v>
          </cell>
        </row>
        <row r="2748">
          <cell r="A2748" t="str">
            <v>08.762.826/0001-08</v>
          </cell>
          <cell r="B2748" t="str">
            <v>Malu Montesino</v>
          </cell>
        </row>
        <row r="2749">
          <cell r="A2749" t="str">
            <v>10.560.660/0001-80</v>
          </cell>
          <cell r="B2749" t="str">
            <v>Malu Montesino</v>
          </cell>
        </row>
        <row r="2750">
          <cell r="A2750" t="str">
            <v>68.857.085/0001-62</v>
          </cell>
          <cell r="B2750" t="str">
            <v>Malu Montesino</v>
          </cell>
        </row>
        <row r="2751">
          <cell r="A2751" t="str">
            <v>72.381.189/0001-10</v>
          </cell>
          <cell r="B2751" t="str">
            <v>Malu Montesino</v>
          </cell>
        </row>
        <row r="2752">
          <cell r="A2752" t="str">
            <v>67.886.408/0001-83</v>
          </cell>
          <cell r="B2752" t="str">
            <v>Malu Montesino</v>
          </cell>
        </row>
        <row r="2753">
          <cell r="A2753" t="str">
            <v>67.886.408/0001-83</v>
          </cell>
          <cell r="B2753" t="str">
            <v>Malu Montesino</v>
          </cell>
        </row>
        <row r="2754">
          <cell r="A2754" t="str">
            <v>06.224.121/0001-01</v>
          </cell>
          <cell r="B2754" t="str">
            <v>Malu Montesino</v>
          </cell>
        </row>
        <row r="2755">
          <cell r="A2755" t="str">
            <v>26.308.513/0001-58</v>
          </cell>
          <cell r="B2755" t="str">
            <v>Malu Montesino</v>
          </cell>
        </row>
        <row r="2756">
          <cell r="A2756" t="str">
            <v>26.308.513/0001-58</v>
          </cell>
          <cell r="B2756" t="str">
            <v>Malu Montesino</v>
          </cell>
        </row>
        <row r="2757">
          <cell r="A2757" t="str">
            <v>02.283.886/0001-53</v>
          </cell>
          <cell r="B2757" t="str">
            <v>Malu Montesino</v>
          </cell>
        </row>
        <row r="2758">
          <cell r="A2758" t="str">
            <v>02.357.251/0001-53</v>
          </cell>
          <cell r="B2758" t="str">
            <v>Malu Montesino</v>
          </cell>
        </row>
        <row r="2759">
          <cell r="A2759" t="str">
            <v>33.325.184/0001-19</v>
          </cell>
          <cell r="B2759" t="str">
            <v>Malu Montesino</v>
          </cell>
        </row>
        <row r="2760">
          <cell r="A2760" t="str">
            <v>48.240.709/0001-90</v>
          </cell>
          <cell r="B2760" t="str">
            <v>Malu Montesino</v>
          </cell>
        </row>
        <row r="2761">
          <cell r="A2761" t="str">
            <v>10.560.660/0001-80</v>
          </cell>
          <cell r="B2761" t="str">
            <v>Malu Montesino</v>
          </cell>
        </row>
        <row r="2762">
          <cell r="A2762" t="str">
            <v>20.513.627/0001-53</v>
          </cell>
          <cell r="B2762" t="str">
            <v>Malu Montesino</v>
          </cell>
        </row>
        <row r="2763">
          <cell r="A2763" t="str">
            <v>10.861.317/0001-76</v>
          </cell>
          <cell r="B2763" t="str">
            <v>Mariane Nascimento</v>
          </cell>
        </row>
        <row r="2764">
          <cell r="A2764" t="str">
            <v>17.140.820/0001-81</v>
          </cell>
          <cell r="B2764" t="str">
            <v>Malu Montesino</v>
          </cell>
        </row>
        <row r="2765">
          <cell r="A2765" t="str">
            <v>40.276.235/0001-25</v>
          </cell>
          <cell r="B2765" t="str">
            <v>Mariane Nascimento</v>
          </cell>
        </row>
        <row r="2766">
          <cell r="A2766" t="str">
            <v>59.408.005/0001-09</v>
          </cell>
          <cell r="B2766" t="str">
            <v>Malu Montesino</v>
          </cell>
        </row>
        <row r="2767">
          <cell r="A2767" t="str">
            <v>59.519.603/0001-47</v>
          </cell>
          <cell r="B2767" t="str">
            <v>Malu Montesino</v>
          </cell>
        </row>
        <row r="2768">
          <cell r="A2768" t="str">
            <v>05.495.281/0001-14</v>
          </cell>
          <cell r="B2768" t="str">
            <v>Mariane Nascimento</v>
          </cell>
        </row>
        <row r="2769">
          <cell r="A2769" t="str">
            <v>02.162.259/0001-64</v>
          </cell>
          <cell r="B2769" t="str">
            <v>Malu Montesino</v>
          </cell>
        </row>
        <row r="2770">
          <cell r="A2770" t="str">
            <v>02.162.259/0001-64</v>
          </cell>
          <cell r="B2770" t="str">
            <v>Malu Montesino</v>
          </cell>
        </row>
        <row r="2771">
          <cell r="A2771" t="str">
            <v>02.814.497/0001-07</v>
          </cell>
          <cell r="B2771" t="str">
            <v>Malu Montesino</v>
          </cell>
        </row>
        <row r="2772">
          <cell r="A2772" t="str">
            <v>20.513.627/0001-53</v>
          </cell>
          <cell r="B2772" t="str">
            <v>Malu Montesino</v>
          </cell>
        </row>
        <row r="2773">
          <cell r="A2773" t="str">
            <v>23.706.789/0001-04</v>
          </cell>
          <cell r="B2773" t="str">
            <v>Malu Montesino</v>
          </cell>
        </row>
        <row r="2774">
          <cell r="A2774" t="str">
            <v>23.706.789/0001-04</v>
          </cell>
          <cell r="B2774" t="str">
            <v>Malu Montesino</v>
          </cell>
        </row>
        <row r="2775">
          <cell r="A2775" t="str">
            <v>07.306.281/0001-54</v>
          </cell>
          <cell r="B2775" t="str">
            <v>Malu Montesino</v>
          </cell>
        </row>
        <row r="2776">
          <cell r="A2776" t="str">
            <v>77.152.338/0001-93</v>
          </cell>
          <cell r="B2776" t="str">
            <v>Malu Montesino</v>
          </cell>
        </row>
        <row r="2777">
          <cell r="A2777" t="str">
            <v>16.587.133/0001-46</v>
          </cell>
          <cell r="B2777" t="str">
            <v>Malu Montesino</v>
          </cell>
        </row>
        <row r="2778">
          <cell r="A2778" t="str">
            <v>56.025.090/0001-20</v>
          </cell>
          <cell r="B2778" t="str">
            <v>Malu Montesino</v>
          </cell>
        </row>
        <row r="2779">
          <cell r="A2779" t="str">
            <v>38.229.195/0001-19</v>
          </cell>
          <cell r="B2779" t="str">
            <v>Malu Montesino</v>
          </cell>
        </row>
        <row r="2780">
          <cell r="A2780" t="str">
            <v>56.025.090/0001-20</v>
          </cell>
          <cell r="B2780" t="str">
            <v>Malu Montesino</v>
          </cell>
        </row>
        <row r="2781">
          <cell r="A2781" t="str">
            <v>05.222.267/0001-47</v>
          </cell>
          <cell r="B2781" t="str">
            <v>Malu Montesino</v>
          </cell>
        </row>
        <row r="2782">
          <cell r="A2782" t="str">
            <v>59.408.005/0001-09</v>
          </cell>
          <cell r="B2782" t="str">
            <v>Malu Montesino</v>
          </cell>
        </row>
        <row r="2783">
          <cell r="A2783" t="str">
            <v>59.519.603/0001-47</v>
          </cell>
          <cell r="B2783" t="str">
            <v>Malu Montesino</v>
          </cell>
        </row>
        <row r="2784">
          <cell r="A2784" t="str">
            <v>07.018.219/0001-67</v>
          </cell>
          <cell r="B2784" t="str">
            <v>Malu Montesino</v>
          </cell>
        </row>
        <row r="2785">
          <cell r="A2785" t="str">
            <v>56.998.701/0001-16</v>
          </cell>
          <cell r="B2785" t="str">
            <v>Malu Montesino</v>
          </cell>
        </row>
        <row r="2786">
          <cell r="A2786" t="str">
            <v>05.222.267/0001-47</v>
          </cell>
          <cell r="B2786" t="str">
            <v>Malu Montesino</v>
          </cell>
        </row>
        <row r="2787">
          <cell r="A2787" t="str">
            <v>73.773.129/0001-06</v>
          </cell>
          <cell r="B2787" t="str">
            <v>Malu Montesino</v>
          </cell>
        </row>
        <row r="2788">
          <cell r="A2788" t="str">
            <v>73.773.129/0001-06</v>
          </cell>
          <cell r="B2788" t="str">
            <v>Malu Montesino</v>
          </cell>
        </row>
        <row r="2789">
          <cell r="A2789" t="str">
            <v>04.078.043/0001-40</v>
          </cell>
          <cell r="B2789" t="str">
            <v>Mariane Nascimento</v>
          </cell>
        </row>
        <row r="2790">
          <cell r="A2790" t="str">
            <v>10.444.624/0001-51</v>
          </cell>
          <cell r="B2790" t="str">
            <v>Malu Montesino</v>
          </cell>
        </row>
        <row r="2791">
          <cell r="A2791" t="str">
            <v>33.373.325/0001-79</v>
          </cell>
          <cell r="B2791" t="str">
            <v>Mariane Nascimento</v>
          </cell>
        </row>
        <row r="2792">
          <cell r="A2792" t="str">
            <v>33.373.325/0001-79</v>
          </cell>
          <cell r="B2792" t="str">
            <v>Mariane Nascimento</v>
          </cell>
        </row>
        <row r="2793">
          <cell r="A2793" t="str">
            <v>60.680.873/0001-14</v>
          </cell>
          <cell r="B2793" t="str">
            <v>Malu Montesino</v>
          </cell>
        </row>
        <row r="2794">
          <cell r="A2794" t="str">
            <v>60.680.873/0001-14</v>
          </cell>
          <cell r="B2794" t="str">
            <v>Malu Montesino</v>
          </cell>
        </row>
        <row r="2795">
          <cell r="A2795" t="str">
            <v>60.680.873/0001-14</v>
          </cell>
          <cell r="B2795" t="str">
            <v>Malu Montesino</v>
          </cell>
        </row>
        <row r="2796">
          <cell r="A2796" t="str">
            <v>62.802.012/0001-97</v>
          </cell>
          <cell r="B2796" t="str">
            <v>Mariane Nascimento</v>
          </cell>
        </row>
        <row r="2797">
          <cell r="A2797" t="str">
            <v>62.802.012/0001-97</v>
          </cell>
          <cell r="B2797" t="str">
            <v>Mariane Nascimento</v>
          </cell>
        </row>
        <row r="2798">
          <cell r="A2798" t="str">
            <v>09.485.574/0001-71</v>
          </cell>
          <cell r="B2798" t="str">
            <v>Mariane Nascimento</v>
          </cell>
        </row>
        <row r="2799">
          <cell r="A2799" t="str">
            <v>09.485.574/0001-71</v>
          </cell>
          <cell r="B2799" t="str">
            <v>Mariane Nascimento</v>
          </cell>
        </row>
        <row r="2800">
          <cell r="A2800" t="str">
            <v>01.866.388/0001-70</v>
          </cell>
          <cell r="B2800" t="str">
            <v>Malu Montesino</v>
          </cell>
        </row>
        <row r="2801">
          <cell r="A2801" t="str">
            <v>58.763.350/0001-90</v>
          </cell>
          <cell r="B2801" t="str">
            <v>Malu Montesino</v>
          </cell>
        </row>
        <row r="2802">
          <cell r="A2802" t="str">
            <v>02.659.246/0003-67</v>
          </cell>
          <cell r="B2802" t="str">
            <v>Malu Montesino</v>
          </cell>
        </row>
        <row r="2803">
          <cell r="A2803" t="str">
            <v>04.597.289/0001-29</v>
          </cell>
          <cell r="B2803" t="str">
            <v>Malu Montesino</v>
          </cell>
        </row>
        <row r="2804">
          <cell r="A2804" t="str">
            <v>02.033.695/0001-33</v>
          </cell>
          <cell r="B2804" t="str">
            <v>Malu Montesino</v>
          </cell>
        </row>
        <row r="2805">
          <cell r="A2805" t="str">
            <v>52.273.785/0001-70</v>
          </cell>
          <cell r="B2805" t="str">
            <v>Malu Montesino</v>
          </cell>
        </row>
        <row r="2806">
          <cell r="A2806" t="str">
            <v>60.625.829/0001-01</v>
          </cell>
          <cell r="B2806" t="str">
            <v>Malu Montesino</v>
          </cell>
        </row>
        <row r="2807">
          <cell r="A2807" t="str">
            <v>10.560.660/0001-80</v>
          </cell>
          <cell r="B2807" t="str">
            <v>Malu Montesino</v>
          </cell>
        </row>
        <row r="2808">
          <cell r="A2808" t="str">
            <v>44.930.780/0001-44</v>
          </cell>
          <cell r="B2808" t="str">
            <v>Malu Montesino</v>
          </cell>
        </row>
        <row r="2809">
          <cell r="A2809" t="str">
            <v>15.630.428/0001-95</v>
          </cell>
          <cell r="B2809" t="str">
            <v>Malu Montesino</v>
          </cell>
        </row>
        <row r="2810">
          <cell r="A2810" t="str">
            <v>56.998.701/0001-16</v>
          </cell>
          <cell r="B2810" t="str">
            <v>Malu Montesino</v>
          </cell>
        </row>
        <row r="2811">
          <cell r="A2811" t="str">
            <v>60.680.873/0001-14</v>
          </cell>
          <cell r="B2811" t="str">
            <v>Malu Montesino</v>
          </cell>
        </row>
        <row r="2812">
          <cell r="A2812" t="str">
            <v>60.680.873/0001-14</v>
          </cell>
          <cell r="B2812" t="str">
            <v>Malu Montesino</v>
          </cell>
        </row>
        <row r="2813">
          <cell r="A2813" t="str">
            <v>00.802.002/0001-02</v>
          </cell>
          <cell r="B2813" t="str">
            <v>Malu Montesino</v>
          </cell>
        </row>
        <row r="2814">
          <cell r="A2814" t="str">
            <v>29.915.312/0001-07</v>
          </cell>
          <cell r="B2814" t="str">
            <v>Malu Montesino</v>
          </cell>
        </row>
        <row r="2815">
          <cell r="A2815" t="str">
            <v>29.915.312/0001-07</v>
          </cell>
          <cell r="B2815" t="str">
            <v>Malu Montesino</v>
          </cell>
        </row>
        <row r="2816">
          <cell r="A2816" t="str">
            <v>29.915.312/0001-07</v>
          </cell>
          <cell r="B2816" t="str">
            <v>Malu Montesino</v>
          </cell>
        </row>
        <row r="2817">
          <cell r="A2817" t="str">
            <v>29.915.312/0001-07</v>
          </cell>
          <cell r="B2817" t="str">
            <v>Malu Montesino</v>
          </cell>
        </row>
        <row r="2818">
          <cell r="A2818" t="str">
            <v>29.915.312/0001-07</v>
          </cell>
          <cell r="B2818" t="str">
            <v>Malu Montesino</v>
          </cell>
        </row>
        <row r="2819">
          <cell r="A2819" t="str">
            <v>07.884.692/0001-27</v>
          </cell>
          <cell r="B2819" t="str">
            <v>Malu Montesino</v>
          </cell>
        </row>
        <row r="2820">
          <cell r="A2820" t="str">
            <v>07.884.692/0001-27</v>
          </cell>
          <cell r="B2820" t="str">
            <v>Malu Montesino</v>
          </cell>
        </row>
        <row r="2821">
          <cell r="A2821" t="str">
            <v>07.884.692/0001-27</v>
          </cell>
          <cell r="B2821" t="str">
            <v>Malu Montesino</v>
          </cell>
        </row>
        <row r="2822">
          <cell r="A2822" t="str">
            <v>01.597.589/0001-10</v>
          </cell>
          <cell r="B2822" t="str">
            <v>Malu Montesino</v>
          </cell>
        </row>
        <row r="2823">
          <cell r="A2823" t="str">
            <v>03.033.345/0001-30</v>
          </cell>
          <cell r="B2823" t="str">
            <v>Mariane Nascimento</v>
          </cell>
        </row>
        <row r="2824">
          <cell r="A2824" t="str">
            <v>22.301.988/0001-61</v>
          </cell>
          <cell r="B2824" t="str">
            <v>Malu Montesino</v>
          </cell>
        </row>
        <row r="2825">
          <cell r="A2825" t="str">
            <v>22.301.988/0001-61</v>
          </cell>
          <cell r="B2825" t="str">
            <v>Malu Montesino</v>
          </cell>
        </row>
        <row r="2826">
          <cell r="A2826" t="str">
            <v>33.157.312/0001-62</v>
          </cell>
          <cell r="B2826" t="str">
            <v>Mariane Nascimento</v>
          </cell>
        </row>
        <row r="2827">
          <cell r="A2827" t="str">
            <v>02.291.486/0001-90</v>
          </cell>
          <cell r="B2827" t="str">
            <v>Malu Montesino</v>
          </cell>
        </row>
        <row r="2828">
          <cell r="A2828" t="str">
            <v>09.454.377/0001-95</v>
          </cell>
          <cell r="B2828" t="str">
            <v>Malu Montesino</v>
          </cell>
        </row>
        <row r="2829">
          <cell r="A2829" t="str">
            <v>09.072.082/0002-35</v>
          </cell>
          <cell r="B2829" t="str">
            <v>Mariane Nascimento</v>
          </cell>
        </row>
        <row r="2830">
          <cell r="A2830" t="str">
            <v>04.597.289/0001-29</v>
          </cell>
          <cell r="B2830" t="str">
            <v>Malu Montesino</v>
          </cell>
        </row>
        <row r="2831">
          <cell r="A2831" t="str">
            <v>15.431.830/0002-21</v>
          </cell>
          <cell r="B2831" t="str">
            <v>Malu Montesino</v>
          </cell>
        </row>
        <row r="2832">
          <cell r="A2832" t="str">
            <v>77.153.260/0001-21</v>
          </cell>
          <cell r="B2832" t="str">
            <v>Malu Montesino</v>
          </cell>
        </row>
        <row r="2833">
          <cell r="A2833" t="str">
            <v>77.153.260/0001-21</v>
          </cell>
          <cell r="B2833" t="str">
            <v>Malu Montesino</v>
          </cell>
        </row>
        <row r="2834">
          <cell r="A2834" t="str">
            <v>10.560.660/0001-80</v>
          </cell>
          <cell r="B2834" t="str">
            <v>Malu Montesino</v>
          </cell>
        </row>
        <row r="2835">
          <cell r="A2835" t="str">
            <v>02.794.555/0001-88</v>
          </cell>
          <cell r="B2835" t="str">
            <v>Malu Montesino</v>
          </cell>
        </row>
        <row r="2836">
          <cell r="A2836" t="str">
            <v>02.794.555/0001-88</v>
          </cell>
          <cell r="B2836" t="str">
            <v>Malu Montesino</v>
          </cell>
        </row>
        <row r="2837">
          <cell r="A2837" t="str">
            <v>00.771.598/0005-46</v>
          </cell>
          <cell r="B2837" t="str">
            <v>Malu Montesino</v>
          </cell>
        </row>
        <row r="2838">
          <cell r="A2838" t="str">
            <v>60.831.658/0001-77</v>
          </cell>
          <cell r="B2838" t="str">
            <v>Malu Montesino</v>
          </cell>
        </row>
        <row r="2839">
          <cell r="A2839" t="str">
            <v>07.884.692/0001-27</v>
          </cell>
          <cell r="B2839" t="str">
            <v>Malu Montesino</v>
          </cell>
        </row>
        <row r="2840">
          <cell r="A2840" t="str">
            <v>77.153.260/0001-21</v>
          </cell>
          <cell r="B2840" t="str">
            <v>Malu Montesino</v>
          </cell>
        </row>
        <row r="2841">
          <cell r="A2841" t="str">
            <v>29.915.312/0001-07</v>
          </cell>
          <cell r="B2841" t="str">
            <v>Malu Montesino</v>
          </cell>
        </row>
        <row r="2842">
          <cell r="A2842" t="str">
            <v>02.794.555/0001-88</v>
          </cell>
          <cell r="B2842" t="str">
            <v>Malu Montesino</v>
          </cell>
        </row>
        <row r="2843">
          <cell r="A2843" t="str">
            <v>40.276.235/0001-25</v>
          </cell>
          <cell r="B2843" t="str">
            <v>Mariane Nascimento</v>
          </cell>
        </row>
        <row r="2844">
          <cell r="A2844" t="str">
            <v>77.153.260/0001-21</v>
          </cell>
          <cell r="B2844" t="str">
            <v>Malu Montesino</v>
          </cell>
        </row>
        <row r="2845">
          <cell r="A2845" t="str">
            <v>59.276.858/0001-26</v>
          </cell>
          <cell r="B2845" t="str">
            <v>Malu Montesino</v>
          </cell>
        </row>
        <row r="2846">
          <cell r="A2846" t="str">
            <v>59.276.858/0001-26</v>
          </cell>
          <cell r="B2846" t="str">
            <v>Malu Montesino</v>
          </cell>
        </row>
        <row r="2847">
          <cell r="A2847" t="str">
            <v>52.736.949/0001-58</v>
          </cell>
          <cell r="B2847" t="str">
            <v>Malu Montesino</v>
          </cell>
        </row>
        <row r="2848">
          <cell r="A2848" t="str">
            <v>15.630.428/0001-95</v>
          </cell>
          <cell r="B2848" t="str">
            <v>Malu Montesino</v>
          </cell>
        </row>
        <row r="2849">
          <cell r="A2849" t="str">
            <v>15.630.428/0001-95</v>
          </cell>
          <cell r="B2849" t="str">
            <v>Malu Montesino</v>
          </cell>
        </row>
        <row r="2850">
          <cell r="A2850" t="str">
            <v>59.276.858/0001-26</v>
          </cell>
          <cell r="B2850" t="str">
            <v>Malu Montesino</v>
          </cell>
        </row>
        <row r="2851">
          <cell r="A2851" t="str">
            <v>15.630.428/0001-95</v>
          </cell>
          <cell r="B2851" t="str">
            <v>Malu Montesino</v>
          </cell>
        </row>
        <row r="2852">
          <cell r="A2852" t="str">
            <v>10.560.660/0001-80</v>
          </cell>
          <cell r="B2852" t="str">
            <v>Malu Montesino</v>
          </cell>
        </row>
        <row r="2853">
          <cell r="A2853" t="str">
            <v>77.153.260/0001-21</v>
          </cell>
          <cell r="B2853" t="str">
            <v>Malu Montesino</v>
          </cell>
        </row>
        <row r="2854">
          <cell r="A2854" t="str">
            <v>77.153.260/0001-21</v>
          </cell>
          <cell r="B2854" t="str">
            <v>Malu Montesino</v>
          </cell>
        </row>
        <row r="2855">
          <cell r="A2855" t="str">
            <v>40.276.235/0001-25</v>
          </cell>
          <cell r="B2855" t="str">
            <v>Mariane Nascimento</v>
          </cell>
        </row>
        <row r="2856">
          <cell r="A2856" t="str">
            <v>04.078.043/0001-40</v>
          </cell>
          <cell r="B2856" t="str">
            <v>Mariane Nascimento</v>
          </cell>
        </row>
        <row r="2857">
          <cell r="A2857" t="str">
            <v>04.078.043/0001-40</v>
          </cell>
          <cell r="B2857" t="str">
            <v>Mariane Nascimento</v>
          </cell>
        </row>
        <row r="2858">
          <cell r="A2858" t="str">
            <v>14.510.712/0001-65</v>
          </cell>
          <cell r="B2858" t="str">
            <v>Mariane Nascimento</v>
          </cell>
        </row>
        <row r="2859">
          <cell r="A2859" t="str">
            <v>60.665.981/0001-18</v>
          </cell>
          <cell r="B2859" t="str">
            <v>Mariane Nascimento</v>
          </cell>
        </row>
        <row r="2860">
          <cell r="A2860" t="str">
            <v>06.172.467/0001-03</v>
          </cell>
          <cell r="B2860" t="str">
            <v>Mariane Nascimento</v>
          </cell>
        </row>
        <row r="2861">
          <cell r="A2861" t="str">
            <v>01.085.207/0001-79</v>
          </cell>
          <cell r="B2861" t="str">
            <v>Juliano Montesino Caldeira</v>
          </cell>
        </row>
        <row r="2862">
          <cell r="A2862" t="str">
            <v>31.639.937/0001-35</v>
          </cell>
          <cell r="B2862" t="str">
            <v>Mariane Nascimento</v>
          </cell>
        </row>
        <row r="2863">
          <cell r="A2863" t="str">
            <v>59.106.666/0001-71</v>
          </cell>
          <cell r="B2863" t="str">
            <v>Malu Montesino</v>
          </cell>
        </row>
        <row r="2864">
          <cell r="A2864" t="str">
            <v>02.535.707/0001-28</v>
          </cell>
          <cell r="B2864" t="str">
            <v>Mariane Nascimento</v>
          </cell>
        </row>
        <row r="2865">
          <cell r="A2865" t="str">
            <v>62.802.012/0001-97</v>
          </cell>
          <cell r="B2865" t="str">
            <v>Mariane Nascimento</v>
          </cell>
        </row>
        <row r="2866">
          <cell r="A2866" t="str">
            <v>09.485.574/0001-71</v>
          </cell>
          <cell r="B2866" t="str">
            <v>Mariane Nascimento</v>
          </cell>
        </row>
        <row r="2867">
          <cell r="A2867" t="str">
            <v>05.495.281/0001-14</v>
          </cell>
          <cell r="B2867" t="str">
            <v>Mariane Nascimento</v>
          </cell>
        </row>
        <row r="2868">
          <cell r="A2868" t="str">
            <v>05.495.281/0001-14</v>
          </cell>
          <cell r="B2868" t="str">
            <v>Mariane Nascimento</v>
          </cell>
        </row>
        <row r="2869">
          <cell r="A2869" t="str">
            <v>05.495.281/0001-14</v>
          </cell>
          <cell r="B2869" t="str">
            <v>Mariane Nascimento</v>
          </cell>
        </row>
        <row r="2870">
          <cell r="A2870" t="str">
            <v>05.495.281/0001-14</v>
          </cell>
          <cell r="B2870" t="str">
            <v>Mariane Nascimento</v>
          </cell>
        </row>
        <row r="2871">
          <cell r="A2871" t="str">
            <v>33.157.312/0001-62</v>
          </cell>
          <cell r="B2871" t="str">
            <v>Mariane Nascimento</v>
          </cell>
        </row>
        <row r="2872">
          <cell r="A2872" t="str">
            <v>31.639.937/0001-35</v>
          </cell>
          <cell r="B2872" t="str">
            <v>Mariane Nascimento</v>
          </cell>
        </row>
        <row r="2873">
          <cell r="A2873" t="str">
            <v>31.639.937/0001-35</v>
          </cell>
          <cell r="B2873" t="str">
            <v>Mariane Nascimento</v>
          </cell>
        </row>
        <row r="2874">
          <cell r="A2874" t="str">
            <v>32.924.777/0001-39</v>
          </cell>
          <cell r="B2874" t="str">
            <v>Malu Montesino</v>
          </cell>
        </row>
        <row r="2875">
          <cell r="A2875" t="str">
            <v>09.485.574/0001-71</v>
          </cell>
          <cell r="B2875" t="str">
            <v>Mariane Nascimento</v>
          </cell>
        </row>
        <row r="2876">
          <cell r="A2876" t="str">
            <v>09.485.574/0001-71</v>
          </cell>
          <cell r="B2876" t="str">
            <v>Mariane Nascimento</v>
          </cell>
        </row>
        <row r="2877">
          <cell r="A2877" t="str">
            <v>05.495.281/0001-14</v>
          </cell>
          <cell r="B2877" t="str">
            <v>Mariane Nascimento</v>
          </cell>
        </row>
        <row r="2878">
          <cell r="A2878" t="str">
            <v>05.495.281/0001-14</v>
          </cell>
          <cell r="B2878" t="str">
            <v>Mariane Nascimento</v>
          </cell>
        </row>
        <row r="2879">
          <cell r="A2879" t="str">
            <v>05.495.281/0001-14</v>
          </cell>
          <cell r="B2879" t="str">
            <v>Mariane Nascimento</v>
          </cell>
        </row>
        <row r="2880">
          <cell r="A2880" t="str">
            <v>05.003.729/0001-35</v>
          </cell>
          <cell r="B2880" t="str">
            <v>Malu Montesino</v>
          </cell>
        </row>
        <row r="2881">
          <cell r="A2881" t="str">
            <v>08.823.013/0001-72</v>
          </cell>
          <cell r="B2881" t="str">
            <v>Malu Montesino</v>
          </cell>
        </row>
        <row r="2882">
          <cell r="A2882" t="str">
            <v>08.823.013/0001-72</v>
          </cell>
          <cell r="B2882" t="str">
            <v>Malu Montesino</v>
          </cell>
        </row>
        <row r="2883">
          <cell r="A2883" t="str">
            <v>04.043.808/0001-07</v>
          </cell>
          <cell r="B2883" t="str">
            <v>Mariane Nascimento</v>
          </cell>
        </row>
        <row r="2884">
          <cell r="A2884" t="str">
            <v>04.043.808/0001-07</v>
          </cell>
          <cell r="B2884" t="str">
            <v>Mariane Nascimento</v>
          </cell>
        </row>
        <row r="2885">
          <cell r="A2885" t="str">
            <v>04.043.808/0001-07</v>
          </cell>
          <cell r="B2885" t="str">
            <v>Mariane Nascimento</v>
          </cell>
        </row>
        <row r="2886">
          <cell r="A2886" t="str">
            <v>58.619.404/0001-48</v>
          </cell>
          <cell r="B2886" t="str">
            <v>Malu Montesino</v>
          </cell>
        </row>
        <row r="2887">
          <cell r="A2887" t="str">
            <v>10.313.717/0001-47</v>
          </cell>
          <cell r="B2887" t="str">
            <v>Malu Montesino</v>
          </cell>
        </row>
        <row r="2888">
          <cell r="A2888" t="str">
            <v>10.313.717/0001-47</v>
          </cell>
          <cell r="B2888" t="str">
            <v>Malu Montesino</v>
          </cell>
        </row>
        <row r="2889">
          <cell r="A2889" t="str">
            <v>31.639.937/0001-35</v>
          </cell>
          <cell r="B2889" t="str">
            <v>Mariane Nascimento</v>
          </cell>
        </row>
        <row r="2890">
          <cell r="A2890" t="str">
            <v>71.320.915/0001-22</v>
          </cell>
          <cell r="B2890" t="str">
            <v>Malu Montesino</v>
          </cell>
        </row>
        <row r="2891">
          <cell r="A2891" t="str">
            <v>71.320.915/0001-22</v>
          </cell>
          <cell r="B2891" t="str">
            <v>Malu Montesino</v>
          </cell>
        </row>
        <row r="2892">
          <cell r="A2892" t="str">
            <v>71.320.915/0001-22</v>
          </cell>
          <cell r="B2892" t="str">
            <v>Malu Montesino</v>
          </cell>
        </row>
        <row r="2893">
          <cell r="A2893" t="str">
            <v>05.312.946/0001-07</v>
          </cell>
          <cell r="B2893" t="str">
            <v>Malu Montesino</v>
          </cell>
        </row>
        <row r="2894">
          <cell r="A2894" t="str">
            <v>45.231.016/0001-43</v>
          </cell>
          <cell r="B2894" t="str">
            <v>Malu Montesino</v>
          </cell>
        </row>
        <row r="2895">
          <cell r="A2895" t="str">
            <v>09.432.822/0001-16</v>
          </cell>
          <cell r="B2895" t="str">
            <v>Malu Montesino</v>
          </cell>
        </row>
        <row r="2896">
          <cell r="A2896" t="str">
            <v>03.813.799/0001-23</v>
          </cell>
          <cell r="B2896" t="str">
            <v>Malu Montesino</v>
          </cell>
        </row>
        <row r="2897">
          <cell r="A2897" t="str">
            <v>82.749.987/0001-06</v>
          </cell>
          <cell r="B2897" t="str">
            <v>Malu Montesino</v>
          </cell>
        </row>
        <row r="2898">
          <cell r="A2898" t="str">
            <v>00.565.813/0001-29</v>
          </cell>
          <cell r="B2898" t="str">
            <v>Malu Montesino</v>
          </cell>
        </row>
        <row r="2899">
          <cell r="A2899" t="str">
            <v>65.763.377/0001-48</v>
          </cell>
          <cell r="B2899" t="str">
            <v>Malu Montesino</v>
          </cell>
        </row>
        <row r="2900">
          <cell r="A2900" t="str">
            <v>06.913.480/0001-68</v>
          </cell>
          <cell r="B2900" t="str">
            <v>Malu Montesino</v>
          </cell>
        </row>
        <row r="2901">
          <cell r="A2901" t="str">
            <v>42.566.752/0001-64</v>
          </cell>
          <cell r="B2901" t="str">
            <v>Malu Montesino</v>
          </cell>
        </row>
        <row r="2902">
          <cell r="A2902" t="str">
            <v>51.482.776/0001-26</v>
          </cell>
          <cell r="B2902" t="str">
            <v>Malu Montesino</v>
          </cell>
        </row>
        <row r="2903">
          <cell r="A2903" t="str">
            <v>26.389.015/0001-87</v>
          </cell>
          <cell r="B2903" t="str">
            <v>Malu Montesino</v>
          </cell>
        </row>
        <row r="2904">
          <cell r="A2904" t="str">
            <v>58.762.956/0001-00</v>
          </cell>
          <cell r="B2904" t="str">
            <v>Malu Montesino</v>
          </cell>
        </row>
        <row r="2905">
          <cell r="A2905" t="str">
            <v>07.573.497/0001-86</v>
          </cell>
          <cell r="B2905" t="str">
            <v>Malu Montesino</v>
          </cell>
        </row>
        <row r="2906">
          <cell r="A2906" t="str">
            <v>72.908.817/0001-73</v>
          </cell>
          <cell r="B2906" t="str">
            <v>Malu Montesino</v>
          </cell>
        </row>
        <row r="2907">
          <cell r="A2907" t="str">
            <v>04.523.508/0001-25</v>
          </cell>
          <cell r="B2907" t="str">
            <v>Malu Montesino</v>
          </cell>
        </row>
        <row r="2908">
          <cell r="A2908" t="str">
            <v>38.229.195/0001-19</v>
          </cell>
          <cell r="B2908" t="str">
            <v>Malu Montesino</v>
          </cell>
        </row>
        <row r="2909">
          <cell r="A2909" t="str">
            <v>53.153.649/0001-09</v>
          </cell>
          <cell r="B2909" t="str">
            <v>Malu Montesino</v>
          </cell>
        </row>
        <row r="2910">
          <cell r="A2910" t="str">
            <v>33.611.500/0001-19</v>
          </cell>
          <cell r="B2910" t="str">
            <v>Malu Montesino</v>
          </cell>
        </row>
        <row r="2911">
          <cell r="A2911" t="str">
            <v>06.120.576/0001-79</v>
          </cell>
          <cell r="B2911" t="str">
            <v>Malu Montesino</v>
          </cell>
        </row>
        <row r="2912">
          <cell r="A2912" t="str">
            <v>00.489.846/0001-37</v>
          </cell>
          <cell r="B2912" t="str">
            <v>Malu Montesino</v>
          </cell>
        </row>
        <row r="2913">
          <cell r="A2913" t="str">
            <v>12.965.396/0001-90</v>
          </cell>
          <cell r="B2913" t="str">
            <v>Malu Montesino</v>
          </cell>
        </row>
        <row r="2914">
          <cell r="A2914" t="str">
            <v>59.996.829/0001-39</v>
          </cell>
          <cell r="B2914" t="str">
            <v>Malu Montesino</v>
          </cell>
        </row>
        <row r="2915">
          <cell r="A2915" t="str">
            <v>10.313.717/0001-47</v>
          </cell>
          <cell r="B2915" t="str">
            <v>Malu Montesino</v>
          </cell>
        </row>
        <row r="2916">
          <cell r="A2916" t="str">
            <v>12.483.930/0001-22</v>
          </cell>
          <cell r="B2916" t="str">
            <v>Malu Montesino</v>
          </cell>
        </row>
        <row r="2917">
          <cell r="A2917" t="str">
            <v>43.776.517/0973-29</v>
          </cell>
          <cell r="B2917" t="str">
            <v>Malu Montesino</v>
          </cell>
        </row>
        <row r="2918">
          <cell r="A2918" t="str">
            <v>12.246.862/0001-88</v>
          </cell>
          <cell r="B2918" t="str">
            <v>Mariane Nascimento</v>
          </cell>
        </row>
        <row r="2919">
          <cell r="A2919" t="str">
            <v>50.981.018/0001-90</v>
          </cell>
          <cell r="B2919" t="str">
            <v>Malu Montesino</v>
          </cell>
        </row>
        <row r="2920">
          <cell r="A2920" t="str">
            <v>08.839.778/0001-09</v>
          </cell>
          <cell r="B2920" t="str">
            <v>Mariane Nascimento</v>
          </cell>
        </row>
        <row r="2921">
          <cell r="A2921" t="str">
            <v>08.839.778/0001-09</v>
          </cell>
          <cell r="B2921" t="str">
            <v>Mariane Nascimento</v>
          </cell>
        </row>
        <row r="2922">
          <cell r="A2922" t="str">
            <v>06.990.590/0001-23</v>
          </cell>
          <cell r="B2922" t="str">
            <v>Malu Montesino</v>
          </cell>
        </row>
        <row r="2923">
          <cell r="A2923" t="str">
            <v>14.089.982/0002-25</v>
          </cell>
          <cell r="B2923" t="str">
            <v>Mariane Nascimento</v>
          </cell>
        </row>
        <row r="2924">
          <cell r="A2924" t="str">
            <v>14.089.982/0002-25</v>
          </cell>
          <cell r="B2924" t="str">
            <v>Mariane Nascimento</v>
          </cell>
        </row>
        <row r="2925">
          <cell r="A2925" t="str">
            <v>14.089.982/0002-25</v>
          </cell>
          <cell r="B2925" t="str">
            <v>Mariane Nascimento</v>
          </cell>
        </row>
        <row r="2926">
          <cell r="A2926" t="str">
            <v>65.010.415/0001-91</v>
          </cell>
          <cell r="B2926" t="str">
            <v>Mariane Nascimento</v>
          </cell>
        </row>
        <row r="2927">
          <cell r="A2927" t="str">
            <v>65.010.415/0001-91</v>
          </cell>
          <cell r="B2927" t="str">
            <v>Mariane Nascimento</v>
          </cell>
        </row>
        <row r="2928">
          <cell r="A2928" t="str">
            <v>07.729.464/0001-82</v>
          </cell>
          <cell r="B2928" t="str">
            <v>Mariane Nascimento</v>
          </cell>
        </row>
        <row r="2929">
          <cell r="A2929" t="str">
            <v>32.963.001/0001-28</v>
          </cell>
          <cell r="B2929" t="str">
            <v>Mariane Nascimento</v>
          </cell>
        </row>
        <row r="2930">
          <cell r="A2930" t="str">
            <v>02.659.246/0003-67</v>
          </cell>
          <cell r="B2930" t="str">
            <v>Malu Montesino</v>
          </cell>
        </row>
        <row r="2931">
          <cell r="A2931" t="str">
            <v>02.659.246/0003-67</v>
          </cell>
          <cell r="B2931" t="str">
            <v>Malu Montesino</v>
          </cell>
        </row>
        <row r="2932">
          <cell r="A2932" t="str">
            <v>48.240.709/0001-90</v>
          </cell>
          <cell r="B2932" t="str">
            <v>Malu Montesino</v>
          </cell>
        </row>
        <row r="2933">
          <cell r="A2933" t="str">
            <v>48.240.709/0001-90</v>
          </cell>
          <cell r="B2933" t="str">
            <v>Malu Montesino</v>
          </cell>
        </row>
        <row r="2934">
          <cell r="A2934" t="str">
            <v>09.072.082/0002-35</v>
          </cell>
          <cell r="B2934" t="str">
            <v>Mariane Nascimento</v>
          </cell>
        </row>
        <row r="2935">
          <cell r="A2935" t="str">
            <v>09.072.082/0002-35</v>
          </cell>
          <cell r="B2935" t="str">
            <v>Mariane Nascimento</v>
          </cell>
        </row>
        <row r="2936">
          <cell r="A2936" t="str">
            <v>06.045.864/0001-06</v>
          </cell>
          <cell r="B2936" t="str">
            <v>Mariane Nascimento</v>
          </cell>
        </row>
        <row r="2937">
          <cell r="A2937" t="str">
            <v>11.258.338/0001-64</v>
          </cell>
          <cell r="B2937" t="str">
            <v>Malu Montesino</v>
          </cell>
        </row>
        <row r="2938">
          <cell r="A2938" t="str">
            <v>71.320.915/0001-22</v>
          </cell>
          <cell r="B2938" t="str">
            <v>Malu Montesino</v>
          </cell>
        </row>
        <row r="2939">
          <cell r="A2939" t="str">
            <v>88.309.620/0001-58</v>
          </cell>
          <cell r="B2939" t="str">
            <v>Malu Montesino</v>
          </cell>
        </row>
        <row r="2940">
          <cell r="A2940" t="str">
            <v>56.720.428/0001-63</v>
          </cell>
          <cell r="B2940" t="str">
            <v>Malu Montesino</v>
          </cell>
        </row>
        <row r="2941">
          <cell r="A2941" t="str">
            <v>13.198.385/0001-95</v>
          </cell>
          <cell r="B2941" t="str">
            <v>Malu Montesino</v>
          </cell>
        </row>
        <row r="2942">
          <cell r="A2942" t="str">
            <v>12.525.361/0001-30</v>
          </cell>
          <cell r="B2942" t="str">
            <v>Malu Montesino</v>
          </cell>
        </row>
        <row r="2943">
          <cell r="A2943" t="str">
            <v>09.325.670/0001-52</v>
          </cell>
          <cell r="B2943" t="str">
            <v>Mariane Nascimento</v>
          </cell>
        </row>
        <row r="2944">
          <cell r="A2944" t="str">
            <v>88.309.620/0001-58</v>
          </cell>
          <cell r="B2944" t="str">
            <v>Malu Montesino</v>
          </cell>
        </row>
        <row r="2945">
          <cell r="A2945" t="str">
            <v>48.240.709/0001-90</v>
          </cell>
          <cell r="B2945" t="str">
            <v>Malu Montesino</v>
          </cell>
        </row>
        <row r="2946">
          <cell r="A2946" t="str">
            <v>48.240.709/0001-90</v>
          </cell>
          <cell r="B2946" t="str">
            <v>Malu Montesino</v>
          </cell>
        </row>
        <row r="2947">
          <cell r="A2947" t="str">
            <v>03.770.521/0001-16</v>
          </cell>
          <cell r="B2947" t="str">
            <v>Malu Montesino</v>
          </cell>
        </row>
        <row r="2948">
          <cell r="A2948" t="str">
            <v>05.431.967/0001-41</v>
          </cell>
          <cell r="B2948" t="str">
            <v>Malu Montesino</v>
          </cell>
        </row>
        <row r="2949">
          <cell r="A2949" t="str">
            <v>05.431.967/0001-41</v>
          </cell>
          <cell r="B2949" t="str">
            <v>Malu Montesino</v>
          </cell>
        </row>
        <row r="2950">
          <cell r="A2950" t="str">
            <v>73.773.129/0001-06</v>
          </cell>
          <cell r="B2950" t="str">
            <v>Malu Montesino</v>
          </cell>
        </row>
        <row r="2951">
          <cell r="A2951" t="str">
            <v>73.773.129/0001-06</v>
          </cell>
          <cell r="B2951" t="str">
            <v>Malu Montesino</v>
          </cell>
        </row>
        <row r="2952">
          <cell r="A2952" t="str">
            <v>01.866.388/0001-70</v>
          </cell>
          <cell r="B2952" t="str">
            <v>Malu Montesino</v>
          </cell>
        </row>
        <row r="2953">
          <cell r="A2953" t="str">
            <v>48.240.709/0001-90</v>
          </cell>
          <cell r="B2953" t="str">
            <v>Malu Montesino</v>
          </cell>
        </row>
        <row r="2954">
          <cell r="A2954" t="str">
            <v>48.240.709/0001-90</v>
          </cell>
          <cell r="B2954" t="str">
            <v>Malu Montesino</v>
          </cell>
        </row>
        <row r="2955">
          <cell r="A2955" t="str">
            <v>19.428.087/0001-20</v>
          </cell>
          <cell r="B2955" t="str">
            <v>Malu Montesino</v>
          </cell>
        </row>
        <row r="2956">
          <cell r="A2956" t="str">
            <v>10.962.495/0001-93</v>
          </cell>
          <cell r="B2956" t="str">
            <v>Malu Montesino</v>
          </cell>
        </row>
        <row r="2957">
          <cell r="A2957" t="str">
            <v>10.962.495/0001-93</v>
          </cell>
          <cell r="B2957" t="str">
            <v>Malu Montesino</v>
          </cell>
        </row>
        <row r="2958">
          <cell r="A2958" t="str">
            <v>15.630.428/0001-95</v>
          </cell>
          <cell r="B2958" t="str">
            <v>Malu Montesino</v>
          </cell>
        </row>
        <row r="2959">
          <cell r="A2959" t="str">
            <v>15.630.428/0001-95</v>
          </cell>
          <cell r="B2959" t="str">
            <v>Malu Montesino</v>
          </cell>
        </row>
        <row r="2960">
          <cell r="A2960" t="str">
            <v>04.523.508/0001-25</v>
          </cell>
          <cell r="B2960" t="str">
            <v>Malu Montesino</v>
          </cell>
        </row>
        <row r="2961">
          <cell r="A2961" t="str">
            <v>04.523.508/0001-25</v>
          </cell>
          <cell r="B2961" t="str">
            <v>Malu Montesino</v>
          </cell>
        </row>
        <row r="2962">
          <cell r="A2962" t="str">
            <v>38.229.195/0001-19</v>
          </cell>
          <cell r="B2962" t="str">
            <v>Malu Montesino</v>
          </cell>
        </row>
        <row r="2963">
          <cell r="A2963" t="str">
            <v>53.153.649/0001-09</v>
          </cell>
          <cell r="B2963" t="str">
            <v>Malu Montesino</v>
          </cell>
        </row>
        <row r="2964">
          <cell r="A2964" t="str">
            <v>38.229.195/0001-19</v>
          </cell>
          <cell r="B2964" t="str">
            <v>Malu Montesino</v>
          </cell>
        </row>
        <row r="2965">
          <cell r="A2965" t="str">
            <v>53.153.649/0001-09</v>
          </cell>
          <cell r="B2965" t="str">
            <v>Malu Montesino</v>
          </cell>
        </row>
        <row r="2966">
          <cell r="A2966" t="str">
            <v>48.240.709/0001-90</v>
          </cell>
          <cell r="B2966" t="str">
            <v>Malu Montesino</v>
          </cell>
        </row>
        <row r="2967">
          <cell r="A2967" t="str">
            <v>04.963.150/0001-51</v>
          </cell>
          <cell r="B2967" t="str">
            <v>Malu Montesino</v>
          </cell>
        </row>
        <row r="2968">
          <cell r="A2968" t="str">
            <v>04.078.043/0001-40</v>
          </cell>
          <cell r="B2968" t="str">
            <v>Mariane Nascimento</v>
          </cell>
        </row>
        <row r="2969">
          <cell r="A2969" t="str">
            <v>04.078.043/0001-40</v>
          </cell>
          <cell r="B2969" t="str">
            <v>Mariane Nascimento</v>
          </cell>
        </row>
        <row r="2970">
          <cell r="A2970" t="str">
            <v>04.078.043/0001-40</v>
          </cell>
          <cell r="B2970" t="str">
            <v>Mariane Nascimento</v>
          </cell>
        </row>
        <row r="2971">
          <cell r="A2971" t="str">
            <v>05.706.897/0001-97</v>
          </cell>
          <cell r="B2971" t="str">
            <v>Malu Montesino</v>
          </cell>
        </row>
        <row r="2972">
          <cell r="A2972" t="str">
            <v>33.044.909/0001-09</v>
          </cell>
          <cell r="B2972" t="str">
            <v>Malu Montesino</v>
          </cell>
        </row>
        <row r="2973">
          <cell r="A2973" t="str">
            <v>33.373.325/0001-79</v>
          </cell>
          <cell r="B2973" t="str">
            <v>Mariane Nascimento</v>
          </cell>
        </row>
        <row r="2974">
          <cell r="A2974" t="str">
            <v>05.495.281/0001-14</v>
          </cell>
          <cell r="B2974" t="str">
            <v>Mariane Nascimento</v>
          </cell>
        </row>
        <row r="2975">
          <cell r="A2975" t="str">
            <v>08.070.508/0001-78</v>
          </cell>
          <cell r="B2975" t="str">
            <v>Malu Montesino</v>
          </cell>
        </row>
        <row r="2976">
          <cell r="A2976" t="str">
            <v>04.882.084/0001-95</v>
          </cell>
          <cell r="B2976" t="str">
            <v>Malu Montesino</v>
          </cell>
        </row>
        <row r="2977">
          <cell r="A2977" t="str">
            <v>00.549.740/0001-81</v>
          </cell>
          <cell r="B2977" t="str">
            <v>Malu Montesino</v>
          </cell>
        </row>
        <row r="2978">
          <cell r="A2978" t="str">
            <v>05.033.026/0001-50</v>
          </cell>
          <cell r="B2978" t="str">
            <v>Malu Montesino</v>
          </cell>
        </row>
        <row r="2979">
          <cell r="A2979" t="str">
            <v>04.784.711/0001-55</v>
          </cell>
          <cell r="B2979" t="str">
            <v>Malu Montesino</v>
          </cell>
        </row>
        <row r="2980">
          <cell r="A2980" t="str">
            <v>00.426.978/0001-10</v>
          </cell>
          <cell r="B2980" t="str">
            <v>Malu Montesino</v>
          </cell>
        </row>
        <row r="2981">
          <cell r="A2981" t="str">
            <v>10.196.957/0001-09</v>
          </cell>
          <cell r="B2981" t="str">
            <v>Malu Montesino</v>
          </cell>
        </row>
        <row r="2982">
          <cell r="A2982" t="str">
            <v>18.782.563/0001-44</v>
          </cell>
          <cell r="B2982" t="str">
            <v>Malu Montesino</v>
          </cell>
        </row>
        <row r="2983">
          <cell r="A2983" t="str">
            <v>35.755.804/0001-85</v>
          </cell>
          <cell r="B2983" t="str">
            <v>Malu Montesino</v>
          </cell>
        </row>
        <row r="2984">
          <cell r="A2984" t="str">
            <v>05.963.596/0001-49</v>
          </cell>
          <cell r="B2984" t="str">
            <v>Malu Montesino</v>
          </cell>
        </row>
        <row r="2985">
          <cell r="A2985" t="str">
            <v>05.431.967/0001-41</v>
          </cell>
          <cell r="B2985" t="str">
            <v>Malu Montesino</v>
          </cell>
        </row>
        <row r="2986">
          <cell r="A2986" t="str">
            <v>05.495.281/0001-14</v>
          </cell>
          <cell r="B2986" t="str">
            <v>Mariane Nascimento</v>
          </cell>
        </row>
        <row r="2987">
          <cell r="A2987" t="str">
            <v>59.104.760/0001-91</v>
          </cell>
          <cell r="B2987" t="str">
            <v>Malu Montesino</v>
          </cell>
        </row>
        <row r="2988">
          <cell r="A2988" t="str">
            <v>00.028.986/0001-08</v>
          </cell>
          <cell r="B2988" t="str">
            <v>Malu Montesino</v>
          </cell>
        </row>
        <row r="2989">
          <cell r="A2989" t="str">
            <v>59.233.783/0001-04</v>
          </cell>
          <cell r="B2989" t="str">
            <v>Malu Montesino</v>
          </cell>
        </row>
        <row r="2990">
          <cell r="A2990" t="str">
            <v>61.489.381/0001-09</v>
          </cell>
          <cell r="B2990" t="str">
            <v>Malu Montesino</v>
          </cell>
        </row>
        <row r="2991">
          <cell r="A2991" t="str">
            <v>59.650.556/0001-76</v>
          </cell>
          <cell r="B2991" t="str">
            <v>Malu Montesino</v>
          </cell>
        </row>
        <row r="2992">
          <cell r="A2992" t="str">
            <v>59.650.556/0001-76</v>
          </cell>
          <cell r="B2992" t="str">
            <v>Malu Montesino</v>
          </cell>
        </row>
        <row r="2993">
          <cell r="A2993" t="str">
            <v>59.650.556/0001-76</v>
          </cell>
          <cell r="B2993" t="str">
            <v>Malu Montesino</v>
          </cell>
        </row>
        <row r="2994">
          <cell r="A2994" t="str">
            <v>26.852.877/0001-02</v>
          </cell>
          <cell r="B2994" t="str">
            <v>Malu Montesino</v>
          </cell>
        </row>
        <row r="2995">
          <cell r="A2995" t="str">
            <v>26.852.877/0001-02</v>
          </cell>
          <cell r="B2995" t="str">
            <v>Malu Montesino</v>
          </cell>
        </row>
        <row r="2996">
          <cell r="A2996" t="str">
            <v>08.070.508/0001-78</v>
          </cell>
          <cell r="B2996" t="str">
            <v>Malu Montesino</v>
          </cell>
        </row>
        <row r="2997">
          <cell r="A2997" t="str">
            <v>15.630.428/0001-95</v>
          </cell>
          <cell r="B2997" t="str">
            <v>Malu Montesino</v>
          </cell>
        </row>
        <row r="2998">
          <cell r="A2998" t="str">
            <v>15.630.428/0001-95</v>
          </cell>
          <cell r="B2998" t="str">
            <v>Malu Montesino</v>
          </cell>
        </row>
        <row r="2999">
          <cell r="A2999" t="str">
            <v>15.630.428/0001-95</v>
          </cell>
          <cell r="B2999" t="str">
            <v>Malu Montesino</v>
          </cell>
        </row>
        <row r="3000">
          <cell r="A3000" t="str">
            <v>71.320.915/0001-22</v>
          </cell>
          <cell r="B3000" t="str">
            <v>Malu Montesino</v>
          </cell>
        </row>
        <row r="3001">
          <cell r="A3001" t="str">
            <v>71.320.915/0001-22</v>
          </cell>
          <cell r="B3001" t="str">
            <v>Malu Montesino</v>
          </cell>
        </row>
        <row r="3002">
          <cell r="A3002" t="str">
            <v>38.229.195/0001-19</v>
          </cell>
          <cell r="B3002" t="str">
            <v>Malu Montesino</v>
          </cell>
        </row>
        <row r="3003">
          <cell r="A3003" t="str">
            <v>05.033.026/0001-50</v>
          </cell>
          <cell r="B3003" t="str">
            <v>Malu Montesino</v>
          </cell>
        </row>
        <row r="3004">
          <cell r="A3004" t="str">
            <v>02.838.857/0001-00</v>
          </cell>
          <cell r="B3004" t="str">
            <v>Malu Montesino</v>
          </cell>
        </row>
        <row r="3005">
          <cell r="A3005" t="str">
            <v>05.033.026/0001-50</v>
          </cell>
          <cell r="B3005" t="str">
            <v>Malu Montesino</v>
          </cell>
        </row>
        <row r="3006">
          <cell r="A3006" t="str">
            <v>38.229.195/0001-19</v>
          </cell>
          <cell r="B3006" t="str">
            <v>Malu Montesino</v>
          </cell>
        </row>
        <row r="3007">
          <cell r="A3007" t="str">
            <v>05.431.967/0001-41</v>
          </cell>
          <cell r="B3007" t="str">
            <v>Malu Montesino</v>
          </cell>
        </row>
        <row r="3008">
          <cell r="A3008" t="str">
            <v>05.431.967/0001-41</v>
          </cell>
          <cell r="B3008" t="str">
            <v>Malu Montesino</v>
          </cell>
        </row>
        <row r="3009">
          <cell r="A3009" t="str">
            <v>01.405.834/0001-40</v>
          </cell>
          <cell r="B3009" t="str">
            <v>Mariane Nascimento</v>
          </cell>
        </row>
        <row r="3010">
          <cell r="A3010" t="str">
            <v>12.255.403/0001-60</v>
          </cell>
          <cell r="B3010" t="str">
            <v>Mariane Nascimento</v>
          </cell>
        </row>
        <row r="3011">
          <cell r="A3011" t="str">
            <v>12.255.403/0001-60</v>
          </cell>
          <cell r="B3011" t="str">
            <v>Mariane Nascimento</v>
          </cell>
        </row>
        <row r="3012">
          <cell r="A3012" t="str">
            <v>12.255.403/0001-60</v>
          </cell>
          <cell r="B3012" t="str">
            <v>Mariane Nascimento</v>
          </cell>
        </row>
        <row r="3013">
          <cell r="A3013" t="str">
            <v>33.044.909/0001-09</v>
          </cell>
          <cell r="B3013" t="str">
            <v>Malu Montesino</v>
          </cell>
        </row>
        <row r="3014">
          <cell r="A3014" t="str">
            <v>08.070.508/0001-78</v>
          </cell>
          <cell r="B3014" t="str">
            <v>Malu Montesino</v>
          </cell>
        </row>
        <row r="3015">
          <cell r="A3015" t="str">
            <v>01.227.691/0001-23</v>
          </cell>
          <cell r="B3015" t="str">
            <v>Mariane Nascimento</v>
          </cell>
        </row>
        <row r="3016">
          <cell r="A3016" t="str">
            <v>87.547.188/0001-70</v>
          </cell>
          <cell r="B3016" t="str">
            <v>Mariane Nascimento</v>
          </cell>
        </row>
        <row r="3017">
          <cell r="A3017" t="str">
            <v>31.639.937/0001-35</v>
          </cell>
          <cell r="B3017" t="str">
            <v>Mariane Nascimento</v>
          </cell>
        </row>
        <row r="3018">
          <cell r="A3018" t="str">
            <v>71.320.915/0001-22</v>
          </cell>
          <cell r="B3018" t="str">
            <v>Malu Montesino</v>
          </cell>
        </row>
        <row r="3019">
          <cell r="A3019" t="str">
            <v>38.229.195/0001-19</v>
          </cell>
          <cell r="B3019" t="str">
            <v>Malu Montesino</v>
          </cell>
        </row>
        <row r="3020">
          <cell r="A3020" t="str">
            <v>09.325.670/0001-52</v>
          </cell>
          <cell r="B3020" t="str">
            <v>Mariane Nascimento</v>
          </cell>
        </row>
        <row r="3021">
          <cell r="A3021" t="str">
            <v>09.325.670/0001-52</v>
          </cell>
          <cell r="B3021" t="str">
            <v>Mariane Nascimento</v>
          </cell>
        </row>
        <row r="3022">
          <cell r="A3022" t="str">
            <v>05.968.517/0001-92</v>
          </cell>
          <cell r="B3022" t="str">
            <v>Malu Montesino</v>
          </cell>
        </row>
        <row r="3023">
          <cell r="A3023" t="str">
            <v>01.298.443/0001-73</v>
          </cell>
          <cell r="B3023" t="str">
            <v>Malu Montesino</v>
          </cell>
        </row>
        <row r="3024">
          <cell r="A3024" t="str">
            <v>03.736.010/0001-88</v>
          </cell>
          <cell r="B3024" t="str">
            <v>Malu Montesino</v>
          </cell>
        </row>
        <row r="3025">
          <cell r="A3025" t="str">
            <v>33.044.909/0001-09</v>
          </cell>
          <cell r="B3025" t="str">
            <v>Malu Montesino</v>
          </cell>
        </row>
        <row r="3026">
          <cell r="A3026" t="str">
            <v>05.431.967/0001-41</v>
          </cell>
          <cell r="B3026" t="str">
            <v>Malu Montesino</v>
          </cell>
        </row>
        <row r="3027">
          <cell r="A3027" t="str">
            <v>59.275.792/0001-50</v>
          </cell>
          <cell r="B3027" t="str">
            <v>Malu Montesino</v>
          </cell>
        </row>
        <row r="3028">
          <cell r="A3028" t="str">
            <v>01.851.716/0001-65</v>
          </cell>
          <cell r="B3028" t="str">
            <v>Mariane Nascimento</v>
          </cell>
        </row>
        <row r="3029">
          <cell r="A3029" t="str">
            <v>04.608.635/0001-27</v>
          </cell>
          <cell r="B3029" t="str">
            <v>Malu Montesino</v>
          </cell>
        </row>
        <row r="3030">
          <cell r="A3030" t="str">
            <v>06.990.590/0001-23</v>
          </cell>
          <cell r="B3030" t="str">
            <v>Malu Montesino</v>
          </cell>
        </row>
        <row r="3031">
          <cell r="A3031" t="str">
            <v>68.322.411/0001-37</v>
          </cell>
          <cell r="B3031" t="str">
            <v>Malu Montesino</v>
          </cell>
        </row>
        <row r="3032">
          <cell r="A3032" t="str">
            <v>08.070.508/0001-78</v>
          </cell>
          <cell r="B3032" t="str">
            <v>Malu Montesino</v>
          </cell>
        </row>
        <row r="3033">
          <cell r="A3033" t="str">
            <v>08.070.508/0001-78</v>
          </cell>
          <cell r="B3033" t="str">
            <v>Malu Montesino</v>
          </cell>
        </row>
        <row r="3034">
          <cell r="A3034" t="str">
            <v>59.276.858/0001-26</v>
          </cell>
          <cell r="B3034" t="str">
            <v>Malu Montesino</v>
          </cell>
        </row>
        <row r="3035">
          <cell r="A3035" t="str">
            <v>44.930.780/0001-44</v>
          </cell>
          <cell r="B3035" t="str">
            <v>Malu Montesino</v>
          </cell>
        </row>
        <row r="3036">
          <cell r="A3036" t="str">
            <v>05.312.946/0001-07</v>
          </cell>
          <cell r="B3036" t="str">
            <v>Malu Montesino</v>
          </cell>
        </row>
        <row r="3037">
          <cell r="A3037" t="str">
            <v>45.231.016/0001-43</v>
          </cell>
          <cell r="B3037" t="str">
            <v>Malu Montesino</v>
          </cell>
        </row>
        <row r="3038">
          <cell r="A3038" t="str">
            <v>65.763.377/0001-48</v>
          </cell>
          <cell r="B3038" t="str">
            <v>Malu Montesino</v>
          </cell>
        </row>
        <row r="3039">
          <cell r="A3039" t="str">
            <v>51.482.776/0001-26</v>
          </cell>
          <cell r="B3039" t="str">
            <v>Malu Montesino</v>
          </cell>
        </row>
        <row r="3040">
          <cell r="A3040" t="str">
            <v>51.482.776/0001-26</v>
          </cell>
          <cell r="B3040" t="str">
            <v>Malu Montesino</v>
          </cell>
        </row>
        <row r="3041">
          <cell r="A3041" t="str">
            <v>59.996.829/0001-39</v>
          </cell>
          <cell r="B3041" t="str">
            <v>Malu Montesino</v>
          </cell>
        </row>
        <row r="3042">
          <cell r="A3042" t="str">
            <v>59.275.792/0001-50</v>
          </cell>
          <cell r="B3042" t="str">
            <v>Malu Montesino</v>
          </cell>
        </row>
        <row r="3043">
          <cell r="A3043" t="str">
            <v>65.763.377/0001-48</v>
          </cell>
          <cell r="B3043" t="str">
            <v>Malu Montesino</v>
          </cell>
        </row>
        <row r="3044">
          <cell r="A3044" t="str">
            <v>51.482.776/0001-26</v>
          </cell>
          <cell r="B3044" t="str">
            <v>Malu Montesino</v>
          </cell>
        </row>
        <row r="3045">
          <cell r="A3045" t="str">
            <v>10.472.968/0001-74</v>
          </cell>
          <cell r="B3045" t="str">
            <v>Malu Montesino</v>
          </cell>
        </row>
        <row r="3046">
          <cell r="A3046" t="str">
            <v>10.472.968/0001-74</v>
          </cell>
          <cell r="B3046" t="str">
            <v>Malu Montesino</v>
          </cell>
        </row>
        <row r="3047">
          <cell r="A3047" t="str">
            <v>10.472.968/0001-74</v>
          </cell>
          <cell r="B3047" t="str">
            <v>Malu Montesino</v>
          </cell>
        </row>
        <row r="3048">
          <cell r="A3048" t="str">
            <v>59.275.792/0001-50</v>
          </cell>
          <cell r="B3048" t="str">
            <v>Malu Montesino</v>
          </cell>
        </row>
        <row r="3049">
          <cell r="A3049" t="str">
            <v>05.706.897/0001-97</v>
          </cell>
          <cell r="B3049" t="str">
            <v>Malu Montesino</v>
          </cell>
        </row>
        <row r="3050">
          <cell r="A3050" t="str">
            <v>12.936.032/0001-82</v>
          </cell>
          <cell r="B3050" t="str">
            <v>Malu Montesino</v>
          </cell>
        </row>
        <row r="3051">
          <cell r="A3051" t="str">
            <v>14.510.712/0001-65</v>
          </cell>
          <cell r="B3051" t="str">
            <v>Mariane Nascimento</v>
          </cell>
        </row>
        <row r="3052">
          <cell r="A3052" t="str">
            <v>84.683.879/0001-03</v>
          </cell>
          <cell r="B3052" t="str">
            <v>Malu Montesino</v>
          </cell>
        </row>
        <row r="3053">
          <cell r="A3053" t="str">
            <v>60.665.981/0001-18</v>
          </cell>
          <cell r="B3053" t="str">
            <v>Mariane Nascimento</v>
          </cell>
        </row>
        <row r="3054">
          <cell r="A3054" t="str">
            <v>60.665.981/0001-18</v>
          </cell>
          <cell r="B3054" t="str">
            <v>Mariane Nascimento</v>
          </cell>
        </row>
        <row r="3055">
          <cell r="A3055" t="str">
            <v>60.665.981/0001-18</v>
          </cell>
          <cell r="B3055" t="str">
            <v>Mariane Nascimento</v>
          </cell>
        </row>
        <row r="3056">
          <cell r="A3056" t="str">
            <v>60.665.981/0001-18</v>
          </cell>
          <cell r="B3056" t="str">
            <v>Mariane Nascimento</v>
          </cell>
        </row>
        <row r="3057">
          <cell r="A3057" t="str">
            <v>62.802.012/0001-97</v>
          </cell>
          <cell r="B3057" t="str">
            <v>Mariane Nascimento</v>
          </cell>
        </row>
        <row r="3058">
          <cell r="A3058" t="str">
            <v>53.113.791/0001-22</v>
          </cell>
          <cell r="B3058" t="str">
            <v>Malu Montesino</v>
          </cell>
        </row>
        <row r="3059">
          <cell r="A3059" t="str">
            <v>53.113.791/0001-22</v>
          </cell>
          <cell r="B3059" t="str">
            <v>Malu Montesino</v>
          </cell>
        </row>
        <row r="3060">
          <cell r="A3060" t="str">
            <v>00.028.986/0001-08</v>
          </cell>
          <cell r="B3060" t="str">
            <v>Malu Montesino</v>
          </cell>
        </row>
        <row r="3061">
          <cell r="A3061" t="str">
            <v>21.551.379/0007-93</v>
          </cell>
          <cell r="B3061" t="str">
            <v>Malu Montesino</v>
          </cell>
        </row>
        <row r="3062">
          <cell r="A3062" t="str">
            <v>01.123.973/0001-80</v>
          </cell>
          <cell r="B3062" t="str">
            <v>Malu Montesino</v>
          </cell>
        </row>
        <row r="3063">
          <cell r="A3063" t="str">
            <v>61.489.381/0001-09</v>
          </cell>
          <cell r="B3063" t="str">
            <v>Malu Montesino</v>
          </cell>
        </row>
        <row r="3064">
          <cell r="A3064" t="str">
            <v>61.489.381/0001-09</v>
          </cell>
          <cell r="B3064" t="str">
            <v>Malu Montesino</v>
          </cell>
        </row>
        <row r="3065">
          <cell r="A3065" t="str">
            <v>02.248.312/0001-44</v>
          </cell>
          <cell r="B3065" t="str">
            <v>Malu Montesino</v>
          </cell>
        </row>
        <row r="3066">
          <cell r="A3066" t="str">
            <v>48.240.709/0001-90</v>
          </cell>
          <cell r="B3066" t="str">
            <v>Malu Montesino</v>
          </cell>
        </row>
        <row r="3067">
          <cell r="A3067" t="str">
            <v>48.240.709/0001-90</v>
          </cell>
          <cell r="B3067" t="str">
            <v>Malu Montesino</v>
          </cell>
        </row>
        <row r="3068">
          <cell r="A3068" t="str">
            <v>09.072.082/0002-35</v>
          </cell>
          <cell r="B3068" t="str">
            <v>Mariane Nascimento</v>
          </cell>
        </row>
        <row r="3069">
          <cell r="A3069" t="str">
            <v>08.070.508/0001-78</v>
          </cell>
          <cell r="B3069" t="str">
            <v>Malu Montesino</v>
          </cell>
        </row>
        <row r="3070">
          <cell r="A3070" t="str">
            <v>52.079.388/0001-61</v>
          </cell>
          <cell r="B3070" t="str">
            <v>Malu Montesino</v>
          </cell>
        </row>
        <row r="3071">
          <cell r="A3071" t="str">
            <v>06.980.064/0001-82</v>
          </cell>
          <cell r="B3071" t="str">
            <v>Malu Montesino</v>
          </cell>
        </row>
        <row r="3072">
          <cell r="A3072" t="str">
            <v>06.980.064/0001-82</v>
          </cell>
          <cell r="B3072" t="str">
            <v>Malu Montesino</v>
          </cell>
        </row>
        <row r="3073">
          <cell r="A3073" t="str">
            <v>00.315.557/0001-11</v>
          </cell>
          <cell r="B3073" t="str">
            <v>Malu Montesino</v>
          </cell>
        </row>
        <row r="3074">
          <cell r="A3074" t="str">
            <v>60.831.658/0001-77</v>
          </cell>
          <cell r="B3074" t="str">
            <v>Malu Montesino</v>
          </cell>
        </row>
        <row r="3075">
          <cell r="A3075" t="str">
            <v>52.736.949/0001-58</v>
          </cell>
          <cell r="B3075" t="str">
            <v>Malu Montesino</v>
          </cell>
        </row>
        <row r="3076">
          <cell r="A3076" t="str">
            <v>15.630.428/0001-95</v>
          </cell>
          <cell r="B3076" t="str">
            <v>Malu Montesino</v>
          </cell>
        </row>
        <row r="3077">
          <cell r="A3077" t="str">
            <v>15.630.428/0001-95</v>
          </cell>
          <cell r="B3077" t="str">
            <v>Malu Montesino</v>
          </cell>
        </row>
        <row r="3078">
          <cell r="A3078" t="str">
            <v>15.630.428/0001-95</v>
          </cell>
          <cell r="B3078" t="str">
            <v>Malu Montesino</v>
          </cell>
        </row>
        <row r="3079">
          <cell r="A3079" t="str">
            <v>38.229.195/0001-19</v>
          </cell>
          <cell r="B3079" t="str">
            <v>Malu Montesino</v>
          </cell>
        </row>
        <row r="3080">
          <cell r="A3080" t="str">
            <v>06.120.576/0001-79</v>
          </cell>
          <cell r="B3080" t="str">
            <v>Malu Montesino</v>
          </cell>
        </row>
        <row r="3081">
          <cell r="A3081" t="str">
            <v>05.033.026/0001-50</v>
          </cell>
          <cell r="B3081" t="str">
            <v>Malu Montesino</v>
          </cell>
        </row>
        <row r="3082">
          <cell r="A3082" t="str">
            <v>05.033.026/0001-50</v>
          </cell>
          <cell r="B3082" t="str">
            <v>Malu Montesino</v>
          </cell>
        </row>
        <row r="3083">
          <cell r="A3083" t="str">
            <v>06.120.576/0001-79</v>
          </cell>
          <cell r="B3083" t="str">
            <v>Malu Montesino</v>
          </cell>
        </row>
        <row r="3084">
          <cell r="A3084" t="str">
            <v>05.033.026/0001-50</v>
          </cell>
          <cell r="B3084" t="str">
            <v>Malu Montesino</v>
          </cell>
        </row>
        <row r="3085">
          <cell r="A3085" t="str">
            <v>38.229.195/0001-19</v>
          </cell>
          <cell r="B3085" t="str">
            <v>Malu Montesino</v>
          </cell>
        </row>
        <row r="3086">
          <cell r="A3086" t="str">
            <v>59.275.792/0001-50</v>
          </cell>
          <cell r="B3086" t="str">
            <v>Malu Montesino</v>
          </cell>
        </row>
        <row r="3087">
          <cell r="A3087" t="str">
            <v>48.240.709/0001-90</v>
          </cell>
          <cell r="B3087" t="str">
            <v>Malu Montesino</v>
          </cell>
        </row>
        <row r="3088">
          <cell r="A3088" t="str">
            <v>07.018.219/0001-67</v>
          </cell>
          <cell r="B3088" t="str">
            <v>Malu Montesino</v>
          </cell>
        </row>
        <row r="3089">
          <cell r="A3089" t="str">
            <v>11.282.223/0001-05</v>
          </cell>
          <cell r="B3089" t="str">
            <v>Malu Montesino</v>
          </cell>
        </row>
        <row r="3090">
          <cell r="A3090" t="str">
            <v>01.449.930/0001-90</v>
          </cell>
          <cell r="B3090" t="str">
            <v>Malu Montesino</v>
          </cell>
        </row>
        <row r="3091">
          <cell r="A3091" t="str">
            <v>01.449.930/0001-90</v>
          </cell>
          <cell r="B3091" t="str">
            <v>Malu Montesino</v>
          </cell>
        </row>
        <row r="3092">
          <cell r="A3092" t="str">
            <v>05.743.288/0001-08</v>
          </cell>
          <cell r="B3092" t="str">
            <v>Mariane Nascimento</v>
          </cell>
        </row>
        <row r="3093">
          <cell r="A3093" t="str">
            <v>72.381.189/0001-10</v>
          </cell>
          <cell r="B3093" t="str">
            <v>Malu Montesino</v>
          </cell>
        </row>
        <row r="3094">
          <cell r="A3094" t="str">
            <v>18.258.209/0001-15</v>
          </cell>
          <cell r="B3094" t="str">
            <v>Mariane Nascimento</v>
          </cell>
        </row>
        <row r="3095">
          <cell r="A3095" t="str">
            <v>18.258.209/0001-15</v>
          </cell>
          <cell r="B3095" t="str">
            <v>Mariane Nascimento</v>
          </cell>
        </row>
        <row r="3096">
          <cell r="A3096" t="str">
            <v>13.890.656/0001-79</v>
          </cell>
          <cell r="B3096" t="str">
            <v>Malu Montesino</v>
          </cell>
        </row>
        <row r="3097">
          <cell r="A3097" t="str">
            <v>13.890.656/0001-79</v>
          </cell>
          <cell r="B3097" t="str">
            <v>Malu Montesino</v>
          </cell>
        </row>
        <row r="3098">
          <cell r="A3098" t="str">
            <v>13.890.656/0001-79</v>
          </cell>
          <cell r="B3098" t="str">
            <v>Malu Montesino</v>
          </cell>
        </row>
        <row r="3099">
          <cell r="A3099" t="str">
            <v>28.531.958/0001-28</v>
          </cell>
          <cell r="B3099" t="str">
            <v>Mariane Nascimento</v>
          </cell>
        </row>
        <row r="3100">
          <cell r="A3100" t="str">
            <v>06.172.467/0001-03</v>
          </cell>
          <cell r="B3100" t="str">
            <v>Mariane Nascimento</v>
          </cell>
        </row>
        <row r="3101">
          <cell r="A3101" t="str">
            <v>06.172.467/0001-03</v>
          </cell>
          <cell r="B3101" t="str">
            <v>Mariane Nascimento</v>
          </cell>
        </row>
        <row r="3102">
          <cell r="A3102" t="str">
            <v>06.172.467/0001-03</v>
          </cell>
          <cell r="B3102" t="str">
            <v>Mariane Nascimento</v>
          </cell>
        </row>
        <row r="3103">
          <cell r="A3103" t="str">
            <v>62.802.012/0001-97</v>
          </cell>
          <cell r="B3103" t="str">
            <v>Mariane Nascimento</v>
          </cell>
        </row>
        <row r="3104">
          <cell r="A3104" t="str">
            <v>62.802.012/0001-97</v>
          </cell>
          <cell r="B3104" t="str">
            <v>Mariane Nascimento</v>
          </cell>
        </row>
        <row r="3105">
          <cell r="A3105" t="str">
            <v>05.495.281/0001-14</v>
          </cell>
          <cell r="B3105" t="str">
            <v>Mariane Nascimento</v>
          </cell>
        </row>
        <row r="3106">
          <cell r="A3106" t="str">
            <v>06.207.067/0001-88</v>
          </cell>
          <cell r="B3106" t="str">
            <v>Malu Montesino</v>
          </cell>
        </row>
        <row r="3107">
          <cell r="A3107" t="str">
            <v>58.619.404/0001-48</v>
          </cell>
          <cell r="B3107" t="str">
            <v>Malu Montesino</v>
          </cell>
        </row>
        <row r="3108">
          <cell r="A3108" t="str">
            <v>14.089.982/0002-25</v>
          </cell>
          <cell r="B3108" t="str">
            <v>Mariane Nascimento</v>
          </cell>
        </row>
        <row r="3109">
          <cell r="A3109" t="str">
            <v>14.089.982/0002-25</v>
          </cell>
          <cell r="B3109" t="str">
            <v>Mariane Nascimento</v>
          </cell>
        </row>
        <row r="3110">
          <cell r="A3110" t="str">
            <v>65.010.415/0001-91</v>
          </cell>
          <cell r="B3110" t="str">
            <v>Mariane Nascimento</v>
          </cell>
        </row>
        <row r="3111">
          <cell r="A3111" t="str">
            <v>65.010.415/0001-91</v>
          </cell>
          <cell r="B3111" t="str">
            <v>Mariane Nascimento</v>
          </cell>
        </row>
        <row r="3112">
          <cell r="A3112" t="str">
            <v>65.010.415/0001-91</v>
          </cell>
          <cell r="B3112" t="str">
            <v>Mariane Nascimento</v>
          </cell>
        </row>
        <row r="3113">
          <cell r="A3113" t="str">
            <v>02.357.251/0001-53</v>
          </cell>
          <cell r="B3113" t="str">
            <v>Malu Montesino</v>
          </cell>
        </row>
        <row r="3114">
          <cell r="A3114" t="str">
            <v>02.357.251/0001-53</v>
          </cell>
          <cell r="B3114" t="str">
            <v>Malu Montesino</v>
          </cell>
        </row>
        <row r="3115">
          <cell r="A3115" t="str">
            <v>09.072.082/0002-35</v>
          </cell>
          <cell r="B3115" t="str">
            <v>Mariane Nascimento</v>
          </cell>
        </row>
        <row r="3116">
          <cell r="A3116" t="str">
            <v>09.072.082/0002-35</v>
          </cell>
          <cell r="B3116" t="str">
            <v>Mariane Nascimento</v>
          </cell>
        </row>
        <row r="3117">
          <cell r="A3117" t="str">
            <v>09.072.082/0002-35</v>
          </cell>
          <cell r="B3117" t="str">
            <v>Mariane Nascimento</v>
          </cell>
        </row>
        <row r="3118">
          <cell r="A3118" t="str">
            <v>37.807.135/0001-73</v>
          </cell>
          <cell r="B3118" t="str">
            <v>Malu Montesino</v>
          </cell>
        </row>
        <row r="3119">
          <cell r="A3119" t="str">
            <v>02.059.753/0001-06</v>
          </cell>
          <cell r="B3119" t="str">
            <v>Malu Montesino</v>
          </cell>
        </row>
        <row r="3120">
          <cell r="A3120" t="str">
            <v>06.944.369/0001-39</v>
          </cell>
          <cell r="B3120" t="str">
            <v>Malu Montesino</v>
          </cell>
        </row>
        <row r="3121">
          <cell r="A3121" t="str">
            <v>10.313.717/0001-47</v>
          </cell>
          <cell r="B3121" t="str">
            <v>Malu Montesino</v>
          </cell>
        </row>
        <row r="3122">
          <cell r="A3122" t="str">
            <v>51.958.220/0001-63</v>
          </cell>
          <cell r="B3122" t="str">
            <v>Malu Montesino</v>
          </cell>
        </row>
        <row r="3123">
          <cell r="A3123" t="str">
            <v>19.485.728/0001-89</v>
          </cell>
          <cell r="B3123" t="str">
            <v>Malu Montesino</v>
          </cell>
        </row>
        <row r="3124">
          <cell r="A3124" t="str">
            <v>01.227.691/0001-23</v>
          </cell>
          <cell r="B3124" t="str">
            <v>Mariane Nascimento</v>
          </cell>
        </row>
        <row r="3125">
          <cell r="A3125" t="str">
            <v>53.476.057/0001-28</v>
          </cell>
          <cell r="B3125" t="str">
            <v>Malu Montesino</v>
          </cell>
        </row>
        <row r="3126">
          <cell r="A3126" t="str">
            <v>53.476.057/0001-28</v>
          </cell>
          <cell r="B3126" t="str">
            <v>Malu Montesino</v>
          </cell>
        </row>
        <row r="3127">
          <cell r="A3127" t="str">
            <v>00.771.598/0005-46</v>
          </cell>
          <cell r="B3127" t="str">
            <v>Malu Montesino</v>
          </cell>
        </row>
        <row r="3128">
          <cell r="A3128" t="str">
            <v>00.771.598/0005-46</v>
          </cell>
          <cell r="B3128" t="str">
            <v>Malu Montesino</v>
          </cell>
        </row>
        <row r="3129">
          <cell r="A3129" t="str">
            <v>00.771.598/0005-46</v>
          </cell>
          <cell r="B3129" t="str">
            <v>Malu Montesino</v>
          </cell>
        </row>
        <row r="3130">
          <cell r="A3130" t="str">
            <v>00.565.813/0001-29</v>
          </cell>
          <cell r="B3130" t="str">
            <v>Malu Montesino</v>
          </cell>
        </row>
        <row r="3131">
          <cell r="A3131" t="str">
            <v>65.763.377/0001-48</v>
          </cell>
          <cell r="B3131" t="str">
            <v>Malu Montesino</v>
          </cell>
        </row>
        <row r="3132">
          <cell r="A3132" t="str">
            <v>07.573.497/0001-86</v>
          </cell>
          <cell r="B3132" t="str">
            <v>Malu Montesino</v>
          </cell>
        </row>
        <row r="3133">
          <cell r="A3133" t="str">
            <v>33.611.500/0001-19</v>
          </cell>
          <cell r="B3133" t="str">
            <v>Malu Montesino</v>
          </cell>
        </row>
        <row r="3134">
          <cell r="A3134" t="str">
            <v>07.706.780/0001-39</v>
          </cell>
          <cell r="B3134" t="str">
            <v>Malu Montesino</v>
          </cell>
        </row>
        <row r="3135">
          <cell r="A3135" t="str">
            <v>05.033.026/0001-50</v>
          </cell>
          <cell r="B3135" t="str">
            <v>Malu Montesino</v>
          </cell>
        </row>
        <row r="3136">
          <cell r="A3136" t="str">
            <v>03.167.227/0001-14</v>
          </cell>
          <cell r="B3136" t="str">
            <v>Malu Montesino</v>
          </cell>
        </row>
        <row r="3137">
          <cell r="A3137" t="str">
            <v>04.784.711/0001-55</v>
          </cell>
          <cell r="B3137" t="str">
            <v>Malu Montesino</v>
          </cell>
        </row>
        <row r="3138">
          <cell r="A3138" t="str">
            <v>00.029.898/0001-20</v>
          </cell>
          <cell r="B3138" t="str">
            <v>Malu Montesino</v>
          </cell>
        </row>
        <row r="3139">
          <cell r="A3139" t="str">
            <v>02.059.753/0001-06</v>
          </cell>
          <cell r="B3139" t="str">
            <v>Malu Montesino</v>
          </cell>
        </row>
        <row r="3140">
          <cell r="A3140" t="str">
            <v>00.771.598/0005-46</v>
          </cell>
          <cell r="B3140" t="str">
            <v>Malu Montesino</v>
          </cell>
        </row>
        <row r="3141">
          <cell r="A3141" t="str">
            <v>00.771.598/0005-46</v>
          </cell>
          <cell r="B3141" t="str">
            <v>Malu Montesino</v>
          </cell>
        </row>
        <row r="3142">
          <cell r="A3142" t="str">
            <v>07.573.497/0001-86</v>
          </cell>
          <cell r="B3142" t="str">
            <v>Malu Montesino</v>
          </cell>
        </row>
        <row r="3143">
          <cell r="A3143" t="str">
            <v>33.611.500/0001-19</v>
          </cell>
          <cell r="B3143" t="str">
            <v>Malu Montesino</v>
          </cell>
        </row>
        <row r="3144">
          <cell r="A3144" t="str">
            <v>05.033.026/0001-50</v>
          </cell>
          <cell r="B3144" t="str">
            <v>Malu Montesino</v>
          </cell>
        </row>
        <row r="3145">
          <cell r="A3145" t="str">
            <v>10.313.717/0001-47</v>
          </cell>
          <cell r="B3145" t="str">
            <v>Malu Montesino</v>
          </cell>
        </row>
        <row r="3146">
          <cell r="A3146" t="str">
            <v>00.565.813/0001-29</v>
          </cell>
          <cell r="B3146" t="str">
            <v>Malu Montesino</v>
          </cell>
        </row>
        <row r="3147">
          <cell r="A3147" t="str">
            <v>07.018.219/0001-67</v>
          </cell>
          <cell r="B3147" t="str">
            <v>Malu Montesino</v>
          </cell>
        </row>
        <row r="3148">
          <cell r="A3148" t="str">
            <v>06.944.369/0001-39</v>
          </cell>
          <cell r="B3148" t="str">
            <v>Malu Montesino</v>
          </cell>
        </row>
        <row r="3149">
          <cell r="A3149" t="str">
            <v>17.140.820/0001-81</v>
          </cell>
          <cell r="B3149" t="str">
            <v>Malu Montesino</v>
          </cell>
        </row>
        <row r="3150">
          <cell r="A3150" t="str">
            <v>01.449.930/0001-90</v>
          </cell>
          <cell r="B3150" t="str">
            <v>Malu Montesino</v>
          </cell>
        </row>
        <row r="3151">
          <cell r="A3151" t="str">
            <v>28.531.958/0001-28</v>
          </cell>
          <cell r="B3151" t="str">
            <v>Mariane Nascimento</v>
          </cell>
        </row>
        <row r="3152">
          <cell r="A3152" t="str">
            <v>05.495.281/0001-14</v>
          </cell>
          <cell r="B3152" t="str">
            <v>Mariane Nascimento</v>
          </cell>
        </row>
        <row r="3153">
          <cell r="A3153" t="str">
            <v>05.495.281/0001-14</v>
          </cell>
          <cell r="B3153" t="str">
            <v>Mariane Nascimento</v>
          </cell>
        </row>
        <row r="3154">
          <cell r="A3154" t="str">
            <v>05.495.281/0001-14</v>
          </cell>
          <cell r="B3154" t="str">
            <v>Mariane Nascimento</v>
          </cell>
        </row>
        <row r="3155">
          <cell r="A3155" t="str">
            <v>05.495.281/0001-14</v>
          </cell>
          <cell r="B3155" t="str">
            <v>Mariane Nascimento</v>
          </cell>
        </row>
        <row r="3156">
          <cell r="A3156" t="str">
            <v>05.495.281/0001-14</v>
          </cell>
          <cell r="B3156" t="str">
            <v>Mariane Nascimento</v>
          </cell>
        </row>
        <row r="3157">
          <cell r="A3157" t="str">
            <v>05.495.281/0001-14</v>
          </cell>
          <cell r="B3157" t="str">
            <v>Mariane Nascimento</v>
          </cell>
        </row>
        <row r="3158">
          <cell r="A3158" t="str">
            <v>03.033.345/0001-30</v>
          </cell>
          <cell r="B3158" t="str">
            <v>Mariane Nascimento</v>
          </cell>
        </row>
        <row r="3159">
          <cell r="A3159" t="str">
            <v>03.033.345/0001-30</v>
          </cell>
          <cell r="B3159" t="str">
            <v>Mariane Nascimento</v>
          </cell>
        </row>
        <row r="3160">
          <cell r="A3160" t="str">
            <v>03.033.345/0001-30</v>
          </cell>
          <cell r="B3160" t="str">
            <v>Mariane Nascimento</v>
          </cell>
        </row>
        <row r="3161">
          <cell r="A3161" t="str">
            <v>59.275.792/0001-50</v>
          </cell>
          <cell r="B3161" t="str">
            <v>Malu Montesino</v>
          </cell>
        </row>
        <row r="3162">
          <cell r="A3162" t="str">
            <v>08.823.013/0001-72</v>
          </cell>
          <cell r="B3162" t="str">
            <v>Malu Montesino</v>
          </cell>
        </row>
        <row r="3163">
          <cell r="A3163" t="str">
            <v>04.043.808/0001-07</v>
          </cell>
          <cell r="B3163" t="str">
            <v>Mariane Nascimento</v>
          </cell>
        </row>
        <row r="3164">
          <cell r="A3164" t="str">
            <v>04.043.808/0001-07</v>
          </cell>
          <cell r="B3164" t="str">
            <v>Mariane Nascimento</v>
          </cell>
        </row>
        <row r="3165">
          <cell r="A3165" t="str">
            <v>08.839.778/0001-09</v>
          </cell>
          <cell r="B3165" t="str">
            <v>Mariane Nascimento</v>
          </cell>
        </row>
        <row r="3166">
          <cell r="A3166" t="str">
            <v>58.619.404/0001-48</v>
          </cell>
          <cell r="B3166" t="str">
            <v>Malu Montesino</v>
          </cell>
        </row>
        <row r="3167">
          <cell r="A3167" t="str">
            <v>20.513.627/0001-53</v>
          </cell>
          <cell r="B3167" t="str">
            <v>Malu Montesino</v>
          </cell>
        </row>
        <row r="3168">
          <cell r="A3168" t="str">
            <v>20.513.627/0001-53</v>
          </cell>
          <cell r="B3168" t="str">
            <v>Malu Montesino</v>
          </cell>
        </row>
        <row r="3169">
          <cell r="A3169" t="str">
            <v>61.064.838/0001-33</v>
          </cell>
          <cell r="B3169" t="str">
            <v>Malu Montesino</v>
          </cell>
        </row>
        <row r="3170">
          <cell r="A3170" t="str">
            <v>61.064.838/0001-33</v>
          </cell>
          <cell r="B3170" t="str">
            <v>Malu Montesino</v>
          </cell>
        </row>
        <row r="3171">
          <cell r="A3171" t="str">
            <v>01.227.691/0001-23</v>
          </cell>
          <cell r="B3171" t="str">
            <v>Mariane Nascimento</v>
          </cell>
        </row>
        <row r="3172">
          <cell r="A3172" t="str">
            <v>01.227.691/0001-23</v>
          </cell>
          <cell r="B3172" t="str">
            <v>Mariane Nascimento</v>
          </cell>
        </row>
        <row r="3173">
          <cell r="A3173" t="str">
            <v>12.965.396/0001-90</v>
          </cell>
          <cell r="B3173" t="str">
            <v>Malu Montesino</v>
          </cell>
        </row>
        <row r="3174">
          <cell r="A3174" t="str">
            <v>00.549.740/0001-81</v>
          </cell>
          <cell r="B3174" t="str">
            <v>Malu Montesino</v>
          </cell>
        </row>
        <row r="3175">
          <cell r="A3175" t="str">
            <v>00.549.740/0001-81</v>
          </cell>
          <cell r="B3175" t="str">
            <v>Malu Montesino</v>
          </cell>
        </row>
        <row r="3176">
          <cell r="A3176" t="str">
            <v>39.695.610/0001-92</v>
          </cell>
          <cell r="B3176" t="str">
            <v>Malu Montesino</v>
          </cell>
        </row>
        <row r="3177">
          <cell r="A3177" t="str">
            <v>12.491.355/0001-00</v>
          </cell>
          <cell r="B3177" t="str">
            <v>Malu Montesino</v>
          </cell>
        </row>
        <row r="3178">
          <cell r="A3178" t="str">
            <v>13.495.519/0001-30</v>
          </cell>
          <cell r="B3178" t="str">
            <v>Malu Montesino</v>
          </cell>
        </row>
        <row r="3179">
          <cell r="A3179" t="str">
            <v>13.495.519/0001-30</v>
          </cell>
          <cell r="B3179" t="str">
            <v>Malu Montesino</v>
          </cell>
        </row>
        <row r="3180">
          <cell r="A3180" t="str">
            <v>13.495.519/0001-30</v>
          </cell>
          <cell r="B3180" t="str">
            <v>Malu Montesino</v>
          </cell>
        </row>
        <row r="3181">
          <cell r="A3181" t="str">
            <v>41.851.826/0001-41</v>
          </cell>
          <cell r="B3181" t="str">
            <v>Malu Montesino</v>
          </cell>
        </row>
        <row r="3182">
          <cell r="A3182" t="str">
            <v>73.159.246/0001-84</v>
          </cell>
          <cell r="B3182" t="str">
            <v>Malu Montesino</v>
          </cell>
        </row>
        <row r="3183">
          <cell r="A3183" t="str">
            <v>73.159.246/0001-84</v>
          </cell>
          <cell r="B3183" t="str">
            <v>Malu Montesino</v>
          </cell>
        </row>
        <row r="3184">
          <cell r="A3184" t="str">
            <v>19.363.524/0001-75</v>
          </cell>
          <cell r="B3184" t="str">
            <v>Malu Montesino</v>
          </cell>
        </row>
        <row r="3185">
          <cell r="A3185" t="str">
            <v>01.298.443/0001-73</v>
          </cell>
          <cell r="B3185" t="str">
            <v>Malu Montesino</v>
          </cell>
        </row>
        <row r="3186">
          <cell r="A3186" t="str">
            <v>59.996.829/0001-39</v>
          </cell>
          <cell r="B3186" t="str">
            <v>Malu Montesino</v>
          </cell>
        </row>
        <row r="3187">
          <cell r="A3187" t="str">
            <v>08.673.325/0001-47</v>
          </cell>
          <cell r="B3187" t="str">
            <v>Malu Montesino</v>
          </cell>
        </row>
        <row r="3188">
          <cell r="A3188" t="str">
            <v>00.549.740/0001-81</v>
          </cell>
          <cell r="B3188" t="str">
            <v>Malu Montesino</v>
          </cell>
        </row>
        <row r="3189">
          <cell r="A3189" t="str">
            <v>01.449.930/0001-90</v>
          </cell>
          <cell r="B3189" t="str">
            <v>Malu Montesino</v>
          </cell>
        </row>
        <row r="3190">
          <cell r="A3190" t="str">
            <v>12.483.930/0001-22</v>
          </cell>
          <cell r="B3190" t="str">
            <v>Malu Montesino</v>
          </cell>
        </row>
        <row r="3191">
          <cell r="A3191" t="str">
            <v>12.483.930/0001-22</v>
          </cell>
          <cell r="B3191" t="str">
            <v>Malu Montesino</v>
          </cell>
        </row>
        <row r="3192">
          <cell r="A3192" t="str">
            <v>01.449.930/0001-90</v>
          </cell>
          <cell r="B3192" t="str">
            <v>Malu Montesino</v>
          </cell>
        </row>
        <row r="3193">
          <cell r="A3193" t="str">
            <v>01.449.930/0001-90</v>
          </cell>
          <cell r="B3193" t="str">
            <v>Malu Montesino</v>
          </cell>
        </row>
        <row r="3194">
          <cell r="A3194" t="str">
            <v>18.258.209/0001-15</v>
          </cell>
          <cell r="B3194" t="str">
            <v>Mariane Nascimento</v>
          </cell>
        </row>
        <row r="3195">
          <cell r="A3195" t="str">
            <v>18.258.209/0001-15</v>
          </cell>
          <cell r="B3195" t="str">
            <v>Mariane Nascimento</v>
          </cell>
        </row>
        <row r="3196">
          <cell r="A3196" t="str">
            <v>18.809.570/0001-92</v>
          </cell>
          <cell r="B3196" t="str">
            <v>Mariane Nascimento</v>
          </cell>
        </row>
        <row r="3197">
          <cell r="A3197" t="str">
            <v>18.809.570/0001-92</v>
          </cell>
          <cell r="B3197" t="str">
            <v>Mariane Nascimento</v>
          </cell>
        </row>
        <row r="3198">
          <cell r="A3198" t="str">
            <v>18.809.570/0001-92</v>
          </cell>
          <cell r="B3198" t="str">
            <v>Mariane Nascimento</v>
          </cell>
        </row>
        <row r="3199">
          <cell r="A3199" t="str">
            <v>03.874.953/0001-77</v>
          </cell>
          <cell r="B3199" t="str">
            <v>Mariane Nascimento</v>
          </cell>
        </row>
        <row r="3200">
          <cell r="A3200" t="str">
            <v>03.874.953/0001-77</v>
          </cell>
          <cell r="B3200" t="str">
            <v>Mariane Nascimento</v>
          </cell>
        </row>
        <row r="3201">
          <cell r="A3201" t="str">
            <v>38.591.447/0001-55</v>
          </cell>
          <cell r="B3201" t="str">
            <v>Mariane Nascimento</v>
          </cell>
        </row>
        <row r="3202">
          <cell r="A3202" t="str">
            <v>06.019.610/0001-13</v>
          </cell>
          <cell r="B3202" t="str">
            <v>Mariane Nascimento</v>
          </cell>
        </row>
        <row r="3203">
          <cell r="A3203" t="str">
            <v>06.019.610/0001-13</v>
          </cell>
          <cell r="B3203" t="str">
            <v>Mariane Nascimento</v>
          </cell>
        </row>
        <row r="3204">
          <cell r="A3204" t="str">
            <v>62.413.869/0001-15</v>
          </cell>
          <cell r="B3204" t="str">
            <v>Mariane Nascimento</v>
          </cell>
        </row>
        <row r="3205">
          <cell r="A3205" t="str">
            <v>62.413.869/0001-15</v>
          </cell>
          <cell r="B3205" t="str">
            <v>Mariane Nascimento</v>
          </cell>
        </row>
        <row r="3206">
          <cell r="A3206" t="str">
            <v>06.172.467/0001-03</v>
          </cell>
          <cell r="B3206" t="str">
            <v>Mariane Nascimento</v>
          </cell>
        </row>
        <row r="3207">
          <cell r="A3207" t="str">
            <v>00.028.986/0001-08</v>
          </cell>
          <cell r="B3207" t="str">
            <v>Malu Montesino</v>
          </cell>
        </row>
        <row r="3208">
          <cell r="A3208" t="str">
            <v>03.735.193/0001-17</v>
          </cell>
          <cell r="B3208" t="str">
            <v>Mariane Nascimento</v>
          </cell>
        </row>
        <row r="3209">
          <cell r="A3209" t="str">
            <v>03.735.193/0001-17</v>
          </cell>
          <cell r="B3209" t="str">
            <v>Mariane Nascimento</v>
          </cell>
        </row>
        <row r="3210">
          <cell r="A3210" t="str">
            <v>15.664.649/0001-84</v>
          </cell>
          <cell r="B3210" t="str">
            <v>Mariane Nascimento</v>
          </cell>
        </row>
        <row r="3211">
          <cell r="A3211" t="str">
            <v>15.664.649/0001-84</v>
          </cell>
          <cell r="B3211" t="str">
            <v>Mariane Nascimento</v>
          </cell>
        </row>
        <row r="3212">
          <cell r="A3212" t="str">
            <v>08.839.778/0001-09</v>
          </cell>
          <cell r="B3212" t="str">
            <v>Mariane Nascimento</v>
          </cell>
        </row>
        <row r="3213">
          <cell r="A3213" t="str">
            <v>08.839.778/0001-09</v>
          </cell>
          <cell r="B3213" t="str">
            <v>Mariane Nascimento</v>
          </cell>
        </row>
        <row r="3214">
          <cell r="A3214" t="str">
            <v>08.839.778/0001-09</v>
          </cell>
          <cell r="B3214" t="str">
            <v>Mariane Nascimento</v>
          </cell>
        </row>
        <row r="3215">
          <cell r="A3215" t="str">
            <v>06.990.590/0001-23</v>
          </cell>
          <cell r="B3215" t="str">
            <v>Malu Montesino</v>
          </cell>
        </row>
        <row r="3216">
          <cell r="A3216" t="str">
            <v>59.233.783/0001-04</v>
          </cell>
          <cell r="B3216" t="str">
            <v>Malu Montesino</v>
          </cell>
        </row>
        <row r="3217">
          <cell r="A3217" t="str">
            <v>02.248.312/0001-44</v>
          </cell>
          <cell r="B3217" t="str">
            <v>Malu Montesino</v>
          </cell>
        </row>
        <row r="3218">
          <cell r="A3218" t="str">
            <v>04.238.951/0001-54</v>
          </cell>
          <cell r="B3218" t="str">
            <v>Malu Montesino</v>
          </cell>
        </row>
        <row r="3219">
          <cell r="A3219" t="str">
            <v>05.857.218/0001-80</v>
          </cell>
          <cell r="B3219" t="str">
            <v>Malu Montesino</v>
          </cell>
        </row>
        <row r="3220">
          <cell r="A3220" t="str">
            <v>05.857.218/0001-80</v>
          </cell>
          <cell r="B3220" t="str">
            <v>Malu Montesino</v>
          </cell>
        </row>
        <row r="3221">
          <cell r="A3221" t="str">
            <v>19.485.728/0001-89</v>
          </cell>
          <cell r="B3221" t="str">
            <v>Malu Montesino</v>
          </cell>
        </row>
        <row r="3222">
          <cell r="A3222" t="str">
            <v>01.227.691/0001-23</v>
          </cell>
          <cell r="B3222" t="str">
            <v>Mariane Nascimento</v>
          </cell>
        </row>
        <row r="3223">
          <cell r="A3223" t="str">
            <v>15.630.428/0001-95</v>
          </cell>
          <cell r="B3223" t="str">
            <v>Malu Montesino</v>
          </cell>
        </row>
        <row r="3224">
          <cell r="A3224" t="str">
            <v>07.573.497/0001-86</v>
          </cell>
          <cell r="B3224" t="str">
            <v>Malu Montesino</v>
          </cell>
        </row>
        <row r="3225">
          <cell r="A3225" t="str">
            <v>07.573.497/0001-86</v>
          </cell>
          <cell r="B3225" t="str">
            <v>Malu Montesino</v>
          </cell>
        </row>
        <row r="3226">
          <cell r="A3226" t="str">
            <v>72.908.817/0001-73</v>
          </cell>
          <cell r="B3226" t="str">
            <v>Malu Montesino</v>
          </cell>
        </row>
        <row r="3227">
          <cell r="A3227" t="str">
            <v>06.120.576/0001-79</v>
          </cell>
          <cell r="B3227" t="str">
            <v>Malu Montesino</v>
          </cell>
        </row>
        <row r="3228">
          <cell r="A3228" t="str">
            <v>06.120.576/0001-79</v>
          </cell>
          <cell r="B3228" t="str">
            <v>Malu Montesino</v>
          </cell>
        </row>
        <row r="3229">
          <cell r="A3229" t="str">
            <v>04.784.711/0001-55</v>
          </cell>
          <cell r="B3229" t="str">
            <v>Malu Montesino</v>
          </cell>
        </row>
        <row r="3230">
          <cell r="A3230" t="str">
            <v>04.784.711/0001-55</v>
          </cell>
          <cell r="B3230" t="str">
            <v>Malu Montesino</v>
          </cell>
        </row>
        <row r="3231">
          <cell r="A3231" t="str">
            <v>04.784.711/0001-55</v>
          </cell>
          <cell r="B3231" t="str">
            <v>Malu Montesino</v>
          </cell>
        </row>
        <row r="3232">
          <cell r="A3232" t="str">
            <v>00.426.978/0001-10</v>
          </cell>
          <cell r="B3232" t="str">
            <v>Malu Montesino</v>
          </cell>
        </row>
        <row r="3233">
          <cell r="A3233" t="str">
            <v>59.996.829/0001-39</v>
          </cell>
          <cell r="B3233" t="str">
            <v>Malu Montesino</v>
          </cell>
        </row>
        <row r="3234">
          <cell r="A3234" t="str">
            <v>08.673.325/0001-47</v>
          </cell>
          <cell r="B3234" t="str">
            <v>Malu Montesino</v>
          </cell>
        </row>
        <row r="3235">
          <cell r="A3235" t="str">
            <v>07.573.497/0001-86</v>
          </cell>
          <cell r="B3235" t="str">
            <v>Malu Montesino</v>
          </cell>
        </row>
        <row r="3236">
          <cell r="A3236" t="str">
            <v>72.908.817/0001-73</v>
          </cell>
          <cell r="B3236" t="str">
            <v>Malu Montesino</v>
          </cell>
        </row>
        <row r="3237">
          <cell r="A3237" t="str">
            <v>18.782.563/0001-44</v>
          </cell>
          <cell r="B3237" t="str">
            <v>Malu Montesino</v>
          </cell>
        </row>
        <row r="3238">
          <cell r="A3238" t="str">
            <v>04.784.711/0001-55</v>
          </cell>
          <cell r="B3238" t="str">
            <v>Malu Montesino</v>
          </cell>
        </row>
        <row r="3239">
          <cell r="A3239" t="str">
            <v>01.449.930/0001-90</v>
          </cell>
          <cell r="B3239" t="str">
            <v>Malu Montesino</v>
          </cell>
        </row>
        <row r="3240">
          <cell r="A3240" t="str">
            <v>12.483.930/0001-22</v>
          </cell>
          <cell r="B3240" t="str">
            <v>Malu Montesino</v>
          </cell>
        </row>
        <row r="3241">
          <cell r="A3241" t="str">
            <v>12.965.396/0001-90</v>
          </cell>
          <cell r="B3241" t="str">
            <v>Malu Montesino</v>
          </cell>
        </row>
        <row r="3242">
          <cell r="A3242" t="str">
            <v>12.965.396/0001-90</v>
          </cell>
          <cell r="B3242" t="str">
            <v>Malu Montesino</v>
          </cell>
        </row>
        <row r="3243">
          <cell r="A3243" t="str">
            <v>59.996.829/0001-39</v>
          </cell>
          <cell r="B3243" t="str">
            <v>Malu Montesino</v>
          </cell>
        </row>
        <row r="3244">
          <cell r="A3244" t="str">
            <v>59.996.829/0001-39</v>
          </cell>
          <cell r="B3244" t="str">
            <v>Malu Montesino</v>
          </cell>
        </row>
        <row r="3245">
          <cell r="A3245" t="str">
            <v>59.996.829/0001-39</v>
          </cell>
          <cell r="B3245" t="str">
            <v>Malu Montesino</v>
          </cell>
        </row>
        <row r="3246">
          <cell r="A3246" t="str">
            <v>04.743.025/0001-36</v>
          </cell>
          <cell r="B3246" t="str">
            <v>Malu Montesino</v>
          </cell>
        </row>
        <row r="3247">
          <cell r="A3247" t="str">
            <v>56.998.701/0001-16</v>
          </cell>
          <cell r="B3247" t="str">
            <v>Malu Montesino</v>
          </cell>
        </row>
        <row r="3248">
          <cell r="A3248" t="str">
            <v>05.706.897/0001-97</v>
          </cell>
          <cell r="B3248" t="str">
            <v>Malu Montesino</v>
          </cell>
        </row>
        <row r="3249">
          <cell r="A3249" t="str">
            <v>38.591.447/0001-55</v>
          </cell>
          <cell r="B3249" t="str">
            <v>Mariane Nascimento</v>
          </cell>
        </row>
        <row r="3250">
          <cell r="A3250" t="str">
            <v>06.019.610/0001-13</v>
          </cell>
          <cell r="B3250" t="str">
            <v>Mariane Nascimento</v>
          </cell>
        </row>
        <row r="3251">
          <cell r="A3251" t="str">
            <v>12.648.327/0001-53</v>
          </cell>
          <cell r="B3251" t="str">
            <v>Mariane Nascimento</v>
          </cell>
        </row>
        <row r="3252">
          <cell r="A3252" t="str">
            <v>28.531.958/0001-28</v>
          </cell>
          <cell r="B3252" t="str">
            <v>Mariane Nascimento</v>
          </cell>
        </row>
        <row r="3253">
          <cell r="A3253" t="str">
            <v>07.133.384/0001-60</v>
          </cell>
          <cell r="B3253" t="str">
            <v>Mariane Nascimento</v>
          </cell>
        </row>
        <row r="3254">
          <cell r="A3254" t="str">
            <v>07.133.384/0001-60</v>
          </cell>
          <cell r="B3254" t="str">
            <v>Mariane Nascimento</v>
          </cell>
        </row>
        <row r="3255">
          <cell r="A3255" t="str">
            <v>02.377.937/0001-06</v>
          </cell>
          <cell r="B3255" t="str">
            <v>Mariane Nascimento</v>
          </cell>
        </row>
        <row r="3256">
          <cell r="A3256" t="str">
            <v>02.377.937/0001-06</v>
          </cell>
          <cell r="B3256" t="str">
            <v>Mariane Nascimento</v>
          </cell>
        </row>
        <row r="3257">
          <cell r="A3257" t="str">
            <v>02.377.937/0001-06</v>
          </cell>
          <cell r="B3257" t="str">
            <v>Mariane Nascimento</v>
          </cell>
        </row>
        <row r="3258">
          <cell r="A3258" t="str">
            <v>09.485.574/0001-71</v>
          </cell>
          <cell r="B3258" t="str">
            <v>Mariane Nascimento</v>
          </cell>
        </row>
        <row r="3259">
          <cell r="A3259" t="str">
            <v>19.769.575/0001-00</v>
          </cell>
          <cell r="B3259" t="str">
            <v>Mariane Nascimento</v>
          </cell>
        </row>
        <row r="3260">
          <cell r="A3260" t="str">
            <v>19.769.575/0001-00</v>
          </cell>
          <cell r="B3260" t="str">
            <v>Mariane Nascimento</v>
          </cell>
        </row>
        <row r="3261">
          <cell r="A3261" t="str">
            <v>02.162.259/0001-64</v>
          </cell>
          <cell r="B3261" t="str">
            <v>Malu Montesino</v>
          </cell>
        </row>
        <row r="3262">
          <cell r="A3262" t="str">
            <v>21.551.379/0007-93</v>
          </cell>
          <cell r="B3262" t="str">
            <v>Malu Montesino</v>
          </cell>
        </row>
        <row r="3263">
          <cell r="A3263" t="str">
            <v>21.551.379/0007-93</v>
          </cell>
          <cell r="B3263" t="str">
            <v>Malu Montesino</v>
          </cell>
        </row>
        <row r="3264">
          <cell r="A3264" t="str">
            <v>21.551.379/0007-93</v>
          </cell>
          <cell r="B3264" t="str">
            <v>Malu Montesino</v>
          </cell>
        </row>
        <row r="3265">
          <cell r="A3265" t="str">
            <v>58.619.404/0001-48</v>
          </cell>
          <cell r="B3265" t="str">
            <v>Malu Montesino</v>
          </cell>
        </row>
        <row r="3266">
          <cell r="A3266" t="str">
            <v>32.963.001/0001-28</v>
          </cell>
          <cell r="B3266" t="str">
            <v>Mariane Nascimento</v>
          </cell>
        </row>
        <row r="3267">
          <cell r="A3267" t="str">
            <v>32.963.001/0001-28</v>
          </cell>
          <cell r="B3267" t="str">
            <v>Mariane Nascimento</v>
          </cell>
        </row>
        <row r="3268">
          <cell r="A3268" t="str">
            <v>68.322.411/0001-37</v>
          </cell>
          <cell r="B3268" t="str">
            <v>Malu Montesino</v>
          </cell>
        </row>
        <row r="3269">
          <cell r="A3269" t="str">
            <v>06.045.864/0001-06</v>
          </cell>
          <cell r="B3269" t="str">
            <v>Mariane Nascimento</v>
          </cell>
        </row>
        <row r="3270">
          <cell r="A3270" t="str">
            <v>06.045.864/0001-06</v>
          </cell>
          <cell r="B3270" t="str">
            <v>Mariane Nascimento</v>
          </cell>
        </row>
        <row r="3271">
          <cell r="A3271" t="str">
            <v>15.331.924/0001-48</v>
          </cell>
          <cell r="B3271" t="str">
            <v>Malu Montesino</v>
          </cell>
        </row>
        <row r="3272">
          <cell r="A3272" t="str">
            <v>08.070.508/0001-78</v>
          </cell>
          <cell r="B3272" t="str">
            <v>Malu Montesino</v>
          </cell>
        </row>
        <row r="3273">
          <cell r="A3273" t="str">
            <v>56.025.090/0001-20</v>
          </cell>
          <cell r="B3273" t="str">
            <v>Malu Montesino</v>
          </cell>
        </row>
        <row r="3274">
          <cell r="A3274" t="str">
            <v>82.749.987/0001-06</v>
          </cell>
          <cell r="B3274" t="str">
            <v>Malu Montesino</v>
          </cell>
        </row>
        <row r="3275">
          <cell r="A3275" t="str">
            <v>82.749.987/0001-06</v>
          </cell>
          <cell r="B3275" t="str">
            <v>Malu Montesino</v>
          </cell>
        </row>
        <row r="3276">
          <cell r="A3276" t="str">
            <v>73.159.246/0001-84</v>
          </cell>
          <cell r="B3276" t="str">
            <v>Malu Montesino</v>
          </cell>
        </row>
        <row r="3277">
          <cell r="A3277" t="str">
            <v>08.673.325/0001-47</v>
          </cell>
          <cell r="B3277" t="str">
            <v>Malu Montesino</v>
          </cell>
        </row>
        <row r="3278">
          <cell r="A3278" t="str">
            <v>61.825.675/0001-64</v>
          </cell>
          <cell r="B3278" t="str">
            <v>Malu Montesino</v>
          </cell>
        </row>
        <row r="3279">
          <cell r="A3279" t="str">
            <v>08.029.517/0001-15</v>
          </cell>
          <cell r="B3279" t="str">
            <v>Malu Montesino</v>
          </cell>
        </row>
        <row r="3280">
          <cell r="A3280" t="str">
            <v>08.029.517/0001-15</v>
          </cell>
          <cell r="B3280" t="str">
            <v>Malu Montesino</v>
          </cell>
        </row>
        <row r="3281">
          <cell r="A3281" t="str">
            <v>13.656.820/0001-88</v>
          </cell>
          <cell r="B3281" t="str">
            <v>Malu Montesino</v>
          </cell>
        </row>
        <row r="3282">
          <cell r="A3282" t="str">
            <v>82.749.987/0001-06</v>
          </cell>
          <cell r="B3282" t="str">
            <v>Malu Montesino</v>
          </cell>
        </row>
        <row r="3283">
          <cell r="A3283" t="str">
            <v>08.029.517/0001-15</v>
          </cell>
          <cell r="B3283" t="str">
            <v>Malu Montesino</v>
          </cell>
        </row>
        <row r="3284">
          <cell r="A3284" t="str">
            <v>29.736.089/0001-30</v>
          </cell>
          <cell r="B3284" t="str">
            <v>Malu Montesino</v>
          </cell>
        </row>
        <row r="3285">
          <cell r="A3285" t="str">
            <v>02.470.279/0001-00</v>
          </cell>
          <cell r="B3285" t="str">
            <v>Malu Montesino</v>
          </cell>
        </row>
        <row r="3286">
          <cell r="A3286" t="str">
            <v>19.428.087/0001-20</v>
          </cell>
          <cell r="B3286" t="str">
            <v>Malu Montesino</v>
          </cell>
        </row>
        <row r="3287">
          <cell r="A3287" t="str">
            <v>19.428.087/0001-20</v>
          </cell>
          <cell r="B3287" t="str">
            <v>Malu Montesino</v>
          </cell>
        </row>
        <row r="3288">
          <cell r="A3288" t="str">
            <v>10.313.717/0001-47</v>
          </cell>
          <cell r="B3288" t="str">
            <v>Malu Montesino</v>
          </cell>
        </row>
        <row r="3289">
          <cell r="A3289" t="str">
            <v>15.630.428/0001-95</v>
          </cell>
          <cell r="B3289" t="str">
            <v>Malu Montesino</v>
          </cell>
        </row>
        <row r="3290">
          <cell r="A3290" t="str">
            <v>45.231.016/0001-43</v>
          </cell>
          <cell r="B3290" t="str">
            <v>Malu Montesino</v>
          </cell>
        </row>
        <row r="3291">
          <cell r="A3291" t="str">
            <v>45.231.016/0001-43</v>
          </cell>
          <cell r="B3291" t="str">
            <v>Malu Montesino</v>
          </cell>
        </row>
        <row r="3292">
          <cell r="A3292" t="str">
            <v>45.231.016/0001-43</v>
          </cell>
          <cell r="B3292" t="str">
            <v>Malu Montesino</v>
          </cell>
        </row>
        <row r="3293">
          <cell r="A3293" t="str">
            <v>13.495.519/0001-30</v>
          </cell>
          <cell r="B3293" t="str">
            <v>Malu Montesino</v>
          </cell>
        </row>
        <row r="3294">
          <cell r="A3294" t="str">
            <v>13.495.519/0001-30</v>
          </cell>
          <cell r="B3294" t="str">
            <v>Malu Montesino</v>
          </cell>
        </row>
        <row r="3295">
          <cell r="A3295" t="str">
            <v>45.231.016/0001-43</v>
          </cell>
          <cell r="B3295" t="str">
            <v>Malu Montesino</v>
          </cell>
        </row>
        <row r="3296">
          <cell r="A3296" t="str">
            <v>10.861.317/0001-76</v>
          </cell>
          <cell r="B3296" t="str">
            <v>Mariane Nascimento</v>
          </cell>
        </row>
        <row r="3297">
          <cell r="A3297" t="str">
            <v>12.246.862/0001-88</v>
          </cell>
          <cell r="B3297" t="str">
            <v>Mariane Nascimento</v>
          </cell>
        </row>
        <row r="3298">
          <cell r="A3298" t="str">
            <v>05.495.281/0001-14</v>
          </cell>
          <cell r="B3298" t="str">
            <v>Mariane Nascimento</v>
          </cell>
        </row>
        <row r="3299">
          <cell r="A3299" t="str">
            <v>08.823.013/0001-72</v>
          </cell>
          <cell r="B3299" t="str">
            <v>Malu Montesino</v>
          </cell>
        </row>
        <row r="3300">
          <cell r="A3300" t="str">
            <v>58.619.404/0001-48</v>
          </cell>
          <cell r="B3300" t="str">
            <v>Malu Montesino</v>
          </cell>
        </row>
        <row r="3301">
          <cell r="A3301" t="str">
            <v>31.639.937/0001-35</v>
          </cell>
          <cell r="B3301" t="str">
            <v>Mariane Nascimento</v>
          </cell>
        </row>
        <row r="3302">
          <cell r="A3302" t="str">
            <v>06.120.576/0001-79</v>
          </cell>
          <cell r="B3302" t="str">
            <v>Malu Montesino</v>
          </cell>
        </row>
        <row r="3303">
          <cell r="A3303" t="str">
            <v>73.159.246/0001-84</v>
          </cell>
          <cell r="B3303" t="str">
            <v>Malu Montesino</v>
          </cell>
        </row>
        <row r="3304">
          <cell r="A3304" t="str">
            <v>44.770.497/0001-00</v>
          </cell>
          <cell r="B3304" t="str">
            <v>Malu Montesino</v>
          </cell>
        </row>
        <row r="3305">
          <cell r="A3305" t="str">
            <v>02.525.794/0001-32</v>
          </cell>
          <cell r="B3305" t="str">
            <v>Malu Montesino</v>
          </cell>
        </row>
        <row r="3306">
          <cell r="A3306" t="str">
            <v>71.680.193/0010-08</v>
          </cell>
          <cell r="B3306" t="str">
            <v>Malu Montesino</v>
          </cell>
        </row>
        <row r="3307">
          <cell r="A3307" t="str">
            <v>45.703.378/0003-51</v>
          </cell>
          <cell r="B3307" t="str">
            <v>Malu Montesino</v>
          </cell>
        </row>
        <row r="3308">
          <cell r="A3308" t="str">
            <v>10.426.136/0001-11</v>
          </cell>
          <cell r="B3308" t="str">
            <v>Malu Montesino</v>
          </cell>
        </row>
        <row r="3309">
          <cell r="A3309" t="str">
            <v>44.705.774/0001-93</v>
          </cell>
          <cell r="B3309" t="str">
            <v>Malu Montesino</v>
          </cell>
        </row>
        <row r="3310">
          <cell r="A3310" t="str">
            <v>58.520.858/0001-67</v>
          </cell>
          <cell r="B3310" t="str">
            <v>Malu Montesino</v>
          </cell>
        </row>
        <row r="3311">
          <cell r="A3311" t="str">
            <v>07.534.686/0001-40</v>
          </cell>
          <cell r="B3311" t="str">
            <v>Malu Montesino</v>
          </cell>
        </row>
        <row r="3312">
          <cell r="A3312" t="str">
            <v>88.020.102/0001-10</v>
          </cell>
          <cell r="B3312" t="str">
            <v>Malu Montesino</v>
          </cell>
        </row>
        <row r="3313">
          <cell r="A3313" t="str">
            <v>07.662.932/0001-49</v>
          </cell>
          <cell r="B3313" t="str">
            <v>Malu Montesino</v>
          </cell>
        </row>
        <row r="3314">
          <cell r="A3314" t="str">
            <v>05.431.967/0001-41</v>
          </cell>
          <cell r="B3314" t="str">
            <v>Malu Montesino</v>
          </cell>
        </row>
        <row r="3315">
          <cell r="A3315" t="str">
            <v>05.431.967/0001-41</v>
          </cell>
          <cell r="B3315" t="str">
            <v>Malu Montesino</v>
          </cell>
        </row>
        <row r="3316">
          <cell r="A3316" t="str">
            <v>05.431.967/0001-41</v>
          </cell>
          <cell r="B3316" t="str">
            <v>Malu Montesino</v>
          </cell>
        </row>
        <row r="3317">
          <cell r="A3317" t="str">
            <v>52.541.760/0001-00</v>
          </cell>
          <cell r="B3317" t="str">
            <v>Malu Montesino</v>
          </cell>
        </row>
        <row r="3318">
          <cell r="A3318" t="str">
            <v>12.255.403/0001-60</v>
          </cell>
          <cell r="B3318" t="str">
            <v>Mariane Nascimento</v>
          </cell>
        </row>
        <row r="3319">
          <cell r="A3319" t="str">
            <v>62.413.869/0001-15</v>
          </cell>
          <cell r="B3319" t="str">
            <v>Mariane Nascimento</v>
          </cell>
        </row>
        <row r="3320">
          <cell r="A3320" t="str">
            <v>62.413.869/0001-15</v>
          </cell>
          <cell r="B3320" t="str">
            <v>Mariane Nascimento</v>
          </cell>
        </row>
        <row r="3321">
          <cell r="A3321" t="str">
            <v>28.531.958/0001-28</v>
          </cell>
          <cell r="B3321" t="str">
            <v>Mariane Nascimento</v>
          </cell>
        </row>
        <row r="3322">
          <cell r="A3322" t="str">
            <v>28.531.958/0001-28</v>
          </cell>
          <cell r="B3322" t="str">
            <v>Mariane Nascimento</v>
          </cell>
        </row>
        <row r="3323">
          <cell r="A3323" t="str">
            <v>58.619.404/0001-48</v>
          </cell>
          <cell r="B3323" t="str">
            <v>Malu Montesino</v>
          </cell>
        </row>
        <row r="3324">
          <cell r="A3324" t="str">
            <v>58.619.404/0001-48</v>
          </cell>
          <cell r="B3324" t="str">
            <v>Malu Montesino</v>
          </cell>
        </row>
        <row r="3325">
          <cell r="A3325" t="str">
            <v>32.963.001/0001-28</v>
          </cell>
          <cell r="B3325" t="str">
            <v>Mariane Nascimento</v>
          </cell>
        </row>
        <row r="3326">
          <cell r="A3326" t="str">
            <v>02.248.312/0001-44</v>
          </cell>
          <cell r="B3326" t="str">
            <v>Malu Montesino</v>
          </cell>
        </row>
        <row r="3327">
          <cell r="A3327" t="str">
            <v>52.273.785/0001-70</v>
          </cell>
          <cell r="B3327" t="str">
            <v>Malu Montesino</v>
          </cell>
        </row>
        <row r="3328">
          <cell r="A3328" t="str">
            <v>15.630.428/0001-95</v>
          </cell>
          <cell r="B3328" t="str">
            <v>Malu Montesino</v>
          </cell>
        </row>
        <row r="3329">
          <cell r="A3329" t="str">
            <v>07.573.497/0001-86</v>
          </cell>
          <cell r="B3329" t="str">
            <v>Malu Montesino</v>
          </cell>
        </row>
        <row r="3330">
          <cell r="A3330" t="str">
            <v>07.573.497/0001-86</v>
          </cell>
          <cell r="B3330" t="str">
            <v>Malu Montesino</v>
          </cell>
        </row>
        <row r="3331">
          <cell r="A3331" t="str">
            <v>09.325.670/0001-52</v>
          </cell>
          <cell r="B3331" t="str">
            <v>Mariane Nascimento</v>
          </cell>
        </row>
        <row r="3332">
          <cell r="A3332" t="str">
            <v>13.495.519/0001-30</v>
          </cell>
          <cell r="B3332" t="str">
            <v>Malu Montesino</v>
          </cell>
        </row>
        <row r="3333">
          <cell r="A3333" t="str">
            <v>73.159.246/0001-84</v>
          </cell>
          <cell r="B3333" t="str">
            <v>Malu Montesino</v>
          </cell>
        </row>
        <row r="3334">
          <cell r="A3334" t="str">
            <v>08.029.517/0001-15</v>
          </cell>
          <cell r="B3334" t="str">
            <v>Malu Montesino</v>
          </cell>
        </row>
        <row r="3335">
          <cell r="A3335" t="str">
            <v>45.703.378/0003-51</v>
          </cell>
          <cell r="B3335" t="str">
            <v>Malu Montesino</v>
          </cell>
        </row>
        <row r="3336">
          <cell r="A3336" t="str">
            <v>45.703.378/0003-51</v>
          </cell>
          <cell r="B3336" t="str">
            <v>Malu Montesino</v>
          </cell>
        </row>
        <row r="3337">
          <cell r="A3337" t="str">
            <v>43.035.146/0055-78</v>
          </cell>
          <cell r="B3337" t="str">
            <v>Malu Montesino</v>
          </cell>
        </row>
        <row r="3338">
          <cell r="A3338" t="str">
            <v>15.800.545/0001-50</v>
          </cell>
          <cell r="B3338" t="str">
            <v>Mariane Nascimento</v>
          </cell>
        </row>
        <row r="3339">
          <cell r="A3339" t="str">
            <v>06.020.318/0001-10</v>
          </cell>
          <cell r="B3339" t="str">
            <v>Malu Montesino</v>
          </cell>
        </row>
        <row r="3340">
          <cell r="A3340" t="str">
            <v>06.020.318/0001-10</v>
          </cell>
          <cell r="B3340" t="str">
            <v>Malu Montesino</v>
          </cell>
        </row>
        <row r="3341">
          <cell r="A3341" t="str">
            <v>05.439.635/0001-03</v>
          </cell>
          <cell r="B3341" t="str">
            <v>Mariane Nascimento</v>
          </cell>
        </row>
        <row r="3342">
          <cell r="A3342" t="str">
            <v>07.573.497/0001-86</v>
          </cell>
          <cell r="B3342" t="str">
            <v>Malu Montesino</v>
          </cell>
        </row>
        <row r="3343">
          <cell r="A3343" t="str">
            <v>05.431.967/0001-41</v>
          </cell>
          <cell r="B3343" t="str">
            <v>Malu Montesino</v>
          </cell>
        </row>
        <row r="3344">
          <cell r="A3344" t="str">
            <v>59.104.422/0001-50</v>
          </cell>
          <cell r="B3344" t="str">
            <v>Malu Montesino</v>
          </cell>
        </row>
        <row r="3345">
          <cell r="A3345" t="str">
            <v>59.104.422/0001-50</v>
          </cell>
          <cell r="B3345" t="str">
            <v>Malu Montesino</v>
          </cell>
        </row>
        <row r="3346">
          <cell r="A3346" t="str">
            <v>05.431.967/0001-41</v>
          </cell>
          <cell r="B3346" t="str">
            <v>Malu Montesino</v>
          </cell>
        </row>
        <row r="3347">
          <cell r="A3347" t="str">
            <v>02.411.193/0001-07</v>
          </cell>
          <cell r="B3347" t="str">
            <v>Malu Montesino</v>
          </cell>
        </row>
        <row r="3348">
          <cell r="A3348" t="str">
            <v>02.411.193/0001-07</v>
          </cell>
          <cell r="B3348" t="str">
            <v>Malu Montesino</v>
          </cell>
        </row>
        <row r="3349">
          <cell r="A3349" t="str">
            <v>02.411.193/0001-07</v>
          </cell>
          <cell r="B3349" t="str">
            <v>Malu Montesino</v>
          </cell>
        </row>
        <row r="3350">
          <cell r="A3350" t="str">
            <v>18.258.209/0001-15</v>
          </cell>
          <cell r="B3350" t="str">
            <v>Mariane Nascimento</v>
          </cell>
        </row>
        <row r="3351">
          <cell r="A3351" t="str">
            <v>18.258.209/0001-15</v>
          </cell>
          <cell r="B3351" t="str">
            <v>Mariane Nascimento</v>
          </cell>
        </row>
        <row r="3352">
          <cell r="A3352" t="str">
            <v>61.936.522/0001-94</v>
          </cell>
          <cell r="B3352" t="str">
            <v>Malu Montesino</v>
          </cell>
        </row>
        <row r="3353">
          <cell r="A3353" t="str">
            <v>20.513.627/0001-53</v>
          </cell>
          <cell r="B3353" t="str">
            <v>Malu Montesino</v>
          </cell>
        </row>
        <row r="3354">
          <cell r="A3354" t="str">
            <v>16.553.940/0001-48</v>
          </cell>
          <cell r="B3354" t="str">
            <v>Malu Montesino</v>
          </cell>
        </row>
        <row r="3355">
          <cell r="A3355" t="str">
            <v>16.553.940/0001-48</v>
          </cell>
          <cell r="B3355" t="str">
            <v>Malu Montesino</v>
          </cell>
        </row>
        <row r="3356">
          <cell r="A3356" t="str">
            <v>06.944.369/0001-39</v>
          </cell>
          <cell r="B3356" t="str">
            <v>Malu Montesino</v>
          </cell>
        </row>
        <row r="3357">
          <cell r="A3357" t="str">
            <v>52.273.785/0001-70</v>
          </cell>
          <cell r="B3357" t="str">
            <v>Malu Montesino</v>
          </cell>
        </row>
        <row r="3358">
          <cell r="A3358" t="str">
            <v>52.273.785/0001-70</v>
          </cell>
          <cell r="B3358" t="str">
            <v>Malu Montesino</v>
          </cell>
        </row>
        <row r="3359">
          <cell r="A3359" t="str">
            <v>52.273.785/0001-70</v>
          </cell>
          <cell r="B3359" t="str">
            <v>Malu Montesino</v>
          </cell>
        </row>
        <row r="3360">
          <cell r="A3360" t="str">
            <v>49.074.412/0001-65</v>
          </cell>
          <cell r="B3360" t="str">
            <v>Malu Montesino</v>
          </cell>
        </row>
        <row r="3361">
          <cell r="A3361" t="str">
            <v>49.074.412/0001-65</v>
          </cell>
          <cell r="B3361" t="str">
            <v>Malu Montesino</v>
          </cell>
        </row>
        <row r="3362">
          <cell r="A3362" t="str">
            <v>49.074.412/0001-65</v>
          </cell>
          <cell r="B3362" t="str">
            <v>Malu Montesino</v>
          </cell>
        </row>
        <row r="3363">
          <cell r="A3363" t="str">
            <v>49.074.412/0001-65</v>
          </cell>
          <cell r="B3363" t="str">
            <v>Malu Montesino</v>
          </cell>
        </row>
        <row r="3364">
          <cell r="A3364" t="str">
            <v>45.231.016/0001-43</v>
          </cell>
          <cell r="B3364" t="str">
            <v>Malu Montesino</v>
          </cell>
        </row>
        <row r="3365">
          <cell r="A3365" t="str">
            <v>04.784.711/0001-55</v>
          </cell>
          <cell r="B3365" t="str">
            <v>Malu Montesino</v>
          </cell>
        </row>
        <row r="3366">
          <cell r="A3366" t="str">
            <v>04.784.711/0001-55</v>
          </cell>
          <cell r="B3366" t="str">
            <v>Malu Montesino</v>
          </cell>
        </row>
        <row r="3367">
          <cell r="A3367" t="str">
            <v>00.426.978/0001-10</v>
          </cell>
          <cell r="B3367" t="str">
            <v>Malu Montesino</v>
          </cell>
        </row>
        <row r="3368">
          <cell r="A3368" t="str">
            <v>39.715.643/0001-57</v>
          </cell>
          <cell r="B3368" t="str">
            <v>Malu Montesino</v>
          </cell>
        </row>
        <row r="3369">
          <cell r="A3369" t="str">
            <v>30.046.596/0001-21</v>
          </cell>
          <cell r="B3369" t="str">
            <v>Malu Montesino</v>
          </cell>
        </row>
        <row r="3370">
          <cell r="A3370" t="str">
            <v>59.996.829/0001-39</v>
          </cell>
          <cell r="B3370" t="str">
            <v>Malu Montesino</v>
          </cell>
        </row>
        <row r="3371">
          <cell r="A3371" t="str">
            <v>10.265.949/0001-77</v>
          </cell>
          <cell r="B3371" t="str">
            <v>Malu Montesino</v>
          </cell>
        </row>
        <row r="3372">
          <cell r="A3372" t="str">
            <v>62.695.036/0001-94</v>
          </cell>
          <cell r="B3372" t="str">
            <v>Malu Montesino</v>
          </cell>
        </row>
        <row r="3373">
          <cell r="A3373" t="str">
            <v>31.227.138/0001-51</v>
          </cell>
          <cell r="B3373" t="str">
            <v>Malu Montesino</v>
          </cell>
        </row>
        <row r="3374">
          <cell r="A3374" t="str">
            <v>02.214.604/0001-66</v>
          </cell>
          <cell r="B3374" t="str">
            <v>Malu Montesino</v>
          </cell>
        </row>
        <row r="3375">
          <cell r="A3375" t="str">
            <v>02.214.604/0001-66</v>
          </cell>
          <cell r="B3375" t="str">
            <v>Malu Montesino</v>
          </cell>
        </row>
        <row r="3376">
          <cell r="A3376" t="str">
            <v>02.214.604/0001-66</v>
          </cell>
          <cell r="B3376" t="str">
            <v>Malu Montesino</v>
          </cell>
        </row>
        <row r="3377">
          <cell r="A3377" t="str">
            <v>02.214.604/0001-66</v>
          </cell>
          <cell r="B3377" t="str">
            <v>Malu Montesino</v>
          </cell>
        </row>
        <row r="3378">
          <cell r="A3378" t="str">
            <v>60.659.463/0001-91</v>
          </cell>
          <cell r="B3378" t="str">
            <v>Mariane Nascimento</v>
          </cell>
        </row>
        <row r="3379">
          <cell r="A3379" t="str">
            <v>55.980.684/0001-27</v>
          </cell>
          <cell r="B3379" t="str">
            <v>Mariane Nascimento</v>
          </cell>
        </row>
        <row r="3380">
          <cell r="A3380" t="str">
            <v>61.936.522/0001-94</v>
          </cell>
          <cell r="B3380" t="str">
            <v>Malu Montesino</v>
          </cell>
        </row>
        <row r="3381">
          <cell r="A3381" t="str">
            <v>49.074.412/0001-65</v>
          </cell>
          <cell r="B3381" t="str">
            <v>Malu Montesino</v>
          </cell>
        </row>
        <row r="3382">
          <cell r="A3382" t="str">
            <v>02.214.604/0001-66</v>
          </cell>
          <cell r="B3382" t="str">
            <v>Malu Montesino</v>
          </cell>
        </row>
        <row r="3383">
          <cell r="A3383" t="str">
            <v>16.553.940/0001-48</v>
          </cell>
          <cell r="B3383" t="str">
            <v>Malu Montesino</v>
          </cell>
        </row>
        <row r="3384">
          <cell r="A3384" t="str">
            <v>05.431.967/0001-41</v>
          </cell>
          <cell r="B3384" t="str">
            <v>Malu Montesino</v>
          </cell>
        </row>
        <row r="3385">
          <cell r="A3385" t="str">
            <v>00.904.728/0001-48</v>
          </cell>
          <cell r="B3385" t="str">
            <v>Malu Montesino</v>
          </cell>
        </row>
        <row r="3386">
          <cell r="A3386" t="str">
            <v>00.904.728/0001-48</v>
          </cell>
          <cell r="B3386" t="str">
            <v>Malu Montesino</v>
          </cell>
        </row>
        <row r="3387">
          <cell r="A3387" t="str">
            <v>56.998.982/0001-07</v>
          </cell>
          <cell r="B3387" t="str">
            <v>Malu Montesino</v>
          </cell>
        </row>
        <row r="3388">
          <cell r="A3388" t="str">
            <v>56.998.982/0001-07</v>
          </cell>
          <cell r="B3388" t="str">
            <v>Malu Montesino</v>
          </cell>
        </row>
        <row r="3389">
          <cell r="A3389" t="str">
            <v>12.255.403/0001-60</v>
          </cell>
          <cell r="B3389" t="str">
            <v>Mariane Nascimento</v>
          </cell>
        </row>
        <row r="3390">
          <cell r="A3390" t="str">
            <v>46.138.319/0001-89</v>
          </cell>
          <cell r="B3390" t="str">
            <v>Malu Montesino</v>
          </cell>
        </row>
        <row r="3391">
          <cell r="A3391" t="str">
            <v>05.495.281/0001-14</v>
          </cell>
          <cell r="B3391" t="str">
            <v>Mariane Nascimento</v>
          </cell>
        </row>
        <row r="3392">
          <cell r="A3392" t="str">
            <v>61.591.459/0001-00</v>
          </cell>
          <cell r="B3392" t="str">
            <v>Malu Montesino</v>
          </cell>
        </row>
        <row r="3393">
          <cell r="A3393" t="str">
            <v>06.990.590/0001-23</v>
          </cell>
          <cell r="B3393" t="str">
            <v>Malu Montesino</v>
          </cell>
        </row>
        <row r="3394">
          <cell r="A3394" t="str">
            <v>10.560.660/0001-80</v>
          </cell>
          <cell r="B3394" t="str">
            <v>Malu Montesino</v>
          </cell>
        </row>
        <row r="3395">
          <cell r="A3395" t="str">
            <v>10.560.660/0001-80</v>
          </cell>
          <cell r="B3395" t="str">
            <v>Malu Montesino</v>
          </cell>
        </row>
        <row r="3396">
          <cell r="A3396" t="str">
            <v>59.276.858/0001-26</v>
          </cell>
          <cell r="B3396" t="str">
            <v>Malu Montesino</v>
          </cell>
        </row>
        <row r="3397">
          <cell r="A3397" t="str">
            <v>59.276.858/0001-26</v>
          </cell>
          <cell r="B3397" t="str">
            <v>Malu Montesino</v>
          </cell>
        </row>
        <row r="3398">
          <cell r="A3398" t="str">
            <v>82.749.987/0001-06</v>
          </cell>
          <cell r="B3398" t="str">
            <v>Malu Montesino</v>
          </cell>
        </row>
        <row r="3399">
          <cell r="A3399" t="str">
            <v>82.749.987/0001-06</v>
          </cell>
          <cell r="B3399" t="str">
            <v>Malu Montesino</v>
          </cell>
        </row>
        <row r="3400">
          <cell r="A3400" t="str">
            <v>00.565.813/0001-29</v>
          </cell>
          <cell r="B3400" t="str">
            <v>Malu Montesino</v>
          </cell>
        </row>
        <row r="3401">
          <cell r="A3401" t="str">
            <v>59.996.829/0001-39</v>
          </cell>
          <cell r="B3401" t="str">
            <v>Malu Montesino</v>
          </cell>
        </row>
        <row r="3402">
          <cell r="A3402" t="str">
            <v>59.996.829/0001-39</v>
          </cell>
          <cell r="B3402" t="str">
            <v>Malu Montesino</v>
          </cell>
        </row>
        <row r="3403">
          <cell r="A3403" t="str">
            <v>63.975.320/0001-87</v>
          </cell>
          <cell r="B3403" t="str">
            <v>Malu Montesino</v>
          </cell>
        </row>
        <row r="3404">
          <cell r="A3404" t="str">
            <v>32.220.258/0001-90</v>
          </cell>
          <cell r="B3404" t="str">
            <v>Malu Montesino</v>
          </cell>
        </row>
        <row r="3405">
          <cell r="A3405" t="str">
            <v>32.220.258/0001-90</v>
          </cell>
          <cell r="B3405" t="str">
            <v>Malu Montesino</v>
          </cell>
        </row>
        <row r="3406">
          <cell r="A3406" t="str">
            <v>03.938.196/0001-58</v>
          </cell>
          <cell r="B3406" t="str">
            <v>Malu Montesino</v>
          </cell>
        </row>
        <row r="3407">
          <cell r="A3407" t="str">
            <v>03.938.196/0001-58</v>
          </cell>
          <cell r="B3407" t="str">
            <v>Malu Montesino</v>
          </cell>
        </row>
        <row r="3408">
          <cell r="A3408" t="str">
            <v>03.938.196/0001-58</v>
          </cell>
          <cell r="B3408" t="str">
            <v>Malu Montesino</v>
          </cell>
        </row>
        <row r="3409">
          <cell r="A3409" t="str">
            <v>03.938.196/0001-58</v>
          </cell>
          <cell r="B3409" t="str">
            <v>Malu Montesino</v>
          </cell>
        </row>
        <row r="3410">
          <cell r="A3410" t="str">
            <v>56.998.982/0001-07</v>
          </cell>
          <cell r="B3410" t="str">
            <v>Malu Montesino</v>
          </cell>
        </row>
        <row r="3411">
          <cell r="A3411" t="str">
            <v>56.998.982/0001-07</v>
          </cell>
          <cell r="B3411" t="str">
            <v>Malu Montesino</v>
          </cell>
        </row>
        <row r="3412">
          <cell r="A3412" t="str">
            <v>03.685.129/0001-79</v>
          </cell>
          <cell r="B3412" t="str">
            <v>Malu Montesino</v>
          </cell>
        </row>
        <row r="3413">
          <cell r="A3413" t="str">
            <v>34.151.100/0001-30</v>
          </cell>
          <cell r="B3413" t="str">
            <v>Malu Montesino</v>
          </cell>
        </row>
        <row r="3414">
          <cell r="A3414" t="str">
            <v>05.743.288/0001-08</v>
          </cell>
          <cell r="B3414" t="str">
            <v>Mariane Nascimento</v>
          </cell>
        </row>
        <row r="3415">
          <cell r="A3415" t="str">
            <v>18.809.570/0001-92</v>
          </cell>
          <cell r="B3415" t="str">
            <v>Mariane Nascimento</v>
          </cell>
        </row>
        <row r="3416">
          <cell r="A3416" t="str">
            <v>28.531.958/0001-28</v>
          </cell>
          <cell r="B3416" t="str">
            <v>Mariane Nascimento</v>
          </cell>
        </row>
        <row r="3417">
          <cell r="A3417" t="str">
            <v>28.531.958/0001-28</v>
          </cell>
          <cell r="B3417" t="str">
            <v>Mariane Nascimento</v>
          </cell>
        </row>
        <row r="3418">
          <cell r="A3418" t="str">
            <v>28.531.958/0001-28</v>
          </cell>
          <cell r="B3418" t="str">
            <v>Mariane Nascimento</v>
          </cell>
        </row>
        <row r="3419">
          <cell r="A3419" t="str">
            <v>02.535.707/0001-28</v>
          </cell>
          <cell r="B3419" t="str">
            <v>Mariane Nascimento</v>
          </cell>
        </row>
        <row r="3420">
          <cell r="A3420" t="str">
            <v>02.535.707/0001-28</v>
          </cell>
          <cell r="B3420" t="str">
            <v>Mariane Nascimento</v>
          </cell>
        </row>
        <row r="3421">
          <cell r="A3421" t="str">
            <v>02.535.707/0001-28</v>
          </cell>
          <cell r="B3421" t="str">
            <v>Mariane Nascimento</v>
          </cell>
        </row>
        <row r="3422">
          <cell r="A3422" t="str">
            <v>02.535.707/0001-28</v>
          </cell>
          <cell r="B3422" t="str">
            <v>Mariane Nascimento</v>
          </cell>
        </row>
        <row r="3423">
          <cell r="A3423" t="str">
            <v>02.535.707/0001-28</v>
          </cell>
          <cell r="B3423" t="str">
            <v>Mariane Nascimento</v>
          </cell>
        </row>
        <row r="3424">
          <cell r="A3424" t="str">
            <v>62.802.012/0001-97</v>
          </cell>
          <cell r="B3424" t="str">
            <v>Mariane Nascimento</v>
          </cell>
        </row>
        <row r="3425">
          <cell r="A3425" t="str">
            <v>05.495.281/0001-14</v>
          </cell>
          <cell r="B3425" t="str">
            <v>Mariane Nascimento</v>
          </cell>
        </row>
        <row r="3426">
          <cell r="A3426" t="str">
            <v>05.495.281/0001-14</v>
          </cell>
          <cell r="B3426" t="str">
            <v>Mariane Nascimento</v>
          </cell>
        </row>
        <row r="3427">
          <cell r="A3427" t="str">
            <v>05.495.281/0001-14</v>
          </cell>
          <cell r="B3427" t="str">
            <v>Mariane Nascimento</v>
          </cell>
        </row>
        <row r="3428">
          <cell r="A3428" t="str">
            <v>53.113.791/0001-22</v>
          </cell>
          <cell r="B3428" t="str">
            <v>Malu Montesino</v>
          </cell>
        </row>
        <row r="3429">
          <cell r="A3429" t="str">
            <v>61.591.459/0001-00</v>
          </cell>
          <cell r="B3429" t="str">
            <v>Malu Montesino</v>
          </cell>
        </row>
        <row r="3430">
          <cell r="A3430" t="str">
            <v>61.591.459/0001-00</v>
          </cell>
          <cell r="B3430" t="str">
            <v>Malu Montesino</v>
          </cell>
        </row>
        <row r="3431">
          <cell r="A3431" t="str">
            <v>04.043.808/0001-07</v>
          </cell>
          <cell r="B3431" t="str">
            <v>Mariane Nascimento</v>
          </cell>
        </row>
        <row r="3432">
          <cell r="A3432" t="str">
            <v>65.010.415/0001-91</v>
          </cell>
          <cell r="B3432" t="str">
            <v>Mariane Nascimento</v>
          </cell>
        </row>
        <row r="3433">
          <cell r="A3433" t="str">
            <v>15.331.924/0001-48</v>
          </cell>
          <cell r="B3433" t="str">
            <v>Malu Montesino</v>
          </cell>
        </row>
        <row r="3434">
          <cell r="A3434" t="str">
            <v>06.944.369/0001-39</v>
          </cell>
          <cell r="B3434" t="str">
            <v>Malu Montesino</v>
          </cell>
        </row>
        <row r="3435">
          <cell r="A3435" t="str">
            <v>52.273.785/0001-70</v>
          </cell>
          <cell r="B3435" t="str">
            <v>Malu Montesino</v>
          </cell>
        </row>
        <row r="3436">
          <cell r="A3436" t="str">
            <v>19.428.087/0001-20</v>
          </cell>
          <cell r="B3436" t="str">
            <v>Malu Montesino</v>
          </cell>
        </row>
        <row r="3437">
          <cell r="A3437" t="str">
            <v>15.630.428/0001-95</v>
          </cell>
          <cell r="B3437" t="str">
            <v>Malu Montesino</v>
          </cell>
        </row>
        <row r="3438">
          <cell r="A3438" t="str">
            <v>15.630.428/0001-95</v>
          </cell>
          <cell r="B3438" t="str">
            <v>Malu Montesino</v>
          </cell>
        </row>
        <row r="3439">
          <cell r="A3439" t="str">
            <v>45.231.016/0001-43</v>
          </cell>
          <cell r="B3439" t="str">
            <v>Malu Montesino</v>
          </cell>
        </row>
        <row r="3440">
          <cell r="A3440" t="str">
            <v>88.020.102/0001-10</v>
          </cell>
          <cell r="B3440" t="str">
            <v>Malu Montesino</v>
          </cell>
        </row>
        <row r="3441">
          <cell r="A3441" t="str">
            <v>92.080.035/0001-04</v>
          </cell>
          <cell r="B3441" t="str">
            <v>Malu Montesino</v>
          </cell>
        </row>
        <row r="3442">
          <cell r="A3442" t="str">
            <v>67.718.874/0001-50</v>
          </cell>
          <cell r="B3442" t="str">
            <v>Malu Montesino</v>
          </cell>
        </row>
        <row r="3443">
          <cell r="A3443" t="str">
            <v>92.080.035/0001-04</v>
          </cell>
          <cell r="B3443" t="str">
            <v>Malu Montesino</v>
          </cell>
        </row>
        <row r="3444">
          <cell r="A3444" t="str">
            <v>59.408.005/0001-09</v>
          </cell>
          <cell r="B3444" t="str">
            <v>Malu Montesino</v>
          </cell>
        </row>
        <row r="3445">
          <cell r="A3445" t="str">
            <v>18.809.570/0001-92</v>
          </cell>
          <cell r="B3445" t="str">
            <v>Mariane Nascimento</v>
          </cell>
        </row>
        <row r="3446">
          <cell r="A3446" t="str">
            <v>18.809.570/0001-92</v>
          </cell>
          <cell r="B3446" t="str">
            <v>Mariane Nascimento</v>
          </cell>
        </row>
        <row r="3447">
          <cell r="A3447" t="str">
            <v>76.492.701/0010-48</v>
          </cell>
          <cell r="B3447" t="str">
            <v>Malu Montesino</v>
          </cell>
        </row>
        <row r="3448">
          <cell r="A3448" t="str">
            <v>60.665.981/0001-18</v>
          </cell>
          <cell r="B3448" t="str">
            <v>Mariane Nascimento</v>
          </cell>
        </row>
        <row r="3449">
          <cell r="A3449" t="str">
            <v>60.665.981/0001-18</v>
          </cell>
          <cell r="B3449" t="str">
            <v>Mariane Nascimento</v>
          </cell>
        </row>
        <row r="3450">
          <cell r="A3450" t="str">
            <v>60.665.981/0001-18</v>
          </cell>
          <cell r="B3450" t="str">
            <v>Mariane Nascimento</v>
          </cell>
        </row>
        <row r="3451">
          <cell r="A3451" t="str">
            <v>60.665.981/0001-18</v>
          </cell>
          <cell r="B3451" t="str">
            <v>Mariane Nascimento</v>
          </cell>
        </row>
        <row r="3452">
          <cell r="A3452" t="str">
            <v>05.495.281/0001-14</v>
          </cell>
          <cell r="B3452" t="str">
            <v>Mariane Nascimento</v>
          </cell>
        </row>
        <row r="3453">
          <cell r="A3453" t="str">
            <v>05.495.281/0001-14</v>
          </cell>
          <cell r="B3453" t="str">
            <v>Mariane Nascimento</v>
          </cell>
        </row>
        <row r="3454">
          <cell r="A3454" t="str">
            <v>05.495.281/0001-14</v>
          </cell>
          <cell r="B3454" t="str">
            <v>Mariane Nascimento</v>
          </cell>
        </row>
        <row r="3455">
          <cell r="A3455" t="str">
            <v>06.282.480/0001-07</v>
          </cell>
          <cell r="B3455" t="str">
            <v>Malu Montesino</v>
          </cell>
        </row>
        <row r="3456">
          <cell r="A3456" t="str">
            <v>06.944.369/0001-39</v>
          </cell>
          <cell r="B3456" t="str">
            <v>Malu Montesino</v>
          </cell>
        </row>
        <row r="3457">
          <cell r="A3457" t="str">
            <v>38.229.195/0001-19</v>
          </cell>
          <cell r="B3457" t="str">
            <v>Malu Montesino</v>
          </cell>
        </row>
        <row r="3458">
          <cell r="A3458" t="str">
            <v>49.272.362/0001-20</v>
          </cell>
          <cell r="B3458" t="str">
            <v>Malu Montesino</v>
          </cell>
        </row>
        <row r="3459">
          <cell r="A3459" t="str">
            <v>05.950.849/0001-40</v>
          </cell>
          <cell r="B3459" t="str">
            <v>Mariane Nascimento</v>
          </cell>
        </row>
        <row r="3460">
          <cell r="A3460" t="str">
            <v>10.433.622/0001-67</v>
          </cell>
          <cell r="B3460" t="str">
            <v>Malu Montesino</v>
          </cell>
        </row>
        <row r="3461">
          <cell r="A3461" t="str">
            <v>52.556.578/0001-22</v>
          </cell>
          <cell r="B3461" t="str">
            <v>Mariane Nascimento</v>
          </cell>
        </row>
        <row r="3462">
          <cell r="A3462" t="str">
            <v>62.158.480/0001-70</v>
          </cell>
          <cell r="B3462" t="str">
            <v>Malu Montesino</v>
          </cell>
        </row>
        <row r="3463">
          <cell r="A3463" t="str">
            <v>59.894.113/0001-20</v>
          </cell>
          <cell r="B3463" t="str">
            <v>Malu Montesino</v>
          </cell>
        </row>
        <row r="3464">
          <cell r="A3464" t="str">
            <v>02.370.758/0001-47</v>
          </cell>
          <cell r="B3464" t="str">
            <v>Malu Montesino</v>
          </cell>
        </row>
        <row r="3465">
          <cell r="A3465" t="str">
            <v>02.811.903/0001-88</v>
          </cell>
          <cell r="B3465" t="str">
            <v>Malu Montesino</v>
          </cell>
        </row>
        <row r="3466">
          <cell r="A3466" t="str">
            <v>39.752.926/0001-79</v>
          </cell>
          <cell r="B3466" t="str">
            <v>Malu Montesino</v>
          </cell>
        </row>
        <row r="3467">
          <cell r="A3467" t="str">
            <v>31.292.372/0001-62</v>
          </cell>
          <cell r="B3467" t="str">
            <v>Malu Montesino</v>
          </cell>
        </row>
        <row r="3468">
          <cell r="A3468" t="str">
            <v>03.144.465/0001-04</v>
          </cell>
          <cell r="B3468" t="str">
            <v>Malu Montesino</v>
          </cell>
        </row>
        <row r="3469">
          <cell r="A3469" t="str">
            <v>53.113.791/0001-22</v>
          </cell>
          <cell r="B3469" t="str">
            <v>Malu Montesino</v>
          </cell>
        </row>
        <row r="3470">
          <cell r="A3470" t="str">
            <v>61.591.459/0001-00</v>
          </cell>
          <cell r="B3470" t="str">
            <v>Malu Montesino</v>
          </cell>
        </row>
        <row r="3471">
          <cell r="A3471" t="str">
            <v>61.591.459/0001-00</v>
          </cell>
          <cell r="B3471" t="str">
            <v>Malu Montesino</v>
          </cell>
        </row>
        <row r="3472">
          <cell r="A3472" t="str">
            <v>61.591.459/0001-00</v>
          </cell>
          <cell r="B3472" t="str">
            <v>Malu Montesino</v>
          </cell>
        </row>
        <row r="3473">
          <cell r="A3473" t="str">
            <v>59.650.556/0001-76</v>
          </cell>
          <cell r="B3473" t="str">
            <v>Malu Montesino</v>
          </cell>
        </row>
        <row r="3474">
          <cell r="A3474" t="str">
            <v>16.553.940/0001-48</v>
          </cell>
          <cell r="B3474" t="str">
            <v>Malu Montesino</v>
          </cell>
        </row>
        <row r="3475">
          <cell r="A3475" t="str">
            <v>71.680.193/0010-08</v>
          </cell>
          <cell r="B3475" t="str">
            <v>Malu Montesino</v>
          </cell>
        </row>
        <row r="3476">
          <cell r="A3476" t="str">
            <v>71.680.193/0010-08</v>
          </cell>
          <cell r="B3476" t="str">
            <v>Malu Montesino</v>
          </cell>
        </row>
        <row r="3477">
          <cell r="A3477" t="str">
            <v>58.520.858/0001-67</v>
          </cell>
          <cell r="B3477" t="str">
            <v>Malu Montesino</v>
          </cell>
        </row>
        <row r="3478">
          <cell r="A3478" t="str">
            <v>04.403.408/0013-07</v>
          </cell>
          <cell r="B3478" t="str">
            <v>Malu Montesino</v>
          </cell>
        </row>
        <row r="3479">
          <cell r="A3479" t="str">
            <v>46.754.545/0001-94</v>
          </cell>
          <cell r="B3479" t="str">
            <v>Malu Montesino</v>
          </cell>
        </row>
        <row r="3480">
          <cell r="A3480" t="str">
            <v>02.172.568/0001-15</v>
          </cell>
          <cell r="B3480" t="str">
            <v>Malu Montesino</v>
          </cell>
        </row>
        <row r="3481">
          <cell r="A3481" t="str">
            <v>08.018.660/0001-01</v>
          </cell>
          <cell r="B3481" t="str">
            <v>Malu Montesino</v>
          </cell>
        </row>
        <row r="3482">
          <cell r="A3482" t="str">
            <v>05.824.013/0001-07</v>
          </cell>
          <cell r="B3482" t="str">
            <v>Malu Montesino</v>
          </cell>
        </row>
        <row r="3483">
          <cell r="A3483" t="str">
            <v>71.680.193/0010-08</v>
          </cell>
          <cell r="B3483" t="str">
            <v>Malu Montesino</v>
          </cell>
        </row>
        <row r="3484">
          <cell r="A3484" t="str">
            <v>58.520.858/0001-67</v>
          </cell>
          <cell r="B3484" t="str">
            <v>Malu Montesino</v>
          </cell>
        </row>
        <row r="3485">
          <cell r="A3485" t="str">
            <v>45.703.378/0003-51</v>
          </cell>
          <cell r="B3485" t="str">
            <v>Malu Montesino</v>
          </cell>
        </row>
        <row r="3486">
          <cell r="A3486" t="str">
            <v>45.703.378/0003-51</v>
          </cell>
          <cell r="B3486" t="str">
            <v>Malu Montesino</v>
          </cell>
        </row>
        <row r="3487">
          <cell r="A3487" t="str">
            <v>58.520.858/0001-67</v>
          </cell>
          <cell r="B3487" t="str">
            <v>Malu Montesino</v>
          </cell>
        </row>
        <row r="3488">
          <cell r="A3488" t="str">
            <v>75.086.785/0001-66</v>
          </cell>
          <cell r="B3488" t="str">
            <v>Malu Montesino</v>
          </cell>
        </row>
        <row r="3489">
          <cell r="A3489" t="str">
            <v>67.718.874/0001-50</v>
          </cell>
          <cell r="B3489" t="str">
            <v>Malu Montesino</v>
          </cell>
        </row>
        <row r="3490">
          <cell r="A3490" t="str">
            <v>52.556.578/0001-22</v>
          </cell>
          <cell r="B3490" t="str">
            <v>Mariane Nascimento</v>
          </cell>
        </row>
        <row r="3491">
          <cell r="A3491" t="str">
            <v>52.556.578/0001-22</v>
          </cell>
          <cell r="B3491" t="str">
            <v>Mariane Nascimento</v>
          </cell>
        </row>
        <row r="3492">
          <cell r="A3492" t="str">
            <v>09.511.423/0001-40</v>
          </cell>
          <cell r="B3492" t="str">
            <v>Mariane Nascimento</v>
          </cell>
        </row>
        <row r="3493">
          <cell r="A3493" t="str">
            <v>09.511.423/0001-40</v>
          </cell>
          <cell r="B3493" t="str">
            <v>Mariane Nascimento</v>
          </cell>
        </row>
        <row r="3494">
          <cell r="A3494" t="str">
            <v>25.029.414/0001-74</v>
          </cell>
          <cell r="B3494" t="str">
            <v>Mariane Nascimento</v>
          </cell>
        </row>
        <row r="3495">
          <cell r="A3495" t="str">
            <v>06.065.614/0001-38</v>
          </cell>
          <cell r="B3495" t="str">
            <v>Mariane Nascimento</v>
          </cell>
        </row>
        <row r="3496">
          <cell r="A3496" t="str">
            <v>06.065.614/0001-38</v>
          </cell>
          <cell r="B3496" t="str">
            <v>Mariane Nascimento</v>
          </cell>
        </row>
        <row r="3497">
          <cell r="A3497" t="str">
            <v>06.065.614/0001-38</v>
          </cell>
          <cell r="B3497" t="str">
            <v>Mariane Nascimento</v>
          </cell>
        </row>
        <row r="3498">
          <cell r="A3498" t="str">
            <v>09.053.134/0001-45</v>
          </cell>
          <cell r="B3498" t="str">
            <v>Mariane Nascimento</v>
          </cell>
        </row>
        <row r="3499">
          <cell r="A3499" t="str">
            <v>09.053.134/0001-45</v>
          </cell>
          <cell r="B3499" t="str">
            <v>Mariane Nascimento</v>
          </cell>
        </row>
        <row r="3500">
          <cell r="A3500" t="str">
            <v>47.255.183/0002-30</v>
          </cell>
          <cell r="B3500" t="str">
            <v>Mariane Nascimento</v>
          </cell>
        </row>
        <row r="3501">
          <cell r="A3501" t="str">
            <v>47.255.183/0002-30</v>
          </cell>
          <cell r="B3501" t="str">
            <v>Mariane Nascimento</v>
          </cell>
        </row>
        <row r="3502">
          <cell r="A3502" t="str">
            <v>47.255.183/0002-30</v>
          </cell>
          <cell r="B3502" t="str">
            <v>Mariane Nascimento</v>
          </cell>
        </row>
        <row r="3503">
          <cell r="A3503" t="str">
            <v>10.528.697/0001-21</v>
          </cell>
          <cell r="B3503" t="str">
            <v>Mariane Nascimento</v>
          </cell>
        </row>
        <row r="3504">
          <cell r="A3504" t="str">
            <v>10.528.697/0001-21</v>
          </cell>
          <cell r="B3504" t="str">
            <v>Mariane Nascimento</v>
          </cell>
        </row>
        <row r="3505">
          <cell r="A3505" t="str">
            <v>73.041.188/0001-90</v>
          </cell>
          <cell r="B3505" t="str">
            <v>Malu Montesino</v>
          </cell>
        </row>
        <row r="3506">
          <cell r="A3506" t="str">
            <v>32.836.259/0001-63</v>
          </cell>
          <cell r="B3506" t="str">
            <v>Malu Montesino</v>
          </cell>
        </row>
        <row r="3507">
          <cell r="A3507" t="str">
            <v>19.324.043/0001-50</v>
          </cell>
          <cell r="B3507" t="str">
            <v>Malu Montesino</v>
          </cell>
        </row>
        <row r="3508">
          <cell r="A3508" t="str">
            <v>11.206.099/0005-22</v>
          </cell>
          <cell r="B3508" t="str">
            <v>Mariane Nascimento</v>
          </cell>
        </row>
        <row r="3509">
          <cell r="A3509" t="str">
            <v>03.264.493/0001-65</v>
          </cell>
          <cell r="B3509" t="str">
            <v>Malu Montesino</v>
          </cell>
        </row>
        <row r="3510">
          <cell r="A3510" t="str">
            <v>58.520.858/0001-67</v>
          </cell>
          <cell r="B3510" t="str">
            <v>Malu Montesino</v>
          </cell>
        </row>
        <row r="3511">
          <cell r="A3511" t="str">
            <v>12.483.930/0001-22</v>
          </cell>
          <cell r="B3511" t="str">
            <v>Malu Montesino</v>
          </cell>
        </row>
        <row r="3512">
          <cell r="A3512" t="str">
            <v>12.483.930/0001-22</v>
          </cell>
          <cell r="B3512" t="str">
            <v>Malu Montesino</v>
          </cell>
        </row>
        <row r="3513">
          <cell r="A3513" t="str">
            <v>18.258.209/0001-15</v>
          </cell>
          <cell r="B3513" t="str">
            <v>Mariane Nascimento</v>
          </cell>
        </row>
        <row r="3514">
          <cell r="A3514" t="str">
            <v>18.809.570/0001-92</v>
          </cell>
          <cell r="B3514" t="str">
            <v>Mariane Nascimento</v>
          </cell>
        </row>
        <row r="3515">
          <cell r="A3515" t="str">
            <v>18.809.570/0001-92</v>
          </cell>
          <cell r="B3515" t="str">
            <v>Mariane Nascimento</v>
          </cell>
        </row>
        <row r="3516">
          <cell r="A3516" t="str">
            <v>33.373.325/0001-79</v>
          </cell>
          <cell r="B3516" t="str">
            <v>Mariane Nascimento</v>
          </cell>
        </row>
        <row r="3517">
          <cell r="A3517" t="str">
            <v>46.138.319/0001-89</v>
          </cell>
          <cell r="B3517" t="str">
            <v>Malu Montesino</v>
          </cell>
        </row>
        <row r="3518">
          <cell r="A3518" t="str">
            <v>46.138.319/0001-89</v>
          </cell>
          <cell r="B3518" t="str">
            <v>Malu Montesino</v>
          </cell>
        </row>
        <row r="3519">
          <cell r="A3519" t="str">
            <v>60.665.981/0001-18</v>
          </cell>
          <cell r="B3519" t="str">
            <v>Mariane Nascimento</v>
          </cell>
        </row>
        <row r="3520">
          <cell r="A3520" t="str">
            <v>06.172.467/0001-03</v>
          </cell>
          <cell r="B3520" t="str">
            <v>Mariane Nascimento</v>
          </cell>
        </row>
        <row r="3521">
          <cell r="A3521" t="str">
            <v>06.172.467/0001-03</v>
          </cell>
          <cell r="B3521" t="str">
            <v>Mariane Nascimento</v>
          </cell>
        </row>
        <row r="3522">
          <cell r="A3522" t="str">
            <v>02.377.937/0001-06</v>
          </cell>
          <cell r="B3522" t="str">
            <v>Mariane Nascimento</v>
          </cell>
        </row>
        <row r="3523">
          <cell r="A3523" t="str">
            <v>02.377.937/0001-06</v>
          </cell>
          <cell r="B3523" t="str">
            <v>Mariane Nascimento</v>
          </cell>
        </row>
        <row r="3524">
          <cell r="A3524" t="str">
            <v>09.485.574/0001-71</v>
          </cell>
          <cell r="B3524" t="str">
            <v>Mariane Nascimento</v>
          </cell>
        </row>
        <row r="3525">
          <cell r="A3525" t="str">
            <v>05.495.281/0001-14</v>
          </cell>
          <cell r="B3525" t="str">
            <v>Mariane Nascimento</v>
          </cell>
        </row>
        <row r="3526">
          <cell r="A3526" t="str">
            <v>05.551.328/0001-10</v>
          </cell>
          <cell r="B3526" t="str">
            <v>Malu Montesino</v>
          </cell>
        </row>
        <row r="3527">
          <cell r="A3527" t="str">
            <v>08.070.508/0001-78</v>
          </cell>
          <cell r="B3527" t="str">
            <v>Malu Montesino</v>
          </cell>
        </row>
        <row r="3528">
          <cell r="A3528" t="str">
            <v>15.630.428/0001-95</v>
          </cell>
          <cell r="B3528" t="str">
            <v>Malu Montesino</v>
          </cell>
        </row>
        <row r="3529">
          <cell r="A3529" t="str">
            <v>45.231.016/0001-43</v>
          </cell>
          <cell r="B3529" t="str">
            <v>Malu Montesino</v>
          </cell>
        </row>
        <row r="3530">
          <cell r="A3530" t="str">
            <v>45.231.016/0001-43</v>
          </cell>
          <cell r="B3530" t="str">
            <v>Malu Montesino</v>
          </cell>
        </row>
        <row r="3531">
          <cell r="A3531" t="str">
            <v>04.784.711/0001-55</v>
          </cell>
          <cell r="B3531" t="str">
            <v>Malu Montesino</v>
          </cell>
        </row>
        <row r="3532">
          <cell r="A3532" t="str">
            <v>03.938.196/0001-58</v>
          </cell>
          <cell r="B3532" t="str">
            <v>Malu Montesino</v>
          </cell>
        </row>
        <row r="3533">
          <cell r="A3533" t="str">
            <v>67.718.874/0001-50</v>
          </cell>
          <cell r="B3533" t="str">
            <v>Malu Montesino</v>
          </cell>
        </row>
        <row r="3534">
          <cell r="A3534" t="str">
            <v>67.718.874/0001-50</v>
          </cell>
          <cell r="B3534" t="str">
            <v>Malu Montesino</v>
          </cell>
        </row>
        <row r="3535">
          <cell r="A3535" t="str">
            <v>52.556.578/0001-22</v>
          </cell>
          <cell r="B3535" t="str">
            <v>Mariane Nascimento</v>
          </cell>
        </row>
        <row r="3536">
          <cell r="A3536" t="str">
            <v>46.754.545/0001-94</v>
          </cell>
          <cell r="B3536" t="str">
            <v>Malu Montesino</v>
          </cell>
        </row>
        <row r="3537">
          <cell r="A3537" t="str">
            <v>46.754.545/0001-94</v>
          </cell>
          <cell r="B3537" t="str">
            <v>Malu Montesino</v>
          </cell>
        </row>
        <row r="3538">
          <cell r="A3538" t="str">
            <v>09.053.134/0001-45</v>
          </cell>
          <cell r="B3538" t="str">
            <v>Mariane Nascimento</v>
          </cell>
        </row>
        <row r="3539">
          <cell r="A3539" t="str">
            <v>03.264.493/0001-65</v>
          </cell>
          <cell r="B3539" t="str">
            <v>Malu Montesino</v>
          </cell>
        </row>
        <row r="3540">
          <cell r="A3540" t="str">
            <v>69.097.186/0001-45</v>
          </cell>
          <cell r="B3540" t="str">
            <v>Malu Montesino</v>
          </cell>
        </row>
        <row r="3541">
          <cell r="A3541" t="str">
            <v>12.958.626/0001-94</v>
          </cell>
          <cell r="B3541" t="str">
            <v>Mariane Nascimento</v>
          </cell>
        </row>
        <row r="3542">
          <cell r="A3542" t="str">
            <v>46.138.319/0001-89</v>
          </cell>
          <cell r="B3542" t="str">
            <v>Malu Montesino</v>
          </cell>
        </row>
        <row r="3543">
          <cell r="A3543" t="str">
            <v>12.483.930/0001-22</v>
          </cell>
          <cell r="B3543" t="str">
            <v>Malu Montesino</v>
          </cell>
        </row>
        <row r="3544">
          <cell r="A3544" t="str">
            <v>46.754.545/0001-94</v>
          </cell>
          <cell r="B3544" t="str">
            <v>Malu Montesino</v>
          </cell>
        </row>
        <row r="3545">
          <cell r="A3545" t="str">
            <v>46.754.545/0001-94</v>
          </cell>
          <cell r="B3545" t="str">
            <v>Malu Montesino</v>
          </cell>
        </row>
        <row r="3546">
          <cell r="A3546" t="str">
            <v>67.718.874/0001-50</v>
          </cell>
          <cell r="B3546" t="str">
            <v>Malu Montesino</v>
          </cell>
        </row>
        <row r="3547">
          <cell r="A3547" t="str">
            <v>45.231.016/0001-43</v>
          </cell>
          <cell r="B3547" t="str">
            <v>Malu Montesino</v>
          </cell>
        </row>
        <row r="3548">
          <cell r="A3548" t="str">
            <v>59.104.422/0001-50</v>
          </cell>
          <cell r="B3548" t="str">
            <v>Malu Montesino</v>
          </cell>
        </row>
        <row r="3549">
          <cell r="A3549" t="str">
            <v>05.431.967/0001-41</v>
          </cell>
          <cell r="B3549" t="str">
            <v>Malu Montesino</v>
          </cell>
        </row>
        <row r="3550">
          <cell r="A3550" t="str">
            <v>12.483.930/0001-22</v>
          </cell>
          <cell r="B3550" t="str">
            <v>Malu Montesino</v>
          </cell>
        </row>
        <row r="3551">
          <cell r="A3551" t="str">
            <v>29.736.089/0001-30</v>
          </cell>
          <cell r="B3551" t="str">
            <v>Malu Montesino</v>
          </cell>
        </row>
        <row r="3552">
          <cell r="A3552" t="str">
            <v>29.736.089/0001-30</v>
          </cell>
          <cell r="B3552" t="str">
            <v>Malu Montesino</v>
          </cell>
        </row>
        <row r="3553">
          <cell r="A3553" t="str">
            <v>08.862.530/0001-50</v>
          </cell>
          <cell r="B3553" t="str">
            <v>Malu Montesino</v>
          </cell>
        </row>
        <row r="3554">
          <cell r="A3554" t="str">
            <v>08.862.530/0001-50</v>
          </cell>
          <cell r="B3554" t="str">
            <v>Malu Montesino</v>
          </cell>
        </row>
        <row r="3555">
          <cell r="A3555" t="str">
            <v>60.680.873/0001-14</v>
          </cell>
          <cell r="B3555" t="str">
            <v>Malu Montesino</v>
          </cell>
        </row>
        <row r="3556">
          <cell r="A3556" t="str">
            <v>00.028.986/0001-08</v>
          </cell>
          <cell r="B3556" t="str">
            <v>Malu Montesino</v>
          </cell>
        </row>
        <row r="3557">
          <cell r="A3557" t="str">
            <v>59.233.783/0001-04</v>
          </cell>
          <cell r="B3557" t="str">
            <v>Malu Montesino</v>
          </cell>
        </row>
        <row r="3558">
          <cell r="A3558" t="str">
            <v>59.233.783/0001-04</v>
          </cell>
          <cell r="B3558" t="str">
            <v>Malu Montesino</v>
          </cell>
        </row>
        <row r="3559">
          <cell r="A3559" t="str">
            <v>19.428.087/0001-20</v>
          </cell>
          <cell r="B3559" t="str">
            <v>Malu Montesino</v>
          </cell>
        </row>
        <row r="3560">
          <cell r="A3560" t="str">
            <v>19.428.087/0001-20</v>
          </cell>
          <cell r="B3560" t="str">
            <v>Malu Montesino</v>
          </cell>
        </row>
        <row r="3561">
          <cell r="A3561" t="str">
            <v>10.560.660/0001-80</v>
          </cell>
          <cell r="B3561" t="str">
            <v>Malu Montesino</v>
          </cell>
        </row>
        <row r="3562">
          <cell r="A3562" t="str">
            <v>59.276.858/0001-26</v>
          </cell>
          <cell r="B3562" t="str">
            <v>Malu Montesino</v>
          </cell>
        </row>
        <row r="3563">
          <cell r="A3563" t="str">
            <v>40.829.708/0001-74</v>
          </cell>
          <cell r="B3563" t="str">
            <v>Malu Montesino</v>
          </cell>
        </row>
        <row r="3564">
          <cell r="A3564" t="str">
            <v>60.831.658/0001-77</v>
          </cell>
          <cell r="B3564" t="str">
            <v>Malu Montesino</v>
          </cell>
        </row>
        <row r="3565">
          <cell r="A3565" t="str">
            <v>58.520.858/0001-67</v>
          </cell>
          <cell r="B3565" t="str">
            <v>Malu Montesino</v>
          </cell>
        </row>
        <row r="3566">
          <cell r="A3566" t="str">
            <v>55.980.684/0001-27</v>
          </cell>
          <cell r="B3566" t="str">
            <v>Mariane Nascimento</v>
          </cell>
        </row>
        <row r="3567">
          <cell r="A3567" t="str">
            <v>60.412.327/0001-00</v>
          </cell>
          <cell r="B3567" t="str">
            <v>Mariane Nascimento</v>
          </cell>
        </row>
        <row r="3568">
          <cell r="A3568" t="str">
            <v>60.412.327/0001-00</v>
          </cell>
          <cell r="B3568" t="str">
            <v>Mariane Nascimento</v>
          </cell>
        </row>
        <row r="3569">
          <cell r="A3569" t="str">
            <v>60.412.327/0001-00</v>
          </cell>
          <cell r="B3569" t="str">
            <v>Mariane Nascimento</v>
          </cell>
        </row>
        <row r="3570">
          <cell r="A3570" t="str">
            <v>67.718.874/0001-50</v>
          </cell>
          <cell r="B3570" t="str">
            <v>Malu Montesino</v>
          </cell>
        </row>
        <row r="3571">
          <cell r="A3571" t="str">
            <v>31.292.372/0001-62</v>
          </cell>
          <cell r="B3571" t="str">
            <v>Malu Montesino</v>
          </cell>
        </row>
        <row r="3572">
          <cell r="A3572" t="str">
            <v>06.081.203/0001-36</v>
          </cell>
          <cell r="B3572" t="str">
            <v>Mariane Nascimento</v>
          </cell>
        </row>
        <row r="3573">
          <cell r="A3573" t="str">
            <v>06.081.203/0001-36</v>
          </cell>
          <cell r="B3573" t="str">
            <v>Mariane Nascimento</v>
          </cell>
        </row>
        <row r="3574">
          <cell r="A3574" t="str">
            <v>45.703.378/0003-51</v>
          </cell>
          <cell r="B3574" t="str">
            <v>Malu Montesino</v>
          </cell>
        </row>
        <row r="3575">
          <cell r="A3575" t="str">
            <v>31.292.372/0001-62</v>
          </cell>
          <cell r="B3575" t="str">
            <v>Malu Montesino</v>
          </cell>
        </row>
        <row r="3576">
          <cell r="A3576" t="str">
            <v>58.520.858/0001-67</v>
          </cell>
          <cell r="B3576" t="str">
            <v>Malu Montesino</v>
          </cell>
        </row>
        <row r="3577">
          <cell r="A3577" t="str">
            <v>03.770.521/0001-16</v>
          </cell>
          <cell r="B3577" t="str">
            <v>Malu Montesino</v>
          </cell>
        </row>
        <row r="3578">
          <cell r="A3578" t="str">
            <v>03.770.521/0001-16</v>
          </cell>
          <cell r="B3578" t="str">
            <v>Malu Montesino</v>
          </cell>
        </row>
        <row r="3579">
          <cell r="A3579" t="str">
            <v>03.770.521/0001-16</v>
          </cell>
          <cell r="B3579" t="str">
            <v>Malu Montesino</v>
          </cell>
        </row>
        <row r="3580">
          <cell r="A3580" t="str">
            <v>08.862.530/0001-50</v>
          </cell>
          <cell r="B3580" t="str">
            <v>Malu Montesino</v>
          </cell>
        </row>
        <row r="3581">
          <cell r="A3581" t="str">
            <v>02.535.707/0001-28</v>
          </cell>
          <cell r="B3581" t="str">
            <v>Mariane Nascimento</v>
          </cell>
        </row>
        <row r="3582">
          <cell r="A3582" t="str">
            <v>02.377.937/0001-06</v>
          </cell>
          <cell r="B3582" t="str">
            <v>Mariane Nascimento</v>
          </cell>
        </row>
        <row r="3583">
          <cell r="A3583" t="str">
            <v>09.485.574/0001-71</v>
          </cell>
          <cell r="B3583" t="str">
            <v>Mariane Nascimento</v>
          </cell>
        </row>
        <row r="3584">
          <cell r="A3584" t="str">
            <v>08.839.778/0001-09</v>
          </cell>
          <cell r="B3584" t="str">
            <v>Mariane Nascimento</v>
          </cell>
        </row>
        <row r="3585">
          <cell r="A3585" t="str">
            <v>08.839.778/0001-09</v>
          </cell>
          <cell r="B3585" t="str">
            <v>Mariane Nascimento</v>
          </cell>
        </row>
        <row r="3586">
          <cell r="A3586" t="str">
            <v>81.243.735/0001-48</v>
          </cell>
          <cell r="B3586" t="str">
            <v>Malu Montesino</v>
          </cell>
        </row>
        <row r="3587">
          <cell r="A3587" t="str">
            <v>16.587.133/0001-46</v>
          </cell>
          <cell r="B3587" t="str">
            <v>Malu Montesino</v>
          </cell>
        </row>
        <row r="3588">
          <cell r="A3588" t="str">
            <v>68.857.085/0001-62</v>
          </cell>
          <cell r="B3588" t="str">
            <v>Malu Montesino</v>
          </cell>
        </row>
        <row r="3589">
          <cell r="A3589" t="str">
            <v>45.231.016/0001-43</v>
          </cell>
          <cell r="B3589" t="str">
            <v>Malu Montesino</v>
          </cell>
        </row>
        <row r="3590">
          <cell r="A3590" t="str">
            <v>45.231.016/0001-43</v>
          </cell>
          <cell r="B3590" t="str">
            <v>Malu Montesino</v>
          </cell>
        </row>
        <row r="3591">
          <cell r="A3591" t="str">
            <v>45.231.016/0001-43</v>
          </cell>
          <cell r="B3591" t="str">
            <v>Malu Montesino</v>
          </cell>
        </row>
        <row r="3592">
          <cell r="A3592" t="str">
            <v>45.703.378/0003-51</v>
          </cell>
          <cell r="B3592" t="str">
            <v>Malu Montesino</v>
          </cell>
        </row>
        <row r="3593">
          <cell r="A3593" t="str">
            <v>45.703.378/0003-51</v>
          </cell>
          <cell r="B3593" t="str">
            <v>Malu Montesino</v>
          </cell>
        </row>
        <row r="3594">
          <cell r="A3594" t="str">
            <v>45.703.378/0003-51</v>
          </cell>
          <cell r="B3594" t="str">
            <v>Malu Montesino</v>
          </cell>
        </row>
        <row r="3595">
          <cell r="A3595" t="str">
            <v>08.263.434/0001-96</v>
          </cell>
          <cell r="B3595" t="str">
            <v>Malu Montesino</v>
          </cell>
        </row>
        <row r="3596">
          <cell r="A3596" t="str">
            <v>05.950.849/0001-40</v>
          </cell>
          <cell r="B3596" t="str">
            <v>Mariane Nascimento</v>
          </cell>
        </row>
        <row r="3597">
          <cell r="A3597" t="str">
            <v>46.754.545/0001-94</v>
          </cell>
          <cell r="B3597" t="str">
            <v>Malu Montesino</v>
          </cell>
        </row>
        <row r="3598">
          <cell r="A3598" t="str">
            <v>10.528.697/0001-21</v>
          </cell>
          <cell r="B3598" t="str">
            <v>Mariane Nascimento</v>
          </cell>
        </row>
        <row r="3599">
          <cell r="A3599" t="str">
            <v>35.075.474/0001-87</v>
          </cell>
          <cell r="B3599" t="str">
            <v>Malu Montesino</v>
          </cell>
        </row>
        <row r="3600">
          <cell r="A3600" t="str">
            <v>35.075.474/0001-87</v>
          </cell>
          <cell r="B3600" t="str">
            <v>Malu Montesino</v>
          </cell>
        </row>
        <row r="3601">
          <cell r="A3601" t="str">
            <v>35.075.474/0001-87</v>
          </cell>
          <cell r="B3601" t="str">
            <v>Malu Montesino</v>
          </cell>
        </row>
        <row r="3602">
          <cell r="A3602" t="str">
            <v>35.075.474/0001-87</v>
          </cell>
          <cell r="B3602" t="str">
            <v>Malu Montesino</v>
          </cell>
        </row>
        <row r="3603">
          <cell r="A3603" t="str">
            <v>42.972.345/0001-57</v>
          </cell>
          <cell r="B3603" t="str">
            <v>Mariane Nascimento</v>
          </cell>
        </row>
        <row r="3604">
          <cell r="A3604" t="str">
            <v>03.770.521/0001-16</v>
          </cell>
          <cell r="B3604" t="str">
            <v>Malu Montesino</v>
          </cell>
        </row>
        <row r="3605">
          <cell r="A3605" t="str">
            <v>59.275.792/0001-50</v>
          </cell>
          <cell r="B3605" t="str">
            <v>Malu Montesino</v>
          </cell>
        </row>
        <row r="3606">
          <cell r="A3606" t="str">
            <v>00.637.913/0001-13</v>
          </cell>
          <cell r="B3606" t="str">
            <v>Malu Montesino</v>
          </cell>
        </row>
        <row r="3607">
          <cell r="A3607" t="str">
            <v>06.105.362/0001-23</v>
          </cell>
          <cell r="B3607" t="str">
            <v>Malu Montesino</v>
          </cell>
        </row>
        <row r="3608">
          <cell r="A3608" t="str">
            <v>60.680.873/0001-14</v>
          </cell>
          <cell r="B3608" t="str">
            <v>Malu Montesino</v>
          </cell>
        </row>
        <row r="3609">
          <cell r="A3609" t="str">
            <v>05.653.764/0001-08</v>
          </cell>
          <cell r="B3609" t="str">
            <v>Malu Montesino</v>
          </cell>
        </row>
        <row r="3610">
          <cell r="A3610" t="str">
            <v>07.852.102/0001-84</v>
          </cell>
          <cell r="B3610" t="str">
            <v>Malu Montesino</v>
          </cell>
        </row>
        <row r="3611">
          <cell r="A3611" t="str">
            <v>15.630.428/0001-95</v>
          </cell>
          <cell r="B3611" t="str">
            <v>Malu Montesino</v>
          </cell>
        </row>
        <row r="3612">
          <cell r="A3612" t="str">
            <v>15.630.428/0001-95</v>
          </cell>
          <cell r="B3612" t="str">
            <v>Malu Montesino</v>
          </cell>
        </row>
        <row r="3613">
          <cell r="A3613" t="str">
            <v>00.657.669/0001-50</v>
          </cell>
          <cell r="B3613" t="str">
            <v>Malu Montesino</v>
          </cell>
        </row>
        <row r="3614">
          <cell r="A3614" t="str">
            <v>00.657.669/0001-50</v>
          </cell>
          <cell r="B3614" t="str">
            <v>Malu Montesino</v>
          </cell>
        </row>
        <row r="3615">
          <cell r="A3615" t="str">
            <v>06.116.194/0001-71</v>
          </cell>
          <cell r="B3615" t="str">
            <v>Malu Montesino</v>
          </cell>
        </row>
        <row r="3616">
          <cell r="A3616" t="str">
            <v>25.007.972/0001-39</v>
          </cell>
          <cell r="B3616" t="str">
            <v>Malu Montesino</v>
          </cell>
        </row>
        <row r="3617">
          <cell r="A3617" t="str">
            <v>05.837.046/0001-83</v>
          </cell>
          <cell r="B3617" t="str">
            <v>Malu Montesino</v>
          </cell>
        </row>
        <row r="3618">
          <cell r="A3618" t="str">
            <v>71.680.193/0010-08</v>
          </cell>
          <cell r="B3618" t="str">
            <v>Malu Montesino</v>
          </cell>
        </row>
        <row r="3619">
          <cell r="A3619" t="str">
            <v>45.703.378/0003-51</v>
          </cell>
          <cell r="B3619" t="str">
            <v>Malu Montesino</v>
          </cell>
        </row>
        <row r="3620">
          <cell r="A3620" t="str">
            <v>60.397.874/0001-56</v>
          </cell>
          <cell r="B3620" t="str">
            <v>Malu Montesino</v>
          </cell>
        </row>
        <row r="3621">
          <cell r="A3621" t="str">
            <v>74.241.019/0001-66</v>
          </cell>
          <cell r="B3621" t="str">
            <v>Malu Montesino</v>
          </cell>
        </row>
        <row r="3622">
          <cell r="A3622" t="str">
            <v>12.882.932/0001-94</v>
          </cell>
          <cell r="B3622" t="str">
            <v>Mariane Nascimento</v>
          </cell>
        </row>
        <row r="3623">
          <cell r="A3623" t="str">
            <v>00.657.669/0001-50</v>
          </cell>
          <cell r="B3623" t="str">
            <v>Malu Montesino</v>
          </cell>
        </row>
        <row r="3624">
          <cell r="A3624" t="str">
            <v>59.275.792/0001-50</v>
          </cell>
          <cell r="B3624" t="str">
            <v>Malu Montesino</v>
          </cell>
        </row>
        <row r="3625">
          <cell r="A3625" t="str">
            <v>74.241.019/0001-66</v>
          </cell>
          <cell r="B3625" t="str">
            <v>Malu Montesino</v>
          </cell>
        </row>
        <row r="3626">
          <cell r="A3626" t="str">
            <v>04.743.025/0001-36</v>
          </cell>
          <cell r="B3626" t="str">
            <v>Malu Montesino</v>
          </cell>
        </row>
        <row r="3627">
          <cell r="A3627" t="str">
            <v>52.311.347/0002-30</v>
          </cell>
          <cell r="B3627" t="str">
            <v>Malu Montesino</v>
          </cell>
        </row>
        <row r="3628">
          <cell r="A3628" t="str">
            <v>07.598.814/0001-19</v>
          </cell>
          <cell r="B3628" t="str">
            <v>Malu Montesino</v>
          </cell>
        </row>
        <row r="3629">
          <cell r="A3629" t="str">
            <v>84.683.879/0001-03</v>
          </cell>
          <cell r="B3629" t="str">
            <v>Malu Montesino</v>
          </cell>
        </row>
        <row r="3630">
          <cell r="A3630" t="str">
            <v>79.841.904/0001-08</v>
          </cell>
          <cell r="B3630" t="str">
            <v>Malu Montesino</v>
          </cell>
        </row>
        <row r="3631">
          <cell r="A3631" t="str">
            <v>79.841.904/0001-08</v>
          </cell>
          <cell r="B3631" t="str">
            <v>Malu Montesino</v>
          </cell>
        </row>
        <row r="3632">
          <cell r="A3632" t="str">
            <v>01.123.973/0001-80</v>
          </cell>
          <cell r="B3632" t="str">
            <v>Malu Montesino</v>
          </cell>
        </row>
        <row r="3633">
          <cell r="A3633" t="str">
            <v>01.123.973/0001-80</v>
          </cell>
          <cell r="B3633" t="str">
            <v>Malu Montesino</v>
          </cell>
        </row>
        <row r="3634">
          <cell r="A3634" t="str">
            <v>06.224.121/0001-01</v>
          </cell>
          <cell r="B3634" t="str">
            <v>Malu Montesino</v>
          </cell>
        </row>
        <row r="3635">
          <cell r="A3635" t="str">
            <v>06.224.121/0001-01</v>
          </cell>
          <cell r="B3635" t="str">
            <v>Malu Montesino</v>
          </cell>
        </row>
        <row r="3636">
          <cell r="A3636" t="str">
            <v>12.882.932/0001-94</v>
          </cell>
          <cell r="B3636" t="str">
            <v>Mariane Nascimento</v>
          </cell>
        </row>
        <row r="3637">
          <cell r="A3637" t="str">
            <v>12.882.932/0001-94</v>
          </cell>
          <cell r="B3637" t="str">
            <v>Mariane Nascimento</v>
          </cell>
        </row>
        <row r="3638">
          <cell r="A3638" t="str">
            <v>12.882.932/0001-94</v>
          </cell>
          <cell r="B3638" t="str">
            <v>Mariane Nascimento</v>
          </cell>
        </row>
        <row r="3639">
          <cell r="A3639" t="str">
            <v>20.782.880/0001-02</v>
          </cell>
          <cell r="B3639" t="str">
            <v>Mariane Nascimento</v>
          </cell>
        </row>
        <row r="3640">
          <cell r="A3640" t="str">
            <v>20.782.880/0001-02</v>
          </cell>
          <cell r="B3640" t="str">
            <v>Mariane Nascimento</v>
          </cell>
        </row>
        <row r="3641">
          <cell r="A3641" t="str">
            <v>52.311.347/0002-30</v>
          </cell>
          <cell r="B3641" t="str">
            <v>Malu Montesino</v>
          </cell>
        </row>
        <row r="3642">
          <cell r="A3642" t="str">
            <v>75.086.785/0001-66</v>
          </cell>
          <cell r="B3642" t="str">
            <v>Malu Montesino</v>
          </cell>
        </row>
        <row r="3643">
          <cell r="A3643" t="str">
            <v>59.275.792/0001-50</v>
          </cell>
          <cell r="B3643" t="str">
            <v>Malu Montesino</v>
          </cell>
        </row>
        <row r="3644">
          <cell r="A3644" t="str">
            <v>04.743.025/0001-36</v>
          </cell>
          <cell r="B3644" t="str">
            <v>Malu Montesino</v>
          </cell>
        </row>
        <row r="3645">
          <cell r="A3645" t="str">
            <v>59.275.792/0001-50</v>
          </cell>
          <cell r="B3645" t="str">
            <v>Malu Montesino</v>
          </cell>
        </row>
        <row r="3646">
          <cell r="A3646" t="str">
            <v>59.275.792/0001-50</v>
          </cell>
          <cell r="B3646" t="str">
            <v>Malu Montesino</v>
          </cell>
        </row>
        <row r="3647">
          <cell r="A3647" t="str">
            <v>56.998.701/0001-16</v>
          </cell>
          <cell r="B3647" t="str">
            <v>Malu Montesino</v>
          </cell>
        </row>
        <row r="3648">
          <cell r="A3648" t="str">
            <v>56.998.701/0001-16</v>
          </cell>
          <cell r="B3648" t="str">
            <v>Malu Montesino</v>
          </cell>
        </row>
        <row r="3649">
          <cell r="A3649" t="str">
            <v>24.893.687/0011-71</v>
          </cell>
          <cell r="B3649" t="str">
            <v>Malu Montesino</v>
          </cell>
        </row>
        <row r="3650">
          <cell r="A3650" t="str">
            <v>02.377.937/0001-06</v>
          </cell>
          <cell r="B3650" t="str">
            <v>Mariane Nascimento</v>
          </cell>
        </row>
        <row r="3651">
          <cell r="A3651" t="str">
            <v>82.429.994/0001-20</v>
          </cell>
          <cell r="B3651" t="str">
            <v>Malu Montesino</v>
          </cell>
        </row>
        <row r="3652">
          <cell r="A3652" t="str">
            <v>05.012.368/0001-93</v>
          </cell>
          <cell r="B3652" t="str">
            <v>Malu Montesino</v>
          </cell>
        </row>
        <row r="3653">
          <cell r="A3653" t="str">
            <v>35.755.804/0001-85</v>
          </cell>
          <cell r="B3653" t="str">
            <v>Malu Montesino</v>
          </cell>
        </row>
        <row r="3654">
          <cell r="A3654" t="str">
            <v>75.086.785/0001-66</v>
          </cell>
          <cell r="B3654" t="str">
            <v>Malu Montesino</v>
          </cell>
        </row>
        <row r="3655">
          <cell r="A3655" t="str">
            <v>67.718.874/0001-50</v>
          </cell>
          <cell r="B3655" t="str">
            <v>Malu Montesino</v>
          </cell>
        </row>
        <row r="3656">
          <cell r="A3656" t="str">
            <v>01.092.686/0001-50</v>
          </cell>
          <cell r="B3656" t="str">
            <v>Malu Montesino</v>
          </cell>
        </row>
        <row r="3657">
          <cell r="A3657" t="str">
            <v>03.144.465/0001-04</v>
          </cell>
          <cell r="B3657" t="str">
            <v>Malu Montesino</v>
          </cell>
        </row>
        <row r="3658">
          <cell r="A3658" t="str">
            <v>42.972.345/0001-57</v>
          </cell>
          <cell r="B3658" t="str">
            <v>Mariane Nascimento</v>
          </cell>
        </row>
        <row r="3659">
          <cell r="A3659" t="str">
            <v>42.972.345/0001-57</v>
          </cell>
          <cell r="B3659" t="str">
            <v>Mariane Nascimento</v>
          </cell>
        </row>
        <row r="3660">
          <cell r="A3660" t="str">
            <v>59.275.792/0001-50</v>
          </cell>
          <cell r="B3660" t="str">
            <v>Malu Montesino</v>
          </cell>
        </row>
        <row r="3661">
          <cell r="A3661" t="str">
            <v>56.998.701/0001-16</v>
          </cell>
          <cell r="B3661" t="str">
            <v>Malu Montesino</v>
          </cell>
        </row>
        <row r="3662">
          <cell r="A3662" t="str">
            <v>35.755.804/0001-85</v>
          </cell>
          <cell r="B3662" t="str">
            <v>Malu Montesino</v>
          </cell>
        </row>
        <row r="3663">
          <cell r="A3663" t="str">
            <v>02.535.707/0001-28</v>
          </cell>
          <cell r="B3663" t="str">
            <v>Mariane Nascimento</v>
          </cell>
        </row>
        <row r="3664">
          <cell r="A3664" t="str">
            <v>02.535.707/0001-28</v>
          </cell>
          <cell r="B3664" t="str">
            <v>Mariane Nascimento</v>
          </cell>
        </row>
        <row r="3665">
          <cell r="A3665" t="str">
            <v>05.495.281/0001-14</v>
          </cell>
          <cell r="B3665" t="str">
            <v>Mariane Nascimento</v>
          </cell>
        </row>
        <row r="3666">
          <cell r="A3666" t="str">
            <v>05.495.281/0001-14</v>
          </cell>
          <cell r="B3666" t="str">
            <v>Mariane Nascimento</v>
          </cell>
        </row>
        <row r="3667">
          <cell r="A3667" t="str">
            <v>03.033.345/0001-30</v>
          </cell>
          <cell r="B3667" t="str">
            <v>Mariane Nascimento</v>
          </cell>
        </row>
        <row r="3668">
          <cell r="A3668" t="str">
            <v>59.276.858/0001-26</v>
          </cell>
          <cell r="B3668" t="str">
            <v>Malu Montesino</v>
          </cell>
        </row>
        <row r="3669">
          <cell r="A3669" t="str">
            <v>10.433.622/0001-67</v>
          </cell>
          <cell r="B3669" t="str">
            <v>Malu Montesino</v>
          </cell>
        </row>
        <row r="3670">
          <cell r="A3670" t="str">
            <v>35.075.474/0001-87</v>
          </cell>
          <cell r="B3670" t="str">
            <v>Malu Montesino</v>
          </cell>
        </row>
        <row r="3671">
          <cell r="A3671" t="str">
            <v>12.882.932/0001-94</v>
          </cell>
          <cell r="B3671" t="str">
            <v>Mariane Nascimento</v>
          </cell>
        </row>
        <row r="3672">
          <cell r="A3672" t="str">
            <v>20.782.880/0001-02</v>
          </cell>
          <cell r="B3672" t="str">
            <v>Mariane Nascimento</v>
          </cell>
        </row>
        <row r="3673">
          <cell r="A3673" t="str">
            <v>20.782.880/0001-02</v>
          </cell>
          <cell r="B3673" t="str">
            <v>Mariane Nascimento</v>
          </cell>
        </row>
        <row r="3674">
          <cell r="A3674" t="str">
            <v>20.782.880/0001-02</v>
          </cell>
          <cell r="B3674" t="str">
            <v>Mariane Nascimento</v>
          </cell>
        </row>
        <row r="3675">
          <cell r="A3675" t="str">
            <v>89.674.782/0001-58</v>
          </cell>
          <cell r="B3675" t="str">
            <v>Malu Montesino</v>
          </cell>
        </row>
        <row r="3676">
          <cell r="A3676" t="str">
            <v>27.061.442/0001-02</v>
          </cell>
          <cell r="B3676" t="str">
            <v>Malu Montesino</v>
          </cell>
        </row>
        <row r="3677">
          <cell r="A3677" t="str">
            <v>34.151.100/0001-30</v>
          </cell>
          <cell r="B3677" t="str">
            <v>Malu Montesino</v>
          </cell>
        </row>
        <row r="3678">
          <cell r="A3678" t="str">
            <v>24.893.687/0011-71</v>
          </cell>
          <cell r="B3678" t="str">
            <v>Malu Montesino</v>
          </cell>
        </row>
        <row r="3679">
          <cell r="A3679" t="str">
            <v>13.991.890/0001-92</v>
          </cell>
          <cell r="B3679" t="str">
            <v>Malu Montesino</v>
          </cell>
        </row>
        <row r="3680">
          <cell r="A3680" t="str">
            <v>14.707.364/0001-10</v>
          </cell>
          <cell r="B3680" t="str">
            <v>Malu Montesino</v>
          </cell>
        </row>
        <row r="3681">
          <cell r="A3681" t="str">
            <v>45.985.371/0001-08</v>
          </cell>
          <cell r="B3681" t="str">
            <v>Malu Montesino</v>
          </cell>
        </row>
        <row r="3682">
          <cell r="A3682" t="str">
            <v>10.394.422/0001-42</v>
          </cell>
          <cell r="B3682" t="str">
            <v>Malu Montesino</v>
          </cell>
        </row>
        <row r="3683">
          <cell r="A3683" t="str">
            <v>08.176.258/0001-55</v>
          </cell>
          <cell r="B3683" t="str">
            <v>Malu Montesino</v>
          </cell>
        </row>
        <row r="3684">
          <cell r="A3684" t="str">
            <v>23.001.852/0001-07</v>
          </cell>
          <cell r="B3684" t="str">
            <v>Malu Montesino</v>
          </cell>
        </row>
        <row r="3685">
          <cell r="A3685" t="str">
            <v>19.324.043/0001-50</v>
          </cell>
          <cell r="B3685" t="str">
            <v>Malu Montesino</v>
          </cell>
        </row>
        <row r="3686">
          <cell r="A3686" t="str">
            <v>42.972.345/0001-57</v>
          </cell>
          <cell r="B3686" t="str">
            <v>Mariane Nascimento</v>
          </cell>
        </row>
        <row r="3687">
          <cell r="A3687" t="str">
            <v>26.092.860/0001-96</v>
          </cell>
          <cell r="B3687" t="str">
            <v>Malu Montesino</v>
          </cell>
        </row>
        <row r="3688">
          <cell r="A3688" t="str">
            <v>N/D</v>
          </cell>
          <cell r="B3688" t="str">
            <v>Malu Montesino</v>
          </cell>
        </row>
        <row r="3689">
          <cell r="A3689" t="str">
            <v>13.829.957/0001-97</v>
          </cell>
          <cell r="B3689" t="str">
            <v>Malu Montesino</v>
          </cell>
        </row>
        <row r="3690">
          <cell r="A3690" t="str">
            <v>11.681.470/0001-84</v>
          </cell>
          <cell r="B3690" t="str">
            <v>Malu Montesino</v>
          </cell>
        </row>
        <row r="3691">
          <cell r="A3691" t="str">
            <v>09.273.196/0001-62</v>
          </cell>
          <cell r="B3691" t="str">
            <v>Malu Montesino</v>
          </cell>
        </row>
        <row r="3692">
          <cell r="A3692" t="str">
            <v>46.941.582/0001-01</v>
          </cell>
          <cell r="B3692" t="str">
            <v>Malu Montesino</v>
          </cell>
        </row>
        <row r="3693">
          <cell r="A3693" t="str">
            <v>38.743.357/0001-32</v>
          </cell>
          <cell r="B3693" t="str">
            <v>Malu Montesino</v>
          </cell>
        </row>
        <row r="3694">
          <cell r="A3694" t="str">
            <v>82.381.815/0008-07</v>
          </cell>
          <cell r="B3694" t="str">
            <v>Malu Montesino</v>
          </cell>
        </row>
        <row r="3695">
          <cell r="A3695" t="str">
            <v>11.260.925/0001-98</v>
          </cell>
          <cell r="B3695" t="str">
            <v>Malu Montesino</v>
          </cell>
        </row>
        <row r="3696">
          <cell r="A3696" t="str">
            <v>11.938.604/0001-08</v>
          </cell>
          <cell r="B3696" t="str">
            <v>Malu Montesino</v>
          </cell>
        </row>
        <row r="3697">
          <cell r="A3697" t="str">
            <v>54.890.805/0001-87</v>
          </cell>
          <cell r="B3697" t="str">
            <v>Malu Montesino</v>
          </cell>
        </row>
        <row r="3698">
          <cell r="A3698" t="str">
            <v>04.785.438/0001-83</v>
          </cell>
          <cell r="B3698" t="str">
            <v>Malu Montesino</v>
          </cell>
        </row>
        <row r="3699">
          <cell r="A3699" t="str">
            <v>05.305.148/0001-58</v>
          </cell>
          <cell r="B3699" t="str">
            <v>Malu Montesino</v>
          </cell>
        </row>
        <row r="3700">
          <cell r="A3700" t="str">
            <v>55.411.819/0001-33</v>
          </cell>
          <cell r="B3700" t="str">
            <v>Malu Montesino</v>
          </cell>
        </row>
        <row r="3701">
          <cell r="A3701" t="str">
            <v>60.586.393/0001-99</v>
          </cell>
          <cell r="B3701" t="str">
            <v>Malu Montesino</v>
          </cell>
        </row>
        <row r="3702">
          <cell r="A3702" t="str">
            <v>53.524.443/0001-48</v>
          </cell>
          <cell r="B3702" t="str">
            <v>Malu Montesino</v>
          </cell>
        </row>
        <row r="3703">
          <cell r="A3703" t="str">
            <v>35.715.234/0001-08</v>
          </cell>
          <cell r="B3703" t="str">
            <v>Malu Montesino</v>
          </cell>
        </row>
        <row r="3704">
          <cell r="A3704" t="str">
            <v>32.043.927/0001-03</v>
          </cell>
          <cell r="B3704" t="str">
            <v>Malu Montesino</v>
          </cell>
        </row>
        <row r="3705">
          <cell r="A3705" t="str">
            <v>27.098.270/0001-33</v>
          </cell>
          <cell r="B3705" t="str">
            <v>Malu Montesino</v>
          </cell>
        </row>
        <row r="3706">
          <cell r="A3706" t="str">
            <v>05.063.653/0001-33</v>
          </cell>
          <cell r="B3706" t="str">
            <v>Malu Montesino</v>
          </cell>
        </row>
        <row r="3707">
          <cell r="A3707" t="str">
            <v>30.309.296/0001-98</v>
          </cell>
          <cell r="B3707" t="str">
            <v>Malu Montesino</v>
          </cell>
        </row>
        <row r="3708">
          <cell r="A3708" t="str">
            <v>00.840.186/0001-97</v>
          </cell>
          <cell r="B3708" t="str">
            <v>Malu Montesino</v>
          </cell>
        </row>
        <row r="3709">
          <cell r="A3709" t="str">
            <v>05.847.054/0001-00</v>
          </cell>
          <cell r="B3709" t="str">
            <v>Malu Montesino</v>
          </cell>
        </row>
        <row r="3710">
          <cell r="A3710" t="str">
            <v>14.055.256/0001-00</v>
          </cell>
          <cell r="B3710" t="str">
            <v>Malu Montesino</v>
          </cell>
        </row>
        <row r="3711">
          <cell r="A3711" t="str">
            <v>06.314.429/0001-30</v>
          </cell>
          <cell r="B3711" t="str">
            <v>Malu Montesino</v>
          </cell>
        </row>
        <row r="3712">
          <cell r="A3712" t="str">
            <v>79.879.318/0001-44</v>
          </cell>
          <cell r="B3712" t="str">
            <v>Malu Montesino</v>
          </cell>
        </row>
        <row r="3713">
          <cell r="A3713" t="str">
            <v>18.960.907/0001-68</v>
          </cell>
          <cell r="B3713" t="str">
            <v>Malu Montesino</v>
          </cell>
        </row>
        <row r="3714">
          <cell r="A3714" t="str">
            <v>35.548.400/0001-10</v>
          </cell>
          <cell r="B3714" t="str">
            <v>Malu Montesino</v>
          </cell>
        </row>
        <row r="3715">
          <cell r="A3715" t="str">
            <v>04.676.906/0001-81</v>
          </cell>
          <cell r="B3715" t="str">
            <v>Malu Montesino</v>
          </cell>
        </row>
        <row r="3716">
          <cell r="A3716" t="str">
            <v>01.629.891/0001-02</v>
          </cell>
          <cell r="B3716" t="str">
            <v>Malu Montesino</v>
          </cell>
        </row>
        <row r="3717">
          <cell r="A3717" t="str">
            <v>01.835.739/0001-86</v>
          </cell>
          <cell r="B3717" t="str">
            <v>Malu Montesino</v>
          </cell>
        </row>
        <row r="3718">
          <cell r="A3718" t="str">
            <v>13.851.664/0001-06</v>
          </cell>
          <cell r="B3718" t="str">
            <v>Malu Montesino</v>
          </cell>
        </row>
        <row r="3719">
          <cell r="A3719" t="str">
            <v>04.149.454/0001-80</v>
          </cell>
          <cell r="B3719" t="str">
            <v>Malu Montesino</v>
          </cell>
        </row>
        <row r="3720">
          <cell r="A3720" t="str">
            <v>56.998.701/0001-16</v>
          </cell>
          <cell r="B3720" t="str">
            <v>Malu Montesino</v>
          </cell>
        </row>
        <row r="3721">
          <cell r="A3721" t="str">
            <v>56.998.701/0001-16</v>
          </cell>
          <cell r="B3721" t="str">
            <v>Malu Montesino</v>
          </cell>
        </row>
        <row r="3722">
          <cell r="A3722" t="str">
            <v>06.888.683/0001-41</v>
          </cell>
          <cell r="B3722" t="str">
            <v>Malu Montesino</v>
          </cell>
        </row>
        <row r="3723">
          <cell r="A3723" t="str">
            <v>03.033.345/0001-30</v>
          </cell>
          <cell r="B3723" t="str">
            <v>Mariane Nascimento</v>
          </cell>
        </row>
        <row r="3724">
          <cell r="A3724" t="str">
            <v>33.648.169/0001-01</v>
          </cell>
          <cell r="B3724" t="str">
            <v>Malu Montesino</v>
          </cell>
        </row>
        <row r="3725">
          <cell r="A3725" t="str">
            <v>20.782.880/0001-02</v>
          </cell>
          <cell r="B3725" t="str">
            <v>Mariane Nascimento</v>
          </cell>
        </row>
        <row r="3726">
          <cell r="A3726" t="str">
            <v>04.927.782/0001-60</v>
          </cell>
          <cell r="B3726" t="str">
            <v>Mariane Nascimento</v>
          </cell>
        </row>
        <row r="3727">
          <cell r="A3727" t="str">
            <v>00.874.929/0001-40</v>
          </cell>
          <cell r="B3727" t="str">
            <v>Mariane Nascimento</v>
          </cell>
        </row>
        <row r="3728">
          <cell r="A3728" t="str">
            <v>00.874.929/0001-40</v>
          </cell>
          <cell r="B3728" t="str">
            <v>Mariane Nascimento</v>
          </cell>
        </row>
        <row r="3729">
          <cell r="A3729" t="str">
            <v>00.874.929/0001-40</v>
          </cell>
          <cell r="B3729" t="str">
            <v>Mariane Nascimento</v>
          </cell>
        </row>
        <row r="3730">
          <cell r="A3730" t="str">
            <v>00.874.929/0001-40</v>
          </cell>
          <cell r="B3730" t="str">
            <v>Mariane Nascimento</v>
          </cell>
        </row>
        <row r="3731">
          <cell r="A3731" t="str">
            <v>00.874.929/0001-40</v>
          </cell>
          <cell r="B3731" t="str">
            <v>Mariane Nascimento</v>
          </cell>
        </row>
        <row r="3732">
          <cell r="A3732" t="str">
            <v>00.874.929/0001-40</v>
          </cell>
          <cell r="B3732" t="str">
            <v>Mariane Nascimento</v>
          </cell>
        </row>
        <row r="3733">
          <cell r="A3733" t="str">
            <v>11.113.342/0001-34</v>
          </cell>
          <cell r="B3733" t="str">
            <v>Mariane Nascimento</v>
          </cell>
        </row>
        <row r="3734">
          <cell r="A3734" t="str">
            <v>11.113.342/0001-34</v>
          </cell>
          <cell r="B3734" t="str">
            <v>Mariane Nascimento</v>
          </cell>
        </row>
        <row r="3735">
          <cell r="A3735" t="str">
            <v>11.113.342/0001-34</v>
          </cell>
          <cell r="B3735" t="str">
            <v>Mariane Nascimento</v>
          </cell>
        </row>
        <row r="3736">
          <cell r="A3736" t="str">
            <v>56.998.701/0001-16</v>
          </cell>
          <cell r="B3736" t="str">
            <v>Malu Montesino</v>
          </cell>
        </row>
        <row r="3737">
          <cell r="A3737" t="str">
            <v>13.991.890/0001-92</v>
          </cell>
          <cell r="B3737" t="str">
            <v>Malu Montesino</v>
          </cell>
        </row>
        <row r="3738">
          <cell r="A3738" t="str">
            <v>14.707.364/0001-10</v>
          </cell>
          <cell r="B3738" t="str">
            <v>Malu Montesino</v>
          </cell>
        </row>
        <row r="3739">
          <cell r="A3739" t="str">
            <v>14.707.364/0001-10</v>
          </cell>
          <cell r="B3739" t="str">
            <v>Malu Montesino</v>
          </cell>
        </row>
        <row r="3740">
          <cell r="A3740" t="str">
            <v>45.985.371/0001-08</v>
          </cell>
          <cell r="B3740" t="str">
            <v>Malu Montesino</v>
          </cell>
        </row>
        <row r="3741">
          <cell r="A3741" t="str">
            <v>45.985.371/0001-08</v>
          </cell>
          <cell r="B3741" t="str">
            <v>Malu Montesino</v>
          </cell>
        </row>
        <row r="3742">
          <cell r="A3742" t="str">
            <v>01.298.443/0001-73</v>
          </cell>
          <cell r="B3742" t="str">
            <v>Malu Montesino</v>
          </cell>
        </row>
        <row r="3743">
          <cell r="A3743" t="str">
            <v>75.086.785/0001-66</v>
          </cell>
          <cell r="B3743" t="str">
            <v>Malu Montesino</v>
          </cell>
        </row>
        <row r="3744">
          <cell r="A3744" t="str">
            <v>20.782.880/0001-02</v>
          </cell>
          <cell r="B3744" t="str">
            <v>Mariane Nascimento</v>
          </cell>
        </row>
        <row r="3745">
          <cell r="A3745" t="str">
            <v>42.972.345/0001-57</v>
          </cell>
          <cell r="B3745" t="str">
            <v>Mariane Nascimento</v>
          </cell>
        </row>
        <row r="3746">
          <cell r="A3746" t="str">
            <v>04.927.782/0001-60</v>
          </cell>
          <cell r="B3746" t="str">
            <v>Mariane Nascimento</v>
          </cell>
        </row>
        <row r="3747">
          <cell r="A3747" t="str">
            <v>04.927.782/0001-60</v>
          </cell>
          <cell r="B3747" t="str">
            <v>Mariane Nascimento</v>
          </cell>
        </row>
        <row r="3748">
          <cell r="A3748" t="str">
            <v>00.874.929/0001-40</v>
          </cell>
          <cell r="B3748" t="str">
            <v>Mariane Nascimento</v>
          </cell>
        </row>
        <row r="3749">
          <cell r="A3749" t="str">
            <v>00.874.929/0001-40</v>
          </cell>
          <cell r="B3749" t="str">
            <v>Mariane Nascimento</v>
          </cell>
        </row>
        <row r="3750">
          <cell r="A3750" t="str">
            <v>10.657.159/0001-37</v>
          </cell>
          <cell r="B3750" t="str">
            <v>Malu Montesino</v>
          </cell>
        </row>
        <row r="3751">
          <cell r="A3751" t="str">
            <v>14.172.293/0001-07</v>
          </cell>
          <cell r="B3751" t="str">
            <v>Malu Montesino</v>
          </cell>
        </row>
        <row r="3752">
          <cell r="A3752" t="str">
            <v>38.743.357/0001-32</v>
          </cell>
          <cell r="B3752" t="str">
            <v>Malu Montesino</v>
          </cell>
        </row>
        <row r="3753">
          <cell r="A3753" t="str">
            <v>82.381.815/0008-07</v>
          </cell>
          <cell r="B3753" t="str">
            <v>Malu Montesino</v>
          </cell>
        </row>
        <row r="3754">
          <cell r="A3754" t="str">
            <v>11.938.604/0001-08</v>
          </cell>
          <cell r="B3754" t="str">
            <v>Malu Montesino</v>
          </cell>
        </row>
        <row r="3755">
          <cell r="A3755" t="str">
            <v>02.833.372/0001-24</v>
          </cell>
          <cell r="B3755" t="str">
            <v>Malu Montesino</v>
          </cell>
        </row>
        <row r="3756">
          <cell r="A3756" t="str">
            <v>02.833.372/0001-24</v>
          </cell>
          <cell r="B3756" t="str">
            <v>Malu Montesino</v>
          </cell>
        </row>
        <row r="3757">
          <cell r="A3757" t="str">
            <v>54.890.805/0001-87</v>
          </cell>
          <cell r="B3757" t="str">
            <v>Malu Montesino</v>
          </cell>
        </row>
        <row r="3758">
          <cell r="A3758" t="str">
            <v>04.785.438/0001-83</v>
          </cell>
          <cell r="B3758" t="str">
            <v>Malu Montesino</v>
          </cell>
        </row>
        <row r="3759">
          <cell r="A3759" t="str">
            <v>05.453.447/0001-30</v>
          </cell>
          <cell r="B3759" t="str">
            <v>Malu Montesino</v>
          </cell>
        </row>
        <row r="3760">
          <cell r="A3760" t="str">
            <v>78.364.767/0001-97</v>
          </cell>
          <cell r="B3760" t="str">
            <v>Malu Montesino</v>
          </cell>
        </row>
        <row r="3761">
          <cell r="A3761" t="str">
            <v>82.381.815/0008-07</v>
          </cell>
          <cell r="B3761" t="str">
            <v>Malu Montesino</v>
          </cell>
        </row>
        <row r="3762">
          <cell r="A3762" t="str">
            <v>45.985.371/0001-08</v>
          </cell>
          <cell r="B3762" t="str">
            <v>Malu Montesino</v>
          </cell>
        </row>
        <row r="3763">
          <cell r="A3763" t="str">
            <v>56.998.701/0001-16</v>
          </cell>
          <cell r="B3763" t="str">
            <v>Malu Montesino</v>
          </cell>
        </row>
        <row r="3764">
          <cell r="A3764" t="str">
            <v>34.151.100/0001-30</v>
          </cell>
          <cell r="B3764" t="str">
            <v>Malu Montesino</v>
          </cell>
        </row>
        <row r="3765">
          <cell r="A3765" t="str">
            <v>34.151.100/0001-30</v>
          </cell>
          <cell r="B3765" t="str">
            <v>Malu Montesino</v>
          </cell>
        </row>
        <row r="3766">
          <cell r="A3766" t="str">
            <v>15.800.545/0001-50</v>
          </cell>
          <cell r="B3766" t="str">
            <v>Mariane Nascimento</v>
          </cell>
        </row>
        <row r="3767">
          <cell r="A3767" t="str">
            <v>27.098.270/0001-33</v>
          </cell>
          <cell r="B3767" t="str">
            <v>Malu Montesino</v>
          </cell>
        </row>
        <row r="3768">
          <cell r="A3768" t="str">
            <v>30.309.296/0001-98</v>
          </cell>
          <cell r="B3768" t="str">
            <v>Malu Montesino</v>
          </cell>
        </row>
        <row r="3769">
          <cell r="A3769" t="str">
            <v>14.055.256/0001-00</v>
          </cell>
          <cell r="B3769" t="str">
            <v>Malu Montesino</v>
          </cell>
        </row>
        <row r="3770">
          <cell r="A3770" t="str">
            <v>79.879.318/0001-44</v>
          </cell>
          <cell r="B3770" t="str">
            <v>Malu Montesino</v>
          </cell>
        </row>
        <row r="3771">
          <cell r="A3771" t="str">
            <v>79.879.318/0001-44</v>
          </cell>
          <cell r="B3771" t="str">
            <v>Malu Montesino</v>
          </cell>
        </row>
        <row r="3772">
          <cell r="A3772" t="str">
            <v>18.960.907/0001-68</v>
          </cell>
          <cell r="B3772" t="str">
            <v>Malu Montesino</v>
          </cell>
        </row>
        <row r="3773">
          <cell r="A3773" t="str">
            <v>35.548.400/0001-10</v>
          </cell>
          <cell r="B3773" t="str">
            <v>Malu Montesino</v>
          </cell>
        </row>
        <row r="3774">
          <cell r="A3774" t="str">
            <v>01.629.891/0001-02</v>
          </cell>
          <cell r="B3774" t="str">
            <v>Malu Montesino</v>
          </cell>
        </row>
        <row r="3775">
          <cell r="A3775" t="str">
            <v>89.674.782/0001-58</v>
          </cell>
          <cell r="B3775" t="str">
            <v>Malu Montesino</v>
          </cell>
        </row>
        <row r="3776">
          <cell r="A3776" t="str">
            <v>02.351.006/0018-87</v>
          </cell>
          <cell r="B3776" t="str">
            <v>Malu Montesino</v>
          </cell>
        </row>
        <row r="3777">
          <cell r="A3777" t="str">
            <v>02.351.006/0018-87</v>
          </cell>
          <cell r="B3777" t="str">
            <v>Malu Montesino</v>
          </cell>
        </row>
        <row r="3778">
          <cell r="A3778" t="str">
            <v>16.599.987/0001-42</v>
          </cell>
          <cell r="B3778" t="str">
            <v>Mariane Nascimento</v>
          </cell>
        </row>
        <row r="3779">
          <cell r="A3779" t="str">
            <v>16.599.987/0001-42</v>
          </cell>
          <cell r="B3779" t="str">
            <v>Mariane Nascimento</v>
          </cell>
        </row>
        <row r="3780">
          <cell r="A3780" t="str">
            <v>34.151.100/0001-30</v>
          </cell>
          <cell r="B3780" t="str">
            <v>Malu Montesino</v>
          </cell>
        </row>
        <row r="3781">
          <cell r="A3781" t="str">
            <v>13.991.890/0001-92</v>
          </cell>
          <cell r="B3781" t="str">
            <v>Malu Montesino</v>
          </cell>
        </row>
        <row r="3782">
          <cell r="A3782" t="str">
            <v>18.809.570/0001-92</v>
          </cell>
          <cell r="B3782" t="str">
            <v>Mariane Nascimento</v>
          </cell>
        </row>
        <row r="3783">
          <cell r="A3783" t="str">
            <v>33.373.325/0001-79</v>
          </cell>
          <cell r="B3783" t="str">
            <v>Mariane Nascimento</v>
          </cell>
        </row>
        <row r="3784">
          <cell r="A3784" t="str">
            <v>33.373.325/0001-79</v>
          </cell>
          <cell r="B3784" t="str">
            <v>Mariane Nascimento</v>
          </cell>
        </row>
        <row r="3785">
          <cell r="A3785" t="str">
            <v>09.485.574/0001-71</v>
          </cell>
          <cell r="B3785" t="str">
            <v>Mariane Nascimento</v>
          </cell>
        </row>
        <row r="3786">
          <cell r="A3786" t="str">
            <v>09.485.574/0001-71</v>
          </cell>
          <cell r="B3786" t="str">
            <v>Mariane Nascimento</v>
          </cell>
        </row>
        <row r="3787">
          <cell r="A3787" t="str">
            <v>09.485.574/0001-71</v>
          </cell>
          <cell r="B3787" t="str">
            <v>Mariane Nascimento</v>
          </cell>
        </row>
        <row r="3788">
          <cell r="A3788" t="str">
            <v>03.033.345/0001-30</v>
          </cell>
          <cell r="B3788" t="str">
            <v>Mariane Nascimento</v>
          </cell>
        </row>
        <row r="3789">
          <cell r="A3789" t="str">
            <v>03.033.345/0001-30</v>
          </cell>
          <cell r="B3789" t="str">
            <v>Mariane Nascimento</v>
          </cell>
        </row>
        <row r="3790">
          <cell r="A3790" t="str">
            <v>03.033.345/0001-30</v>
          </cell>
          <cell r="B3790" t="str">
            <v>Mariane Nascimento</v>
          </cell>
        </row>
        <row r="3791">
          <cell r="A3791" t="str">
            <v>03.735.193/0001-17</v>
          </cell>
          <cell r="B3791" t="str">
            <v>Mariane Nascimento</v>
          </cell>
        </row>
        <row r="3792">
          <cell r="A3792" t="str">
            <v>04.043.808/0001-07</v>
          </cell>
          <cell r="B3792" t="str">
            <v>Mariane Nascimento</v>
          </cell>
        </row>
        <row r="3793">
          <cell r="A3793" t="str">
            <v>04.043.808/0001-07</v>
          </cell>
          <cell r="B3793" t="str">
            <v>Mariane Nascimento</v>
          </cell>
        </row>
        <row r="3794">
          <cell r="A3794" t="str">
            <v>04.043.808/0001-07</v>
          </cell>
          <cell r="B3794" t="str">
            <v>Mariane Nascimento</v>
          </cell>
        </row>
        <row r="3795">
          <cell r="A3795" t="str">
            <v>65.010.415/0001-91</v>
          </cell>
          <cell r="B3795" t="str">
            <v>Mariane Nascimento</v>
          </cell>
        </row>
        <row r="3796">
          <cell r="A3796" t="str">
            <v>68.322.411/0001-37</v>
          </cell>
          <cell r="B3796" t="str">
            <v>Malu Montesino</v>
          </cell>
        </row>
        <row r="3797">
          <cell r="A3797" t="str">
            <v>68.322.411/0001-37</v>
          </cell>
          <cell r="B3797" t="str">
            <v>Malu Montesino</v>
          </cell>
        </row>
        <row r="3798">
          <cell r="A3798" t="str">
            <v>09.072.082/0002-35</v>
          </cell>
          <cell r="B3798" t="str">
            <v>Mariane Nascimento</v>
          </cell>
        </row>
        <row r="3799">
          <cell r="A3799" t="str">
            <v>06.980.064/0001-82</v>
          </cell>
          <cell r="B3799" t="str">
            <v>Malu Montesino</v>
          </cell>
        </row>
        <row r="3800">
          <cell r="A3800" t="str">
            <v>59.276.858/0001-26</v>
          </cell>
          <cell r="B3800" t="str">
            <v>Malu Montesino</v>
          </cell>
        </row>
        <row r="3801">
          <cell r="A3801" t="str">
            <v>08.176.258/0001-55</v>
          </cell>
          <cell r="B3801" t="str">
            <v>Malu Montesino</v>
          </cell>
        </row>
        <row r="3802">
          <cell r="A3802" t="str">
            <v>35.075.474/0001-87</v>
          </cell>
          <cell r="B3802" t="str">
            <v>Malu Montesino</v>
          </cell>
        </row>
        <row r="3803">
          <cell r="A3803" t="str">
            <v>35.075.474/0001-87</v>
          </cell>
          <cell r="B3803" t="str">
            <v>Malu Montesino</v>
          </cell>
        </row>
        <row r="3804">
          <cell r="A3804" t="str">
            <v>16.974.841/0001-30</v>
          </cell>
          <cell r="B3804" t="str">
            <v>Malu Montesino</v>
          </cell>
        </row>
        <row r="3805">
          <cell r="A3805" t="str">
            <v>16.974.841/0001-30</v>
          </cell>
          <cell r="B3805" t="str">
            <v>Malu Montesino</v>
          </cell>
        </row>
        <row r="3806">
          <cell r="A3806" t="str">
            <v>16.974.841/0001-30</v>
          </cell>
          <cell r="B3806" t="str">
            <v>Malu Montesino</v>
          </cell>
        </row>
        <row r="3807">
          <cell r="A3807" t="str">
            <v>34.958.955/0001-78</v>
          </cell>
          <cell r="B3807" t="str">
            <v>Malu Montesino</v>
          </cell>
        </row>
        <row r="3808">
          <cell r="A3808" t="str">
            <v>24.893.687/0011-71</v>
          </cell>
          <cell r="B3808" t="str">
            <v>Malu Montesino</v>
          </cell>
        </row>
        <row r="3809">
          <cell r="A3809" t="str">
            <v>24.893.687/0011-71</v>
          </cell>
          <cell r="B3809" t="str">
            <v>Malu Montesino</v>
          </cell>
        </row>
        <row r="3810">
          <cell r="A3810" t="str">
            <v>12.255.403/0001-60</v>
          </cell>
          <cell r="B3810" t="str">
            <v>Mariane Nascimento</v>
          </cell>
        </row>
        <row r="3811">
          <cell r="A3811" t="str">
            <v>12.255.403/0001-60</v>
          </cell>
          <cell r="B3811" t="str">
            <v>Mariane Nascimento</v>
          </cell>
        </row>
        <row r="3812">
          <cell r="A3812" t="str">
            <v>18.809.570/0001-92</v>
          </cell>
          <cell r="B3812" t="str">
            <v>Mariane Nascimento</v>
          </cell>
        </row>
        <row r="3813">
          <cell r="A3813" t="str">
            <v>06.019.610/0001-13</v>
          </cell>
          <cell r="B3813" t="str">
            <v>Mariane Nascimento</v>
          </cell>
        </row>
        <row r="3814">
          <cell r="A3814" t="str">
            <v>06.172.467/0001-03</v>
          </cell>
          <cell r="B3814" t="str">
            <v>Mariane Nascimento</v>
          </cell>
        </row>
        <row r="3815">
          <cell r="A3815" t="str">
            <v>02.535.707/0001-28</v>
          </cell>
          <cell r="B3815" t="str">
            <v>Mariane Nascimento</v>
          </cell>
        </row>
        <row r="3816">
          <cell r="A3816" t="str">
            <v>05.495.281/0001-14</v>
          </cell>
          <cell r="B3816" t="str">
            <v>Mariane Nascimento</v>
          </cell>
        </row>
        <row r="3817">
          <cell r="A3817" t="str">
            <v>45.231.016/0001-43</v>
          </cell>
          <cell r="B3817" t="str">
            <v>Malu Montesino</v>
          </cell>
        </row>
        <row r="3818">
          <cell r="A3818" t="str">
            <v>55.980.684/0001-27</v>
          </cell>
          <cell r="B3818" t="str">
            <v>Mariane Nascimento</v>
          </cell>
        </row>
        <row r="3819">
          <cell r="A3819" t="str">
            <v>67.718.874/0001-50</v>
          </cell>
          <cell r="B3819" t="str">
            <v>Malu Montesino</v>
          </cell>
        </row>
        <row r="3820">
          <cell r="A3820" t="str">
            <v>02.833.372/0001-24</v>
          </cell>
          <cell r="B3820" t="str">
            <v>Malu Montesino</v>
          </cell>
        </row>
        <row r="3821">
          <cell r="A3821" t="str">
            <v>27.098.270/0001-33</v>
          </cell>
          <cell r="B3821" t="str">
            <v>Malu Montesino</v>
          </cell>
        </row>
        <row r="3822">
          <cell r="A3822" t="str">
            <v>27.098.270/0001-33</v>
          </cell>
          <cell r="B3822" t="str">
            <v>Malu Montesino</v>
          </cell>
        </row>
        <row r="3823">
          <cell r="A3823" t="str">
            <v>79.879.318/0001-44</v>
          </cell>
          <cell r="B3823" t="str">
            <v>Malu Montesino</v>
          </cell>
        </row>
        <row r="3824">
          <cell r="A3824" t="str">
            <v>79.879.318/0001-44</v>
          </cell>
          <cell r="B3824" t="str">
            <v>Malu Montesino</v>
          </cell>
        </row>
        <row r="3825">
          <cell r="A3825" t="str">
            <v>79.879.318/0001-44</v>
          </cell>
          <cell r="B3825" t="str">
            <v>Malu Montesino</v>
          </cell>
        </row>
        <row r="3826">
          <cell r="A3826" t="str">
            <v>51.695.709/0001-90</v>
          </cell>
          <cell r="B3826" t="str">
            <v>Malu Montesino</v>
          </cell>
        </row>
        <row r="3827">
          <cell r="A3827" t="str">
            <v>20.260.776/0001-58</v>
          </cell>
          <cell r="B3827" t="str">
            <v>Malu Montesino</v>
          </cell>
        </row>
        <row r="3828">
          <cell r="A3828" t="str">
            <v>20.260.776/0001-58</v>
          </cell>
          <cell r="B3828" t="str">
            <v>Malu Montesino</v>
          </cell>
        </row>
        <row r="3829">
          <cell r="A3829" t="str">
            <v>61.881.058/0001-86</v>
          </cell>
          <cell r="B3829" t="str">
            <v>Malu Montesino</v>
          </cell>
        </row>
        <row r="3830">
          <cell r="A3830" t="str">
            <v>50.562.508/0001-51</v>
          </cell>
          <cell r="B3830" t="str">
            <v>Malu Montesino</v>
          </cell>
        </row>
        <row r="3831">
          <cell r="A3831" t="str">
            <v>42.611.727/0001-55</v>
          </cell>
          <cell r="B3831" t="str">
            <v>Malu Montesino</v>
          </cell>
        </row>
        <row r="3832">
          <cell r="A3832" t="str">
            <v>11.430.143/0001-50</v>
          </cell>
          <cell r="B3832" t="str">
            <v>Malu Montesino</v>
          </cell>
        </row>
        <row r="3833">
          <cell r="A3833" t="str">
            <v>06.007.487/0001-10</v>
          </cell>
          <cell r="B3833" t="str">
            <v>Malu Montesino</v>
          </cell>
        </row>
        <row r="3834">
          <cell r="A3834" t="str">
            <v>61.624.156/0001-38</v>
          </cell>
          <cell r="B3834" t="str">
            <v>Malu Montesino</v>
          </cell>
        </row>
        <row r="3835">
          <cell r="A3835" t="str">
            <v>42.356.002/0001-68</v>
          </cell>
          <cell r="B3835" t="str">
            <v>Malu Montesino</v>
          </cell>
        </row>
        <row r="3836">
          <cell r="A3836" t="str">
            <v>02.786.624/0002-92</v>
          </cell>
          <cell r="B3836" t="str">
            <v>Malu Montesino</v>
          </cell>
        </row>
        <row r="3837">
          <cell r="A3837" t="str">
            <v>48.312.980/0001-94</v>
          </cell>
          <cell r="B3837" t="str">
            <v>Malu Montesino</v>
          </cell>
        </row>
        <row r="3838">
          <cell r="A3838" t="str">
            <v>19.651.511/0001-00</v>
          </cell>
          <cell r="B3838" t="str">
            <v>Malu Montesino</v>
          </cell>
        </row>
        <row r="3839">
          <cell r="A3839" t="str">
            <v>37.325.063/0001-28</v>
          </cell>
          <cell r="B3839" t="str">
            <v>Malu Montesino</v>
          </cell>
        </row>
        <row r="3840">
          <cell r="A3840" t="str">
            <v>06.019.610/0001-13</v>
          </cell>
          <cell r="B3840" t="str">
            <v>Mariane Nascimento</v>
          </cell>
        </row>
        <row r="3841">
          <cell r="A3841" t="str">
            <v>76.492.701/0010-48</v>
          </cell>
          <cell r="B3841" t="str">
            <v>Malu Montesino</v>
          </cell>
        </row>
        <row r="3842">
          <cell r="A3842" t="str">
            <v>76.492.701/0010-48</v>
          </cell>
          <cell r="B3842" t="str">
            <v>Malu Montesino</v>
          </cell>
        </row>
        <row r="3843">
          <cell r="A3843" t="str">
            <v>62.802.012/0001-97</v>
          </cell>
          <cell r="B3843" t="str">
            <v>Mariane Nascimento</v>
          </cell>
        </row>
        <row r="3844">
          <cell r="A3844" t="str">
            <v>39.715.643/0001-57</v>
          </cell>
          <cell r="B3844" t="str">
            <v>Malu Montesino</v>
          </cell>
        </row>
        <row r="3845">
          <cell r="A3845" t="str">
            <v>39.715.643/0001-57</v>
          </cell>
          <cell r="B3845" t="str">
            <v>Malu Montesino</v>
          </cell>
        </row>
        <row r="3846">
          <cell r="A3846" t="str">
            <v>39.715.643/0001-57</v>
          </cell>
          <cell r="B3846" t="str">
            <v>Malu Montesino</v>
          </cell>
        </row>
        <row r="3847">
          <cell r="A3847" t="str">
            <v>55.980.684/0001-27</v>
          </cell>
          <cell r="B3847" t="str">
            <v>Mariane Nascimento</v>
          </cell>
        </row>
        <row r="3848">
          <cell r="A3848" t="str">
            <v>59.894.113/0001-20</v>
          </cell>
          <cell r="B3848" t="str">
            <v>Malu Montesino</v>
          </cell>
        </row>
        <row r="3849">
          <cell r="A3849" t="str">
            <v>12.882.932/0001-94</v>
          </cell>
          <cell r="B3849" t="str">
            <v>Mariane Nascimento</v>
          </cell>
        </row>
        <row r="3850">
          <cell r="A3850" t="str">
            <v>79.879.318/0001-44</v>
          </cell>
          <cell r="B3850" t="str">
            <v>Malu Montesino</v>
          </cell>
        </row>
        <row r="3851">
          <cell r="A3851" t="str">
            <v>20.260.776/0001-58</v>
          </cell>
          <cell r="B3851" t="str">
            <v>Malu Montesino</v>
          </cell>
        </row>
        <row r="3852">
          <cell r="A3852" t="str">
            <v>20.260.776/0001-58</v>
          </cell>
          <cell r="B3852" t="str">
            <v>Malu Montesino</v>
          </cell>
        </row>
        <row r="3853">
          <cell r="A3853" t="str">
            <v>11.430.143/0001-50</v>
          </cell>
          <cell r="B3853" t="str">
            <v>Malu Montesino</v>
          </cell>
        </row>
        <row r="3854">
          <cell r="A3854" t="str">
            <v>06.007.487/0001-10</v>
          </cell>
          <cell r="B3854" t="str">
            <v>Malu Montesino</v>
          </cell>
        </row>
        <row r="3855">
          <cell r="A3855" t="str">
            <v>61.624.156/0001-38</v>
          </cell>
          <cell r="B3855" t="str">
            <v>Malu Montesino</v>
          </cell>
        </row>
        <row r="3856">
          <cell r="A3856" t="str">
            <v>42.356.002/0001-68</v>
          </cell>
          <cell r="B3856" t="str">
            <v>Malu Montesino</v>
          </cell>
        </row>
        <row r="3857">
          <cell r="A3857" t="str">
            <v>41.037.849/0001-17</v>
          </cell>
          <cell r="B3857" t="str">
            <v>Mariane Nascimento</v>
          </cell>
        </row>
        <row r="3858">
          <cell r="A3858" t="str">
            <v>41.037.849/0001-17</v>
          </cell>
          <cell r="B3858" t="str">
            <v>Mariane Nascimento</v>
          </cell>
        </row>
        <row r="3859">
          <cell r="A3859" t="str">
            <v>41.037.849/0001-17</v>
          </cell>
          <cell r="B3859" t="str">
            <v>Mariane Nascimento</v>
          </cell>
        </row>
        <row r="3860">
          <cell r="A3860" t="str">
            <v>78.364.767/0001-97</v>
          </cell>
          <cell r="B3860" t="str">
            <v>Malu Montesino</v>
          </cell>
        </row>
        <row r="3861">
          <cell r="A3861" t="str">
            <v>78.364.767/0001-97</v>
          </cell>
          <cell r="B3861" t="str">
            <v>Malu Montesino</v>
          </cell>
        </row>
        <row r="3862">
          <cell r="A3862" t="str">
            <v>04.907.604/0001-77</v>
          </cell>
          <cell r="B3862" t="str">
            <v>Mariane Nascimento</v>
          </cell>
        </row>
        <row r="3863">
          <cell r="A3863" t="str">
            <v>04.907.604/0001-77</v>
          </cell>
          <cell r="B3863" t="str">
            <v>Mariane Nascimento</v>
          </cell>
        </row>
        <row r="3864">
          <cell r="A3864" t="str">
            <v>59.894.113/0001-20</v>
          </cell>
          <cell r="B3864" t="str">
            <v>Malu Montesino</v>
          </cell>
        </row>
        <row r="3865">
          <cell r="A3865" t="str">
            <v>10.472.968/0001-74</v>
          </cell>
          <cell r="B3865" t="str">
            <v>Malu Montesino</v>
          </cell>
        </row>
        <row r="3866">
          <cell r="A3866" t="str">
            <v>10.472.968/0001-74</v>
          </cell>
          <cell r="B3866" t="str">
            <v>Malu Montesino</v>
          </cell>
        </row>
        <row r="3867">
          <cell r="A3867" t="str">
            <v>10.472.968/0001-74</v>
          </cell>
          <cell r="B3867" t="str">
            <v>Malu Montesino</v>
          </cell>
        </row>
        <row r="3868">
          <cell r="A3868" t="str">
            <v>29.736.089/0001-30</v>
          </cell>
          <cell r="B3868" t="str">
            <v>Malu Montesino</v>
          </cell>
        </row>
        <row r="3869">
          <cell r="A3869" t="str">
            <v>29.736.089/0001-30</v>
          </cell>
          <cell r="B3869" t="str">
            <v>Malu Montesino</v>
          </cell>
        </row>
        <row r="3870">
          <cell r="A3870" t="str">
            <v>24.893.687/0011-71</v>
          </cell>
          <cell r="B3870" t="str">
            <v>Malu Montesino</v>
          </cell>
        </row>
        <row r="3871">
          <cell r="A3871" t="str">
            <v>13.991.890/0001-92</v>
          </cell>
          <cell r="B3871" t="str">
            <v>Malu Montesino</v>
          </cell>
        </row>
        <row r="3872">
          <cell r="A3872" t="str">
            <v>13.991.890/0001-92</v>
          </cell>
          <cell r="B3872" t="str">
            <v>Malu Montesino</v>
          </cell>
        </row>
        <row r="3873">
          <cell r="A3873" t="str">
            <v>19.001.659/0001-90</v>
          </cell>
          <cell r="B3873" t="str">
            <v>Mariane Nascimento</v>
          </cell>
        </row>
        <row r="3874">
          <cell r="A3874" t="str">
            <v>03.874.953/0001-77</v>
          </cell>
          <cell r="B3874" t="str">
            <v>Mariane Nascimento</v>
          </cell>
        </row>
        <row r="3875">
          <cell r="A3875" t="str">
            <v>03.874.953/0001-77</v>
          </cell>
          <cell r="B3875" t="str">
            <v>Mariane Nascimento</v>
          </cell>
        </row>
        <row r="3876">
          <cell r="A3876" t="str">
            <v>03.874.953/0001-77</v>
          </cell>
          <cell r="B3876" t="str">
            <v>Mariane Nascimento</v>
          </cell>
        </row>
        <row r="3877">
          <cell r="A3877" t="str">
            <v>62.413.869/0001-15</v>
          </cell>
          <cell r="B3877" t="str">
            <v>Mariane Nascimento</v>
          </cell>
        </row>
        <row r="3878">
          <cell r="A3878" t="str">
            <v>84.683.879/0001-03</v>
          </cell>
          <cell r="B3878" t="str">
            <v>Malu Montesino</v>
          </cell>
        </row>
        <row r="3879">
          <cell r="A3879" t="str">
            <v>84.683.879/0001-03</v>
          </cell>
          <cell r="B3879" t="str">
            <v>Malu Montesino</v>
          </cell>
        </row>
        <row r="3880">
          <cell r="A3880" t="str">
            <v>21.001.761/0001-38</v>
          </cell>
          <cell r="B3880" t="str">
            <v>Mariane Nascimento</v>
          </cell>
        </row>
        <row r="3881">
          <cell r="A3881" t="str">
            <v>08.221.047/0001-97</v>
          </cell>
          <cell r="B3881" t="str">
            <v>Mariane Nascimento</v>
          </cell>
        </row>
        <row r="3882">
          <cell r="A3882" t="str">
            <v>08.221.047/0001-97</v>
          </cell>
          <cell r="B3882" t="str">
            <v>Mariane Nascimento</v>
          </cell>
        </row>
        <row r="3883">
          <cell r="A3883" t="str">
            <v>11.405.384/0001-49</v>
          </cell>
          <cell r="B3883" t="str">
            <v>Malu Montesino</v>
          </cell>
        </row>
        <row r="3884">
          <cell r="A3884" t="str">
            <v>48.240.709/0001-90</v>
          </cell>
          <cell r="B3884" t="str">
            <v>Malu Montesino</v>
          </cell>
        </row>
        <row r="3885">
          <cell r="A3885" t="str">
            <v>26.852.877/0001-02</v>
          </cell>
          <cell r="B3885" t="str">
            <v>Malu Montesino</v>
          </cell>
        </row>
        <row r="3886">
          <cell r="A3886" t="str">
            <v>08.070.508/0001-78</v>
          </cell>
          <cell r="B3886" t="str">
            <v>Malu Montesino</v>
          </cell>
        </row>
        <row r="3887">
          <cell r="A3887" t="str">
            <v>08.070.508/0001-78</v>
          </cell>
          <cell r="B3887" t="str">
            <v>Malu Montesino</v>
          </cell>
        </row>
        <row r="3888">
          <cell r="A3888" t="str">
            <v>19.428.087/0001-20</v>
          </cell>
          <cell r="B3888" t="str">
            <v>Malu Montesino</v>
          </cell>
        </row>
        <row r="3889">
          <cell r="A3889" t="str">
            <v>10.313.717/0001-47</v>
          </cell>
          <cell r="B3889" t="str">
            <v>Malu Montesino</v>
          </cell>
        </row>
        <row r="3890">
          <cell r="A3890" t="str">
            <v>45.231.016/0001-43</v>
          </cell>
          <cell r="B3890" t="str">
            <v>Malu Montesino</v>
          </cell>
        </row>
        <row r="3891">
          <cell r="A3891" t="str">
            <v>38.229.195/0001-19</v>
          </cell>
          <cell r="B3891" t="str">
            <v>Malu Montesino</v>
          </cell>
        </row>
        <row r="3892">
          <cell r="A3892" t="str">
            <v>44.705.774/0001-93</v>
          </cell>
          <cell r="B3892" t="str">
            <v>Malu Montesino</v>
          </cell>
        </row>
        <row r="3893">
          <cell r="A3893" t="str">
            <v>44.705.774/0001-93</v>
          </cell>
          <cell r="B3893" t="str">
            <v>Malu Montesino</v>
          </cell>
        </row>
        <row r="3894">
          <cell r="A3894" t="str">
            <v>14.798.740/0001-20</v>
          </cell>
          <cell r="B3894" t="str">
            <v>Mariane Nascimento</v>
          </cell>
        </row>
        <row r="3895">
          <cell r="A3895" t="str">
            <v>14.798.740/0001-20</v>
          </cell>
          <cell r="B3895" t="str">
            <v>Mariane Nascimento</v>
          </cell>
        </row>
        <row r="3896">
          <cell r="A3896" t="str">
            <v>04.570.771/0001-75</v>
          </cell>
          <cell r="B3896" t="str">
            <v>Malu Montesino</v>
          </cell>
        </row>
        <row r="3897">
          <cell r="A3897" t="str">
            <v>59.894.113/0001-20</v>
          </cell>
          <cell r="B3897" t="str">
            <v>Malu Montesino</v>
          </cell>
        </row>
        <row r="3898">
          <cell r="A3898" t="str">
            <v>35.548.400/0001-10</v>
          </cell>
          <cell r="B3898" t="str">
            <v>Malu Montesino</v>
          </cell>
        </row>
        <row r="3899">
          <cell r="A3899" t="str">
            <v>89.674.782/0001-58</v>
          </cell>
          <cell r="B3899" t="str">
            <v>Malu Montesino</v>
          </cell>
        </row>
        <row r="3900">
          <cell r="A3900" t="str">
            <v>56.854.540/0001-97</v>
          </cell>
          <cell r="B3900" t="str">
            <v>Malu Montesino</v>
          </cell>
        </row>
        <row r="3901">
          <cell r="A3901" t="str">
            <v>08.579.382/0001-61</v>
          </cell>
          <cell r="B3901" t="str">
            <v>Malu Montesino</v>
          </cell>
        </row>
        <row r="3902">
          <cell r="A3902" t="str">
            <v>08.579.382/0001-61</v>
          </cell>
          <cell r="B3902" t="str">
            <v>Malu Montesino</v>
          </cell>
        </row>
        <row r="3903">
          <cell r="A3903" t="str">
            <v>10.313.717/0001-47</v>
          </cell>
          <cell r="B3903" t="str">
            <v>Malu Montesino</v>
          </cell>
        </row>
        <row r="3904">
          <cell r="A3904" t="str">
            <v>13.991.890/0001-92</v>
          </cell>
          <cell r="B3904" t="str">
            <v>Malu Montesino</v>
          </cell>
        </row>
        <row r="3905">
          <cell r="A3905" t="str">
            <v>08.579.382/0001-61</v>
          </cell>
          <cell r="B3905" t="str">
            <v>Malu Montesino</v>
          </cell>
        </row>
        <row r="3906">
          <cell r="A3906" t="str">
            <v>06.019.610/0001-13</v>
          </cell>
          <cell r="B3906" t="str">
            <v>Mariane Nascimento</v>
          </cell>
        </row>
        <row r="3907">
          <cell r="A3907" t="str">
            <v>76.492.701/0010-48</v>
          </cell>
          <cell r="B3907" t="str">
            <v>Malu Montesino</v>
          </cell>
        </row>
        <row r="3908">
          <cell r="A3908" t="str">
            <v>N/D</v>
          </cell>
          <cell r="B3908" t="str">
            <v>Mariane Nascimento</v>
          </cell>
        </row>
        <row r="3909">
          <cell r="A3909" t="str">
            <v>00.028.986/0001-08</v>
          </cell>
          <cell r="B3909" t="str">
            <v>Malu Montesino</v>
          </cell>
        </row>
        <row r="3910">
          <cell r="A3910" t="str">
            <v>06.990.590/0001-23</v>
          </cell>
          <cell r="B3910" t="str">
            <v>Malu Montesino</v>
          </cell>
        </row>
        <row r="3911">
          <cell r="A3911" t="str">
            <v>06.990.590/0001-23</v>
          </cell>
          <cell r="B3911" t="str">
            <v>Malu Montesino</v>
          </cell>
        </row>
        <row r="3912">
          <cell r="A3912" t="str">
            <v>06.990.590/0001-23</v>
          </cell>
          <cell r="B3912" t="str">
            <v>Malu Montesino</v>
          </cell>
        </row>
        <row r="3913">
          <cell r="A3913" t="str">
            <v>32.963.001/0001-28</v>
          </cell>
          <cell r="B3913" t="str">
            <v>Mariane Nascimento</v>
          </cell>
        </row>
        <row r="3914">
          <cell r="A3914" t="str">
            <v>73.159.246/0001-84</v>
          </cell>
          <cell r="B3914" t="str">
            <v>Malu Montesino</v>
          </cell>
        </row>
        <row r="3915">
          <cell r="A3915" t="str">
            <v>73.159.246/0001-84</v>
          </cell>
          <cell r="B3915" t="str">
            <v>Malu Montesino</v>
          </cell>
        </row>
        <row r="3916">
          <cell r="A3916" t="str">
            <v>63.975.320/0001-87</v>
          </cell>
          <cell r="B3916" t="str">
            <v>Malu Montesino</v>
          </cell>
        </row>
        <row r="3917">
          <cell r="A3917" t="str">
            <v>04.570.771/0001-75</v>
          </cell>
          <cell r="B3917" t="str">
            <v>Malu Montesino</v>
          </cell>
        </row>
        <row r="3918">
          <cell r="A3918" t="str">
            <v>79.879.318/0001-44</v>
          </cell>
          <cell r="B3918" t="str">
            <v>Malu Montesino</v>
          </cell>
        </row>
        <row r="3919">
          <cell r="A3919" t="str">
            <v>79.879.318/0001-44</v>
          </cell>
          <cell r="B3919" t="str">
            <v>Malu Montesino</v>
          </cell>
        </row>
        <row r="3920">
          <cell r="A3920" t="str">
            <v>39.715.643/0001-57</v>
          </cell>
          <cell r="B3920" t="str">
            <v>Malu Montesino</v>
          </cell>
        </row>
        <row r="3921">
          <cell r="A3921" t="str">
            <v>39.715.643/0001-57</v>
          </cell>
          <cell r="B3921" t="str">
            <v>Malu Montesino</v>
          </cell>
        </row>
        <row r="3922">
          <cell r="A3922" t="str">
            <v>44.705.774/0001-93</v>
          </cell>
          <cell r="B3922" t="str">
            <v>Malu Montesino</v>
          </cell>
        </row>
        <row r="3923">
          <cell r="A3923" t="str">
            <v>15.800.545/0001-50</v>
          </cell>
          <cell r="B3923" t="str">
            <v>Mariane Nascimento</v>
          </cell>
        </row>
        <row r="3924">
          <cell r="A3924" t="str">
            <v>13.578.869/0001-60</v>
          </cell>
          <cell r="B3924" t="str">
            <v>Mariane Nascimento</v>
          </cell>
        </row>
        <row r="3925">
          <cell r="A3925" t="str">
            <v>67.718.874/0001-50</v>
          </cell>
          <cell r="B3925" t="str">
            <v>Malu Montesino</v>
          </cell>
        </row>
        <row r="3926">
          <cell r="A3926" t="str">
            <v>20.782.880/0001-02</v>
          </cell>
          <cell r="B3926" t="str">
            <v>Mariane Nascimento</v>
          </cell>
        </row>
        <row r="3927">
          <cell r="A3927" t="str">
            <v>30.309.296/0001-98</v>
          </cell>
          <cell r="B3927" t="str">
            <v>Malu Montesino</v>
          </cell>
        </row>
        <row r="3928">
          <cell r="A3928" t="str">
            <v>35.548.400/0001-10</v>
          </cell>
          <cell r="B3928" t="str">
            <v>Malu Montesino</v>
          </cell>
        </row>
        <row r="3929">
          <cell r="A3929" t="str">
            <v>35.548.400/0001-10</v>
          </cell>
          <cell r="B3929" t="str">
            <v>Malu Montesino</v>
          </cell>
        </row>
        <row r="3930">
          <cell r="A3930" t="str">
            <v>79.879.318/0001-44</v>
          </cell>
          <cell r="B3930" t="str">
            <v>Malu Montesino</v>
          </cell>
        </row>
        <row r="3931">
          <cell r="A3931" t="str">
            <v>39.715.643/0001-57</v>
          </cell>
          <cell r="B3931" t="str">
            <v>Malu Montesino</v>
          </cell>
        </row>
        <row r="3932">
          <cell r="A3932" t="str">
            <v>39.715.643/0001-57</v>
          </cell>
          <cell r="B3932" t="str">
            <v>Malu Montesino</v>
          </cell>
        </row>
        <row r="3933">
          <cell r="A3933" t="str">
            <v>56.998.701/0001-16</v>
          </cell>
          <cell r="B3933" t="str">
            <v>Malu Montesino</v>
          </cell>
        </row>
        <row r="3934">
          <cell r="A3934" t="str">
            <v>01.449.930/0001-90</v>
          </cell>
          <cell r="B3934" t="str">
            <v>Malu Montesino</v>
          </cell>
        </row>
        <row r="3935">
          <cell r="A3935" t="str">
            <v>03.874.953/0001-77</v>
          </cell>
          <cell r="B3935" t="str">
            <v>Mariane Nascimento</v>
          </cell>
        </row>
        <row r="3936">
          <cell r="A3936" t="str">
            <v>03.874.953/0001-77</v>
          </cell>
          <cell r="B3936" t="str">
            <v>Mariane Nascimento</v>
          </cell>
        </row>
        <row r="3937">
          <cell r="A3937" t="str">
            <v>32.963.001/0001-28</v>
          </cell>
          <cell r="B3937" t="str">
            <v>Mariane Nascimento</v>
          </cell>
        </row>
        <row r="3938">
          <cell r="A3938" t="str">
            <v>32.963.001/0001-28</v>
          </cell>
          <cell r="B3938" t="str">
            <v>Mariane Nascimento</v>
          </cell>
        </row>
        <row r="3939">
          <cell r="A3939" t="str">
            <v>15.284.176/0001-90</v>
          </cell>
          <cell r="B3939" t="str">
            <v>Malu Montesino</v>
          </cell>
        </row>
        <row r="3940">
          <cell r="A3940" t="str">
            <v>15.284.176/0001-90</v>
          </cell>
          <cell r="B3940" t="str">
            <v>Malu Montesino</v>
          </cell>
        </row>
        <row r="3941">
          <cell r="A3941" t="str">
            <v>15.284.176/0001-90</v>
          </cell>
          <cell r="B3941" t="str">
            <v>Malu Montesino</v>
          </cell>
        </row>
        <row r="3942">
          <cell r="A3942" t="str">
            <v>06.045.864/0001-06</v>
          </cell>
          <cell r="B3942" t="str">
            <v>Mariane Nascimento</v>
          </cell>
        </row>
        <row r="3943">
          <cell r="A3943" t="str">
            <v>73.159.246/0001-84</v>
          </cell>
          <cell r="B3943" t="str">
            <v>Malu Montesino</v>
          </cell>
        </row>
        <row r="3944">
          <cell r="A3944" t="str">
            <v>44.705.774/0001-93</v>
          </cell>
          <cell r="B3944" t="str">
            <v>Malu Montesino</v>
          </cell>
        </row>
        <row r="3945">
          <cell r="A3945" t="str">
            <v>44.705.774/0001-93</v>
          </cell>
          <cell r="B3945" t="str">
            <v>Malu Montesino</v>
          </cell>
        </row>
        <row r="3946">
          <cell r="A3946" t="str">
            <v>15.800.545/0001-50</v>
          </cell>
          <cell r="B3946" t="str">
            <v>Mariane Nascimento</v>
          </cell>
        </row>
        <row r="3947">
          <cell r="A3947" t="str">
            <v>15.800.545/0001-50</v>
          </cell>
          <cell r="B3947" t="str">
            <v>Mariane Nascimento</v>
          </cell>
        </row>
        <row r="3948">
          <cell r="A3948" t="str">
            <v>52.556.578/0001-22</v>
          </cell>
          <cell r="B3948" t="str">
            <v>Mariane Nascimento</v>
          </cell>
        </row>
        <row r="3949">
          <cell r="A3949" t="str">
            <v>52.556.578/0001-22</v>
          </cell>
          <cell r="B3949" t="str">
            <v>Mariane Nascimento</v>
          </cell>
        </row>
        <row r="3950">
          <cell r="A3950" t="str">
            <v>35.075.474/0001-87</v>
          </cell>
          <cell r="B3950" t="str">
            <v>Malu Montesino</v>
          </cell>
        </row>
        <row r="3951">
          <cell r="A3951" t="str">
            <v>41.037.849/0001-17</v>
          </cell>
          <cell r="B3951" t="str">
            <v>Mariane Nascimento</v>
          </cell>
        </row>
        <row r="3952">
          <cell r="A3952" t="str">
            <v>41.037.849/0001-17</v>
          </cell>
          <cell r="B3952" t="str">
            <v>Mariane Nascimento</v>
          </cell>
        </row>
        <row r="3953">
          <cell r="A3953" t="str">
            <v>41.037.849/0001-17</v>
          </cell>
          <cell r="B3953" t="str">
            <v>Mariane Nascimento</v>
          </cell>
        </row>
        <row r="3954">
          <cell r="A3954" t="str">
            <v>44.705.774/0001-93</v>
          </cell>
          <cell r="B3954" t="str">
            <v>Malu Montesino</v>
          </cell>
        </row>
        <row r="3955">
          <cell r="A3955" t="str">
            <v>27.061.442/0001-02</v>
          </cell>
          <cell r="B3955" t="str">
            <v>Malu Montesino</v>
          </cell>
        </row>
        <row r="3956">
          <cell r="A3956" t="str">
            <v>27.061.442/0001-02</v>
          </cell>
          <cell r="B3956" t="str">
            <v>Malu Montesino</v>
          </cell>
        </row>
        <row r="3957">
          <cell r="A3957" t="str">
            <v>27.061.442/0001-02</v>
          </cell>
          <cell r="B3957" t="str">
            <v>Malu Montesino</v>
          </cell>
        </row>
        <row r="3958">
          <cell r="A3958" t="str">
            <v>56.998.701/0001-16</v>
          </cell>
          <cell r="B3958" t="str">
            <v>Malu Montesino</v>
          </cell>
        </row>
        <row r="3959">
          <cell r="A3959" t="str">
            <v>56.998.982/0001-07</v>
          </cell>
          <cell r="B3959" t="str">
            <v>Malu Montesino</v>
          </cell>
        </row>
        <row r="3960">
          <cell r="A3960" t="str">
            <v>24.893.687/0011-71</v>
          </cell>
          <cell r="B3960" t="str">
            <v>Malu Montesino</v>
          </cell>
        </row>
        <row r="3961">
          <cell r="A3961" t="str">
            <v>33.373.325/0001-79</v>
          </cell>
          <cell r="B3961" t="str">
            <v>Mariane Nascimento</v>
          </cell>
        </row>
        <row r="3962">
          <cell r="A3962" t="str">
            <v>60.680.873/0001-14</v>
          </cell>
          <cell r="B3962" t="str">
            <v>Malu Montesino</v>
          </cell>
        </row>
        <row r="3963">
          <cell r="A3963" t="str">
            <v>09.072.082/0002-35</v>
          </cell>
          <cell r="B3963" t="str">
            <v>Mariane Nascimento</v>
          </cell>
        </row>
        <row r="3964">
          <cell r="A3964" t="str">
            <v>45.231.016/0001-43</v>
          </cell>
          <cell r="B3964" t="str">
            <v>Malu Montesino</v>
          </cell>
        </row>
        <row r="3965">
          <cell r="A3965" t="str">
            <v>45.231.016/0001-43</v>
          </cell>
          <cell r="B3965" t="str">
            <v>Malu Montesino</v>
          </cell>
        </row>
        <row r="3966">
          <cell r="A3966" t="str">
            <v>71.680.193/0010-08</v>
          </cell>
          <cell r="B3966" t="str">
            <v>Malu Montesino</v>
          </cell>
        </row>
        <row r="3967">
          <cell r="A3967" t="str">
            <v>71.680.193/0010-08</v>
          </cell>
          <cell r="B3967" t="str">
            <v>Malu Montesino</v>
          </cell>
        </row>
        <row r="3968">
          <cell r="A3968" t="str">
            <v>67.718.874/0001-50</v>
          </cell>
          <cell r="B3968" t="str">
            <v>Malu Montesino</v>
          </cell>
        </row>
        <row r="3969">
          <cell r="A3969" t="str">
            <v>52.556.578/0001-22</v>
          </cell>
          <cell r="B3969" t="str">
            <v>Mariane Nascimento</v>
          </cell>
        </row>
        <row r="3970">
          <cell r="A3970" t="str">
            <v>64.810.955/0001-97</v>
          </cell>
          <cell r="B3970" t="str">
            <v>Malu Montesino</v>
          </cell>
        </row>
        <row r="3971">
          <cell r="A3971" t="str">
            <v>27.098.270/0001-33</v>
          </cell>
          <cell r="B3971" t="str">
            <v>Malu Montesino</v>
          </cell>
        </row>
        <row r="3972">
          <cell r="A3972" t="str">
            <v>56.998.701/0001-16</v>
          </cell>
          <cell r="B3972" t="str">
            <v>Malu Montesino</v>
          </cell>
        </row>
        <row r="3973">
          <cell r="A3973" t="str">
            <v>56.998.982/0001-07</v>
          </cell>
          <cell r="B3973" t="str">
            <v>Malu Montesino</v>
          </cell>
        </row>
        <row r="3974">
          <cell r="A3974" t="str">
            <v>48.240.709/0001-90</v>
          </cell>
          <cell r="B3974" t="str">
            <v>Malu Montesino</v>
          </cell>
        </row>
        <row r="3975">
          <cell r="A3975" t="str">
            <v>48.240.709/0001-90</v>
          </cell>
          <cell r="B3975" t="str">
            <v>Malu Montesino</v>
          </cell>
        </row>
        <row r="3976">
          <cell r="A3976" t="str">
            <v>07.935.049/0001-85</v>
          </cell>
          <cell r="B3976" t="str">
            <v>Malu Montesino</v>
          </cell>
        </row>
        <row r="3977">
          <cell r="A3977" t="str">
            <v>07.935.049/0001-85</v>
          </cell>
          <cell r="B3977" t="str">
            <v>Malu Montesino</v>
          </cell>
        </row>
        <row r="3978">
          <cell r="A3978" t="str">
            <v>52.079.388/0001-61</v>
          </cell>
          <cell r="B3978" t="str">
            <v>Malu Montesino</v>
          </cell>
        </row>
        <row r="3979">
          <cell r="A3979" t="str">
            <v>52.273.785/0001-70</v>
          </cell>
          <cell r="B3979" t="str">
            <v>Malu Montesino</v>
          </cell>
        </row>
        <row r="3980">
          <cell r="A3980" t="str">
            <v>71.320.915/0001-22</v>
          </cell>
          <cell r="B3980" t="str">
            <v>Malu Montesino</v>
          </cell>
        </row>
        <row r="3981">
          <cell r="A3981" t="str">
            <v>07.573.497/0001-86</v>
          </cell>
          <cell r="B3981" t="str">
            <v>Malu Montesino</v>
          </cell>
        </row>
        <row r="3982">
          <cell r="A3982" t="str">
            <v>07.573.497/0001-86</v>
          </cell>
          <cell r="B3982" t="str">
            <v>Malu Montesino</v>
          </cell>
        </row>
        <row r="3983">
          <cell r="A3983" t="str">
            <v>01.298.443/0001-73</v>
          </cell>
          <cell r="B3983" t="str">
            <v>Malu Montesino</v>
          </cell>
        </row>
        <row r="3984">
          <cell r="A3984" t="str">
            <v>42.972.345/0001-57</v>
          </cell>
          <cell r="B3984" t="str">
            <v>Mariane Nascimento</v>
          </cell>
        </row>
        <row r="3985">
          <cell r="A3985" t="str">
            <v>00.874.929/0001-40</v>
          </cell>
          <cell r="B3985" t="str">
            <v>Mariane Nascimento</v>
          </cell>
        </row>
        <row r="3986">
          <cell r="A3986" t="str">
            <v>35.548.400/0001-10</v>
          </cell>
          <cell r="B3986" t="str">
            <v>Malu Montesino</v>
          </cell>
        </row>
        <row r="3987">
          <cell r="A3987" t="str">
            <v>35.548.400/0001-10</v>
          </cell>
          <cell r="B3987" t="str">
            <v>Malu Montesino</v>
          </cell>
        </row>
        <row r="3988">
          <cell r="A3988" t="str">
            <v>35.548.400/0001-10</v>
          </cell>
          <cell r="B3988" t="str">
            <v>Malu Montesino</v>
          </cell>
        </row>
        <row r="3989">
          <cell r="A3989" t="str">
            <v>35.548.400/0001-10</v>
          </cell>
          <cell r="B3989" t="str">
            <v>Malu Montesino</v>
          </cell>
        </row>
        <row r="3990">
          <cell r="A3990" t="str">
            <v>27.061.442/0001-02</v>
          </cell>
          <cell r="B3990" t="str">
            <v>Malu Montesino</v>
          </cell>
        </row>
        <row r="3991">
          <cell r="A3991" t="str">
            <v>03.770.521/0001-16</v>
          </cell>
          <cell r="B3991" t="str">
            <v>Malu Montesino</v>
          </cell>
        </row>
        <row r="3992">
          <cell r="A3992" t="str">
            <v>03.770.521/0001-16</v>
          </cell>
          <cell r="B3992" t="str">
            <v>Malu Montesino</v>
          </cell>
        </row>
        <row r="3993">
          <cell r="A3993" t="str">
            <v>03.770.521/0001-16</v>
          </cell>
          <cell r="B3993" t="str">
            <v>Malu Montesino</v>
          </cell>
        </row>
        <row r="3994">
          <cell r="A3994" t="str">
            <v>03.770.521/0001-16</v>
          </cell>
          <cell r="B3994" t="str">
            <v>Malu Montesino</v>
          </cell>
        </row>
        <row r="3995">
          <cell r="A3995" t="str">
            <v>62.334.156/0001-66</v>
          </cell>
          <cell r="B3995" t="str">
            <v>Malu Montesino</v>
          </cell>
        </row>
        <row r="3996">
          <cell r="A3996" t="str">
            <v>24.893.687/0011-71</v>
          </cell>
          <cell r="B3996" t="str">
            <v>Malu Montesino</v>
          </cell>
        </row>
        <row r="3997">
          <cell r="A3997" t="str">
            <v>01.449.930/0001-90</v>
          </cell>
          <cell r="B3997" t="str">
            <v>Malu Montesino</v>
          </cell>
        </row>
        <row r="3998">
          <cell r="A3998" t="str">
            <v>01.449.930/0001-90</v>
          </cell>
          <cell r="B3998" t="str">
            <v>Malu Montesino</v>
          </cell>
        </row>
        <row r="3999">
          <cell r="A3999" t="str">
            <v>02.162.259/0001-64</v>
          </cell>
          <cell r="B3999" t="str">
            <v>Malu Montesino</v>
          </cell>
        </row>
        <row r="4000">
          <cell r="A4000" t="str">
            <v>00.028.986/0001-08</v>
          </cell>
          <cell r="B4000" t="str">
            <v>Malu Montesino</v>
          </cell>
        </row>
        <row r="4001">
          <cell r="A4001" t="str">
            <v>01.123.973/0001-80</v>
          </cell>
          <cell r="B4001" t="str">
            <v>Malu Montesino</v>
          </cell>
        </row>
        <row r="4002">
          <cell r="A4002" t="str">
            <v>01.123.973/0001-80</v>
          </cell>
          <cell r="B4002" t="str">
            <v>Malu Montesino</v>
          </cell>
        </row>
        <row r="4003">
          <cell r="A4003" t="str">
            <v>01.177.248/0001-95</v>
          </cell>
          <cell r="B4003" t="str">
            <v>Malu Montesino</v>
          </cell>
        </row>
        <row r="4004">
          <cell r="A4004" t="str">
            <v>52.273.785/0001-70</v>
          </cell>
          <cell r="B4004" t="str">
            <v>Malu Montesino</v>
          </cell>
        </row>
        <row r="4005">
          <cell r="A4005" t="str">
            <v>19.428.087/0001-20</v>
          </cell>
          <cell r="B4005" t="str">
            <v>Malu Montesino</v>
          </cell>
        </row>
        <row r="4006">
          <cell r="A4006" t="str">
            <v>19.428.087/0001-20</v>
          </cell>
          <cell r="B4006" t="str">
            <v>Malu Montesino</v>
          </cell>
        </row>
        <row r="4007">
          <cell r="A4007" t="str">
            <v>71.320.915/0001-22</v>
          </cell>
          <cell r="B4007" t="str">
            <v>Malu Montesino</v>
          </cell>
        </row>
        <row r="4008">
          <cell r="A4008" t="str">
            <v>01.449.930/0001-90</v>
          </cell>
          <cell r="B4008" t="str">
            <v>Malu Montesino</v>
          </cell>
        </row>
        <row r="4009">
          <cell r="A4009" t="str">
            <v>52.273.785/0001-70</v>
          </cell>
          <cell r="B4009" t="str">
            <v>Malu Montesino</v>
          </cell>
        </row>
        <row r="4010">
          <cell r="A4010" t="str">
            <v>27.061.442/0001-02</v>
          </cell>
          <cell r="B4010" t="str">
            <v>Malu Montesino</v>
          </cell>
        </row>
        <row r="4011">
          <cell r="A4011" t="str">
            <v>56.998.982/0001-07</v>
          </cell>
          <cell r="B4011" t="str">
            <v>Malu Montesino</v>
          </cell>
        </row>
        <row r="4012">
          <cell r="A4012" t="str">
            <v>24.893.687/0011-71</v>
          </cell>
          <cell r="B4012" t="str">
            <v>Malu Montesino</v>
          </cell>
        </row>
        <row r="4013">
          <cell r="A4013" t="str">
            <v>18.809.570/0001-92</v>
          </cell>
          <cell r="B4013" t="str">
            <v>Mariane Nascimento</v>
          </cell>
        </row>
        <row r="4014">
          <cell r="A4014" t="str">
            <v>03.874.953/0001-77</v>
          </cell>
          <cell r="B4014" t="str">
            <v>Mariane Nascimento</v>
          </cell>
        </row>
        <row r="4015">
          <cell r="A4015" t="str">
            <v>02.629.588/0001-72</v>
          </cell>
          <cell r="B4015" t="str">
            <v>Malu Montesino</v>
          </cell>
        </row>
        <row r="4016">
          <cell r="A4016" t="str">
            <v>79.805.263/0001-28</v>
          </cell>
          <cell r="B4016" t="str">
            <v>Malu Montesino</v>
          </cell>
        </row>
        <row r="4017">
          <cell r="A4017" t="str">
            <v>26.852.877/0001-02</v>
          </cell>
          <cell r="B4017" t="str">
            <v>Malu Montesino</v>
          </cell>
        </row>
        <row r="4018">
          <cell r="A4018" t="str">
            <v>26.852.877/0001-02</v>
          </cell>
          <cell r="B4018" t="str">
            <v>Malu Montesino</v>
          </cell>
        </row>
        <row r="4019">
          <cell r="A4019" t="str">
            <v>10.560.660/0001-80</v>
          </cell>
          <cell r="B4019" t="str">
            <v>Malu Montesino</v>
          </cell>
        </row>
        <row r="4020">
          <cell r="A4020" t="str">
            <v>40.829.708/0001-74</v>
          </cell>
          <cell r="B4020" t="str">
            <v>Malu Montesino</v>
          </cell>
        </row>
        <row r="4021">
          <cell r="A4021" t="str">
            <v>53.476.057/0001-28</v>
          </cell>
          <cell r="B4021" t="str">
            <v>Malu Montesino</v>
          </cell>
        </row>
        <row r="4022">
          <cell r="A4022" t="str">
            <v>53.476.057/0001-28</v>
          </cell>
          <cell r="B4022" t="str">
            <v>Malu Montesino</v>
          </cell>
        </row>
        <row r="4023">
          <cell r="A4023" t="str">
            <v>53.476.057/0001-28</v>
          </cell>
          <cell r="B4023" t="str">
            <v>Malu Montesino</v>
          </cell>
        </row>
        <row r="4024">
          <cell r="A4024" t="str">
            <v>20.513.627/0001-53</v>
          </cell>
          <cell r="B4024" t="str">
            <v>Malu Montesino</v>
          </cell>
        </row>
        <row r="4025">
          <cell r="A4025" t="str">
            <v>01.298.443/0001-73</v>
          </cell>
          <cell r="B4025" t="str">
            <v>Malu Montesino</v>
          </cell>
        </row>
        <row r="4026">
          <cell r="A4026" t="str">
            <v>39.715.643/0001-57</v>
          </cell>
          <cell r="B4026" t="str">
            <v>Malu Montesino</v>
          </cell>
        </row>
        <row r="4027">
          <cell r="A4027" t="str">
            <v>39.715.643/0001-57</v>
          </cell>
          <cell r="B4027" t="str">
            <v>Malu Montesino</v>
          </cell>
        </row>
        <row r="4028">
          <cell r="A4028" t="str">
            <v>39.715.643/0001-57</v>
          </cell>
          <cell r="B4028" t="str">
            <v>Malu Montesino</v>
          </cell>
        </row>
        <row r="4029">
          <cell r="A4029" t="str">
            <v>44.705.774/0001-93</v>
          </cell>
          <cell r="B4029" t="str">
            <v>Malu Montesino</v>
          </cell>
        </row>
        <row r="4030">
          <cell r="A4030" t="str">
            <v>44.705.774/0001-93</v>
          </cell>
          <cell r="B4030" t="str">
            <v>Malu Montesino</v>
          </cell>
        </row>
        <row r="4031">
          <cell r="A4031" t="str">
            <v>35.075.474/0001-87</v>
          </cell>
          <cell r="B4031" t="str">
            <v>Malu Montesino</v>
          </cell>
        </row>
        <row r="4032">
          <cell r="A4032" t="str">
            <v>35.075.474/0001-87</v>
          </cell>
          <cell r="B4032" t="str">
            <v>Malu Montesino</v>
          </cell>
        </row>
        <row r="4033">
          <cell r="A4033" t="str">
            <v>35.715.234/0001-08</v>
          </cell>
          <cell r="B4033" t="str">
            <v>Malu Montesino</v>
          </cell>
        </row>
        <row r="4034">
          <cell r="A4034" t="str">
            <v>35.715.234/0001-08</v>
          </cell>
          <cell r="B4034" t="str">
            <v>Malu Montesino</v>
          </cell>
        </row>
        <row r="4035">
          <cell r="A4035" t="str">
            <v>79.879.318/0001-44</v>
          </cell>
          <cell r="B4035" t="str">
            <v>Malu Montesino</v>
          </cell>
        </row>
        <row r="4036">
          <cell r="A4036" t="str">
            <v>79.879.318/0001-44</v>
          </cell>
          <cell r="B4036" t="str">
            <v>Malu Montesino</v>
          </cell>
        </row>
        <row r="4037">
          <cell r="A4037" t="str">
            <v>35.548.400/0001-10</v>
          </cell>
          <cell r="B4037" t="str">
            <v>Malu Montesino</v>
          </cell>
        </row>
        <row r="4038">
          <cell r="A4038" t="str">
            <v>24.893.687/0011-71</v>
          </cell>
          <cell r="B4038" t="str">
            <v>Malu Montesino</v>
          </cell>
        </row>
        <row r="4039">
          <cell r="A4039" t="str">
            <v>62.334.156/0001-66</v>
          </cell>
          <cell r="B4039" t="str">
            <v>Malu Montesino</v>
          </cell>
        </row>
        <row r="4040">
          <cell r="A4040" t="str">
            <v>59.104.422/0001-50</v>
          </cell>
          <cell r="B4040" t="str">
            <v>Malu Montesino</v>
          </cell>
        </row>
        <row r="4041">
          <cell r="A4041" t="str">
            <v>59.275.792/0001-50</v>
          </cell>
          <cell r="B4041" t="str">
            <v>Malu Montesino</v>
          </cell>
        </row>
        <row r="4042">
          <cell r="A4042" t="str">
            <v>59.275.792/0001-50</v>
          </cell>
          <cell r="B4042" t="str">
            <v>Malu Montesino</v>
          </cell>
        </row>
        <row r="4043">
          <cell r="A4043" t="str">
            <v>12.255.403/0001-60</v>
          </cell>
          <cell r="B4043" t="str">
            <v>Mariane Nascimento</v>
          </cell>
        </row>
        <row r="4044">
          <cell r="A4044" t="str">
            <v>13.991.890/0001-92</v>
          </cell>
          <cell r="B4044" t="str">
            <v>Malu Montesino</v>
          </cell>
        </row>
        <row r="4045">
          <cell r="A4045" t="str">
            <v>08.221.047/0001-97</v>
          </cell>
          <cell r="B4045" t="str">
            <v>Mariane Nascimento</v>
          </cell>
        </row>
        <row r="4046">
          <cell r="A4046" t="str">
            <v>08.221.047/0001-97</v>
          </cell>
          <cell r="B4046" t="str">
            <v>Mariane Nascimento</v>
          </cell>
        </row>
        <row r="4047">
          <cell r="A4047" t="str">
            <v>09.072.082/0002-35</v>
          </cell>
          <cell r="B4047" t="str">
            <v>Mariane Nascimento</v>
          </cell>
        </row>
        <row r="4048">
          <cell r="A4048" t="str">
            <v>09.072.082/0002-35</v>
          </cell>
          <cell r="B4048" t="str">
            <v>Mariane Nascimento</v>
          </cell>
        </row>
        <row r="4049">
          <cell r="A4049" t="str">
            <v>08.070.508/0001-78</v>
          </cell>
          <cell r="B4049" t="str">
            <v>Malu Montesino</v>
          </cell>
        </row>
        <row r="4050">
          <cell r="A4050" t="str">
            <v>08.070.508/0001-78</v>
          </cell>
          <cell r="B4050" t="str">
            <v>Malu Montesino</v>
          </cell>
        </row>
        <row r="4051">
          <cell r="A4051" t="str">
            <v>08.070.508/0001-78</v>
          </cell>
          <cell r="B4051" t="str">
            <v>Malu Montesino</v>
          </cell>
        </row>
        <row r="4052">
          <cell r="A4052" t="str">
            <v>08.070.508/0001-78</v>
          </cell>
          <cell r="B4052" t="str">
            <v>Malu Montesino</v>
          </cell>
        </row>
        <row r="4053">
          <cell r="A4053" t="str">
            <v>03.944.724/0001-81</v>
          </cell>
          <cell r="B4053" t="str">
            <v>Malu Montesino</v>
          </cell>
        </row>
        <row r="4054">
          <cell r="A4054" t="str">
            <v>71.320.915/0001-22</v>
          </cell>
          <cell r="B4054" t="str">
            <v>Malu Montesino</v>
          </cell>
        </row>
        <row r="4055">
          <cell r="A4055" t="str">
            <v>39.695.610/0001-92</v>
          </cell>
          <cell r="B4055" t="str">
            <v>Malu Montesino</v>
          </cell>
        </row>
        <row r="4056">
          <cell r="A4056" t="str">
            <v>78.364.767/0001-97</v>
          </cell>
          <cell r="B4056" t="str">
            <v>Malu Montesino</v>
          </cell>
        </row>
        <row r="4057">
          <cell r="A4057" t="str">
            <v>78.364.767/0001-97</v>
          </cell>
          <cell r="B4057" t="str">
            <v>Malu Montesino</v>
          </cell>
        </row>
        <row r="4058">
          <cell r="A4058" t="str">
            <v>59.275.792/0001-50</v>
          </cell>
          <cell r="B4058" t="str">
            <v>Malu Montesino</v>
          </cell>
        </row>
        <row r="4059">
          <cell r="A4059" t="str">
            <v>01.449.930/0001-90</v>
          </cell>
          <cell r="B4059" t="str">
            <v>Malu Montesino</v>
          </cell>
        </row>
        <row r="4060">
          <cell r="A4060" t="str">
            <v>13.991.890/0001-92</v>
          </cell>
          <cell r="B4060" t="str">
            <v>Malu Montesino</v>
          </cell>
        </row>
        <row r="4061">
          <cell r="A4061" t="str">
            <v>13.991.890/0001-92</v>
          </cell>
          <cell r="B4061" t="str">
            <v>Malu Montesino</v>
          </cell>
        </row>
        <row r="4062">
          <cell r="A4062" t="str">
            <v>13.991.890/0001-92</v>
          </cell>
          <cell r="B4062" t="str">
            <v>Malu Montesino</v>
          </cell>
        </row>
        <row r="4063">
          <cell r="A4063" t="str">
            <v>09.485.574/0001-71</v>
          </cell>
          <cell r="B4063" t="str">
            <v>Mariane Nascimento</v>
          </cell>
        </row>
        <row r="4064">
          <cell r="A4064" t="str">
            <v>02.162.259/0001-64</v>
          </cell>
          <cell r="B4064" t="str">
            <v>Malu Montesino</v>
          </cell>
        </row>
        <row r="4065">
          <cell r="A4065" t="str">
            <v>01.417.222/0001-77</v>
          </cell>
          <cell r="B4065" t="str">
            <v>Malu Montesino</v>
          </cell>
        </row>
        <row r="4066">
          <cell r="A4066" t="str">
            <v>82.429.994/0001-20</v>
          </cell>
          <cell r="B4066" t="str">
            <v>Malu Montesino</v>
          </cell>
        </row>
        <row r="4067">
          <cell r="A4067" t="str">
            <v>02.248.312/0001-44</v>
          </cell>
          <cell r="B4067" t="str">
            <v>Malu Montesino</v>
          </cell>
        </row>
        <row r="4068">
          <cell r="A4068" t="str">
            <v>82.749.987/0001-06</v>
          </cell>
          <cell r="B4068" t="str">
            <v>Malu Montesino</v>
          </cell>
        </row>
        <row r="4069">
          <cell r="A4069" t="str">
            <v>00.549.740/0001-81</v>
          </cell>
          <cell r="B4069" t="str">
            <v>Malu Montesino</v>
          </cell>
        </row>
        <row r="4070">
          <cell r="A4070" t="str">
            <v>07.534.686/0001-40</v>
          </cell>
          <cell r="B4070" t="str">
            <v>Malu Montesino</v>
          </cell>
        </row>
        <row r="4071">
          <cell r="A4071" t="str">
            <v>03.938.196/0001-58</v>
          </cell>
          <cell r="B4071" t="str">
            <v>Malu Montesino</v>
          </cell>
        </row>
        <row r="4072">
          <cell r="A4072" t="str">
            <v>10.433.622/0001-67</v>
          </cell>
          <cell r="B4072" t="str">
            <v>Malu Montesino</v>
          </cell>
        </row>
        <row r="4073">
          <cell r="A4073" t="str">
            <v>10.433.622/0001-67</v>
          </cell>
          <cell r="B4073" t="str">
            <v>Malu Montesino</v>
          </cell>
        </row>
        <row r="4074">
          <cell r="A4074" t="str">
            <v>06.191.743/0001-72</v>
          </cell>
          <cell r="B4074" t="str">
            <v>Malu Montesino</v>
          </cell>
        </row>
        <row r="4075">
          <cell r="A4075" t="str">
            <v>52.556.578/0001-22</v>
          </cell>
          <cell r="B4075" t="str">
            <v>Mariane Nascimento</v>
          </cell>
        </row>
        <row r="4076">
          <cell r="A4076" t="str">
            <v>01.092.686/0001-50</v>
          </cell>
          <cell r="B4076" t="str">
            <v>Malu Montesino</v>
          </cell>
        </row>
        <row r="4077">
          <cell r="A4077" t="str">
            <v>01.092.686/0001-50</v>
          </cell>
          <cell r="B4077" t="str">
            <v>Malu Montesino</v>
          </cell>
        </row>
        <row r="4078">
          <cell r="A4078" t="str">
            <v>N/D</v>
          </cell>
          <cell r="B4078" t="str">
            <v>Malu Montesino</v>
          </cell>
        </row>
        <row r="4079">
          <cell r="A4079" t="str">
            <v>13.829.957/0001-97</v>
          </cell>
          <cell r="B4079" t="str">
            <v>Malu Montesino</v>
          </cell>
        </row>
        <row r="4080">
          <cell r="A4080" t="str">
            <v>13.829.957/0001-97</v>
          </cell>
          <cell r="B4080" t="str">
            <v>Malu Montesino</v>
          </cell>
        </row>
        <row r="4081">
          <cell r="A4081" t="str">
            <v>09.273.196/0001-62</v>
          </cell>
          <cell r="B4081" t="str">
            <v>Malu Montesino</v>
          </cell>
        </row>
        <row r="4082">
          <cell r="A4082" t="str">
            <v>11.938.604/0001-08</v>
          </cell>
          <cell r="B4082" t="str">
            <v>Malu Montesino</v>
          </cell>
        </row>
        <row r="4083">
          <cell r="A4083" t="str">
            <v>05.305.148/0001-58</v>
          </cell>
          <cell r="B4083" t="str">
            <v>Malu Montesino</v>
          </cell>
        </row>
        <row r="4084">
          <cell r="A4084" t="str">
            <v>32.043.927/0001-03</v>
          </cell>
          <cell r="B4084" t="str">
            <v>Malu Montesino</v>
          </cell>
        </row>
        <row r="4085">
          <cell r="A4085" t="str">
            <v>27.098.270/0001-33</v>
          </cell>
          <cell r="B4085" t="str">
            <v>Malu Montesino</v>
          </cell>
        </row>
        <row r="4086">
          <cell r="A4086" t="str">
            <v>27.098.270/0001-33</v>
          </cell>
          <cell r="B4086" t="str">
            <v>Malu Montesino</v>
          </cell>
        </row>
        <row r="4087">
          <cell r="A4087" t="str">
            <v>05.847.054/0001-00</v>
          </cell>
          <cell r="B4087" t="str">
            <v>Malu Montesino</v>
          </cell>
        </row>
        <row r="4088">
          <cell r="A4088" t="str">
            <v>05.847.054/0001-00</v>
          </cell>
          <cell r="B4088" t="str">
            <v>Malu Montesino</v>
          </cell>
        </row>
        <row r="4089">
          <cell r="A4089" t="str">
            <v>05.847.054/0001-00</v>
          </cell>
          <cell r="B4089" t="str">
            <v>Malu Montesino</v>
          </cell>
        </row>
        <row r="4090">
          <cell r="A4090" t="str">
            <v>05.847.054/0001-00</v>
          </cell>
          <cell r="B4090" t="str">
            <v>Malu Montesino</v>
          </cell>
        </row>
        <row r="4091">
          <cell r="A4091" t="str">
            <v>01.629.891/0001-02</v>
          </cell>
          <cell r="B4091" t="str">
            <v>Malu Montesino</v>
          </cell>
        </row>
        <row r="4092">
          <cell r="A4092" t="str">
            <v>01.629.891/0001-02</v>
          </cell>
          <cell r="B4092" t="str">
            <v>Malu Montesino</v>
          </cell>
        </row>
        <row r="4093">
          <cell r="A4093" t="str">
            <v>11.430.143/0001-50</v>
          </cell>
          <cell r="B4093" t="str">
            <v>Malu Montesino</v>
          </cell>
        </row>
        <row r="4094">
          <cell r="A4094" t="str">
            <v>11.430.143/0001-50</v>
          </cell>
          <cell r="B4094" t="str">
            <v>Malu Montesino</v>
          </cell>
        </row>
        <row r="4095">
          <cell r="A4095" t="str">
            <v>42.356.002/0001-68</v>
          </cell>
          <cell r="B4095" t="str">
            <v>Malu Montesino</v>
          </cell>
        </row>
        <row r="4096">
          <cell r="A4096" t="str">
            <v>42.356.002/0001-68</v>
          </cell>
          <cell r="B4096" t="str">
            <v>Malu Montesino</v>
          </cell>
        </row>
        <row r="4097">
          <cell r="A4097" t="str">
            <v>01.417.222/0001-77</v>
          </cell>
          <cell r="B4097" t="str">
            <v>Malu Montesino</v>
          </cell>
        </row>
        <row r="4098">
          <cell r="A4098" t="str">
            <v>02.248.312/0001-44</v>
          </cell>
          <cell r="B4098" t="str">
            <v>Malu Montesino</v>
          </cell>
        </row>
        <row r="4099">
          <cell r="A4099" t="str">
            <v>05.847.054/0001-00</v>
          </cell>
          <cell r="B4099" t="str">
            <v>Malu Montesino</v>
          </cell>
        </row>
        <row r="4100">
          <cell r="A4100" t="str">
            <v>09.273.196/0001-62</v>
          </cell>
          <cell r="B4100" t="str">
            <v>Malu Montesino</v>
          </cell>
        </row>
        <row r="4101">
          <cell r="A4101" t="str">
            <v>13.991.890/0001-92</v>
          </cell>
          <cell r="B4101" t="str">
            <v>Malu Montesino</v>
          </cell>
        </row>
        <row r="4102">
          <cell r="A4102" t="str">
            <v>13.991.890/0001-92</v>
          </cell>
          <cell r="B4102" t="str">
            <v>Malu Montesino</v>
          </cell>
        </row>
        <row r="4103">
          <cell r="A4103" t="str">
            <v>13.829.957/0001-97</v>
          </cell>
          <cell r="B4103" t="str">
            <v>Malu Montesino</v>
          </cell>
        </row>
        <row r="4104">
          <cell r="A4104" t="str">
            <v>27.061.442/0001-02</v>
          </cell>
          <cell r="B4104" t="str">
            <v>Malu Montesino</v>
          </cell>
        </row>
        <row r="4105">
          <cell r="A4105" t="str">
            <v>27.061.442/0001-02</v>
          </cell>
          <cell r="B4105" t="str">
            <v>Malu Montesino</v>
          </cell>
        </row>
        <row r="4106">
          <cell r="A4106" t="str">
            <v>03.770.521/0001-16</v>
          </cell>
          <cell r="B4106" t="str">
            <v>Malu Montesino</v>
          </cell>
        </row>
        <row r="4107">
          <cell r="A4107" t="str">
            <v>03.770.521/0001-16</v>
          </cell>
          <cell r="B4107" t="str">
            <v>Malu Montesino</v>
          </cell>
        </row>
        <row r="4108">
          <cell r="A4108" t="str">
            <v>33.373.325/0001-79</v>
          </cell>
          <cell r="B4108" t="str">
            <v>Mariane Nascimento</v>
          </cell>
        </row>
        <row r="4109">
          <cell r="A4109" t="str">
            <v>02.377.937/0001-06</v>
          </cell>
          <cell r="B4109" t="str">
            <v>Mariane Nascimento</v>
          </cell>
        </row>
        <row r="4110">
          <cell r="A4110" t="str">
            <v>04.043.808/0001-07</v>
          </cell>
          <cell r="B4110" t="str">
            <v>Mariane Nascimento</v>
          </cell>
        </row>
        <row r="4111">
          <cell r="A4111" t="str">
            <v>40.829.708/0001-74</v>
          </cell>
          <cell r="B4111" t="str">
            <v>Malu Montesino</v>
          </cell>
        </row>
        <row r="4112">
          <cell r="A4112" t="str">
            <v>15.630.428/0001-95</v>
          </cell>
          <cell r="B4112" t="str">
            <v>Malu Montesino</v>
          </cell>
        </row>
        <row r="4113">
          <cell r="A4113" t="str">
            <v>15.630.428/0001-95</v>
          </cell>
          <cell r="B4113" t="str">
            <v>Malu Montesino</v>
          </cell>
        </row>
        <row r="4114">
          <cell r="A4114" t="str">
            <v>15.630.428/0001-95</v>
          </cell>
          <cell r="B4114" t="str">
            <v>Malu Montesino</v>
          </cell>
        </row>
        <row r="4115">
          <cell r="A4115" t="str">
            <v>71.320.915/0001-22</v>
          </cell>
          <cell r="B4115" t="str">
            <v>Malu Montesino</v>
          </cell>
        </row>
        <row r="4116">
          <cell r="A4116" t="str">
            <v>08.435.257/0001-88</v>
          </cell>
          <cell r="B4116" t="str">
            <v>Malu Montesino</v>
          </cell>
        </row>
        <row r="4117">
          <cell r="A4117" t="str">
            <v>08.435.257/0001-88</v>
          </cell>
          <cell r="B4117" t="str">
            <v>Malu Montesino</v>
          </cell>
        </row>
        <row r="4118">
          <cell r="A4118" t="str">
            <v>15.652.882/0001-47</v>
          </cell>
          <cell r="B4118" t="str">
            <v>Malu Montesino</v>
          </cell>
        </row>
        <row r="4119">
          <cell r="A4119" t="str">
            <v>52.556.578/0001-22</v>
          </cell>
          <cell r="B4119" t="str">
            <v>Mariane Nascimento</v>
          </cell>
        </row>
        <row r="4120">
          <cell r="A4120" t="str">
            <v>52.556.578/0001-22</v>
          </cell>
          <cell r="B4120" t="str">
            <v>Mariane Nascimento</v>
          </cell>
        </row>
        <row r="4121">
          <cell r="A4121" t="str">
            <v>42.972.345/0001-57</v>
          </cell>
          <cell r="B4121" t="str">
            <v>Mariane Nascimento</v>
          </cell>
        </row>
        <row r="4122">
          <cell r="A4122" t="str">
            <v>35.548.400/0001-10</v>
          </cell>
          <cell r="B4122" t="str">
            <v>Malu Montesino</v>
          </cell>
        </row>
        <row r="4123">
          <cell r="A4123" t="str">
            <v>52.913.838/0001-70</v>
          </cell>
          <cell r="B4123" t="str">
            <v>Malu Montesino</v>
          </cell>
        </row>
        <row r="4124">
          <cell r="A4124" t="str">
            <v>27.061.442/0001-02</v>
          </cell>
          <cell r="B4124" t="str">
            <v>Malu Montesino</v>
          </cell>
        </row>
        <row r="4125">
          <cell r="A4125" t="str">
            <v>13.991.890/0001-92</v>
          </cell>
          <cell r="B4125" t="str">
            <v>Malu Montesino</v>
          </cell>
        </row>
        <row r="4126">
          <cell r="A4126" t="str">
            <v>13.991.890/0001-92</v>
          </cell>
          <cell r="B4126" t="str">
            <v>Malu Montesino</v>
          </cell>
        </row>
        <row r="4127">
          <cell r="A4127" t="str">
            <v>02.377.937/0001-06</v>
          </cell>
          <cell r="B4127" t="str">
            <v>Mariane Nascimento</v>
          </cell>
        </row>
        <row r="4128">
          <cell r="A4128" t="str">
            <v>40.829.708/0001-74</v>
          </cell>
          <cell r="B4128" t="str">
            <v>Malu Montesino</v>
          </cell>
        </row>
        <row r="4129">
          <cell r="A4129" t="str">
            <v>35.548.400/0001-10</v>
          </cell>
          <cell r="B4129" t="str">
            <v>Malu Montesino</v>
          </cell>
        </row>
        <row r="4130">
          <cell r="A4130" t="str">
            <v>78.364.767/0001-97</v>
          </cell>
          <cell r="B4130" t="str">
            <v>Malu Montesino</v>
          </cell>
        </row>
        <row r="4131">
          <cell r="A4131" t="str">
            <v>78.364.767/0001-97</v>
          </cell>
          <cell r="B4131" t="str">
            <v>Malu Montesino</v>
          </cell>
        </row>
        <row r="4132">
          <cell r="A4132" t="str">
            <v>08.579.382/0001-61</v>
          </cell>
          <cell r="B4132" t="str">
            <v>Malu Montesino</v>
          </cell>
        </row>
        <row r="4133">
          <cell r="A4133" t="str">
            <v>08.579.382/0001-61</v>
          </cell>
          <cell r="B4133" t="str">
            <v>Malu Montesino</v>
          </cell>
        </row>
        <row r="4134">
          <cell r="A4134" t="str">
            <v>08.579.382/0001-61</v>
          </cell>
          <cell r="B4134" t="str">
            <v>Malu Montesino</v>
          </cell>
        </row>
        <row r="4135">
          <cell r="A4135" t="str">
            <v>08.579.382/0001-61</v>
          </cell>
          <cell r="B4135" t="str">
            <v>Malu Montesino</v>
          </cell>
        </row>
        <row r="4136">
          <cell r="A4136" t="str">
            <v>08.579.382/0001-61</v>
          </cell>
          <cell r="B4136" t="str">
            <v>Malu Montesino</v>
          </cell>
        </row>
        <row r="4137">
          <cell r="A4137" t="str">
            <v>84.432.087/0001-66</v>
          </cell>
          <cell r="B4137" t="str">
            <v>Malu Montesino</v>
          </cell>
        </row>
        <row r="4138">
          <cell r="A4138" t="str">
            <v>01.449.930/0001-90</v>
          </cell>
          <cell r="B4138" t="str">
            <v>Malu Montesino</v>
          </cell>
        </row>
        <row r="4139">
          <cell r="A4139" t="str">
            <v>13.991.890/0001-92</v>
          </cell>
          <cell r="B4139" t="str">
            <v>Malu Montesino</v>
          </cell>
        </row>
        <row r="4140">
          <cell r="A4140" t="str">
            <v>13.991.890/0001-92</v>
          </cell>
          <cell r="B4140" t="str">
            <v>Malu Montesino</v>
          </cell>
        </row>
        <row r="4141">
          <cell r="A4141" t="str">
            <v>08.823.013/0001-72</v>
          </cell>
          <cell r="B4141" t="str">
            <v>Malu Montesino</v>
          </cell>
        </row>
        <row r="4142">
          <cell r="A4142" t="str">
            <v>08.823.013/0001-72</v>
          </cell>
          <cell r="B4142" t="str">
            <v>Malu Montesino</v>
          </cell>
        </row>
        <row r="4143">
          <cell r="A4143" t="str">
            <v>01.848.003/0001-42</v>
          </cell>
          <cell r="B4143" t="str">
            <v>Malu Montesino</v>
          </cell>
        </row>
        <row r="4144">
          <cell r="A4144" t="str">
            <v>29.950.060/0001-57</v>
          </cell>
          <cell r="B4144" t="str">
            <v>Malu Montesino</v>
          </cell>
        </row>
        <row r="4145">
          <cell r="A4145" t="str">
            <v>02.811.903/0001-88</v>
          </cell>
          <cell r="B4145" t="str">
            <v>Malu Montesino</v>
          </cell>
        </row>
        <row r="4146">
          <cell r="A4146" t="str">
            <v>09.273.196/0001-62</v>
          </cell>
          <cell r="B4146" t="str">
            <v>Malu Montesino</v>
          </cell>
        </row>
        <row r="4147">
          <cell r="A4147" t="str">
            <v>32.043.927/0001-03</v>
          </cell>
          <cell r="B4147" t="str">
            <v>Malu Montesino</v>
          </cell>
        </row>
        <row r="4148">
          <cell r="A4148" t="str">
            <v>01.848.003/0001-42</v>
          </cell>
          <cell r="B4148" t="str">
            <v>Malu Montesino</v>
          </cell>
        </row>
        <row r="4149">
          <cell r="A4149" t="str">
            <v>29.950.060/0001-57</v>
          </cell>
          <cell r="B4149" t="str">
            <v>Malu Montesino</v>
          </cell>
        </row>
        <row r="4150">
          <cell r="A4150" t="str">
            <v>02.811.903/0001-88</v>
          </cell>
          <cell r="B4150" t="str">
            <v>Malu Montesino</v>
          </cell>
        </row>
        <row r="4151">
          <cell r="A4151" t="str">
            <v>09.273.196/0001-62</v>
          </cell>
          <cell r="B4151" t="str">
            <v>Malu Montesino</v>
          </cell>
        </row>
        <row r="4152">
          <cell r="A4152" t="str">
            <v>01.449.930/0001-90</v>
          </cell>
          <cell r="B4152" t="str">
            <v>Malu Montesino</v>
          </cell>
        </row>
        <row r="4153">
          <cell r="A4153" t="str">
            <v>23.647.365/0001-08</v>
          </cell>
          <cell r="B4153" t="str">
            <v>Malu Montesino</v>
          </cell>
        </row>
        <row r="4154">
          <cell r="A4154" t="str">
            <v>59.104.422/0001-50</v>
          </cell>
          <cell r="B4154" t="str">
            <v>Malu Montesino</v>
          </cell>
        </row>
        <row r="4155">
          <cell r="A4155" t="str">
            <v>05.431.967/0001-41</v>
          </cell>
          <cell r="B4155" t="str">
            <v>Malu Montesino</v>
          </cell>
        </row>
        <row r="4156">
          <cell r="A4156" t="str">
            <v>04.743.025/0001-36</v>
          </cell>
          <cell r="B4156" t="str">
            <v>Malu Montesino</v>
          </cell>
        </row>
        <row r="4157">
          <cell r="A4157" t="str">
            <v>53.910.899/0001-46</v>
          </cell>
          <cell r="B4157" t="str">
            <v>Malu Montesino</v>
          </cell>
        </row>
        <row r="4158">
          <cell r="A4158" t="str">
            <v>35.254.924/0001-07</v>
          </cell>
          <cell r="B4158" t="str">
            <v>Malu Montesino</v>
          </cell>
        </row>
        <row r="4159">
          <cell r="A4159" t="str">
            <v>78.668.969/0001-22</v>
          </cell>
          <cell r="B4159" t="str">
            <v>Malu Montesino</v>
          </cell>
        </row>
        <row r="4160">
          <cell r="A4160" t="str">
            <v>21.998.472/0001-55</v>
          </cell>
          <cell r="B4160" t="str">
            <v>Malu Montesino</v>
          </cell>
        </row>
        <row r="4161">
          <cell r="A4161" t="str">
            <v>53.358.495/0001-91</v>
          </cell>
          <cell r="B4161" t="str">
            <v>Malu Montesino</v>
          </cell>
        </row>
        <row r="4162">
          <cell r="A4162" t="str">
            <v>01.000.334/0001-28</v>
          </cell>
          <cell r="B4162" t="str">
            <v>Malu Montesino</v>
          </cell>
        </row>
        <row r="4163">
          <cell r="A4163" t="str">
            <v>02.271.201/0001-59</v>
          </cell>
          <cell r="B4163" t="str">
            <v>Malu Montesino</v>
          </cell>
        </row>
        <row r="4164">
          <cell r="A4164" t="str">
            <v>12.432.418/0001-57</v>
          </cell>
          <cell r="B4164" t="str">
            <v>Malu Montesino</v>
          </cell>
        </row>
        <row r="4165">
          <cell r="A4165" t="str">
            <v>12.648.266/0001-24</v>
          </cell>
          <cell r="B4165" t="str">
            <v>Malu Montesino</v>
          </cell>
        </row>
        <row r="4166">
          <cell r="A4166" t="str">
            <v>59.273.714/0001-16</v>
          </cell>
          <cell r="B4166" t="str">
            <v>Malu Montesino</v>
          </cell>
        </row>
        <row r="4167">
          <cell r="A4167" t="str">
            <v>24.893.687/0011-71</v>
          </cell>
          <cell r="B4167" t="str">
            <v>Malu Montesino</v>
          </cell>
        </row>
        <row r="4168">
          <cell r="A4168" t="str">
            <v>24.893.687/0011-71</v>
          </cell>
          <cell r="B4168" t="str">
            <v>Malu Montesino</v>
          </cell>
        </row>
        <row r="4169">
          <cell r="A4169" t="str">
            <v>24.893.687/0011-71</v>
          </cell>
          <cell r="B4169" t="str">
            <v>Malu Montesino</v>
          </cell>
        </row>
        <row r="4170">
          <cell r="A4170" t="str">
            <v>14.016.443/0001-85</v>
          </cell>
          <cell r="B4170" t="str">
            <v>Malu Montesino</v>
          </cell>
        </row>
        <row r="4171">
          <cell r="A4171" t="str">
            <v>14.016.443/0001-85</v>
          </cell>
          <cell r="B4171" t="str">
            <v>Malu Montesino</v>
          </cell>
        </row>
        <row r="4172">
          <cell r="A4172" t="str">
            <v>33.958.695/0001-78</v>
          </cell>
          <cell r="B4172" t="str">
            <v>Malu Montesino</v>
          </cell>
        </row>
        <row r="4173">
          <cell r="A4173" t="str">
            <v>08.862.530/0001-50</v>
          </cell>
          <cell r="B4173" t="str">
            <v>Malu Montesino</v>
          </cell>
        </row>
        <row r="4174">
          <cell r="A4174" t="str">
            <v>05.706.897/0001-97</v>
          </cell>
          <cell r="B4174" t="str">
            <v>Malu Montesino</v>
          </cell>
        </row>
        <row r="4175">
          <cell r="A4175" t="str">
            <v>05.706.897/0001-97</v>
          </cell>
          <cell r="B4175" t="str">
            <v>Malu Montesino</v>
          </cell>
        </row>
        <row r="4176">
          <cell r="A4176" t="str">
            <v>08.265.067/0001-60</v>
          </cell>
          <cell r="B4176" t="str">
            <v>Malu Montesino</v>
          </cell>
        </row>
        <row r="4177">
          <cell r="A4177" t="str">
            <v>32.924.777/0001-39</v>
          </cell>
          <cell r="B4177" t="str">
            <v>Malu Montesino</v>
          </cell>
        </row>
        <row r="4178">
          <cell r="A4178" t="str">
            <v>13.991.890/0001-92</v>
          </cell>
          <cell r="B4178" t="str">
            <v>Malu Montesino</v>
          </cell>
        </row>
        <row r="4179">
          <cell r="A4179" t="str">
            <v>46.550.505/0001-20</v>
          </cell>
          <cell r="B4179" t="str">
            <v>Malu Montesino</v>
          </cell>
        </row>
        <row r="4180">
          <cell r="A4180" t="str">
            <v>33.044.909/0001-09</v>
          </cell>
          <cell r="B4180" t="str">
            <v>Malu Montesino</v>
          </cell>
        </row>
        <row r="4181">
          <cell r="A4181" t="str">
            <v>46.138.319/0001-89</v>
          </cell>
          <cell r="B4181" t="str">
            <v>Malu Montesino</v>
          </cell>
        </row>
        <row r="4182">
          <cell r="A4182" t="str">
            <v>13.890.656/0001-79</v>
          </cell>
          <cell r="B4182" t="str">
            <v>Malu Montesino</v>
          </cell>
        </row>
        <row r="4183">
          <cell r="A4183" t="str">
            <v>60.680.873/0001-14</v>
          </cell>
          <cell r="B4183" t="str">
            <v>Malu Montesino</v>
          </cell>
        </row>
        <row r="4184">
          <cell r="A4184" t="str">
            <v>02.377.937/0001-06</v>
          </cell>
          <cell r="B4184" t="str">
            <v>Mariane Nascimento</v>
          </cell>
        </row>
        <row r="4185">
          <cell r="A4185" t="str">
            <v>09.485.574/0001-71</v>
          </cell>
          <cell r="B4185" t="str">
            <v>Mariane Nascimento</v>
          </cell>
        </row>
        <row r="4186">
          <cell r="A4186" t="str">
            <v>14.707.364/0001-10</v>
          </cell>
          <cell r="B4186" t="str">
            <v>Malu Montesino</v>
          </cell>
        </row>
        <row r="4187">
          <cell r="A4187" t="str">
            <v>02.877.654/0001-23</v>
          </cell>
          <cell r="B4187" t="str">
            <v>Malu Montesino</v>
          </cell>
        </row>
        <row r="4188">
          <cell r="A4188" t="str">
            <v>02.291.486/0001-90</v>
          </cell>
          <cell r="B4188" t="str">
            <v>Malu Montesino</v>
          </cell>
        </row>
        <row r="4189">
          <cell r="A4189" t="str">
            <v>34.971.870/0001-20</v>
          </cell>
          <cell r="B4189" t="str">
            <v>Malu Montesino</v>
          </cell>
        </row>
        <row r="4190">
          <cell r="A4190" t="str">
            <v>03.620.220/0001-06</v>
          </cell>
          <cell r="B4190" t="str">
            <v>Malu Montesino</v>
          </cell>
        </row>
        <row r="4191">
          <cell r="A4191" t="str">
            <v>47.098.918/0001-89</v>
          </cell>
          <cell r="B4191" t="str">
            <v>Malu Montesino</v>
          </cell>
        </row>
        <row r="4192">
          <cell r="A4192" t="str">
            <v>33.979.330/0001-20</v>
          </cell>
          <cell r="B4192" t="str">
            <v>Malu Montesino</v>
          </cell>
        </row>
        <row r="4193">
          <cell r="A4193" t="str">
            <v>10.313.717/0001-47</v>
          </cell>
          <cell r="B4193" t="str">
            <v>Malu Montesino</v>
          </cell>
        </row>
        <row r="4194">
          <cell r="A4194" t="str">
            <v>10.313.717/0001-47</v>
          </cell>
          <cell r="B4194" t="str">
            <v>Malu Montesino</v>
          </cell>
        </row>
        <row r="4195">
          <cell r="A4195" t="str">
            <v>03.797.748/0001-55</v>
          </cell>
          <cell r="B4195" t="str">
            <v>Malu Montesino</v>
          </cell>
        </row>
        <row r="4196">
          <cell r="A4196" t="str">
            <v>80.696.479/0001-81</v>
          </cell>
          <cell r="B4196" t="str">
            <v>Malu Montesino</v>
          </cell>
        </row>
        <row r="4197">
          <cell r="A4197" t="str">
            <v>12.615.299/0001-78</v>
          </cell>
          <cell r="B4197" t="str">
            <v>Malu Montesino</v>
          </cell>
        </row>
        <row r="4198">
          <cell r="A4198" t="str">
            <v>96.228.317/0001-59</v>
          </cell>
          <cell r="B4198" t="str">
            <v>Malu Montesino</v>
          </cell>
        </row>
        <row r="4199">
          <cell r="A4199" t="str">
            <v>77.153.260/0001-21</v>
          </cell>
          <cell r="B4199" t="str">
            <v>Malu Montesino</v>
          </cell>
        </row>
        <row r="4200">
          <cell r="A4200" t="str">
            <v>45.541.588/0001-29</v>
          </cell>
          <cell r="B4200" t="str">
            <v>Malu Montesino</v>
          </cell>
        </row>
        <row r="4201">
          <cell r="A4201" t="str">
            <v>00.771.598/0005-46</v>
          </cell>
          <cell r="B4201" t="str">
            <v>Malu Montesino</v>
          </cell>
        </row>
        <row r="4202">
          <cell r="A4202" t="str">
            <v>82.749.987/0001-06</v>
          </cell>
          <cell r="B4202" t="str">
            <v>Malu Montesino</v>
          </cell>
        </row>
        <row r="4203">
          <cell r="A4203" t="str">
            <v>51.482.776/0001-26</v>
          </cell>
          <cell r="B4203" t="str">
            <v>Malu Montesino</v>
          </cell>
        </row>
        <row r="4204">
          <cell r="A4204" t="str">
            <v>07.573.497/0001-86</v>
          </cell>
          <cell r="B4204" t="str">
            <v>Malu Montesino</v>
          </cell>
        </row>
        <row r="4205">
          <cell r="A4205" t="str">
            <v>04.523.508/0001-25</v>
          </cell>
          <cell r="B4205" t="str">
            <v>Malu Montesino</v>
          </cell>
        </row>
        <row r="4206">
          <cell r="A4206" t="str">
            <v>02.908.361/0001-66</v>
          </cell>
          <cell r="B4206" t="str">
            <v>Malu Montesino</v>
          </cell>
        </row>
        <row r="4207">
          <cell r="A4207" t="str">
            <v>03.434.855/0001-19</v>
          </cell>
          <cell r="B4207" t="str">
            <v>Malu Montesino</v>
          </cell>
        </row>
        <row r="4208">
          <cell r="A4208" t="str">
            <v>56.995.681/0001-20</v>
          </cell>
          <cell r="B4208" t="str">
            <v>Malu Montesino</v>
          </cell>
        </row>
        <row r="4209">
          <cell r="A4209" t="str">
            <v>08.714.102/0001-80</v>
          </cell>
          <cell r="B4209" t="str">
            <v>Malu Montesino</v>
          </cell>
        </row>
        <row r="4210">
          <cell r="A4210" t="str">
            <v>01.724.535/0001-78</v>
          </cell>
          <cell r="B4210" t="str">
            <v>Malu Montesino</v>
          </cell>
        </row>
        <row r="4211">
          <cell r="A4211" t="str">
            <v>32.113.192/0001-39</v>
          </cell>
          <cell r="B4211" t="str">
            <v>Malu Montesino</v>
          </cell>
        </row>
        <row r="4212">
          <cell r="A4212" t="str">
            <v>01.763.720/0001-71</v>
          </cell>
          <cell r="B4212" t="str">
            <v>Malu Montesino</v>
          </cell>
        </row>
        <row r="4213">
          <cell r="A4213" t="str">
            <v>11.069.316/0001-56</v>
          </cell>
          <cell r="B4213" t="str">
            <v>Malu Montesino</v>
          </cell>
        </row>
        <row r="4214">
          <cell r="A4214" t="str">
            <v>26.092.860/0001-96</v>
          </cell>
          <cell r="B4214" t="str">
            <v>Malu Montesino</v>
          </cell>
        </row>
        <row r="4215">
          <cell r="A4215" t="str">
            <v>46.941.582/0001-01</v>
          </cell>
          <cell r="B4215" t="str">
            <v>Malu Montesino</v>
          </cell>
        </row>
        <row r="4216">
          <cell r="A4216" t="str">
            <v>05.847.054/0001-00</v>
          </cell>
          <cell r="B4216" t="str">
            <v>Malu Montesino</v>
          </cell>
        </row>
        <row r="4217">
          <cell r="A4217" t="str">
            <v>35.548.400/0001-10</v>
          </cell>
          <cell r="B4217" t="str">
            <v>Malu Montesino</v>
          </cell>
        </row>
        <row r="4218">
          <cell r="A4218" t="str">
            <v>35.548.400/0001-10</v>
          </cell>
          <cell r="B4218" t="str">
            <v>Malu Montesino</v>
          </cell>
        </row>
        <row r="4219">
          <cell r="A4219" t="str">
            <v>00.536.772/0001-42</v>
          </cell>
          <cell r="B4219" t="str">
            <v>Malu Montesino</v>
          </cell>
        </row>
        <row r="4220">
          <cell r="A4220" t="str">
            <v>18.677.057/0001-95</v>
          </cell>
          <cell r="B4220" t="str">
            <v>Malu Montesino</v>
          </cell>
        </row>
        <row r="4221">
          <cell r="A4221" t="str">
            <v>02.216.876/0001-03</v>
          </cell>
          <cell r="B4221" t="str">
            <v>Malu Montesino</v>
          </cell>
        </row>
        <row r="4222">
          <cell r="A4222" t="str">
            <v>27.542.591/0001-85</v>
          </cell>
          <cell r="B4222" t="str">
            <v>Malu Montesino</v>
          </cell>
        </row>
        <row r="4223">
          <cell r="A4223" t="str">
            <v>14.752.126/0001-27</v>
          </cell>
          <cell r="B4223" t="str">
            <v>Malu Montesino</v>
          </cell>
        </row>
        <row r="4224">
          <cell r="A4224" t="str">
            <v>61.371.852/0001-80</v>
          </cell>
          <cell r="B4224" t="str">
            <v>Malu Montesino</v>
          </cell>
        </row>
        <row r="4225">
          <cell r="A4225" t="str">
            <v>57.909.806/0001-14</v>
          </cell>
          <cell r="B4225" t="str">
            <v>Malu Montesino</v>
          </cell>
        </row>
        <row r="4226">
          <cell r="A4226" t="str">
            <v>01.712.235/0001-79</v>
          </cell>
          <cell r="B4226" t="str">
            <v>Malu Montesino</v>
          </cell>
        </row>
        <row r="4227">
          <cell r="A4227" t="str">
            <v>09.274.180/0001-74</v>
          </cell>
          <cell r="B4227" t="str">
            <v>Malu Montesino</v>
          </cell>
        </row>
        <row r="4228">
          <cell r="A4228" t="str">
            <v>14.414.973/0001-81</v>
          </cell>
          <cell r="B4228" t="str">
            <v>Malu Montesino</v>
          </cell>
        </row>
        <row r="4229">
          <cell r="A4229" t="str">
            <v>07.009.980/0001-32</v>
          </cell>
          <cell r="B4229" t="str">
            <v>Malu Montesino</v>
          </cell>
        </row>
        <row r="4230">
          <cell r="A4230" t="str">
            <v>77.167.203/0001-00</v>
          </cell>
          <cell r="B4230" t="str">
            <v>Malu Montesino</v>
          </cell>
        </row>
        <row r="4231">
          <cell r="A4231" t="str">
            <v>67.731.091/0001-06</v>
          </cell>
          <cell r="B4231" t="str">
            <v>Malu Montesino</v>
          </cell>
        </row>
        <row r="4232">
          <cell r="A4232" t="str">
            <v>04.121.069/0001-24</v>
          </cell>
          <cell r="B4232" t="str">
            <v>Malu Montesino</v>
          </cell>
        </row>
        <row r="4233">
          <cell r="A4233" t="str">
            <v>61.685.723/0001-66</v>
          </cell>
          <cell r="B4233" t="str">
            <v>Malu Montesino</v>
          </cell>
        </row>
        <row r="4234">
          <cell r="A4234" t="str">
            <v>14.883.099/0001-21</v>
          </cell>
          <cell r="B4234" t="str">
            <v>Malu Montesino</v>
          </cell>
        </row>
        <row r="4235">
          <cell r="A4235" t="str">
            <v>94.837.598/0001-11</v>
          </cell>
          <cell r="B4235" t="str">
            <v>Malu Montesino</v>
          </cell>
        </row>
        <row r="4236">
          <cell r="A4236" t="str">
            <v>23.759.905/0001-45</v>
          </cell>
          <cell r="B4236" t="str">
            <v>Malu Montesino</v>
          </cell>
        </row>
        <row r="4237">
          <cell r="A4237" t="str">
            <v>84.685.106/0001-66</v>
          </cell>
          <cell r="B4237" t="str">
            <v>Malu Montesino</v>
          </cell>
        </row>
        <row r="4238">
          <cell r="A4238" t="str">
            <v>02.931.123/0001-71</v>
          </cell>
          <cell r="B4238" t="str">
            <v>Malu Montesino</v>
          </cell>
        </row>
        <row r="4239">
          <cell r="A4239" t="str">
            <v>43.691.393/0001-30</v>
          </cell>
          <cell r="B4239" t="str">
            <v>Malu Montesino</v>
          </cell>
        </row>
        <row r="4240">
          <cell r="A4240" t="str">
            <v>05.773.057/0001-47</v>
          </cell>
          <cell r="B4240" t="str">
            <v>Malu Montesino</v>
          </cell>
        </row>
        <row r="4241">
          <cell r="A4241" t="str">
            <v>24.517.378/0001-25</v>
          </cell>
          <cell r="B4241" t="str">
            <v>Malu Montesino</v>
          </cell>
        </row>
        <row r="4242">
          <cell r="A4242" t="str">
            <v>00.946.219/0001-88</v>
          </cell>
          <cell r="B4242" t="str">
            <v>Malu Montesino</v>
          </cell>
        </row>
        <row r="4243">
          <cell r="A4243" t="str">
            <v>26.037.592/0001-00</v>
          </cell>
          <cell r="B4243" t="str">
            <v>Malu Montesino</v>
          </cell>
        </row>
        <row r="4244">
          <cell r="A4244" t="str">
            <v>24.117.877/0001-25</v>
          </cell>
          <cell r="B4244" t="str">
            <v>Malu Montesino</v>
          </cell>
        </row>
        <row r="4245">
          <cell r="A4245" t="str">
            <v>47.225.693/0001-84</v>
          </cell>
          <cell r="B4245" t="str">
            <v>Malu Montesino</v>
          </cell>
        </row>
        <row r="4246">
          <cell r="A4246" t="str">
            <v>45.010.717/0001-52</v>
          </cell>
          <cell r="B4246" t="str">
            <v>Malu Montesino</v>
          </cell>
        </row>
        <row r="4247">
          <cell r="A4247" t="str">
            <v>59.598.946/0001-44</v>
          </cell>
          <cell r="B4247" t="str">
            <v>Malu Montesino</v>
          </cell>
        </row>
        <row r="4248">
          <cell r="A4248" t="str">
            <v>12.884.672/0001-96</v>
          </cell>
          <cell r="B4248" t="str">
            <v>Malu Montesino</v>
          </cell>
        </row>
        <row r="4249">
          <cell r="A4249" t="str">
            <v>08.299.636/0001-98</v>
          </cell>
          <cell r="B4249" t="str">
            <v>Malu Montesino</v>
          </cell>
        </row>
        <row r="4250">
          <cell r="A4250" t="str">
            <v>03.439.949/0001-80</v>
          </cell>
          <cell r="B4250" t="str">
            <v>Malu Montesino</v>
          </cell>
        </row>
        <row r="4251">
          <cell r="A4251" t="str">
            <v>60.858.131/0001-36</v>
          </cell>
          <cell r="B4251" t="str">
            <v>Malu Montesino</v>
          </cell>
        </row>
        <row r="4252">
          <cell r="A4252" t="str">
            <v>44.138.717/0001-70</v>
          </cell>
          <cell r="B4252" t="str">
            <v>Malu Montesino</v>
          </cell>
        </row>
        <row r="4253">
          <cell r="A4253" t="str">
            <v>11.377.665/0001-35</v>
          </cell>
          <cell r="B4253" t="str">
            <v>Malu Montesino</v>
          </cell>
        </row>
        <row r="4254">
          <cell r="A4254" t="str">
            <v>46.055.552/0001-06</v>
          </cell>
          <cell r="B4254" t="str">
            <v>Malu Montesino</v>
          </cell>
        </row>
        <row r="4255">
          <cell r="A4255" t="str">
            <v>60.160.546/0001-31</v>
          </cell>
          <cell r="B4255" t="str">
            <v>Malu Montesino</v>
          </cell>
        </row>
        <row r="4256">
          <cell r="A4256" t="str">
            <v>01.382.559/0001-96</v>
          </cell>
          <cell r="B4256" t="str">
            <v>Malu Montesino</v>
          </cell>
        </row>
        <row r="4257">
          <cell r="A4257" t="str">
            <v>02.940.424/0001-61</v>
          </cell>
          <cell r="B4257" t="str">
            <v>Malu Montesino</v>
          </cell>
        </row>
        <row r="4258">
          <cell r="A4258" t="str">
            <v>23.729.444/0001-68</v>
          </cell>
          <cell r="B4258" t="str">
            <v>Malu Montesino</v>
          </cell>
        </row>
        <row r="4259">
          <cell r="A4259" t="str">
            <v>73.305.864/0001-95</v>
          </cell>
          <cell r="B4259" t="str">
            <v>Malu Montesino</v>
          </cell>
        </row>
        <row r="4260">
          <cell r="A4260" t="str">
            <v>62.412.622/0001-84</v>
          </cell>
          <cell r="B4260" t="str">
            <v>Malu Montesino</v>
          </cell>
        </row>
        <row r="4261">
          <cell r="A4261" t="str">
            <v>02.599.337/0001-92</v>
          </cell>
          <cell r="B4261" t="str">
            <v>Malu Montesino</v>
          </cell>
        </row>
        <row r="4262">
          <cell r="A4262" t="str">
            <v>13.610.200/0001-08</v>
          </cell>
          <cell r="B4262" t="str">
            <v>Malu Montesino</v>
          </cell>
        </row>
        <row r="4263">
          <cell r="A4263" t="str">
            <v>08.815.559/0001-81</v>
          </cell>
          <cell r="B4263" t="str">
            <v>Malu Montesino</v>
          </cell>
        </row>
        <row r="4264">
          <cell r="A4264" t="str">
            <v>49.418.150/0001-09</v>
          </cell>
          <cell r="B4264" t="str">
            <v>Malu Montesino</v>
          </cell>
        </row>
        <row r="4265">
          <cell r="A4265" t="str">
            <v>51.017.713/0001-07</v>
          </cell>
          <cell r="B4265" t="str">
            <v>Malu Montesino</v>
          </cell>
        </row>
        <row r="4266">
          <cell r="A4266" t="str">
            <v>16.586.753/0001-60</v>
          </cell>
          <cell r="B4266" t="str">
            <v>Malu Montesino</v>
          </cell>
        </row>
        <row r="4267">
          <cell r="A4267" t="str">
            <v>52.940.533/0001-57</v>
          </cell>
          <cell r="B4267" t="str">
            <v>Malu Montesino</v>
          </cell>
        </row>
        <row r="4268">
          <cell r="A4268" t="str">
            <v>07.910.191/0001-78</v>
          </cell>
          <cell r="B4268" t="str">
            <v>Malu Montesino</v>
          </cell>
        </row>
        <row r="4269">
          <cell r="A4269" t="str">
            <v>36.189.370/0001-66</v>
          </cell>
          <cell r="B4269" t="str">
            <v>Malu Montesino</v>
          </cell>
        </row>
        <row r="4270">
          <cell r="A4270" t="str">
            <v>05.158.344/0001-47</v>
          </cell>
          <cell r="B4270" t="str">
            <v>Malu Montesino</v>
          </cell>
        </row>
        <row r="4271">
          <cell r="A4271" t="str">
            <v>51.372.423/0001-73</v>
          </cell>
          <cell r="B4271" t="str">
            <v>Malu Montesino</v>
          </cell>
        </row>
        <row r="4272">
          <cell r="A4272" t="str">
            <v>52.771.540/0001-72</v>
          </cell>
          <cell r="B4272" t="str">
            <v>Malu Montesino</v>
          </cell>
        </row>
        <row r="4273">
          <cell r="A4273" t="str">
            <v>24.893.687/0011-71</v>
          </cell>
          <cell r="B4273" t="str">
            <v>Malu Montesino</v>
          </cell>
        </row>
        <row r="4274">
          <cell r="A4274" t="str">
            <v>13.991.890/0001-92</v>
          </cell>
          <cell r="B4274" t="str">
            <v>Malu Montesino</v>
          </cell>
        </row>
        <row r="4275">
          <cell r="A4275" t="str">
            <v>18.258.209/0001-15</v>
          </cell>
          <cell r="B4275" t="str">
            <v>Mariane Nascimento</v>
          </cell>
        </row>
        <row r="4276">
          <cell r="A4276" t="str">
            <v>33.373.325/0001-79</v>
          </cell>
          <cell r="B4276" t="str">
            <v>Mariane Nascimento</v>
          </cell>
        </row>
        <row r="4277">
          <cell r="A4277" t="str">
            <v>02.377.937/0001-06</v>
          </cell>
          <cell r="B4277" t="str">
            <v>Mariane Nascimento</v>
          </cell>
        </row>
        <row r="4278">
          <cell r="A4278" t="str">
            <v>09.221.044/0001-16</v>
          </cell>
          <cell r="B4278" t="str">
            <v>Malu Montesino</v>
          </cell>
        </row>
        <row r="4279">
          <cell r="A4279" t="str">
            <v>09.053.134/0001-45</v>
          </cell>
          <cell r="B4279" t="str">
            <v>Mariane Nascimento</v>
          </cell>
        </row>
        <row r="4280">
          <cell r="A4280" t="str">
            <v>52.913.838/0001-70</v>
          </cell>
          <cell r="B4280" t="str">
            <v>Malu Montesino</v>
          </cell>
        </row>
        <row r="4281">
          <cell r="A4281" t="str">
            <v>01.302.778/0001-18</v>
          </cell>
          <cell r="B4281" t="str">
            <v>Malu Montesino</v>
          </cell>
        </row>
        <row r="4282">
          <cell r="A4282" t="str">
            <v>13.991.890/0001-92</v>
          </cell>
          <cell r="B4282" t="str">
            <v>Malu Montesino</v>
          </cell>
        </row>
        <row r="4283">
          <cell r="A4283" t="str">
            <v>40.084.157/0001-67</v>
          </cell>
          <cell r="B4283" t="str">
            <v>Malu Montesino</v>
          </cell>
        </row>
        <row r="4284">
          <cell r="A4284" t="str">
            <v>40.084.157/0001-67</v>
          </cell>
          <cell r="B4284" t="str">
            <v>Malu Montesino</v>
          </cell>
        </row>
        <row r="4285">
          <cell r="A4285" t="str">
            <v>18.258.209/0001-15</v>
          </cell>
          <cell r="B4285" t="str">
            <v>Mariane Nascimento</v>
          </cell>
        </row>
        <row r="4286">
          <cell r="A4286" t="str">
            <v>33.373.325/0001-79</v>
          </cell>
          <cell r="B4286" t="str">
            <v>Mariane Nascimento</v>
          </cell>
        </row>
        <row r="4287">
          <cell r="A4287" t="str">
            <v>03.033.345/0001-30</v>
          </cell>
          <cell r="B4287" t="str">
            <v>Mariane Nascimento</v>
          </cell>
        </row>
        <row r="4288">
          <cell r="A4288" t="str">
            <v>09.072.082/0002-35</v>
          </cell>
          <cell r="B4288" t="str">
            <v>Mariane Nascimento</v>
          </cell>
        </row>
        <row r="4289">
          <cell r="A4289" t="str">
            <v>09.072.082/0002-35</v>
          </cell>
          <cell r="B4289" t="str">
            <v>Mariane Nascimento</v>
          </cell>
        </row>
        <row r="4290">
          <cell r="A4290" t="str">
            <v>09.072.082/0002-35</v>
          </cell>
          <cell r="B4290" t="str">
            <v>Mariane Nascimento</v>
          </cell>
        </row>
        <row r="4291">
          <cell r="A4291" t="str">
            <v>32.043.927/0001-03</v>
          </cell>
          <cell r="B4291" t="str">
            <v>Malu Montesino</v>
          </cell>
        </row>
        <row r="4292">
          <cell r="A4292" t="str">
            <v>13.903.093/0001-06</v>
          </cell>
          <cell r="B4292" t="str">
            <v>Malu Montesino</v>
          </cell>
        </row>
        <row r="4293">
          <cell r="A4293" t="str">
            <v>59.104.422/0001-50</v>
          </cell>
          <cell r="B4293" t="str">
            <v>Malu Montesino</v>
          </cell>
        </row>
        <row r="4294">
          <cell r="A4294" t="str">
            <v>01.449.930/0001-90</v>
          </cell>
          <cell r="B4294" t="str">
            <v>Malu Montesino</v>
          </cell>
        </row>
        <row r="4295">
          <cell r="A4295" t="str">
            <v>03.874.953/0001-77</v>
          </cell>
          <cell r="B4295" t="str">
            <v>Mariane Nascimento</v>
          </cell>
        </row>
        <row r="4296">
          <cell r="A4296" t="str">
            <v>03.874.953/0001-77</v>
          </cell>
          <cell r="B4296" t="str">
            <v>Mariane Nascimento</v>
          </cell>
        </row>
        <row r="4297">
          <cell r="A4297" t="str">
            <v>09.072.082/0002-35</v>
          </cell>
          <cell r="B4297" t="str">
            <v>Mariane Nascimento</v>
          </cell>
        </row>
        <row r="4298">
          <cell r="A4298" t="str">
            <v>10.313.717/0001-47</v>
          </cell>
          <cell r="B4298" t="str">
            <v>Malu Montesino</v>
          </cell>
        </row>
        <row r="4299">
          <cell r="A4299" t="str">
            <v>06.913.480/0001-68</v>
          </cell>
          <cell r="B4299" t="str">
            <v>Malu Montesino</v>
          </cell>
        </row>
        <row r="4300">
          <cell r="A4300" t="str">
            <v>32.113.192/0001-39</v>
          </cell>
          <cell r="B4300" t="str">
            <v>Malu Montesino</v>
          </cell>
        </row>
        <row r="4301">
          <cell r="A4301" t="str">
            <v>74.241.019/0001-66</v>
          </cell>
          <cell r="B4301" t="str">
            <v>Malu Montesino</v>
          </cell>
        </row>
        <row r="4302">
          <cell r="A4302" t="str">
            <v>26.092.860/0001-96</v>
          </cell>
          <cell r="B4302" t="str">
            <v>Malu Montesino</v>
          </cell>
        </row>
        <row r="4303">
          <cell r="A4303" t="str">
            <v>35.548.400/0001-10</v>
          </cell>
          <cell r="B4303" t="str">
            <v>Malu Montesino</v>
          </cell>
        </row>
        <row r="4304">
          <cell r="A4304" t="str">
            <v>07.009.980/0001-32</v>
          </cell>
          <cell r="B4304" t="str">
            <v>Malu Montesino</v>
          </cell>
        </row>
        <row r="4305">
          <cell r="A4305" t="str">
            <v>10.313.717/0001-47</v>
          </cell>
          <cell r="B4305" t="str">
            <v>Malu Montesino</v>
          </cell>
        </row>
        <row r="4306">
          <cell r="A4306" t="str">
            <v>59.104.422/0001-50</v>
          </cell>
          <cell r="B4306" t="str">
            <v>Malu Montesino</v>
          </cell>
        </row>
        <row r="4307">
          <cell r="A4307" t="str">
            <v>08.406.359/0001-75</v>
          </cell>
          <cell r="B4307" t="str">
            <v>Malu Montesino</v>
          </cell>
        </row>
        <row r="4308">
          <cell r="A4308" t="str">
            <v>04.196.290/0001-41</v>
          </cell>
          <cell r="B4308" t="str">
            <v>Malu Montesino</v>
          </cell>
        </row>
        <row r="4309">
          <cell r="A4309" t="str">
            <v>05.257.192/0001-30</v>
          </cell>
          <cell r="B4309" t="str">
            <v>Malu Montesino</v>
          </cell>
        </row>
        <row r="4310">
          <cell r="A4310" t="str">
            <v>08.800.995/0001-87</v>
          </cell>
          <cell r="B4310" t="str">
            <v>Malu Montesino</v>
          </cell>
        </row>
        <row r="4311">
          <cell r="A4311" t="str">
            <v>02.404.816/0001-06</v>
          </cell>
          <cell r="B4311" t="str">
            <v>Malu Montesino</v>
          </cell>
        </row>
        <row r="4312">
          <cell r="A4312" t="str">
            <v>27.061.442/0001-02</v>
          </cell>
          <cell r="B4312" t="str">
            <v>Malu Montesino</v>
          </cell>
        </row>
        <row r="4313">
          <cell r="A4313" t="str">
            <v>04.743.025/0001-36</v>
          </cell>
          <cell r="B4313" t="str">
            <v>Malu Montesino</v>
          </cell>
        </row>
        <row r="4314">
          <cell r="A4314" t="str">
            <v>40.084.157/0001-67</v>
          </cell>
          <cell r="B4314" t="str">
            <v>Malu Montesino</v>
          </cell>
        </row>
        <row r="4315">
          <cell r="A4315" t="str">
            <v>40.084.157/0001-67</v>
          </cell>
          <cell r="B4315" t="str">
            <v>Malu Montesino</v>
          </cell>
        </row>
        <row r="4316">
          <cell r="A4316" t="str">
            <v>08.992.115/0001-11</v>
          </cell>
          <cell r="B4316" t="str">
            <v>Malu Montesino</v>
          </cell>
        </row>
        <row r="4317">
          <cell r="A4317" t="str">
            <v>56.998.701/0001-16</v>
          </cell>
          <cell r="B4317" t="str">
            <v>Malu Montesino</v>
          </cell>
        </row>
        <row r="4318">
          <cell r="A4318" t="str">
            <v>56.998.701/0001-16</v>
          </cell>
          <cell r="B4318" t="str">
            <v>Malu Montesino</v>
          </cell>
        </row>
        <row r="4319">
          <cell r="A4319" t="str">
            <v>56.998.701/0001-16</v>
          </cell>
          <cell r="B4319" t="str">
            <v>Malu Montesino</v>
          </cell>
        </row>
        <row r="4320">
          <cell r="A4320" t="str">
            <v>01.123.973/0001-80</v>
          </cell>
          <cell r="B4320" t="str">
            <v>Malu Montesino</v>
          </cell>
        </row>
        <row r="4321">
          <cell r="A4321" t="str">
            <v>01.123.973/0001-80</v>
          </cell>
          <cell r="B4321" t="str">
            <v>Malu Montesino</v>
          </cell>
        </row>
        <row r="4322">
          <cell r="A4322" t="str">
            <v>22.873.750/0001-00</v>
          </cell>
          <cell r="B4322" t="str">
            <v>Malu Montesino</v>
          </cell>
        </row>
        <row r="4323">
          <cell r="A4323" t="str">
            <v>06.944.369/0001-39</v>
          </cell>
          <cell r="B4323" t="str">
            <v>Malu Montesino</v>
          </cell>
        </row>
        <row r="4324">
          <cell r="A4324" t="str">
            <v>84.046.101/0001-93</v>
          </cell>
          <cell r="B4324" t="str">
            <v>Malu Montesino</v>
          </cell>
        </row>
        <row r="4325">
          <cell r="A4325" t="str">
            <v>52.273.785/0001-70</v>
          </cell>
          <cell r="B4325" t="str">
            <v>Malu Montesino</v>
          </cell>
        </row>
        <row r="4326">
          <cell r="A4326" t="str">
            <v>52.273.785/0001-70</v>
          </cell>
          <cell r="B4326" t="str">
            <v>Malu Montesino</v>
          </cell>
        </row>
        <row r="4327">
          <cell r="A4327" t="str">
            <v>51.958.220/0001-63</v>
          </cell>
          <cell r="B4327" t="str">
            <v>Malu Montesino</v>
          </cell>
        </row>
        <row r="4328">
          <cell r="A4328" t="str">
            <v>61.084.018/0001-03</v>
          </cell>
          <cell r="B4328" t="str">
            <v>Malu Montesino</v>
          </cell>
        </row>
        <row r="4329">
          <cell r="A4329" t="str">
            <v>10.560.660/0001-80</v>
          </cell>
          <cell r="B4329" t="str">
            <v>Malu Montesino</v>
          </cell>
        </row>
        <row r="4330">
          <cell r="A4330" t="str">
            <v>03.685.129/0001-79</v>
          </cell>
          <cell r="B4330" t="str">
            <v>Malu Montesino</v>
          </cell>
        </row>
        <row r="4331">
          <cell r="A4331" t="str">
            <v>20.250.792/0001-60</v>
          </cell>
          <cell r="B4331" t="str">
            <v>Malu Montesino</v>
          </cell>
        </row>
        <row r="4332">
          <cell r="A4332" t="str">
            <v>15.630.428/0001-95</v>
          </cell>
          <cell r="B4332" t="str">
            <v>Malu Montesino</v>
          </cell>
        </row>
        <row r="4333">
          <cell r="A4333" t="str">
            <v>15.630.428/0001-95</v>
          </cell>
          <cell r="B4333" t="str">
            <v>Malu Montesino</v>
          </cell>
        </row>
        <row r="4334">
          <cell r="A4334" t="str">
            <v>15.630.428/0001-95</v>
          </cell>
          <cell r="B4334" t="str">
            <v>Malu Montesino</v>
          </cell>
        </row>
        <row r="4335">
          <cell r="A4335" t="str">
            <v>04.523.508/0001-25</v>
          </cell>
          <cell r="B4335" t="str">
            <v>Malu Montesino</v>
          </cell>
        </row>
        <row r="4336">
          <cell r="A4336" t="str">
            <v>39.715.643/0001-57</v>
          </cell>
          <cell r="B4336" t="str">
            <v>Malu Montesino</v>
          </cell>
        </row>
        <row r="4337">
          <cell r="A4337" t="str">
            <v>39.715.643/0001-57</v>
          </cell>
          <cell r="B4337" t="str">
            <v>Malu Montesino</v>
          </cell>
        </row>
        <row r="4338">
          <cell r="A4338" t="str">
            <v>39.715.643/0001-57</v>
          </cell>
          <cell r="B4338" t="str">
            <v>Malu Montesino</v>
          </cell>
        </row>
        <row r="4339">
          <cell r="A4339" t="str">
            <v>39.715.643/0001-57</v>
          </cell>
          <cell r="B4339" t="str">
            <v>Malu Montesino</v>
          </cell>
        </row>
        <row r="4340">
          <cell r="A4340" t="str">
            <v>58.520.858/0001-67</v>
          </cell>
          <cell r="B4340" t="str">
            <v>Malu Montesino</v>
          </cell>
        </row>
        <row r="4341">
          <cell r="A4341" t="str">
            <v>58.520.858/0001-67</v>
          </cell>
          <cell r="B4341" t="str">
            <v>Malu Montesino</v>
          </cell>
        </row>
        <row r="4342">
          <cell r="A4342" t="str">
            <v>52.556.578/0001-22</v>
          </cell>
          <cell r="B4342" t="str">
            <v>Mariane Nascimento</v>
          </cell>
        </row>
        <row r="4343">
          <cell r="A4343" t="str">
            <v>35.075.474/0001-87</v>
          </cell>
          <cell r="B4343" t="str">
            <v>Malu Montesino</v>
          </cell>
        </row>
        <row r="4344">
          <cell r="A4344" t="str">
            <v>18.960.907/0001-68</v>
          </cell>
          <cell r="B4344" t="str">
            <v>Malu Montesino</v>
          </cell>
        </row>
        <row r="4345">
          <cell r="A4345" t="str">
            <v>20.260.776/0001-58</v>
          </cell>
          <cell r="B4345" t="str">
            <v>Malu Montesino</v>
          </cell>
        </row>
        <row r="4346">
          <cell r="A4346" t="str">
            <v>20.260.776/0001-58</v>
          </cell>
          <cell r="B4346" t="str">
            <v>Malu Montesino</v>
          </cell>
        </row>
        <row r="4347">
          <cell r="A4347" t="str">
            <v>20.260.776/0001-58</v>
          </cell>
          <cell r="B4347" t="str">
            <v>Malu Montesino</v>
          </cell>
        </row>
        <row r="4348">
          <cell r="A4348" t="str">
            <v>61.624.156/0001-38</v>
          </cell>
          <cell r="B4348" t="str">
            <v>Malu Montesino</v>
          </cell>
        </row>
        <row r="4349">
          <cell r="A4349" t="str">
            <v>24.517.378/0001-25</v>
          </cell>
          <cell r="B4349" t="str">
            <v>Malu Montesino</v>
          </cell>
        </row>
        <row r="4350">
          <cell r="A4350" t="str">
            <v>24.517.378/0001-25</v>
          </cell>
          <cell r="B4350" t="str">
            <v>Malu Montesino</v>
          </cell>
        </row>
        <row r="4351">
          <cell r="A4351" t="str">
            <v>24.517.378/0001-25</v>
          </cell>
          <cell r="B4351" t="str">
            <v>Malu Montesino</v>
          </cell>
        </row>
        <row r="4352">
          <cell r="A4352" t="str">
            <v>13.903.093/0001-06</v>
          </cell>
          <cell r="B4352" t="str">
            <v>Malu Montesino</v>
          </cell>
        </row>
        <row r="4353">
          <cell r="A4353" t="str">
            <v>13.903.093/0001-06</v>
          </cell>
          <cell r="B4353" t="str">
            <v>Malu Montesino</v>
          </cell>
        </row>
        <row r="4354">
          <cell r="A4354" t="str">
            <v>04.523.508/0001-25</v>
          </cell>
          <cell r="B4354" t="str">
            <v>Malu Montesino</v>
          </cell>
        </row>
        <row r="4355">
          <cell r="A4355" t="str">
            <v>13.903.093/0001-06</v>
          </cell>
          <cell r="B4355" t="str">
            <v>Malu Montesino</v>
          </cell>
        </row>
        <row r="4356">
          <cell r="A4356" t="str">
            <v>58.520.858/0001-67</v>
          </cell>
          <cell r="B4356" t="str">
            <v>Malu Montesino</v>
          </cell>
        </row>
        <row r="4357">
          <cell r="A4357" t="str">
            <v>24.517.378/0001-25</v>
          </cell>
          <cell r="B4357" t="str">
            <v>Malu Montesino</v>
          </cell>
        </row>
        <row r="4358">
          <cell r="A4358" t="str">
            <v>24.517.378/0001-25</v>
          </cell>
          <cell r="B4358" t="str">
            <v>Malu Montesino</v>
          </cell>
        </row>
        <row r="4359">
          <cell r="A4359" t="str">
            <v>56.998.701/0001-16</v>
          </cell>
          <cell r="B4359" t="str">
            <v>Malu Montesino</v>
          </cell>
        </row>
        <row r="4360">
          <cell r="A4360" t="str">
            <v>56.998.701/0001-16</v>
          </cell>
          <cell r="B4360" t="str">
            <v>Malu Montesino</v>
          </cell>
        </row>
        <row r="4361">
          <cell r="A4361" t="str">
            <v>27.061.442/0001-02</v>
          </cell>
          <cell r="B4361" t="str">
            <v>Malu Montesino</v>
          </cell>
        </row>
        <row r="4362">
          <cell r="A4362" t="str">
            <v>15.630.428/0001-95</v>
          </cell>
          <cell r="B4362" t="str">
            <v>Malu Montesino</v>
          </cell>
        </row>
        <row r="4363">
          <cell r="A4363" t="str">
            <v>40.084.157/0001-67</v>
          </cell>
          <cell r="B4363" t="str">
            <v>Malu Montesino</v>
          </cell>
        </row>
        <row r="4364">
          <cell r="A4364" t="str">
            <v>03.496.778/0001-21</v>
          </cell>
          <cell r="B4364" t="str">
            <v>Malu Montesino</v>
          </cell>
        </row>
        <row r="4365">
          <cell r="A4365" t="str">
            <v>03.496.778/0001-21</v>
          </cell>
          <cell r="B4365" t="str">
            <v>Malu Montesino</v>
          </cell>
        </row>
        <row r="4366">
          <cell r="A4366" t="str">
            <v>90.909.631/0001-10</v>
          </cell>
          <cell r="B4366" t="str">
            <v>Malu Montesino</v>
          </cell>
        </row>
        <row r="4367">
          <cell r="A4367" t="str">
            <v>90.909.631/0001-10</v>
          </cell>
          <cell r="B4367" t="str">
            <v>Malu Montesino</v>
          </cell>
        </row>
        <row r="4368">
          <cell r="A4368" t="str">
            <v>90.909.631/0001-10</v>
          </cell>
          <cell r="B4368" t="str">
            <v>Malu Montesino</v>
          </cell>
        </row>
        <row r="4369">
          <cell r="A4369" t="str">
            <v>12.246.862/0001-88</v>
          </cell>
          <cell r="B4369" t="str">
            <v>Mariane Nascimento</v>
          </cell>
        </row>
        <row r="4370">
          <cell r="A4370" t="str">
            <v>02.162.259/0001-64</v>
          </cell>
          <cell r="B4370" t="str">
            <v>Malu Montesino</v>
          </cell>
        </row>
        <row r="4371">
          <cell r="A4371" t="str">
            <v>14.707.364/0001-10</v>
          </cell>
          <cell r="B4371" t="str">
            <v>Malu Montesino</v>
          </cell>
        </row>
        <row r="4372">
          <cell r="A4372" t="str">
            <v>14.707.364/0001-10</v>
          </cell>
          <cell r="B4372" t="str">
            <v>Malu Montesino</v>
          </cell>
        </row>
        <row r="4373">
          <cell r="A4373" t="str">
            <v>08.839.778/0001-09</v>
          </cell>
          <cell r="B4373" t="str">
            <v>Mariane Nascimento</v>
          </cell>
        </row>
        <row r="4374">
          <cell r="A4374" t="str">
            <v>09.072.082/0002-35</v>
          </cell>
          <cell r="B4374" t="str">
            <v>Mariane Nascimento</v>
          </cell>
        </row>
        <row r="4375">
          <cell r="A4375" t="str">
            <v>05.137.447/0001-20</v>
          </cell>
          <cell r="B4375" t="str">
            <v>Malu Montesino</v>
          </cell>
        </row>
        <row r="4376">
          <cell r="A4376" t="str">
            <v>15.431.830/0002-21</v>
          </cell>
          <cell r="B4376" t="str">
            <v>Malu Montesino</v>
          </cell>
        </row>
        <row r="4377">
          <cell r="A4377" t="str">
            <v>15.431.830/0002-21</v>
          </cell>
          <cell r="B4377" t="str">
            <v>Malu Montesino</v>
          </cell>
        </row>
        <row r="4378">
          <cell r="A4378" t="str">
            <v>02.033.695/0001-33</v>
          </cell>
          <cell r="B4378" t="str">
            <v>Malu Montesino</v>
          </cell>
        </row>
        <row r="4379">
          <cell r="A4379" t="str">
            <v>05.857.218/0001-80</v>
          </cell>
          <cell r="B4379" t="str">
            <v>Malu Montesino</v>
          </cell>
        </row>
        <row r="4380">
          <cell r="A4380" t="str">
            <v>05.857.218/0001-80</v>
          </cell>
          <cell r="B4380" t="str">
            <v>Malu Montesino</v>
          </cell>
        </row>
        <row r="4381">
          <cell r="A4381" t="str">
            <v>19.522.075/0001-60</v>
          </cell>
          <cell r="B4381" t="str">
            <v>Malu Montesino</v>
          </cell>
        </row>
        <row r="4382">
          <cell r="A4382" t="str">
            <v>26.389.015/0001-87</v>
          </cell>
          <cell r="B4382" t="str">
            <v>Malu Montesino</v>
          </cell>
        </row>
        <row r="4383">
          <cell r="A4383" t="str">
            <v>38.229.195/0001-19</v>
          </cell>
          <cell r="B4383" t="str">
            <v>Malu Montesino</v>
          </cell>
        </row>
        <row r="4384">
          <cell r="A4384" t="str">
            <v>45.703.378/0003-51</v>
          </cell>
          <cell r="B4384" t="str">
            <v>Malu Montesino</v>
          </cell>
        </row>
        <row r="4385">
          <cell r="A4385" t="str">
            <v>45.703.378/0003-51</v>
          </cell>
          <cell r="B4385" t="str">
            <v>Malu Montesino</v>
          </cell>
        </row>
        <row r="4386">
          <cell r="A4386" t="str">
            <v>58.520.858/0001-67</v>
          </cell>
          <cell r="B4386" t="str">
            <v>Malu Montesino</v>
          </cell>
        </row>
        <row r="4387">
          <cell r="A4387" t="str">
            <v>02.214.604/0001-66</v>
          </cell>
          <cell r="B4387" t="str">
            <v>Malu Montesino</v>
          </cell>
        </row>
        <row r="4388">
          <cell r="A4388" t="str">
            <v>02.214.604/0001-66</v>
          </cell>
          <cell r="B4388" t="str">
            <v>Malu Montesino</v>
          </cell>
        </row>
        <row r="4389">
          <cell r="A4389" t="str">
            <v>11.957.593/0001-03</v>
          </cell>
          <cell r="B4389" t="str">
            <v>Malu Montesino</v>
          </cell>
        </row>
        <row r="4390">
          <cell r="A4390" t="str">
            <v>07.204.578/0001-09</v>
          </cell>
          <cell r="B4390" t="str">
            <v>Malu Montesino</v>
          </cell>
        </row>
        <row r="4391">
          <cell r="A4391" t="str">
            <v>38.743.357/0001-32</v>
          </cell>
          <cell r="B4391" t="str">
            <v>Malu Montesino</v>
          </cell>
        </row>
        <row r="4392">
          <cell r="A4392" t="str">
            <v>04.785.438/0001-83</v>
          </cell>
          <cell r="B4392" t="str">
            <v>Malu Montesino</v>
          </cell>
        </row>
        <row r="4393">
          <cell r="A4393" t="str">
            <v>05.847.054/0001-00</v>
          </cell>
          <cell r="B4393" t="str">
            <v>Malu Montesino</v>
          </cell>
        </row>
        <row r="4394">
          <cell r="A4394" t="str">
            <v>10.444.624/0001-51</v>
          </cell>
          <cell r="B4394" t="str">
            <v>Malu Montesino</v>
          </cell>
        </row>
        <row r="4395">
          <cell r="A4395" t="str">
            <v>14.707.364/0001-10</v>
          </cell>
          <cell r="B4395" t="str">
            <v>Malu Montesino</v>
          </cell>
        </row>
        <row r="4396">
          <cell r="A4396" t="str">
            <v>05.857.218/0001-80</v>
          </cell>
          <cell r="B4396" t="str">
            <v>Malu Montesino</v>
          </cell>
        </row>
        <row r="4397">
          <cell r="A4397" t="str">
            <v>03.496.778/0001-21</v>
          </cell>
          <cell r="B4397" t="str">
            <v>Malu Montesino</v>
          </cell>
        </row>
        <row r="4398">
          <cell r="A4398" t="str">
            <v>90.909.631/0001-10</v>
          </cell>
          <cell r="B4398" t="str">
            <v>Malu Montesino</v>
          </cell>
        </row>
        <row r="4399">
          <cell r="A4399" t="str">
            <v>07.018.219/0001-67</v>
          </cell>
          <cell r="B4399" t="str">
            <v>Malu Montesino</v>
          </cell>
        </row>
        <row r="4400">
          <cell r="A4400" t="str">
            <v>44.086.444/0001-67</v>
          </cell>
          <cell r="B4400" t="str">
            <v>Malu Montesino</v>
          </cell>
        </row>
        <row r="4401">
          <cell r="A4401" t="str">
            <v>31.406.860/0001-53</v>
          </cell>
          <cell r="B4401" t="str">
            <v>Malu Montesino</v>
          </cell>
        </row>
        <row r="4402">
          <cell r="A4402" t="str">
            <v>31.406.860/0001-53</v>
          </cell>
          <cell r="B4402" t="str">
            <v>Malu Montesino</v>
          </cell>
        </row>
        <row r="4403">
          <cell r="A4403" t="str">
            <v>18.258.209/0001-15</v>
          </cell>
          <cell r="B4403" t="str">
            <v>Mariane Nascimento</v>
          </cell>
        </row>
        <row r="4404">
          <cell r="A4404" t="str">
            <v>33.373.325/0001-79</v>
          </cell>
          <cell r="B4404" t="str">
            <v>Mariane Nascimento</v>
          </cell>
        </row>
        <row r="4405">
          <cell r="A4405" t="str">
            <v>33.373.325/0001-79</v>
          </cell>
          <cell r="B4405" t="str">
            <v>Mariane Nascimento</v>
          </cell>
        </row>
        <row r="4406">
          <cell r="A4406" t="str">
            <v>07.133.384/0001-60</v>
          </cell>
          <cell r="B4406" t="str">
            <v>Mariane Nascimento</v>
          </cell>
        </row>
        <row r="4407">
          <cell r="A4407" t="str">
            <v>06.172.467/0001-03</v>
          </cell>
          <cell r="B4407" t="str">
            <v>Mariane Nascimento</v>
          </cell>
        </row>
        <row r="4408">
          <cell r="A4408" t="str">
            <v>06.172.467/0001-03</v>
          </cell>
          <cell r="B4408" t="str">
            <v>Mariane Nascimento</v>
          </cell>
        </row>
        <row r="4409">
          <cell r="A4409" t="str">
            <v>62.802.012/0001-97</v>
          </cell>
          <cell r="B4409" t="str">
            <v>Mariane Nascimento</v>
          </cell>
        </row>
        <row r="4410">
          <cell r="A4410" t="str">
            <v>19.769.575/0001-00</v>
          </cell>
          <cell r="B4410" t="str">
            <v>Mariane Nascimento</v>
          </cell>
        </row>
        <row r="4411">
          <cell r="A4411" t="str">
            <v>05.495.281/0001-14</v>
          </cell>
          <cell r="B4411" t="str">
            <v>Mariane Nascimento</v>
          </cell>
        </row>
        <row r="4412">
          <cell r="A4412" t="str">
            <v>05.495.281/0001-14</v>
          </cell>
          <cell r="B4412" t="str">
            <v>Mariane Nascimento</v>
          </cell>
        </row>
        <row r="4413">
          <cell r="A4413" t="str">
            <v>08.221.047/0001-97</v>
          </cell>
          <cell r="B4413" t="str">
            <v>Mariane Nascimento</v>
          </cell>
        </row>
        <row r="4414">
          <cell r="A4414" t="str">
            <v>03.033.345/0001-30</v>
          </cell>
          <cell r="B4414" t="str">
            <v>Mariane Nascimento</v>
          </cell>
        </row>
        <row r="4415">
          <cell r="A4415" t="str">
            <v>03.033.345/0001-30</v>
          </cell>
          <cell r="B4415" t="str">
            <v>Mariane Nascimento</v>
          </cell>
        </row>
        <row r="4416">
          <cell r="A4416" t="str">
            <v>65.010.415/0001-91</v>
          </cell>
          <cell r="B4416" t="str">
            <v>Mariane Nascimento</v>
          </cell>
        </row>
        <row r="4417">
          <cell r="A4417" t="str">
            <v>65.010.415/0001-91</v>
          </cell>
          <cell r="B4417" t="str">
            <v>Mariane Nascimento</v>
          </cell>
        </row>
        <row r="4418">
          <cell r="A4418" t="str">
            <v>03.620.716/0001-80</v>
          </cell>
          <cell r="B4418" t="str">
            <v>Malu Montesino</v>
          </cell>
        </row>
        <row r="4419">
          <cell r="A4419" t="str">
            <v>03.620.716/0001-80</v>
          </cell>
          <cell r="B4419" t="str">
            <v>Malu Montesino</v>
          </cell>
        </row>
        <row r="4420">
          <cell r="A4420" t="str">
            <v>09.072.082/0002-35</v>
          </cell>
          <cell r="B4420" t="str">
            <v>Mariane Nascimento</v>
          </cell>
        </row>
        <row r="4421">
          <cell r="A4421" t="str">
            <v>09.072.082/0002-35</v>
          </cell>
          <cell r="B4421" t="str">
            <v>Mariane Nascimento</v>
          </cell>
        </row>
        <row r="4422">
          <cell r="A4422" t="str">
            <v>59.650.556/0001-76</v>
          </cell>
          <cell r="B4422" t="str">
            <v>Malu Montesino</v>
          </cell>
        </row>
        <row r="4423">
          <cell r="A4423" t="str">
            <v>15.630.428/0001-95</v>
          </cell>
          <cell r="B4423" t="str">
            <v>Malu Montesino</v>
          </cell>
        </row>
        <row r="4424">
          <cell r="A4424" t="str">
            <v>26.389.015/0001-87</v>
          </cell>
          <cell r="B4424" t="str">
            <v>Malu Montesino</v>
          </cell>
        </row>
        <row r="4425">
          <cell r="A4425" t="str">
            <v>38.229.195/0001-19</v>
          </cell>
          <cell r="B4425" t="str">
            <v>Malu Montesino</v>
          </cell>
        </row>
        <row r="4426">
          <cell r="A4426" t="str">
            <v>38.229.195/0001-19</v>
          </cell>
          <cell r="B4426" t="str">
            <v>Malu Montesino</v>
          </cell>
        </row>
        <row r="4427">
          <cell r="A4427" t="str">
            <v>09.325.670/0001-52</v>
          </cell>
          <cell r="B4427" t="str">
            <v>Mariane Nascimento</v>
          </cell>
        </row>
        <row r="4428">
          <cell r="A4428" t="str">
            <v>04.784.711/0001-55</v>
          </cell>
          <cell r="B4428" t="str">
            <v>Malu Montesino</v>
          </cell>
        </row>
        <row r="4429">
          <cell r="A4429" t="str">
            <v>04.570.771/0001-75</v>
          </cell>
          <cell r="B4429" t="str">
            <v>Malu Montesino</v>
          </cell>
        </row>
        <row r="4430">
          <cell r="A4430" t="str">
            <v>43.887.033/0001-08</v>
          </cell>
          <cell r="B4430" t="str">
            <v>Malu Montesino</v>
          </cell>
        </row>
        <row r="4431">
          <cell r="A4431" t="str">
            <v>43.887.033/0001-08</v>
          </cell>
          <cell r="B4431" t="str">
            <v>Malu Montesino</v>
          </cell>
        </row>
        <row r="4432">
          <cell r="A4432" t="str">
            <v>43.887.033/0001-08</v>
          </cell>
          <cell r="B4432" t="str">
            <v>Malu Montesino</v>
          </cell>
        </row>
        <row r="4433">
          <cell r="A4433" t="str">
            <v>03.144.465/0001-04</v>
          </cell>
          <cell r="B4433" t="str">
            <v>Malu Montesino</v>
          </cell>
        </row>
        <row r="4434">
          <cell r="A4434" t="str">
            <v>11.681.470/0001-84</v>
          </cell>
          <cell r="B4434" t="str">
            <v>Malu Montesino</v>
          </cell>
        </row>
        <row r="4435">
          <cell r="A4435" t="str">
            <v>11.681.470/0001-84</v>
          </cell>
          <cell r="B4435" t="str">
            <v>Malu Montesino</v>
          </cell>
        </row>
        <row r="4436">
          <cell r="A4436" t="str">
            <v>27.098.270/0001-33</v>
          </cell>
          <cell r="B4436" t="str">
            <v>Malu Montesino</v>
          </cell>
        </row>
        <row r="4437">
          <cell r="A4437" t="str">
            <v>27.098.270/0001-33</v>
          </cell>
          <cell r="B4437" t="str">
            <v>Malu Montesino</v>
          </cell>
        </row>
        <row r="4438">
          <cell r="A4438" t="str">
            <v>30.309.296/0001-98</v>
          </cell>
          <cell r="B4438" t="str">
            <v>Malu Montesino</v>
          </cell>
        </row>
        <row r="4439">
          <cell r="A4439" t="str">
            <v>20.260.776/0001-58</v>
          </cell>
          <cell r="B4439" t="str">
            <v>Malu Montesino</v>
          </cell>
        </row>
        <row r="4440">
          <cell r="A4440" t="str">
            <v>62.908.166/0001-68</v>
          </cell>
          <cell r="B4440" t="str">
            <v>Malu Montesino</v>
          </cell>
        </row>
        <row r="4441">
          <cell r="A4441" t="str">
            <v>31.406.860/0001-53</v>
          </cell>
          <cell r="B4441" t="str">
            <v>Malu Montesino</v>
          </cell>
        </row>
        <row r="4442">
          <cell r="A4442" t="str">
            <v>26.389.015/0001-87</v>
          </cell>
          <cell r="B4442" t="str">
            <v>Malu Montesino</v>
          </cell>
        </row>
        <row r="4443">
          <cell r="A4443" t="str">
            <v>26.389.015/0001-87</v>
          </cell>
          <cell r="B4443" t="str">
            <v>Malu Montesino</v>
          </cell>
        </row>
        <row r="4444">
          <cell r="A4444" t="str">
            <v>43.887.033/0001-08</v>
          </cell>
          <cell r="B4444" t="str">
            <v>Malu Montesino</v>
          </cell>
        </row>
        <row r="4445">
          <cell r="A4445" t="str">
            <v>11.681.470/0001-84</v>
          </cell>
          <cell r="B4445" t="str">
            <v>Malu Montesino</v>
          </cell>
        </row>
        <row r="4446">
          <cell r="A4446" t="str">
            <v>03.620.716/0001-80</v>
          </cell>
          <cell r="B4446" t="str">
            <v>Malu Montesino</v>
          </cell>
        </row>
        <row r="4447">
          <cell r="A4447" t="str">
            <v>53.358.495/0001-91</v>
          </cell>
          <cell r="B4447" t="str">
            <v>Malu Montesino</v>
          </cell>
        </row>
        <row r="4448">
          <cell r="A4448" t="str">
            <v>34.151.100/0001-30</v>
          </cell>
          <cell r="B4448" t="str">
            <v>Malu Montesino</v>
          </cell>
        </row>
        <row r="4449">
          <cell r="A4449" t="str">
            <v>19.769.575/0001-00</v>
          </cell>
          <cell r="B4449" t="str">
            <v>Mariane Nascimento</v>
          </cell>
        </row>
        <row r="4450">
          <cell r="A4450" t="str">
            <v>19.769.575/0001-00</v>
          </cell>
          <cell r="B4450" t="str">
            <v>Mariane Nascimento</v>
          </cell>
        </row>
        <row r="4451">
          <cell r="A4451" t="str">
            <v>N/D</v>
          </cell>
          <cell r="B4451" t="str">
            <v>Mariane Nascimento</v>
          </cell>
        </row>
        <row r="4452">
          <cell r="A4452" t="str">
            <v>00.967.275/0001-07</v>
          </cell>
          <cell r="B4452" t="str">
            <v>Malu Montesino</v>
          </cell>
        </row>
        <row r="4453">
          <cell r="A4453" t="str">
            <v>05.773.360/0001-40</v>
          </cell>
          <cell r="B4453" t="str">
            <v>Mariane Nascimento</v>
          </cell>
        </row>
        <row r="4454">
          <cell r="A4454" t="str">
            <v>05.773.360/0001-40</v>
          </cell>
          <cell r="B4454" t="str">
            <v>Mariane Nascimento</v>
          </cell>
        </row>
        <row r="4455">
          <cell r="A4455" t="str">
            <v>05.773.360/0001-40</v>
          </cell>
          <cell r="B4455" t="str">
            <v>Mariane Nascimento</v>
          </cell>
        </row>
        <row r="4456">
          <cell r="A4456" t="str">
            <v>67.405.936/0001-73</v>
          </cell>
          <cell r="B4456" t="str">
            <v>Malu Montesino</v>
          </cell>
        </row>
        <row r="4457">
          <cell r="A4457" t="str">
            <v>16.670.085/0001-55</v>
          </cell>
          <cell r="B4457" t="str">
            <v>Malu Montesino</v>
          </cell>
        </row>
        <row r="4458">
          <cell r="A4458" t="str">
            <v>26.389.015/0001-87</v>
          </cell>
          <cell r="B4458" t="str">
            <v>Malu Montesino</v>
          </cell>
        </row>
        <row r="4459">
          <cell r="A4459" t="str">
            <v>04.784.711/0001-55</v>
          </cell>
          <cell r="B4459" t="str">
            <v>Malu Montesino</v>
          </cell>
        </row>
        <row r="4460">
          <cell r="A4460" t="str">
            <v>04.784.711/0001-55</v>
          </cell>
          <cell r="B4460" t="str">
            <v>Malu Montesino</v>
          </cell>
        </row>
        <row r="4461">
          <cell r="A4461" t="str">
            <v>04.784.711/0001-55</v>
          </cell>
          <cell r="B4461" t="str">
            <v>Malu Montesino</v>
          </cell>
        </row>
        <row r="4462">
          <cell r="A4462" t="str">
            <v>02.838.857/0001-00</v>
          </cell>
          <cell r="B4462" t="str">
            <v>Malu Montesino</v>
          </cell>
        </row>
        <row r="4463">
          <cell r="A4463" t="str">
            <v>07.662.932/0001-49</v>
          </cell>
          <cell r="B4463" t="str">
            <v>Malu Montesino</v>
          </cell>
        </row>
        <row r="4464">
          <cell r="A4464" t="str">
            <v>05.439.635/0001-03</v>
          </cell>
          <cell r="B4464" t="str">
            <v>Mariane Nascimento</v>
          </cell>
        </row>
        <row r="4465">
          <cell r="A4465" t="str">
            <v>55.980.684/0001-27</v>
          </cell>
          <cell r="B4465" t="str">
            <v>Mariane Nascimento</v>
          </cell>
        </row>
        <row r="4466">
          <cell r="A4466" t="str">
            <v>04.570.771/0001-75</v>
          </cell>
          <cell r="B4466" t="str">
            <v>Malu Montesino</v>
          </cell>
        </row>
        <row r="4467">
          <cell r="A4467" t="str">
            <v>46.754.545/0001-94</v>
          </cell>
          <cell r="B4467" t="str">
            <v>Malu Montesino</v>
          </cell>
        </row>
        <row r="4468">
          <cell r="A4468" t="str">
            <v>46.754.545/0001-94</v>
          </cell>
          <cell r="B4468" t="str">
            <v>Malu Montesino</v>
          </cell>
        </row>
        <row r="4469">
          <cell r="A4469" t="str">
            <v>53.224.127/0001-50</v>
          </cell>
          <cell r="B4469" t="str">
            <v>Malu Montesino</v>
          </cell>
        </row>
        <row r="4470">
          <cell r="A4470" t="str">
            <v>06.081.203/0001-36</v>
          </cell>
          <cell r="B4470" t="str">
            <v>Mariane Nascimento</v>
          </cell>
        </row>
        <row r="4471">
          <cell r="A4471" t="str">
            <v>06.081.203/0001-36</v>
          </cell>
          <cell r="B4471" t="str">
            <v>Mariane Nascimento</v>
          </cell>
        </row>
        <row r="4472">
          <cell r="A4472" t="str">
            <v>06.081.203/0001-36</v>
          </cell>
          <cell r="B4472" t="str">
            <v>Mariane Nascimento</v>
          </cell>
        </row>
        <row r="4473">
          <cell r="A4473" t="str">
            <v>13.829.957/0001-97</v>
          </cell>
          <cell r="B4473" t="str">
            <v>Malu Montesino</v>
          </cell>
        </row>
        <row r="4474">
          <cell r="A4474" t="str">
            <v>35.548.400/0001-10</v>
          </cell>
          <cell r="B4474" t="str">
            <v>Malu Montesino</v>
          </cell>
        </row>
        <row r="4475">
          <cell r="A4475" t="str">
            <v>35.548.400/0001-10</v>
          </cell>
          <cell r="B4475" t="str">
            <v>Malu Montesino</v>
          </cell>
        </row>
        <row r="4476">
          <cell r="A4476" t="str">
            <v>01.835.739/0001-86</v>
          </cell>
          <cell r="B4476" t="str">
            <v>Malu Montesino</v>
          </cell>
        </row>
        <row r="4477">
          <cell r="A4477" t="str">
            <v>01.835.739/0001-86</v>
          </cell>
          <cell r="B4477" t="str">
            <v>Malu Montesino</v>
          </cell>
        </row>
        <row r="4478">
          <cell r="A4478" t="str">
            <v>78.364.767/0001-97</v>
          </cell>
          <cell r="B4478" t="str">
            <v>Malu Montesino</v>
          </cell>
        </row>
        <row r="4479">
          <cell r="A4479" t="str">
            <v>24.517.378/0001-25</v>
          </cell>
          <cell r="B4479" t="str">
            <v>Malu Montesino</v>
          </cell>
        </row>
        <row r="4480">
          <cell r="A4480" t="str">
            <v>24.517.378/0001-25</v>
          </cell>
          <cell r="B4480" t="str">
            <v>Malu Montesino</v>
          </cell>
        </row>
        <row r="4481">
          <cell r="A4481" t="str">
            <v>03.129.105/0001-33</v>
          </cell>
          <cell r="B4481" t="str">
            <v>Mariane Nascimento</v>
          </cell>
        </row>
        <row r="4482">
          <cell r="A4482" t="str">
            <v>03.129.105/0001-33</v>
          </cell>
          <cell r="B4482" t="str">
            <v>Mariane Nascimento</v>
          </cell>
        </row>
        <row r="4483">
          <cell r="A4483" t="str">
            <v>07.662.932/0001-49</v>
          </cell>
          <cell r="B4483" t="str">
            <v>Malu Montesino</v>
          </cell>
        </row>
        <row r="4484">
          <cell r="A4484" t="str">
            <v>53.224.127/0001-50</v>
          </cell>
          <cell r="B4484" t="str">
            <v>Malu Montesino</v>
          </cell>
        </row>
        <row r="4485">
          <cell r="A4485" t="str">
            <v>01.835.739/0001-86</v>
          </cell>
          <cell r="B4485" t="str">
            <v>Malu Montesino</v>
          </cell>
        </row>
        <row r="4486">
          <cell r="A4486" t="str">
            <v>53.358.495/0001-91</v>
          </cell>
          <cell r="B4486" t="str">
            <v>Malu Montesino</v>
          </cell>
        </row>
        <row r="4487">
          <cell r="A4487" t="str">
            <v>04.743.025/0001-36</v>
          </cell>
          <cell r="B4487" t="str">
            <v>Malu Montesino</v>
          </cell>
        </row>
        <row r="4488">
          <cell r="A4488" t="str">
            <v>07.438.908/0001-20</v>
          </cell>
          <cell r="B4488" t="str">
            <v>Malu Montesino</v>
          </cell>
        </row>
        <row r="4489">
          <cell r="A4489" t="str">
            <v>73.773.129/0001-06</v>
          </cell>
          <cell r="B4489" t="str">
            <v>Malu Montesino</v>
          </cell>
        </row>
        <row r="4490">
          <cell r="A4490" t="str">
            <v>60.680.873/0001-14</v>
          </cell>
          <cell r="B4490" t="str">
            <v>Malu Montesino</v>
          </cell>
        </row>
        <row r="4491">
          <cell r="A4491" t="str">
            <v>60.680.873/0001-14</v>
          </cell>
          <cell r="B4491" t="str">
            <v>Malu Montesino</v>
          </cell>
        </row>
        <row r="4492">
          <cell r="A4492" t="str">
            <v>60.680.873/0001-14</v>
          </cell>
          <cell r="B4492" t="str">
            <v>Malu Montesino</v>
          </cell>
        </row>
        <row r="4493">
          <cell r="A4493" t="str">
            <v>61.591.459/0001-00</v>
          </cell>
          <cell r="B4493" t="str">
            <v>Malu Montesino</v>
          </cell>
        </row>
        <row r="4494">
          <cell r="A4494" t="str">
            <v>61.591.459/0001-00</v>
          </cell>
          <cell r="B4494" t="str">
            <v>Malu Montesino</v>
          </cell>
        </row>
        <row r="4495">
          <cell r="A4495" t="str">
            <v>61.591.459/0001-00</v>
          </cell>
          <cell r="B4495" t="str">
            <v>Malu Montesino</v>
          </cell>
        </row>
        <row r="4496">
          <cell r="A4496" t="str">
            <v>11.405.384/0001-49</v>
          </cell>
          <cell r="B4496" t="str">
            <v>Malu Montesino</v>
          </cell>
        </row>
        <row r="4497">
          <cell r="A4497" t="str">
            <v>02.659.246/0003-67</v>
          </cell>
          <cell r="B4497" t="str">
            <v>Malu Montesino</v>
          </cell>
        </row>
        <row r="4498">
          <cell r="A4498" t="str">
            <v>16.553.940/0001-48</v>
          </cell>
          <cell r="B4498" t="str">
            <v>Malu Montesino</v>
          </cell>
        </row>
        <row r="4499">
          <cell r="A4499" t="str">
            <v>33.325.184/0001-19</v>
          </cell>
          <cell r="B4499" t="str">
            <v>Malu Montesino</v>
          </cell>
        </row>
        <row r="4500">
          <cell r="A4500" t="str">
            <v>33.325.184/0001-19</v>
          </cell>
          <cell r="B4500" t="str">
            <v>Malu Montesino</v>
          </cell>
        </row>
        <row r="4501">
          <cell r="A4501" t="str">
            <v>00.771.598/0005-46</v>
          </cell>
          <cell r="B4501" t="str">
            <v>Malu Montesino</v>
          </cell>
        </row>
        <row r="4502">
          <cell r="A4502" t="str">
            <v>61.363.032/0001-46</v>
          </cell>
          <cell r="B4502" t="str">
            <v>Malu Montesino</v>
          </cell>
        </row>
        <row r="4503">
          <cell r="A4503" t="str">
            <v>06.191.743/0001-72</v>
          </cell>
          <cell r="B4503" t="str">
            <v>Malu Montesino</v>
          </cell>
        </row>
        <row r="4504">
          <cell r="A4504" t="str">
            <v>06.191.743/0001-72</v>
          </cell>
          <cell r="B4504" t="str">
            <v>Malu Montesino</v>
          </cell>
        </row>
        <row r="4505">
          <cell r="A4505" t="str">
            <v>06.191.743/0001-72</v>
          </cell>
          <cell r="B4505" t="str">
            <v>Malu Montesino</v>
          </cell>
        </row>
        <row r="4506">
          <cell r="A4506" t="str">
            <v>46.754.545/0001-94</v>
          </cell>
          <cell r="B4506" t="str">
            <v>Malu Montesino</v>
          </cell>
        </row>
        <row r="4507">
          <cell r="A4507" t="str">
            <v>52.913.838/0001-70</v>
          </cell>
          <cell r="B4507" t="str">
            <v>Malu Montesino</v>
          </cell>
        </row>
        <row r="4508">
          <cell r="A4508" t="str">
            <v>52.913.838/0001-70</v>
          </cell>
          <cell r="B4508" t="str">
            <v>Malu Montesino</v>
          </cell>
        </row>
        <row r="4509">
          <cell r="A4509" t="str">
            <v>08.406.359/0001-75</v>
          </cell>
          <cell r="B4509" t="str">
            <v>Malu Montesino</v>
          </cell>
        </row>
        <row r="4510">
          <cell r="A4510" t="str">
            <v>08.406.359/0001-75</v>
          </cell>
          <cell r="B4510" t="str">
            <v>Malu Montesino</v>
          </cell>
        </row>
        <row r="4511">
          <cell r="A4511" t="str">
            <v>08.406.359/0001-75</v>
          </cell>
          <cell r="B4511" t="str">
            <v>Malu Montesino</v>
          </cell>
        </row>
        <row r="4512">
          <cell r="A4512" t="str">
            <v>49.418.150/0001-09</v>
          </cell>
          <cell r="B4512" t="str">
            <v>Malu Montesino</v>
          </cell>
        </row>
        <row r="4513">
          <cell r="A4513" t="str">
            <v>49.418.150/0001-09</v>
          </cell>
          <cell r="B4513" t="str">
            <v>Malu Montesino</v>
          </cell>
        </row>
        <row r="4514">
          <cell r="A4514" t="str">
            <v>16.586.753/0001-60</v>
          </cell>
          <cell r="B4514" t="str">
            <v>Malu Montesino</v>
          </cell>
        </row>
        <row r="4515">
          <cell r="A4515" t="str">
            <v>62.908.166/0001-68</v>
          </cell>
          <cell r="B4515" t="str">
            <v>Malu Montesino</v>
          </cell>
        </row>
        <row r="4516">
          <cell r="A4516" t="str">
            <v>01.477.885/0001-87</v>
          </cell>
          <cell r="B4516" t="str">
            <v>Malu Montesino</v>
          </cell>
        </row>
        <row r="4517">
          <cell r="A4517" t="str">
            <v>61.363.032/0001-46</v>
          </cell>
          <cell r="B4517" t="str">
            <v>Malu Montesino</v>
          </cell>
        </row>
        <row r="4518">
          <cell r="A4518" t="str">
            <v>49.418.150/0001-09</v>
          </cell>
          <cell r="B4518" t="str">
            <v>Malu Montesino</v>
          </cell>
        </row>
        <row r="4519">
          <cell r="A4519" t="str">
            <v>08.406.359/0001-75</v>
          </cell>
          <cell r="B4519" t="str">
            <v>Malu Montesino</v>
          </cell>
        </row>
        <row r="4520">
          <cell r="A4520" t="str">
            <v>06.191.743/0001-72</v>
          </cell>
          <cell r="B4520" t="str">
            <v>Malu Montesino</v>
          </cell>
        </row>
        <row r="4521">
          <cell r="A4521" t="str">
            <v>60.680.873/0001-14</v>
          </cell>
          <cell r="B4521" t="str">
            <v>Malu Montesino</v>
          </cell>
        </row>
        <row r="4522">
          <cell r="A4522" t="str">
            <v>05.706.897/0001-97</v>
          </cell>
          <cell r="B4522" t="str">
            <v>Malu Montesino</v>
          </cell>
        </row>
        <row r="4523">
          <cell r="A4523" t="str">
            <v>40.823.640/0001-16</v>
          </cell>
          <cell r="B4523" t="str">
            <v>Malu Montesino</v>
          </cell>
        </row>
        <row r="4524">
          <cell r="A4524" t="str">
            <v>10.426.136/0001-11</v>
          </cell>
          <cell r="B4524" t="str">
            <v>Malu Montesino</v>
          </cell>
        </row>
        <row r="4525">
          <cell r="A4525" t="str">
            <v>61.371.852/0001-80</v>
          </cell>
          <cell r="B4525" t="str">
            <v>Malu Montesino</v>
          </cell>
        </row>
        <row r="4526">
          <cell r="A4526" t="str">
            <v>21.551.379/0007-93</v>
          </cell>
          <cell r="B4526" t="str">
            <v>Malu Montesino</v>
          </cell>
        </row>
        <row r="4527">
          <cell r="A4527" t="str">
            <v>21.551.379/0007-93</v>
          </cell>
          <cell r="B4527" t="str">
            <v>Malu Montesino</v>
          </cell>
        </row>
        <row r="4528">
          <cell r="A4528" t="str">
            <v>23.647.365/0001-08</v>
          </cell>
          <cell r="B4528" t="str">
            <v>Malu Montesino</v>
          </cell>
        </row>
        <row r="4529">
          <cell r="A4529" t="str">
            <v>54.030.629/0001-03</v>
          </cell>
          <cell r="B4529" t="str">
            <v>Malu Montesino</v>
          </cell>
        </row>
        <row r="4530">
          <cell r="A4530" t="str">
            <v>59.104.422/0001-50</v>
          </cell>
          <cell r="B4530" t="str">
            <v>Malu Montesino</v>
          </cell>
        </row>
        <row r="4531">
          <cell r="A4531" t="str">
            <v>59.104.422/0001-50</v>
          </cell>
          <cell r="B4531" t="str">
            <v>Malu Montesino</v>
          </cell>
        </row>
        <row r="4532">
          <cell r="A4532" t="str">
            <v>29.127.216/0001-02</v>
          </cell>
          <cell r="B4532" t="str">
            <v>Malu Montesino</v>
          </cell>
        </row>
        <row r="4533">
          <cell r="A4533" t="str">
            <v>05.706.897/0001-97</v>
          </cell>
          <cell r="B4533" t="str">
            <v>Malu Montesino</v>
          </cell>
        </row>
        <row r="4534">
          <cell r="A4534" t="str">
            <v>05.706.897/0001-97</v>
          </cell>
          <cell r="B4534" t="str">
            <v>Malu Montesino</v>
          </cell>
        </row>
        <row r="4535">
          <cell r="A4535" t="str">
            <v>05.706.897/0001-97</v>
          </cell>
          <cell r="B4535" t="str">
            <v>Malu Montesino</v>
          </cell>
        </row>
        <row r="4536">
          <cell r="A4536" t="str">
            <v>18.809.570/0001-92</v>
          </cell>
          <cell r="B4536" t="str">
            <v>Mariane Nascimento</v>
          </cell>
        </row>
        <row r="4537">
          <cell r="A4537" t="str">
            <v>05.495.281/0001-14</v>
          </cell>
          <cell r="B4537" t="str">
            <v>Mariane Nascimento</v>
          </cell>
        </row>
        <row r="4538">
          <cell r="A4538" t="str">
            <v>19.428.087/0001-20</v>
          </cell>
          <cell r="B4538" t="str">
            <v>Malu Montesino</v>
          </cell>
        </row>
        <row r="4539">
          <cell r="A4539" t="str">
            <v>19.428.087/0001-20</v>
          </cell>
          <cell r="B4539" t="str">
            <v>Malu Montesino</v>
          </cell>
        </row>
        <row r="4540">
          <cell r="A4540" t="str">
            <v>15.630.428/0001-95</v>
          </cell>
          <cell r="B4540" t="str">
            <v>Malu Montesino</v>
          </cell>
        </row>
        <row r="4541">
          <cell r="A4541" t="str">
            <v>31.639.937/0001-35</v>
          </cell>
          <cell r="B4541" t="str">
            <v>Mariane Nascimento</v>
          </cell>
        </row>
        <row r="4542">
          <cell r="A4542" t="str">
            <v>71.680.193/0010-08</v>
          </cell>
          <cell r="B4542" t="str">
            <v>Malu Montesino</v>
          </cell>
        </row>
        <row r="4543">
          <cell r="A4543" t="str">
            <v>06.191.743/0001-72</v>
          </cell>
          <cell r="B4543" t="str">
            <v>Malu Montesino</v>
          </cell>
        </row>
        <row r="4544">
          <cell r="A4544" t="str">
            <v>46.754.545/0001-94</v>
          </cell>
          <cell r="B4544" t="str">
            <v>Malu Montesino</v>
          </cell>
        </row>
        <row r="4545">
          <cell r="A4545" t="str">
            <v>46.754.545/0001-94</v>
          </cell>
          <cell r="B4545" t="str">
            <v>Malu Montesino</v>
          </cell>
        </row>
        <row r="4546">
          <cell r="A4546" t="str">
            <v>42.972.345/0001-57</v>
          </cell>
          <cell r="B4546" t="str">
            <v>Mariane Nascimento</v>
          </cell>
        </row>
        <row r="4547">
          <cell r="A4547" t="str">
            <v>09.273.196/0001-62</v>
          </cell>
          <cell r="B4547" t="str">
            <v>Malu Montesino</v>
          </cell>
        </row>
        <row r="4548">
          <cell r="A4548" t="str">
            <v>01.629.891/0001-02</v>
          </cell>
          <cell r="B4548" t="str">
            <v>Malu Montesino</v>
          </cell>
        </row>
        <row r="4549">
          <cell r="A4549" t="str">
            <v>01.629.891/0001-02</v>
          </cell>
          <cell r="B4549" t="str">
            <v>Malu Montesino</v>
          </cell>
        </row>
        <row r="4550">
          <cell r="A4550" t="str">
            <v>01.629.891/0001-02</v>
          </cell>
          <cell r="B4550" t="str">
            <v>Malu Montesino</v>
          </cell>
        </row>
        <row r="4551">
          <cell r="A4551" t="str">
            <v>02.351.006/0018-87</v>
          </cell>
          <cell r="B4551" t="str">
            <v>Malu Montesino</v>
          </cell>
        </row>
        <row r="4552">
          <cell r="A4552" t="str">
            <v>02.351.006/0018-87</v>
          </cell>
          <cell r="B4552" t="str">
            <v>Malu Montesino</v>
          </cell>
        </row>
        <row r="4553">
          <cell r="A4553" t="str">
            <v>62.908.166/0001-68</v>
          </cell>
          <cell r="B4553" t="str">
            <v>Malu Montesino</v>
          </cell>
        </row>
        <row r="4554">
          <cell r="A4554" t="str">
            <v>62.908.166/0001-68</v>
          </cell>
          <cell r="B4554" t="str">
            <v>Malu Montesino</v>
          </cell>
        </row>
        <row r="4555">
          <cell r="A4555" t="str">
            <v>10.588.595/0001-00</v>
          </cell>
          <cell r="B4555" t="str">
            <v>Malu Montesino</v>
          </cell>
        </row>
        <row r="4556">
          <cell r="A4556" t="str">
            <v>01.629.891/0001-02</v>
          </cell>
          <cell r="B4556" t="str">
            <v>Malu Montesino</v>
          </cell>
        </row>
        <row r="4557">
          <cell r="A4557" t="str">
            <v>01.629.891/0001-02</v>
          </cell>
          <cell r="B4557" t="str">
            <v>Malu Montesino</v>
          </cell>
        </row>
        <row r="4558">
          <cell r="A4558" t="str">
            <v>01.629.891/0001-02</v>
          </cell>
          <cell r="B4558" t="str">
            <v>Malu Montesino</v>
          </cell>
        </row>
        <row r="4559">
          <cell r="A4559" t="str">
            <v>62.908.166/0001-68</v>
          </cell>
          <cell r="B4559" t="str">
            <v>Malu Montesino</v>
          </cell>
        </row>
        <row r="4560">
          <cell r="A4560" t="str">
            <v>06.191.743/0001-72</v>
          </cell>
          <cell r="B4560" t="str">
            <v>Malu Montesino</v>
          </cell>
        </row>
        <row r="4561">
          <cell r="A4561" t="str">
            <v>14.016.443/0001-85</v>
          </cell>
          <cell r="B4561" t="str">
            <v>Malu Montesino</v>
          </cell>
        </row>
        <row r="4562">
          <cell r="A4562" t="str">
            <v>18.258.209/0001-15</v>
          </cell>
          <cell r="B4562" t="str">
            <v>Mariane Nascimento</v>
          </cell>
        </row>
        <row r="4563">
          <cell r="A4563" t="str">
            <v>18.258.209/0001-15</v>
          </cell>
          <cell r="B4563" t="str">
            <v>Mariane Nascimento</v>
          </cell>
        </row>
        <row r="4564">
          <cell r="A4564" t="str">
            <v>18.258.209/0001-15</v>
          </cell>
          <cell r="B4564" t="str">
            <v>Mariane Nascimento</v>
          </cell>
        </row>
        <row r="4565">
          <cell r="A4565" t="str">
            <v>19.769.575/0001-00</v>
          </cell>
          <cell r="B4565" t="str">
            <v>Mariane Nascimento</v>
          </cell>
        </row>
        <row r="4566">
          <cell r="A4566" t="str">
            <v>00.028.986/0001-08</v>
          </cell>
          <cell r="B4566" t="str">
            <v>Malu Montesino</v>
          </cell>
        </row>
        <row r="4567">
          <cell r="A4567" t="str">
            <v>00.028.986/0001-08</v>
          </cell>
          <cell r="B4567" t="str">
            <v>Malu Montesino</v>
          </cell>
        </row>
        <row r="4568">
          <cell r="A4568" t="str">
            <v>16.553.940/0001-48</v>
          </cell>
          <cell r="B4568" t="str">
            <v>Malu Montesino</v>
          </cell>
        </row>
        <row r="4569">
          <cell r="A4569" t="str">
            <v>16.553.940/0001-48</v>
          </cell>
          <cell r="B4569" t="str">
            <v>Malu Montesino</v>
          </cell>
        </row>
        <row r="4570">
          <cell r="A4570" t="str">
            <v>07.935.049/0001-85</v>
          </cell>
          <cell r="B4570" t="str">
            <v>Malu Montesino</v>
          </cell>
        </row>
        <row r="4571">
          <cell r="A4571" t="str">
            <v>07.935.049/0001-85</v>
          </cell>
          <cell r="B4571" t="str">
            <v>Malu Montesino</v>
          </cell>
        </row>
        <row r="4572">
          <cell r="A4572" t="str">
            <v>13.788.120/0001-47</v>
          </cell>
          <cell r="B4572" t="str">
            <v>Malu Montesino</v>
          </cell>
        </row>
        <row r="4573">
          <cell r="A4573" t="str">
            <v>42.566.752/0001-64</v>
          </cell>
          <cell r="B4573" t="str">
            <v>Malu Montesino</v>
          </cell>
        </row>
        <row r="4574">
          <cell r="A4574" t="str">
            <v>42.566.752/0001-64</v>
          </cell>
          <cell r="B4574" t="str">
            <v>Malu Montesino</v>
          </cell>
        </row>
        <row r="4575">
          <cell r="A4575" t="str">
            <v>32.836.259/0001-63</v>
          </cell>
          <cell r="B4575" t="str">
            <v>Malu Montesino</v>
          </cell>
        </row>
        <row r="4576">
          <cell r="A4576" t="str">
            <v>32.836.259/0001-63</v>
          </cell>
          <cell r="B4576" t="str">
            <v>Malu Montesino</v>
          </cell>
        </row>
        <row r="4577">
          <cell r="A4577" t="str">
            <v>30.309.296/0001-98</v>
          </cell>
          <cell r="B4577" t="str">
            <v>Malu Montesino</v>
          </cell>
        </row>
        <row r="4578">
          <cell r="A4578" t="str">
            <v>05.773.057/0001-47</v>
          </cell>
          <cell r="B4578" t="str">
            <v>Malu Montesino</v>
          </cell>
        </row>
        <row r="4579">
          <cell r="A4579" t="str">
            <v>47.225.693/0001-84</v>
          </cell>
          <cell r="B4579" t="str">
            <v>Malu Montesino</v>
          </cell>
        </row>
        <row r="4580">
          <cell r="A4580" t="str">
            <v>42.566.752/0001-64</v>
          </cell>
          <cell r="B4580" t="str">
            <v>Malu Montesino</v>
          </cell>
        </row>
        <row r="4581">
          <cell r="A4581" t="str">
            <v>32.836.259/0001-63</v>
          </cell>
          <cell r="B4581" t="str">
            <v>Malu Montesino</v>
          </cell>
        </row>
        <row r="4582">
          <cell r="A4582" t="str">
            <v>05.773.057/0001-47</v>
          </cell>
          <cell r="B4582" t="str">
            <v>Malu Montesino</v>
          </cell>
        </row>
        <row r="4583">
          <cell r="A4583" t="str">
            <v>47.225.693/0001-84</v>
          </cell>
          <cell r="B4583" t="str">
            <v>Malu Montesino</v>
          </cell>
        </row>
        <row r="4584">
          <cell r="A4584" t="str">
            <v>27.061.442/0001-02</v>
          </cell>
          <cell r="B4584" t="str">
            <v>Malu Montesino</v>
          </cell>
        </row>
        <row r="4585">
          <cell r="A4585" t="str">
            <v>27.061.442/0001-02</v>
          </cell>
          <cell r="B4585" t="str">
            <v>Malu Montesino</v>
          </cell>
        </row>
        <row r="4586">
          <cell r="A4586" t="str">
            <v>27.061.442/0001-02</v>
          </cell>
          <cell r="B4586" t="str">
            <v>Malu Montesino</v>
          </cell>
        </row>
        <row r="4587">
          <cell r="A4587" t="str">
            <v>40.084.157/0001-67</v>
          </cell>
          <cell r="B4587" t="str">
            <v>Malu Montesino</v>
          </cell>
        </row>
        <row r="4588">
          <cell r="A4588" t="str">
            <v>40.084.157/0001-67</v>
          </cell>
          <cell r="B4588" t="str">
            <v>Malu Montesino</v>
          </cell>
        </row>
        <row r="4589">
          <cell r="A4589" t="str">
            <v>24.893.687/0011-71</v>
          </cell>
          <cell r="B4589" t="str">
            <v>Malu Montesino</v>
          </cell>
        </row>
        <row r="4590">
          <cell r="A4590" t="str">
            <v>13.991.890/0001-92</v>
          </cell>
          <cell r="B4590" t="str">
            <v>Malu Montesino</v>
          </cell>
        </row>
        <row r="4591">
          <cell r="A4591" t="str">
            <v>13.991.890/0001-92</v>
          </cell>
          <cell r="B4591" t="str">
            <v>Malu Montesino</v>
          </cell>
        </row>
        <row r="4592">
          <cell r="A4592" t="str">
            <v>18.809.570/0001-92</v>
          </cell>
          <cell r="B4592" t="str">
            <v>Mariane Nascimento</v>
          </cell>
        </row>
        <row r="4593">
          <cell r="A4593" t="str">
            <v>46.138.319/0001-89</v>
          </cell>
          <cell r="B4593" t="str">
            <v>Malu Montesino</v>
          </cell>
        </row>
        <row r="4594">
          <cell r="A4594" t="str">
            <v>12.246.862/0001-88</v>
          </cell>
          <cell r="B4594" t="str">
            <v>Mariane Nascimento</v>
          </cell>
        </row>
        <row r="4595">
          <cell r="A4595" t="str">
            <v>05.495.281/0001-14</v>
          </cell>
          <cell r="B4595" t="str">
            <v>Mariane Nascimento</v>
          </cell>
        </row>
        <row r="4596">
          <cell r="A4596" t="str">
            <v>05.495.281/0001-14</v>
          </cell>
          <cell r="B4596" t="str">
            <v>Mariane Nascimento</v>
          </cell>
        </row>
        <row r="4597">
          <cell r="A4597" t="str">
            <v>03.598.524/0001-14</v>
          </cell>
          <cell r="B4597" t="str">
            <v>Malu Montesino</v>
          </cell>
        </row>
        <row r="4598">
          <cell r="A4598" t="str">
            <v>06.045.864/0001-06</v>
          </cell>
          <cell r="B4598" t="str">
            <v>Mariane Nascimento</v>
          </cell>
        </row>
        <row r="4599">
          <cell r="A4599" t="str">
            <v>06.045.864/0001-06</v>
          </cell>
          <cell r="B4599" t="str">
            <v>Mariane Nascimento</v>
          </cell>
        </row>
        <row r="4600">
          <cell r="A4600" t="str">
            <v>15.630.428/0001-95</v>
          </cell>
          <cell r="B4600" t="str">
            <v>Malu Montesino</v>
          </cell>
        </row>
        <row r="4601">
          <cell r="A4601" t="str">
            <v>58.520.858/0001-67</v>
          </cell>
          <cell r="B4601" t="str">
            <v>Malu Montesino</v>
          </cell>
        </row>
        <row r="4602">
          <cell r="A4602" t="str">
            <v>35.548.400/0001-10</v>
          </cell>
          <cell r="B4602" t="str">
            <v>Malu Montesino</v>
          </cell>
        </row>
        <row r="4603">
          <cell r="A4603" t="str">
            <v>12.344.954/0001-09</v>
          </cell>
          <cell r="B4603" t="str">
            <v>Malu Montesino</v>
          </cell>
        </row>
        <row r="4604">
          <cell r="A4604" t="str">
            <v>46.055.552/0001-06</v>
          </cell>
          <cell r="B4604" t="str">
            <v>Malu Montesino</v>
          </cell>
        </row>
        <row r="4605">
          <cell r="A4605" t="str">
            <v>23.729.444/0001-68</v>
          </cell>
          <cell r="B4605" t="str">
            <v>Malu Montesino</v>
          </cell>
        </row>
        <row r="4606">
          <cell r="A4606" t="str">
            <v>23.729.444/0001-68</v>
          </cell>
          <cell r="B4606" t="str">
            <v>Malu Montesino</v>
          </cell>
        </row>
        <row r="4607">
          <cell r="A4607" t="str">
            <v>49.418.150/0001-09</v>
          </cell>
          <cell r="B4607" t="str">
            <v>Malu Montesino</v>
          </cell>
        </row>
        <row r="4608">
          <cell r="A4608" t="str">
            <v>16.586.753/0001-60</v>
          </cell>
          <cell r="B4608" t="str">
            <v>Malu Montesino</v>
          </cell>
        </row>
        <row r="4609">
          <cell r="A4609" t="str">
            <v>16.586.753/0001-60</v>
          </cell>
          <cell r="B4609" t="str">
            <v>Malu Montesino</v>
          </cell>
        </row>
        <row r="4610">
          <cell r="A4610" t="str">
            <v>62.908.166/0001-68</v>
          </cell>
          <cell r="B4610" t="str">
            <v>Malu Montesino</v>
          </cell>
        </row>
        <row r="4611">
          <cell r="A4611" t="str">
            <v>62.908.166/0001-68</v>
          </cell>
          <cell r="B4611" t="str">
            <v>Malu Montesino</v>
          </cell>
        </row>
        <row r="4612">
          <cell r="A4612" t="str">
            <v>20.348.164/0001-11</v>
          </cell>
          <cell r="B4612" t="str">
            <v>Malu Montesino</v>
          </cell>
        </row>
        <row r="4613">
          <cell r="A4613" t="str">
            <v>20.348.164/0001-11</v>
          </cell>
          <cell r="B4613" t="str">
            <v>Malu Montesino</v>
          </cell>
        </row>
        <row r="4614">
          <cell r="A4614" t="str">
            <v>08.979.527/0001-11</v>
          </cell>
          <cell r="B4614" t="str">
            <v>Malu Montesino</v>
          </cell>
        </row>
        <row r="4615">
          <cell r="A4615" t="str">
            <v>46.138.319/0001-89</v>
          </cell>
          <cell r="B4615" t="str">
            <v>Malu Montesino</v>
          </cell>
        </row>
        <row r="4616">
          <cell r="A4616" t="str">
            <v>46.138.319/0001-89</v>
          </cell>
          <cell r="B4616" t="str">
            <v>Malu Montesino</v>
          </cell>
        </row>
        <row r="4617">
          <cell r="A4617" t="str">
            <v>46.055.552/0001-06</v>
          </cell>
          <cell r="B4617" t="str">
            <v>Malu Montesino</v>
          </cell>
        </row>
        <row r="4618">
          <cell r="A4618" t="str">
            <v>23.729.444/0001-68</v>
          </cell>
          <cell r="B4618" t="str">
            <v>Malu Montesino</v>
          </cell>
        </row>
        <row r="4619">
          <cell r="A4619" t="str">
            <v>27.061.442/0001-02</v>
          </cell>
          <cell r="B4619" t="str">
            <v>Malu Montesino</v>
          </cell>
        </row>
        <row r="4620">
          <cell r="A4620" t="str">
            <v>53.358.495/0001-91</v>
          </cell>
          <cell r="B4620" t="str">
            <v>Malu Montesino</v>
          </cell>
        </row>
        <row r="4621">
          <cell r="A4621" t="str">
            <v>24.893.687/0011-71</v>
          </cell>
          <cell r="B4621" t="str">
            <v>Malu Montesino</v>
          </cell>
        </row>
        <row r="4622">
          <cell r="A4622" t="str">
            <v>05.706.897/0001-97</v>
          </cell>
          <cell r="B4622" t="str">
            <v>Malu Montesino</v>
          </cell>
        </row>
        <row r="4623">
          <cell r="A4623" t="str">
            <v>59.104.760/0001-91</v>
          </cell>
          <cell r="B4623" t="str">
            <v>Malu Montesino</v>
          </cell>
        </row>
        <row r="4624">
          <cell r="A4624" t="str">
            <v>08.823.013/0001-72</v>
          </cell>
          <cell r="B4624" t="str">
            <v>Malu Montesino</v>
          </cell>
        </row>
        <row r="4625">
          <cell r="A4625" t="str">
            <v>47.253.307/0001-68</v>
          </cell>
          <cell r="B4625" t="str">
            <v>Malu Montesino</v>
          </cell>
        </row>
        <row r="4626">
          <cell r="A4626" t="str">
            <v>47.253.307/0001-68</v>
          </cell>
          <cell r="B4626" t="str">
            <v>Malu Montesino</v>
          </cell>
        </row>
        <row r="4627">
          <cell r="A4627" t="str">
            <v>09.072.082/0002-35</v>
          </cell>
          <cell r="B4627" t="str">
            <v>Mariane Nascimento</v>
          </cell>
        </row>
        <row r="4628">
          <cell r="A4628" t="str">
            <v>05.857.218/0001-80</v>
          </cell>
          <cell r="B4628" t="str">
            <v>Malu Montesino</v>
          </cell>
        </row>
        <row r="4629">
          <cell r="A4629" t="str">
            <v>07.706.780/0001-39</v>
          </cell>
          <cell r="B4629" t="str">
            <v>Malu Montesino</v>
          </cell>
        </row>
        <row r="4630">
          <cell r="A4630" t="str">
            <v>02.214.604/0001-66</v>
          </cell>
          <cell r="B4630" t="str">
            <v>Malu Montesino</v>
          </cell>
        </row>
        <row r="4631">
          <cell r="A4631" t="str">
            <v>07.662.932/0001-49</v>
          </cell>
          <cell r="B4631" t="str">
            <v>Malu Montesino</v>
          </cell>
        </row>
        <row r="4632">
          <cell r="A4632" t="str">
            <v>14.172.293/0001-07</v>
          </cell>
          <cell r="B4632" t="str">
            <v>Malu Montesino</v>
          </cell>
        </row>
        <row r="4633">
          <cell r="A4633" t="str">
            <v>14.172.293/0001-07</v>
          </cell>
          <cell r="B4633" t="str">
            <v>Malu Montesino</v>
          </cell>
        </row>
        <row r="4634">
          <cell r="A4634" t="str">
            <v>16.586.753/0001-60</v>
          </cell>
          <cell r="B4634" t="str">
            <v>Malu Montesino</v>
          </cell>
        </row>
        <row r="4635">
          <cell r="A4635" t="str">
            <v>16.586.753/0001-60</v>
          </cell>
          <cell r="B4635" t="str">
            <v>Malu Montesino</v>
          </cell>
        </row>
        <row r="4636">
          <cell r="A4636" t="str">
            <v>12.889.035/0001-02</v>
          </cell>
          <cell r="B4636" t="str">
            <v>Malu Montesino</v>
          </cell>
        </row>
        <row r="4637">
          <cell r="A4637" t="str">
            <v>05.706.897/0001-97</v>
          </cell>
          <cell r="B4637" t="str">
            <v>Malu Montesino</v>
          </cell>
        </row>
        <row r="4638">
          <cell r="A4638" t="str">
            <v>27.061.442/0001-02</v>
          </cell>
          <cell r="B4638" t="str">
            <v>Malu Montesino</v>
          </cell>
        </row>
        <row r="4639">
          <cell r="A4639" t="str">
            <v>49.351.786/0001-80</v>
          </cell>
          <cell r="B4639" t="str">
            <v>Malu Montesino</v>
          </cell>
        </row>
        <row r="4640">
          <cell r="A4640" t="str">
            <v>49.351.786/0001-80</v>
          </cell>
          <cell r="B4640" t="str">
            <v>Malu Montesino</v>
          </cell>
        </row>
        <row r="4641">
          <cell r="A4641" t="str">
            <v>46.138.319/0001-89</v>
          </cell>
          <cell r="B4641" t="str">
            <v>Malu Montesino</v>
          </cell>
        </row>
        <row r="4642">
          <cell r="A4642" t="str">
            <v>61.591.459/0001-00</v>
          </cell>
          <cell r="B4642" t="str">
            <v>Malu Montesino</v>
          </cell>
        </row>
        <row r="4643">
          <cell r="A4643" t="str">
            <v>61.591.459/0001-00</v>
          </cell>
          <cell r="B4643" t="str">
            <v>Malu Montesino</v>
          </cell>
        </row>
        <row r="4644">
          <cell r="A4644" t="str">
            <v>61.591.459/0001-00</v>
          </cell>
          <cell r="B4644" t="str">
            <v>Malu Montesino</v>
          </cell>
        </row>
        <row r="4645">
          <cell r="A4645" t="str">
            <v>08.839.778/0001-09</v>
          </cell>
          <cell r="B4645" t="str">
            <v>Mariane Nascimento</v>
          </cell>
        </row>
        <row r="4646">
          <cell r="A4646" t="str">
            <v>06.191.743/0001-72</v>
          </cell>
          <cell r="B4646" t="str">
            <v>Malu Montesino</v>
          </cell>
        </row>
        <row r="4647">
          <cell r="A4647" t="str">
            <v>20.260.776/0001-58</v>
          </cell>
          <cell r="B4647" t="str">
            <v>Malu Montesino</v>
          </cell>
        </row>
        <row r="4648">
          <cell r="A4648" t="str">
            <v>20.260.776/0001-58</v>
          </cell>
          <cell r="B4648" t="str">
            <v>Malu Montesino</v>
          </cell>
        </row>
        <row r="4649">
          <cell r="A4649" t="str">
            <v>16.586.753/0001-60</v>
          </cell>
          <cell r="B4649" t="str">
            <v>Malu Montesino</v>
          </cell>
        </row>
        <row r="4650">
          <cell r="A4650" t="str">
            <v>16.586.753/0001-60</v>
          </cell>
          <cell r="B4650" t="str">
            <v>Malu Montesino</v>
          </cell>
        </row>
        <row r="4651">
          <cell r="A4651" t="str">
            <v>16.586.753/0001-60</v>
          </cell>
          <cell r="B4651" t="str">
            <v>Malu Montesino</v>
          </cell>
        </row>
        <row r="4652">
          <cell r="A4652" t="str">
            <v>61.591.459/0001-00</v>
          </cell>
          <cell r="B4652" t="str">
            <v>Malu Montesino</v>
          </cell>
        </row>
        <row r="4653">
          <cell r="A4653" t="str">
            <v>06.191.743/0001-72</v>
          </cell>
          <cell r="B4653" t="str">
            <v>Malu Montesino</v>
          </cell>
        </row>
        <row r="4654">
          <cell r="A4654" t="str">
            <v>20.260.776/0001-58</v>
          </cell>
          <cell r="B4654" t="str">
            <v>Malu Montesino</v>
          </cell>
        </row>
        <row r="4655">
          <cell r="A4655" t="str">
            <v>61.064.911/0001-77</v>
          </cell>
          <cell r="B4655" t="str">
            <v>Malu Montesino</v>
          </cell>
        </row>
        <row r="4656">
          <cell r="A4656" t="str">
            <v>23.716.548/0001-38</v>
          </cell>
          <cell r="B4656" t="str">
            <v>Malu Montesino</v>
          </cell>
        </row>
        <row r="4657">
          <cell r="A4657" t="str">
            <v>23.647.365/0001-08</v>
          </cell>
          <cell r="B4657" t="str">
            <v>Malu Montesino</v>
          </cell>
        </row>
        <row r="4658">
          <cell r="A4658" t="str">
            <v>59.104.422/0001-50</v>
          </cell>
          <cell r="B4658" t="str">
            <v>Malu Montesino</v>
          </cell>
        </row>
        <row r="4659">
          <cell r="A4659" t="str">
            <v>59.104.422/0001-50</v>
          </cell>
          <cell r="B4659" t="str">
            <v>Malu Montesino</v>
          </cell>
        </row>
        <row r="4660">
          <cell r="A4660" t="str">
            <v>14.016.443/0001-85</v>
          </cell>
          <cell r="B4660" t="str">
            <v>Malu Montesino</v>
          </cell>
        </row>
        <row r="4661">
          <cell r="A4661" t="str">
            <v>31.406.860/0001-53</v>
          </cell>
          <cell r="B4661" t="str">
            <v>Malu Montesino</v>
          </cell>
        </row>
        <row r="4662">
          <cell r="A4662" t="str">
            <v>10.444.624/0001-51</v>
          </cell>
          <cell r="B4662" t="str">
            <v>Malu Montesino</v>
          </cell>
        </row>
        <row r="4663">
          <cell r="A4663" t="str">
            <v>18.809.570/0001-92</v>
          </cell>
          <cell r="B4663" t="str">
            <v>Mariane Nascimento</v>
          </cell>
        </row>
        <row r="4664">
          <cell r="A4664" t="str">
            <v>18.809.570/0001-92</v>
          </cell>
          <cell r="B4664" t="str">
            <v>Mariane Nascimento</v>
          </cell>
        </row>
        <row r="4665">
          <cell r="A4665" t="str">
            <v>46.138.319/0001-89</v>
          </cell>
          <cell r="B4665" t="str">
            <v>Malu Montesino</v>
          </cell>
        </row>
        <row r="4666">
          <cell r="A4666" t="str">
            <v>60.872.306/0001-60</v>
          </cell>
          <cell r="B4666" t="str">
            <v>Malu Montesino</v>
          </cell>
        </row>
        <row r="4667">
          <cell r="A4667" t="str">
            <v>06.172.467/0001-03</v>
          </cell>
          <cell r="B4667" t="str">
            <v>Mariane Nascimento</v>
          </cell>
        </row>
        <row r="4668">
          <cell r="A4668" t="str">
            <v>19.769.575/0001-00</v>
          </cell>
          <cell r="B4668" t="str">
            <v>Mariane Nascimento</v>
          </cell>
        </row>
        <row r="4669">
          <cell r="A4669" t="str">
            <v>08.221.047/0001-97</v>
          </cell>
          <cell r="B4669" t="str">
            <v>Mariane Nascimento</v>
          </cell>
        </row>
        <row r="4670">
          <cell r="A4670" t="str">
            <v>08.221.047/0001-97</v>
          </cell>
          <cell r="B4670" t="str">
            <v>Mariane Nascimento</v>
          </cell>
        </row>
        <row r="4671">
          <cell r="A4671" t="str">
            <v>03.033.345/0001-30</v>
          </cell>
          <cell r="B4671" t="str">
            <v>Mariane Nascimento</v>
          </cell>
        </row>
        <row r="4672">
          <cell r="A4672" t="str">
            <v>03.598.524/0001-14</v>
          </cell>
          <cell r="B4672" t="str">
            <v>Malu Montesino</v>
          </cell>
        </row>
        <row r="4673">
          <cell r="A4673" t="str">
            <v>65.010.415/0001-91</v>
          </cell>
          <cell r="B4673" t="str">
            <v>Mariane Nascimento</v>
          </cell>
        </row>
        <row r="4674">
          <cell r="A4674" t="str">
            <v>11.405.384/0001-49</v>
          </cell>
          <cell r="B4674" t="str">
            <v>Malu Montesino</v>
          </cell>
        </row>
        <row r="4675">
          <cell r="A4675" t="str">
            <v>11.405.384/0001-49</v>
          </cell>
          <cell r="B4675" t="str">
            <v>Malu Montesino</v>
          </cell>
        </row>
        <row r="4676">
          <cell r="A4676" t="str">
            <v>09.072.082/0002-35</v>
          </cell>
          <cell r="B4676" t="str">
            <v>Mariane Nascimento</v>
          </cell>
        </row>
        <row r="4677">
          <cell r="A4677" t="str">
            <v>45.985.371/0001-08</v>
          </cell>
          <cell r="B4677" t="str">
            <v>Malu Montesino</v>
          </cell>
        </row>
        <row r="4678">
          <cell r="A4678" t="str">
            <v>33.325.184/0001-19</v>
          </cell>
          <cell r="B4678" t="str">
            <v>Malu Montesino</v>
          </cell>
        </row>
        <row r="4679">
          <cell r="A4679" t="str">
            <v>33.325.184/0001-19</v>
          </cell>
          <cell r="B4679" t="str">
            <v>Malu Montesino</v>
          </cell>
        </row>
        <row r="4680">
          <cell r="A4680" t="str">
            <v>19.428.087/0001-20</v>
          </cell>
          <cell r="B4680" t="str">
            <v>Malu Montesino</v>
          </cell>
        </row>
        <row r="4681">
          <cell r="A4681" t="str">
            <v>10.313.717/0001-47</v>
          </cell>
          <cell r="B4681" t="str">
            <v>Malu Montesino</v>
          </cell>
        </row>
        <row r="4682">
          <cell r="A4682" t="str">
            <v>82.749.987/0001-06</v>
          </cell>
          <cell r="B4682" t="str">
            <v>Malu Montesino</v>
          </cell>
        </row>
        <row r="4683">
          <cell r="A4683" t="str">
            <v>58.762.956/0001-00</v>
          </cell>
          <cell r="B4683" t="str">
            <v>Malu Montesino</v>
          </cell>
        </row>
        <row r="4684">
          <cell r="A4684" t="str">
            <v>11.328.018/0001-33</v>
          </cell>
          <cell r="B4684" t="str">
            <v>Malu Montesino</v>
          </cell>
        </row>
        <row r="4685">
          <cell r="A4685" t="str">
            <v>08.714.102/0001-80</v>
          </cell>
          <cell r="B4685" t="str">
            <v>Malu Montesino</v>
          </cell>
        </row>
        <row r="4686">
          <cell r="A4686" t="str">
            <v>10.433.622/0001-67</v>
          </cell>
          <cell r="B4686" t="str">
            <v>Malu Montesino</v>
          </cell>
        </row>
        <row r="4687">
          <cell r="A4687" t="str">
            <v>02.811.903/0001-88</v>
          </cell>
          <cell r="B4687" t="str">
            <v>Malu Montesino</v>
          </cell>
        </row>
        <row r="4688">
          <cell r="A4688" t="str">
            <v>00.874.929/0001-40</v>
          </cell>
          <cell r="B4688" t="str">
            <v>Mariane Nascimento</v>
          </cell>
        </row>
        <row r="4689">
          <cell r="A4689" t="str">
            <v>00.874.929/0001-40</v>
          </cell>
          <cell r="B4689" t="str">
            <v>Mariane Nascimento</v>
          </cell>
        </row>
        <row r="4690">
          <cell r="A4690" t="str">
            <v>00.874.929/0001-40</v>
          </cell>
          <cell r="B4690" t="str">
            <v>Mariane Nascimento</v>
          </cell>
        </row>
        <row r="4691">
          <cell r="A4691" t="str">
            <v>09.273.196/0001-62</v>
          </cell>
          <cell r="B4691" t="str">
            <v>Malu Montesino</v>
          </cell>
        </row>
        <row r="4692">
          <cell r="A4692" t="str">
            <v>27.098.270/0001-33</v>
          </cell>
          <cell r="B4692" t="str">
            <v>Malu Montesino</v>
          </cell>
        </row>
        <row r="4693">
          <cell r="A4693" t="str">
            <v>27.098.270/0001-33</v>
          </cell>
          <cell r="B4693" t="str">
            <v>Malu Montesino</v>
          </cell>
        </row>
        <row r="4694">
          <cell r="A4694" t="str">
            <v>62.800.446/0001-58</v>
          </cell>
          <cell r="B4694" t="str">
            <v>Malu Montesino</v>
          </cell>
        </row>
        <row r="4695">
          <cell r="A4695" t="str">
            <v>73.586.976/0001-61</v>
          </cell>
          <cell r="B4695" t="str">
            <v>Malu Montesino</v>
          </cell>
        </row>
        <row r="4696">
          <cell r="A4696" t="str">
            <v>05.773.057/0001-47</v>
          </cell>
          <cell r="B4696" t="str">
            <v>Malu Montesino</v>
          </cell>
        </row>
        <row r="4697">
          <cell r="A4697" t="str">
            <v>05.773.057/0001-47</v>
          </cell>
          <cell r="B4697" t="str">
            <v>Malu Montesino</v>
          </cell>
        </row>
        <row r="4698">
          <cell r="A4698" t="str">
            <v>26.037.592/0001-00</v>
          </cell>
          <cell r="B4698" t="str">
            <v>Malu Montesino</v>
          </cell>
        </row>
        <row r="4699">
          <cell r="A4699" t="str">
            <v>13.903.093/0001-06</v>
          </cell>
          <cell r="B4699" t="str">
            <v>Malu Montesino</v>
          </cell>
        </row>
        <row r="4700">
          <cell r="A4700" t="str">
            <v>13.903.093/0001-06</v>
          </cell>
          <cell r="B4700" t="str">
            <v>Malu Montesino</v>
          </cell>
        </row>
        <row r="4701">
          <cell r="A4701" t="str">
            <v>13.903.093/0001-06</v>
          </cell>
          <cell r="B4701" t="str">
            <v>Malu Montesino</v>
          </cell>
        </row>
        <row r="4702">
          <cell r="A4702" t="str">
            <v>02.599.337/0001-92</v>
          </cell>
          <cell r="B4702" t="str">
            <v>Malu Montesino</v>
          </cell>
        </row>
        <row r="4703">
          <cell r="A4703" t="str">
            <v>51.017.713/0001-07</v>
          </cell>
          <cell r="B4703" t="str">
            <v>Malu Montesino</v>
          </cell>
        </row>
        <row r="4704">
          <cell r="A4704" t="str">
            <v>51.780.468/0001-87</v>
          </cell>
          <cell r="B4704" t="str">
            <v>Malu Montesino</v>
          </cell>
        </row>
        <row r="4705">
          <cell r="A4705" t="str">
            <v>46.138.319/0001-89</v>
          </cell>
          <cell r="B4705" t="str">
            <v>Malu Montesino</v>
          </cell>
        </row>
        <row r="4706">
          <cell r="A4706" t="str">
            <v>11.405.384/0001-49</v>
          </cell>
          <cell r="B4706" t="str">
            <v>Malu Montesino</v>
          </cell>
        </row>
        <row r="4707">
          <cell r="A4707" t="str">
            <v>02.599.337/0001-92</v>
          </cell>
          <cell r="B4707" t="str">
            <v>Malu Montesino</v>
          </cell>
        </row>
        <row r="4708">
          <cell r="A4708" t="str">
            <v>10.313.717/0001-47</v>
          </cell>
          <cell r="B4708" t="str">
            <v>Malu Montesino</v>
          </cell>
        </row>
        <row r="4709">
          <cell r="A4709" t="str">
            <v>06.191.743/0001-72</v>
          </cell>
          <cell r="B4709" t="str">
            <v>Malu Montesino</v>
          </cell>
        </row>
        <row r="4710">
          <cell r="A4710" t="str">
            <v>61.374.161/0001-30</v>
          </cell>
          <cell r="B4710" t="str">
            <v>Malu Montesino</v>
          </cell>
        </row>
        <row r="4711">
          <cell r="A4711" t="str">
            <v>46.344.354/0001-54</v>
          </cell>
          <cell r="B4711" t="str">
            <v>Malu Montesino</v>
          </cell>
        </row>
        <row r="4712">
          <cell r="A4712" t="str">
            <v>26.308.513/0001-58</v>
          </cell>
          <cell r="B4712" t="str">
            <v>Malu Montesino</v>
          </cell>
        </row>
        <row r="4713">
          <cell r="A4713" t="str">
            <v>53.358.495/0001-91</v>
          </cell>
          <cell r="B4713" t="str">
            <v>Malu Montesino</v>
          </cell>
        </row>
        <row r="4714">
          <cell r="A4714" t="str">
            <v>25.359.155/0001-40</v>
          </cell>
          <cell r="B4714" t="str">
            <v>Malu Montesino</v>
          </cell>
        </row>
        <row r="4715">
          <cell r="A4715" t="str">
            <v>04.937.243/0001-01</v>
          </cell>
          <cell r="B4715" t="str">
            <v>Malu Montesino</v>
          </cell>
        </row>
        <row r="4716">
          <cell r="A4716" t="str">
            <v>10.444.624/0001-51</v>
          </cell>
          <cell r="B4716" t="str">
            <v>Malu Montesino</v>
          </cell>
        </row>
        <row r="4717">
          <cell r="A4717" t="str">
            <v>95.433.397/0001-11</v>
          </cell>
          <cell r="B4717" t="str">
            <v>Malu Montesino</v>
          </cell>
        </row>
        <row r="4718">
          <cell r="A4718" t="str">
            <v>33.373.325/0001-79</v>
          </cell>
          <cell r="B4718" t="str">
            <v>Mariane Nascimento</v>
          </cell>
        </row>
        <row r="4719">
          <cell r="A4719" t="str">
            <v>33.373.325/0001-79</v>
          </cell>
          <cell r="B4719" t="str">
            <v>Mariane Nascimento</v>
          </cell>
        </row>
        <row r="4720">
          <cell r="A4720" t="str">
            <v>05.495.281/0001-14</v>
          </cell>
          <cell r="B4720" t="str">
            <v>Mariane Nascimento</v>
          </cell>
        </row>
        <row r="4721">
          <cell r="A4721" t="str">
            <v>05.495.281/0001-14</v>
          </cell>
          <cell r="B4721" t="str">
            <v>Mariane Nascimento</v>
          </cell>
        </row>
        <row r="4722">
          <cell r="A4722" t="str">
            <v>22.301.988/0001-61</v>
          </cell>
          <cell r="B4722" t="str">
            <v>Malu Montesino</v>
          </cell>
        </row>
        <row r="4723">
          <cell r="A4723" t="str">
            <v>58.619.404/0001-48</v>
          </cell>
          <cell r="B4723" t="str">
            <v>Malu Montesino</v>
          </cell>
        </row>
        <row r="4724">
          <cell r="A4724" t="str">
            <v>01.866.388/0001-70</v>
          </cell>
          <cell r="B4724" t="str">
            <v>Malu Montesino</v>
          </cell>
        </row>
        <row r="4725">
          <cell r="A4725" t="str">
            <v>01.123.973/0001-80</v>
          </cell>
          <cell r="B4725" t="str">
            <v>Malu Montesino</v>
          </cell>
        </row>
        <row r="4726">
          <cell r="A4726" t="str">
            <v>58.763.350/0001-90</v>
          </cell>
          <cell r="B4726" t="str">
            <v>Malu Montesino</v>
          </cell>
        </row>
        <row r="4727">
          <cell r="A4727" t="str">
            <v>61.185.922/0001-05</v>
          </cell>
          <cell r="B4727" t="str">
            <v>Malu Montesino</v>
          </cell>
        </row>
        <row r="4728">
          <cell r="A4728" t="str">
            <v>16.553.940/0001-48</v>
          </cell>
          <cell r="B4728" t="str">
            <v>Malu Montesino</v>
          </cell>
        </row>
        <row r="4729">
          <cell r="A4729" t="str">
            <v>21.725.948/0001-84</v>
          </cell>
          <cell r="B4729" t="str">
            <v>Malu Montesino</v>
          </cell>
        </row>
        <row r="4730">
          <cell r="A4730" t="str">
            <v>33.781.055/0049-80</v>
          </cell>
          <cell r="B4730" t="str">
            <v>Malu Montesino</v>
          </cell>
        </row>
        <row r="4731">
          <cell r="A4731" t="str">
            <v>52.273.785/0001-70</v>
          </cell>
          <cell r="B4731" t="str">
            <v>Malu Montesino</v>
          </cell>
        </row>
        <row r="4732">
          <cell r="A4732" t="str">
            <v>05.012.368/0001-93</v>
          </cell>
          <cell r="B4732" t="str">
            <v>Malu Montesino</v>
          </cell>
        </row>
        <row r="4733">
          <cell r="A4733" t="str">
            <v>49.074.412/0001-65</v>
          </cell>
          <cell r="B4733" t="str">
            <v>Malu Montesino</v>
          </cell>
        </row>
        <row r="4734">
          <cell r="A4734" t="str">
            <v>00.771.598/0005-46</v>
          </cell>
          <cell r="B4734" t="str">
            <v>Malu Montesino</v>
          </cell>
        </row>
        <row r="4735">
          <cell r="A4735" t="str">
            <v>67.405.936/0001-73</v>
          </cell>
          <cell r="B4735" t="str">
            <v>Malu Montesino</v>
          </cell>
        </row>
        <row r="4736">
          <cell r="A4736" t="str">
            <v>00.565.813/0001-29</v>
          </cell>
          <cell r="B4736" t="str">
            <v>Malu Montesino</v>
          </cell>
        </row>
        <row r="4737">
          <cell r="A4737" t="str">
            <v>07.573.497/0001-86</v>
          </cell>
          <cell r="B4737" t="str">
            <v>Malu Montesino</v>
          </cell>
        </row>
        <row r="4738">
          <cell r="A4738" t="str">
            <v>00.657.669/0001-50</v>
          </cell>
          <cell r="B4738" t="str">
            <v>Malu Montesino</v>
          </cell>
        </row>
        <row r="4739">
          <cell r="A4739" t="str">
            <v>01.724.535/0001-78</v>
          </cell>
          <cell r="B4739" t="str">
            <v>Malu Montesino</v>
          </cell>
        </row>
        <row r="4740">
          <cell r="A4740" t="str">
            <v>02.509.491/0001-26</v>
          </cell>
          <cell r="B4740" t="str">
            <v>Malu Montesino</v>
          </cell>
        </row>
        <row r="4741">
          <cell r="A4741" t="str">
            <v>92.660.406/0001-19</v>
          </cell>
          <cell r="B4741" t="str">
            <v>Malu Montesino</v>
          </cell>
        </row>
        <row r="4742">
          <cell r="A4742" t="str">
            <v>32.836.259/0001-63</v>
          </cell>
          <cell r="B4742" t="str">
            <v>Malu Montesino</v>
          </cell>
        </row>
        <row r="4743">
          <cell r="A4743" t="str">
            <v>02.833.372/0001-24</v>
          </cell>
          <cell r="B4743" t="str">
            <v>Malu Montesino</v>
          </cell>
        </row>
        <row r="4744">
          <cell r="A4744" t="str">
            <v>16.974.841/0001-30</v>
          </cell>
          <cell r="B4744" t="str">
            <v>Malu Montesino</v>
          </cell>
        </row>
        <row r="4745">
          <cell r="A4745" t="str">
            <v>61.624.156/0001-38</v>
          </cell>
          <cell r="B4745" t="str">
            <v>Malu Montesino</v>
          </cell>
        </row>
        <row r="4746">
          <cell r="A4746" t="str">
            <v>57.909.806/0001-14</v>
          </cell>
          <cell r="B4746" t="str">
            <v>Malu Montesino</v>
          </cell>
        </row>
        <row r="4747">
          <cell r="A4747" t="str">
            <v>09.274.180/0001-74</v>
          </cell>
          <cell r="B4747" t="str">
            <v>Malu Montesino</v>
          </cell>
        </row>
        <row r="4748">
          <cell r="A4748" t="str">
            <v>47.225.693/0001-84</v>
          </cell>
          <cell r="B4748" t="str">
            <v>Malu Montesino</v>
          </cell>
        </row>
        <row r="4749">
          <cell r="A4749" t="str">
            <v>44.138.717/0001-70</v>
          </cell>
          <cell r="B4749" t="str">
            <v>Malu Montesino</v>
          </cell>
        </row>
        <row r="4750">
          <cell r="A4750" t="str">
            <v>11.377.665/0001-35</v>
          </cell>
          <cell r="B4750" t="str">
            <v>Malu Montesino</v>
          </cell>
        </row>
        <row r="4751">
          <cell r="A4751" t="str">
            <v>52.940.533/0001-57</v>
          </cell>
          <cell r="B4751" t="str">
            <v>Malu Montesino</v>
          </cell>
        </row>
        <row r="4752">
          <cell r="A4752" t="str">
            <v>03.157.268/0001-20</v>
          </cell>
          <cell r="B4752" t="str">
            <v>Malu Montesino</v>
          </cell>
        </row>
        <row r="4753">
          <cell r="A4753" t="str">
            <v>12.889.035/0001-02</v>
          </cell>
          <cell r="B4753" t="str">
            <v>Malu Montesino</v>
          </cell>
        </row>
        <row r="4754">
          <cell r="A4754" t="str">
            <v>01.772.798/0002-33</v>
          </cell>
          <cell r="B4754" t="str">
            <v>Malu Montesino</v>
          </cell>
        </row>
        <row r="4755">
          <cell r="A4755" t="str">
            <v>40.084.157/0001-67</v>
          </cell>
          <cell r="B4755" t="str">
            <v>Malu Montesino</v>
          </cell>
        </row>
        <row r="4756">
          <cell r="A4756" t="str">
            <v>08.827.501/0001-58</v>
          </cell>
          <cell r="B4756" t="str">
            <v>Malu Montesino</v>
          </cell>
        </row>
        <row r="4757">
          <cell r="A4757" t="str">
            <v>49.351.786/0001-80</v>
          </cell>
          <cell r="B4757" t="str">
            <v>Malu Montesino</v>
          </cell>
        </row>
        <row r="4758">
          <cell r="A4758" t="str">
            <v>61.074.506/0001-30</v>
          </cell>
          <cell r="B4758" t="str">
            <v>Malu Montesino</v>
          </cell>
        </row>
        <row r="4759">
          <cell r="A4759" t="str">
            <v>01.133.298/0001-70</v>
          </cell>
          <cell r="B4759" t="str">
            <v>Malu Montesino</v>
          </cell>
        </row>
        <row r="4760">
          <cell r="A4760" t="str">
            <v>58.430.828/0001-60</v>
          </cell>
          <cell r="B4760" t="str">
            <v>Malu Montesino</v>
          </cell>
        </row>
        <row r="4761">
          <cell r="A4761" t="str">
            <v>34.151.100/0001-30</v>
          </cell>
          <cell r="B4761" t="str">
            <v>Malu Montesino</v>
          </cell>
        </row>
        <row r="4762">
          <cell r="A4762" t="str">
            <v>14.016.443/0001-85</v>
          </cell>
          <cell r="B4762" t="str">
            <v>Malu Montesino</v>
          </cell>
        </row>
        <row r="4763">
          <cell r="A4763" t="str">
            <v>44.456.036/0001-50</v>
          </cell>
          <cell r="B4763" t="str">
            <v>Malu Montesino</v>
          </cell>
        </row>
        <row r="4764">
          <cell r="A4764" t="str">
            <v>49.475.833/0001-06</v>
          </cell>
          <cell r="B4764" t="str">
            <v>Malu Montesino</v>
          </cell>
        </row>
        <row r="4765">
          <cell r="A4765" t="str">
            <v>37.844.479/0001-52</v>
          </cell>
          <cell r="B4765" t="str">
            <v>Malu Montesino</v>
          </cell>
        </row>
        <row r="4766">
          <cell r="A4766" t="str">
            <v>18.258.209/0001-15</v>
          </cell>
          <cell r="B4766" t="str">
            <v>Mariane Nascimento</v>
          </cell>
        </row>
        <row r="4767">
          <cell r="A4767" t="str">
            <v>18.258.209/0001-15</v>
          </cell>
          <cell r="B4767" t="str">
            <v>Mariane Nascimento</v>
          </cell>
        </row>
        <row r="4768">
          <cell r="A4768" t="str">
            <v>06.019.610/0001-13</v>
          </cell>
          <cell r="B4768" t="str">
            <v>Mariane Nascimento</v>
          </cell>
        </row>
        <row r="4769">
          <cell r="A4769" t="str">
            <v>06.172.467/0001-03</v>
          </cell>
          <cell r="B4769" t="str">
            <v>Mariane Nascimento</v>
          </cell>
        </row>
        <row r="4770">
          <cell r="A4770" t="str">
            <v>19.769.575/0001-00</v>
          </cell>
          <cell r="B4770" t="str">
            <v>Mariane Nascimento</v>
          </cell>
        </row>
        <row r="4771">
          <cell r="A4771" t="str">
            <v>19.769.575/0001-00</v>
          </cell>
          <cell r="B4771" t="str">
            <v>Mariane Nascimento</v>
          </cell>
        </row>
        <row r="4772">
          <cell r="A4772" t="str">
            <v>19.769.575/0001-00</v>
          </cell>
          <cell r="B4772" t="str">
            <v>Mariane Nascimento</v>
          </cell>
        </row>
        <row r="4773">
          <cell r="A4773" t="str">
            <v>03.033.345/0001-30</v>
          </cell>
          <cell r="B4773" t="str">
            <v>Mariane Nascimento</v>
          </cell>
        </row>
        <row r="4774">
          <cell r="A4774" t="str">
            <v>03.033.345/0001-30</v>
          </cell>
          <cell r="B4774" t="str">
            <v>Mariane Nascimento</v>
          </cell>
        </row>
        <row r="4775">
          <cell r="A4775" t="str">
            <v>05.003.729/0001-35</v>
          </cell>
          <cell r="B4775" t="str">
            <v>Malu Montesino</v>
          </cell>
        </row>
        <row r="4776">
          <cell r="A4776" t="str">
            <v>31.715.616/0001-72</v>
          </cell>
          <cell r="B4776" t="str">
            <v>Malu Montesino</v>
          </cell>
        </row>
        <row r="4777">
          <cell r="A4777" t="str">
            <v>00.873.594/0001-45</v>
          </cell>
          <cell r="B4777" t="str">
            <v>Malu Montesino</v>
          </cell>
        </row>
        <row r="4778">
          <cell r="A4778" t="str">
            <v>45.987.005/0001-98</v>
          </cell>
          <cell r="B4778" t="str">
            <v>Malu Montesino</v>
          </cell>
        </row>
        <row r="4779">
          <cell r="A4779" t="str">
            <v>01.417.222/0001-77</v>
          </cell>
          <cell r="B4779" t="str">
            <v>Malu Montesino</v>
          </cell>
        </row>
        <row r="4780">
          <cell r="A4780" t="str">
            <v>65.010.415/0001-91</v>
          </cell>
          <cell r="B4780" t="str">
            <v>Mariane Nascimento</v>
          </cell>
        </row>
        <row r="4781">
          <cell r="A4781" t="str">
            <v>65.010.415/0001-91</v>
          </cell>
          <cell r="B4781" t="str">
            <v>Mariane Nascimento</v>
          </cell>
        </row>
        <row r="4782">
          <cell r="A4782" t="str">
            <v>32.963.001/0001-28</v>
          </cell>
          <cell r="B4782" t="str">
            <v>Mariane Nascimento</v>
          </cell>
        </row>
        <row r="4783">
          <cell r="A4783" t="str">
            <v>32.963.001/0001-28</v>
          </cell>
          <cell r="B4783" t="str">
            <v>Mariane Nascimento</v>
          </cell>
        </row>
        <row r="4784">
          <cell r="A4784" t="str">
            <v>01.123.973/0001-80</v>
          </cell>
          <cell r="B4784" t="str">
            <v>Malu Montesino</v>
          </cell>
        </row>
        <row r="4785">
          <cell r="A4785" t="str">
            <v>47.253.307/0001-68</v>
          </cell>
          <cell r="B4785" t="str">
            <v>Malu Montesino</v>
          </cell>
        </row>
        <row r="4786">
          <cell r="A4786" t="str">
            <v>47.253.307/0001-68</v>
          </cell>
          <cell r="B4786" t="str">
            <v>Malu Montesino</v>
          </cell>
        </row>
        <row r="4787">
          <cell r="A4787" t="str">
            <v>47.253.307/0001-68</v>
          </cell>
          <cell r="B4787" t="str">
            <v>Malu Montesino</v>
          </cell>
        </row>
        <row r="4788">
          <cell r="A4788" t="str">
            <v>47.253.307/0001-68</v>
          </cell>
          <cell r="B4788" t="str">
            <v>Malu Montesino</v>
          </cell>
        </row>
        <row r="4789">
          <cell r="A4789" t="str">
            <v>02.814.497/0001-07</v>
          </cell>
          <cell r="B4789" t="str">
            <v>Malu Montesino</v>
          </cell>
        </row>
        <row r="4790">
          <cell r="A4790" t="str">
            <v>02.357.251/0001-53</v>
          </cell>
          <cell r="B4790" t="str">
            <v>Malu Montesino</v>
          </cell>
        </row>
        <row r="4791">
          <cell r="A4791" t="str">
            <v>34.533.802/0002-60</v>
          </cell>
          <cell r="B4791" t="str">
            <v>Malu Montesino</v>
          </cell>
        </row>
        <row r="4792">
          <cell r="A4792" t="str">
            <v>06.045.864/0001-06</v>
          </cell>
          <cell r="B4792" t="str">
            <v>Mariane Nascimento</v>
          </cell>
        </row>
        <row r="4793">
          <cell r="A4793" t="str">
            <v>20.102.529/0001-23</v>
          </cell>
          <cell r="B4793" t="str">
            <v>Malu Montesino</v>
          </cell>
        </row>
        <row r="4794">
          <cell r="A4794" t="str">
            <v>37.807.135/0001-73</v>
          </cell>
          <cell r="B4794" t="str">
            <v>Malu Montesino</v>
          </cell>
        </row>
        <row r="4795">
          <cell r="A4795" t="str">
            <v>02.975.504/0001-52</v>
          </cell>
          <cell r="B4795" t="str">
            <v>Malu Montesino</v>
          </cell>
        </row>
        <row r="4796">
          <cell r="A4796" t="str">
            <v>23.706.789/0001-04</v>
          </cell>
          <cell r="B4796" t="str">
            <v>Malu Montesino</v>
          </cell>
        </row>
        <row r="4797">
          <cell r="A4797" t="str">
            <v>77.152.338/0001-93</v>
          </cell>
          <cell r="B4797" t="str">
            <v>Malu Montesino</v>
          </cell>
        </row>
        <row r="4798">
          <cell r="A4798" t="str">
            <v>10.313.717/0001-47</v>
          </cell>
          <cell r="B4798" t="str">
            <v>Malu Montesino</v>
          </cell>
        </row>
        <row r="4799">
          <cell r="A4799" t="str">
            <v>00.315.557/0001-11</v>
          </cell>
          <cell r="B4799" t="str">
            <v>Malu Montesino</v>
          </cell>
        </row>
        <row r="4800">
          <cell r="A4800" t="str">
            <v>02.794.555/0001-88</v>
          </cell>
          <cell r="B4800" t="str">
            <v>Malu Montesino</v>
          </cell>
        </row>
        <row r="4801">
          <cell r="A4801" t="str">
            <v>39.489.731/0001-88</v>
          </cell>
          <cell r="B4801" t="str">
            <v>Malu Montesino</v>
          </cell>
        </row>
        <row r="4802">
          <cell r="A4802" t="str">
            <v>16.670.085/0001-55</v>
          </cell>
          <cell r="B4802" t="str">
            <v>Malu Montesino</v>
          </cell>
        </row>
        <row r="4803">
          <cell r="A4803" t="str">
            <v>15.630.428/0001-95</v>
          </cell>
          <cell r="B4803" t="str">
            <v>Malu Montesino</v>
          </cell>
        </row>
        <row r="4804">
          <cell r="A4804" t="str">
            <v>38.229.195/0001-19</v>
          </cell>
          <cell r="B4804" t="str">
            <v>Malu Montesino</v>
          </cell>
        </row>
        <row r="4805">
          <cell r="A4805" t="str">
            <v>13.198.385/0001-95</v>
          </cell>
          <cell r="B4805" t="str">
            <v>Malu Montesino</v>
          </cell>
        </row>
        <row r="4806">
          <cell r="A4806" t="str">
            <v>63.993.315/0001-05</v>
          </cell>
          <cell r="B4806" t="str">
            <v>Malu Montesino</v>
          </cell>
        </row>
        <row r="4807">
          <cell r="A4807" t="str">
            <v>03.846.642/0001-02</v>
          </cell>
          <cell r="B4807" t="str">
            <v>Malu Montesino</v>
          </cell>
        </row>
        <row r="4808">
          <cell r="A4808" t="str">
            <v>10.265.949/0001-77</v>
          </cell>
          <cell r="B4808" t="str">
            <v>Malu Montesino</v>
          </cell>
        </row>
        <row r="4809">
          <cell r="A4809" t="str">
            <v>45.703.378/0003-51</v>
          </cell>
          <cell r="B4809" t="str">
            <v>Malu Montesino</v>
          </cell>
        </row>
        <row r="4810">
          <cell r="A4810" t="str">
            <v>23.972.590/0001-10</v>
          </cell>
          <cell r="B4810" t="str">
            <v>Malu Montesino</v>
          </cell>
        </row>
        <row r="4811">
          <cell r="A4811" t="str">
            <v>08.263.434/0001-96</v>
          </cell>
          <cell r="B4811" t="str">
            <v>Malu Montesino</v>
          </cell>
        </row>
        <row r="4812">
          <cell r="A4812" t="str">
            <v>10.433.622/0001-67</v>
          </cell>
          <cell r="B4812" t="str">
            <v>Malu Montesino</v>
          </cell>
        </row>
        <row r="4813">
          <cell r="A4813" t="str">
            <v>10.433.622/0001-67</v>
          </cell>
          <cell r="B4813" t="str">
            <v>Malu Montesino</v>
          </cell>
        </row>
        <row r="4814">
          <cell r="A4814" t="str">
            <v>26.092.860/0001-96</v>
          </cell>
          <cell r="B4814" t="str">
            <v>Malu Montesino</v>
          </cell>
        </row>
        <row r="4815">
          <cell r="A4815" t="str">
            <v>54.890.805/0001-87</v>
          </cell>
          <cell r="B4815" t="str">
            <v>Malu Montesino</v>
          </cell>
        </row>
        <row r="4816">
          <cell r="A4816" t="str">
            <v>53.524.443/0001-48</v>
          </cell>
          <cell r="B4816" t="str">
            <v>Malu Montesino</v>
          </cell>
        </row>
        <row r="4817">
          <cell r="A4817" t="str">
            <v>35.548.400/0001-10</v>
          </cell>
          <cell r="B4817" t="str">
            <v>Malu Montesino</v>
          </cell>
        </row>
        <row r="4818">
          <cell r="A4818" t="str">
            <v>00.536.772/0001-42</v>
          </cell>
          <cell r="B4818" t="str">
            <v>Malu Montesino</v>
          </cell>
        </row>
        <row r="4819">
          <cell r="A4819" t="str">
            <v>46.055.552/0001-06</v>
          </cell>
          <cell r="B4819" t="str">
            <v>Malu Montesino</v>
          </cell>
        </row>
        <row r="4820">
          <cell r="A4820" t="str">
            <v>23.729.444/0001-68</v>
          </cell>
          <cell r="B4820" t="str">
            <v>Malu Montesino</v>
          </cell>
        </row>
        <row r="4821">
          <cell r="A4821" t="str">
            <v>49.418.150/0001-09</v>
          </cell>
          <cell r="B4821" t="str">
            <v>Malu Montesino</v>
          </cell>
        </row>
        <row r="4822">
          <cell r="A4822" t="str">
            <v>13.536.632/0001-16</v>
          </cell>
          <cell r="B4822" t="str">
            <v>Malu Montesino</v>
          </cell>
        </row>
        <row r="4823">
          <cell r="A4823" t="str">
            <v>14.295.008/0001-37</v>
          </cell>
          <cell r="B4823" t="str">
            <v>Malu Montesino</v>
          </cell>
        </row>
        <row r="4824">
          <cell r="A4824" t="str">
            <v>20.348.164/0001-11</v>
          </cell>
          <cell r="B4824" t="str">
            <v>Malu Montesino</v>
          </cell>
        </row>
        <row r="4825">
          <cell r="A4825" t="str">
            <v>08.979.527/0001-11</v>
          </cell>
          <cell r="B4825" t="str">
            <v>Malu Montesino</v>
          </cell>
        </row>
        <row r="4826">
          <cell r="A4826" t="str">
            <v>48.817.398/0001-80</v>
          </cell>
          <cell r="B4826" t="str">
            <v>Malu Montesino</v>
          </cell>
        </row>
        <row r="4827">
          <cell r="A4827" t="str">
            <v>53.846.661/0001-07</v>
          </cell>
          <cell r="B4827" t="str">
            <v>Malu Montesino</v>
          </cell>
        </row>
        <row r="4828">
          <cell r="A4828" t="str">
            <v>53.846.661/0001-07</v>
          </cell>
          <cell r="B4828" t="str">
            <v>Malu Montesino</v>
          </cell>
        </row>
        <row r="4829">
          <cell r="A4829" t="str">
            <v>02.283.886/0001-53</v>
          </cell>
          <cell r="B4829" t="str">
            <v>Malu Montesino</v>
          </cell>
        </row>
        <row r="4830">
          <cell r="A4830" t="str">
            <v>04.963.150/0001-51</v>
          </cell>
          <cell r="B4830" t="str">
            <v>Malu Montesino</v>
          </cell>
        </row>
        <row r="4831">
          <cell r="A4831" t="str">
            <v>14.016.443/0001-85</v>
          </cell>
          <cell r="B4831" t="str">
            <v>Malu Montesino</v>
          </cell>
        </row>
        <row r="4832">
          <cell r="A4832" t="str">
            <v>18.258.209/0001-15</v>
          </cell>
          <cell r="B4832" t="str">
            <v>Mariane Nascimento</v>
          </cell>
        </row>
        <row r="4833">
          <cell r="A4833" t="str">
            <v>18.258.209/0001-15</v>
          </cell>
          <cell r="B4833" t="str">
            <v>Mariane Nascimento</v>
          </cell>
        </row>
        <row r="4834">
          <cell r="A4834" t="str">
            <v>33.000.092/0001-69</v>
          </cell>
          <cell r="B4834" t="str">
            <v>Malu Montesino</v>
          </cell>
        </row>
        <row r="4835">
          <cell r="A4835" t="str">
            <v>06.172.467/0001-03</v>
          </cell>
          <cell r="B4835" t="str">
            <v>Mariane Nascimento</v>
          </cell>
        </row>
        <row r="4836">
          <cell r="A4836" t="str">
            <v>08.221.047/0001-97</v>
          </cell>
          <cell r="B4836" t="str">
            <v>Mariane Nascimento</v>
          </cell>
        </row>
        <row r="4837">
          <cell r="A4837" t="str">
            <v>90.050.238/0001-14</v>
          </cell>
          <cell r="B4837" t="str">
            <v>Malu Montesino</v>
          </cell>
        </row>
        <row r="4838">
          <cell r="A4838" t="str">
            <v>05.097.311/0001-34</v>
          </cell>
          <cell r="B4838" t="str">
            <v>Malu Montesino</v>
          </cell>
        </row>
        <row r="4839">
          <cell r="A4839" t="str">
            <v>21.551.379/0007-93</v>
          </cell>
          <cell r="B4839" t="str">
            <v>Malu Montesino</v>
          </cell>
        </row>
        <row r="4840">
          <cell r="A4840" t="str">
            <v>66.783.630/0001-98</v>
          </cell>
          <cell r="B4840" t="str">
            <v>Malu Montesino</v>
          </cell>
        </row>
        <row r="4841">
          <cell r="A4841" t="str">
            <v>08.238.299/0001-29</v>
          </cell>
          <cell r="B4841" t="str">
            <v>Malu Montesino</v>
          </cell>
        </row>
        <row r="4842">
          <cell r="A4842" t="str">
            <v>06.224.121/0001-01</v>
          </cell>
          <cell r="B4842" t="str">
            <v>Malu Montesino</v>
          </cell>
        </row>
        <row r="4843">
          <cell r="A4843" t="str">
            <v>19.485.728/0001-89</v>
          </cell>
          <cell r="B4843" t="str">
            <v>Malu Montesino</v>
          </cell>
        </row>
        <row r="4844">
          <cell r="A4844" t="str">
            <v>67.729.178/0001-49</v>
          </cell>
          <cell r="B4844" t="str">
            <v>Malu Montesino</v>
          </cell>
        </row>
        <row r="4845">
          <cell r="A4845" t="str">
            <v>06.191.743/0001-72</v>
          </cell>
          <cell r="B4845" t="str">
            <v>Malu Montesino</v>
          </cell>
        </row>
        <row r="4846">
          <cell r="A4846" t="str">
            <v>06.191.743/0001-72</v>
          </cell>
          <cell r="B4846" t="str">
            <v>Malu Montesino</v>
          </cell>
        </row>
        <row r="4847">
          <cell r="A4847" t="str">
            <v>59.894.113/0001-20</v>
          </cell>
          <cell r="B4847" t="str">
            <v>Malu Montesino</v>
          </cell>
        </row>
        <row r="4848">
          <cell r="A4848" t="str">
            <v>11.681.470/0001-84</v>
          </cell>
          <cell r="B4848" t="str">
            <v>Malu Montesino</v>
          </cell>
        </row>
        <row r="4849">
          <cell r="A4849" t="str">
            <v>46.941.582/0001-01</v>
          </cell>
          <cell r="B4849" t="str">
            <v>Malu Montesino</v>
          </cell>
        </row>
        <row r="4850">
          <cell r="A4850" t="str">
            <v>35.548.400/0001-10</v>
          </cell>
          <cell r="B4850" t="str">
            <v>Malu Montesino</v>
          </cell>
        </row>
        <row r="4851">
          <cell r="A4851" t="str">
            <v>35.548.400/0001-10</v>
          </cell>
          <cell r="B4851" t="str">
            <v>Malu Montesino</v>
          </cell>
        </row>
        <row r="4852">
          <cell r="A4852" t="str">
            <v>42.356.002/0001-68</v>
          </cell>
          <cell r="B4852" t="str">
            <v>Malu Montesino</v>
          </cell>
        </row>
        <row r="4853">
          <cell r="A4853" t="str">
            <v>16.404.287/0001-55</v>
          </cell>
          <cell r="B4853" t="str">
            <v>Malu Montesino</v>
          </cell>
        </row>
        <row r="4854">
          <cell r="A4854" t="str">
            <v>05.293.074/0001-87</v>
          </cell>
          <cell r="B4854" t="str">
            <v>Malu Montesino</v>
          </cell>
        </row>
        <row r="4855">
          <cell r="A4855" t="str">
            <v>10.588.595/0001-00</v>
          </cell>
          <cell r="B4855" t="str">
            <v>Malu Montesino</v>
          </cell>
        </row>
        <row r="4856">
          <cell r="A4856" t="str">
            <v>82.277.955/0001-55</v>
          </cell>
          <cell r="B4856" t="str">
            <v>Malu Montesino</v>
          </cell>
        </row>
        <row r="4857">
          <cell r="A4857" t="str">
            <v>53.846.661/0001-07</v>
          </cell>
          <cell r="B4857" t="str">
            <v>Malu Montesino</v>
          </cell>
        </row>
        <row r="4858">
          <cell r="A4858" t="str">
            <v>53.846.661/0001-07</v>
          </cell>
          <cell r="B4858" t="str">
            <v>Malu Montesino</v>
          </cell>
        </row>
        <row r="4859">
          <cell r="A4859" t="str">
            <v>04.743.025/0001-36</v>
          </cell>
          <cell r="B4859" t="str">
            <v>Malu Montesino</v>
          </cell>
        </row>
        <row r="4860">
          <cell r="A4860" t="str">
            <v>11.282.223/0001-05</v>
          </cell>
          <cell r="B4860" t="str">
            <v>Malu Montesino</v>
          </cell>
        </row>
        <row r="4861">
          <cell r="A4861" t="str">
            <v>14.016.443/0001-85</v>
          </cell>
          <cell r="B4861" t="str">
            <v>Malu Montesino</v>
          </cell>
        </row>
        <row r="4862">
          <cell r="A4862" t="str">
            <v>32.924.777/0001-39</v>
          </cell>
          <cell r="B4862" t="str">
            <v>Malu Montesino</v>
          </cell>
        </row>
        <row r="4863">
          <cell r="A4863" t="str">
            <v>32.924.777/0001-39</v>
          </cell>
          <cell r="B4863" t="str">
            <v>Malu Montesino</v>
          </cell>
        </row>
        <row r="4864">
          <cell r="A4864" t="str">
            <v>18.258.209/0001-15</v>
          </cell>
          <cell r="B4864" t="str">
            <v>Mariane Nascimento</v>
          </cell>
        </row>
        <row r="4865">
          <cell r="A4865" t="str">
            <v>90.909.631/0001-10</v>
          </cell>
          <cell r="B4865" t="str">
            <v>Malu Montesino</v>
          </cell>
        </row>
        <row r="4866">
          <cell r="A4866" t="str">
            <v>00.028.986/0001-08</v>
          </cell>
          <cell r="B4866" t="str">
            <v>Malu Montesino</v>
          </cell>
        </row>
        <row r="4867">
          <cell r="A4867" t="str">
            <v>05.963.596/0001-49</v>
          </cell>
          <cell r="B4867" t="str">
            <v>Malu Montesino</v>
          </cell>
        </row>
        <row r="4868">
          <cell r="A4868" t="str">
            <v>39.715.643/0001-57</v>
          </cell>
          <cell r="B4868" t="str">
            <v>Malu Montesino</v>
          </cell>
        </row>
        <row r="4869">
          <cell r="A4869" t="str">
            <v>42.972.345/0001-57</v>
          </cell>
          <cell r="B4869" t="str">
            <v>Mariane Nascimento</v>
          </cell>
        </row>
        <row r="4870">
          <cell r="A4870" t="str">
            <v>09.273.196/0001-62</v>
          </cell>
          <cell r="B4870" t="str">
            <v>Malu Montesino</v>
          </cell>
        </row>
        <row r="4871">
          <cell r="A4871" t="str">
            <v>09.273.196/0001-62</v>
          </cell>
          <cell r="B4871" t="str">
            <v>Malu Montesino</v>
          </cell>
        </row>
        <row r="4872">
          <cell r="A4872" t="str">
            <v>01.835.739/0001-86</v>
          </cell>
          <cell r="B4872" t="str">
            <v>Malu Montesino</v>
          </cell>
        </row>
        <row r="4873">
          <cell r="A4873" t="str">
            <v>08.406.359/0001-75</v>
          </cell>
          <cell r="B4873" t="str">
            <v>Malu Montesino</v>
          </cell>
        </row>
        <row r="4874">
          <cell r="A4874" t="str">
            <v>08.406.359/0001-75</v>
          </cell>
          <cell r="B4874" t="str">
            <v>Malu Montesino</v>
          </cell>
        </row>
        <row r="4875">
          <cell r="A4875" t="str">
            <v>08.406.359/0001-75</v>
          </cell>
          <cell r="B4875" t="str">
            <v>Malu Montesino</v>
          </cell>
        </row>
        <row r="4876">
          <cell r="A4876" t="str">
            <v>32.924.777/0001-39</v>
          </cell>
          <cell r="B4876" t="str">
            <v>Malu Montesino</v>
          </cell>
        </row>
        <row r="4877">
          <cell r="A4877" t="str">
            <v>09.273.196/0001-62</v>
          </cell>
          <cell r="B4877" t="str">
            <v>Malu Montesino</v>
          </cell>
        </row>
        <row r="4878">
          <cell r="A4878" t="str">
            <v>23.647.365/0001-08</v>
          </cell>
          <cell r="B4878" t="str">
            <v>Malu Montesino</v>
          </cell>
        </row>
        <row r="4879">
          <cell r="A4879" t="str">
            <v>59.275.792/0001-50</v>
          </cell>
          <cell r="B4879" t="str">
            <v>Malu Montesino</v>
          </cell>
        </row>
        <row r="4880">
          <cell r="A4880" t="str">
            <v>29.736.089/0001-30</v>
          </cell>
          <cell r="B4880" t="str">
            <v>Malu Montesino</v>
          </cell>
        </row>
        <row r="4881">
          <cell r="A4881" t="str">
            <v>43.999.424/0001-14</v>
          </cell>
          <cell r="B4881" t="str">
            <v>Malu Montesino</v>
          </cell>
        </row>
        <row r="4882">
          <cell r="A4882" t="str">
            <v>12.420.164/0001-57</v>
          </cell>
          <cell r="B4882" t="str">
            <v>Malu Montesino</v>
          </cell>
        </row>
        <row r="4883">
          <cell r="A4883" t="str">
            <v>04.392.076/0001-60</v>
          </cell>
          <cell r="B4883" t="str">
            <v>Malu Montesino</v>
          </cell>
        </row>
        <row r="4884">
          <cell r="A4884" t="str">
            <v>05.706.897/0001-97</v>
          </cell>
          <cell r="B4884" t="str">
            <v>Malu Montesino</v>
          </cell>
        </row>
        <row r="4885">
          <cell r="A4885" t="str">
            <v>05.706.897/0001-97</v>
          </cell>
          <cell r="B4885" t="str">
            <v>Malu Montesino</v>
          </cell>
        </row>
        <row r="4886">
          <cell r="A4886" t="str">
            <v>07.884.692/0001-27</v>
          </cell>
          <cell r="B4886" t="str">
            <v>Malu Montesino</v>
          </cell>
        </row>
        <row r="4887">
          <cell r="A4887" t="str">
            <v>46.138.319/0001-89</v>
          </cell>
          <cell r="B4887" t="str">
            <v>Malu Montesino</v>
          </cell>
        </row>
        <row r="4888">
          <cell r="A4888" t="str">
            <v>60.680.873/0001-14</v>
          </cell>
          <cell r="B4888" t="str">
            <v>Malu Montesino</v>
          </cell>
        </row>
        <row r="4889">
          <cell r="A4889" t="str">
            <v>60.680.873/0001-14</v>
          </cell>
          <cell r="B4889" t="str">
            <v>Malu Montesino</v>
          </cell>
        </row>
        <row r="4890">
          <cell r="A4890" t="str">
            <v>06.172.467/0001-03</v>
          </cell>
          <cell r="B4890" t="str">
            <v>Mariane Nascimento</v>
          </cell>
        </row>
        <row r="4891">
          <cell r="A4891" t="str">
            <v>00.074.635/0001-33</v>
          </cell>
          <cell r="B4891" t="str">
            <v>Malu Montesino</v>
          </cell>
        </row>
        <row r="4892">
          <cell r="A4892" t="str">
            <v>02.291.486/0001-90</v>
          </cell>
          <cell r="B4892" t="str">
            <v>Malu Montesino</v>
          </cell>
        </row>
        <row r="4893">
          <cell r="A4893" t="str">
            <v>02.291.486/0001-90</v>
          </cell>
          <cell r="B4893" t="str">
            <v>Malu Montesino</v>
          </cell>
        </row>
        <row r="4894">
          <cell r="A4894" t="str">
            <v>08.839.778/0001-09</v>
          </cell>
          <cell r="B4894" t="str">
            <v>Mariane Nascimento</v>
          </cell>
        </row>
        <row r="4895">
          <cell r="A4895" t="str">
            <v>11.405.384/0001-49</v>
          </cell>
          <cell r="B4895" t="str">
            <v>Malu Montesino</v>
          </cell>
        </row>
        <row r="4896">
          <cell r="A4896" t="str">
            <v>05.662.773/0002-38</v>
          </cell>
          <cell r="B4896" t="str">
            <v>Malu Montesino</v>
          </cell>
        </row>
        <row r="4897">
          <cell r="A4897" t="str">
            <v>01.848.003/0001-42</v>
          </cell>
          <cell r="B4897" t="str">
            <v>Malu Montesino</v>
          </cell>
        </row>
        <row r="4898">
          <cell r="A4898" t="str">
            <v>07.935.049/0001-85</v>
          </cell>
          <cell r="B4898" t="str">
            <v>Malu Montesino</v>
          </cell>
        </row>
        <row r="4899">
          <cell r="A4899" t="str">
            <v>33.325.184/0001-19</v>
          </cell>
          <cell r="B4899" t="str">
            <v>Malu Montesino</v>
          </cell>
        </row>
        <row r="4900">
          <cell r="A4900" t="str">
            <v>68.351.204/0001-00</v>
          </cell>
          <cell r="B4900" t="str">
            <v>Malu Montesino</v>
          </cell>
        </row>
        <row r="4901">
          <cell r="A4901" t="str">
            <v>04.784.711/0001-55</v>
          </cell>
          <cell r="B4901" t="str">
            <v>Malu Montesino</v>
          </cell>
        </row>
        <row r="4902">
          <cell r="A4902" t="str">
            <v>92.080.035/0001-04</v>
          </cell>
          <cell r="B4902" t="str">
            <v>Malu Montesino</v>
          </cell>
        </row>
        <row r="4903">
          <cell r="A4903" t="str">
            <v>07.662.932/0001-49</v>
          </cell>
          <cell r="B4903" t="str">
            <v>Malu Montesino</v>
          </cell>
        </row>
        <row r="4904">
          <cell r="A4904" t="str">
            <v>06.020.318/0001-10</v>
          </cell>
          <cell r="B4904" t="str">
            <v>Malu Montesino</v>
          </cell>
        </row>
        <row r="4905">
          <cell r="A4905" t="str">
            <v>32.113.192/0001-39</v>
          </cell>
          <cell r="B4905" t="str">
            <v>Malu Montesino</v>
          </cell>
        </row>
        <row r="4906">
          <cell r="A4906" t="str">
            <v>61.418.042/0001-31</v>
          </cell>
          <cell r="B4906" t="str">
            <v>Malu Montesino</v>
          </cell>
        </row>
        <row r="4907">
          <cell r="A4907" t="str">
            <v>31.565.104/0001-77</v>
          </cell>
          <cell r="B4907" t="str">
            <v>Malu Montesino</v>
          </cell>
        </row>
        <row r="4908">
          <cell r="A4908" t="str">
            <v>69.252.872/0001-43</v>
          </cell>
          <cell r="B4908" t="str">
            <v>Malu Montesino</v>
          </cell>
        </row>
        <row r="4909">
          <cell r="A4909" t="str">
            <v>06.191.743/0001-72</v>
          </cell>
          <cell r="B4909" t="str">
            <v>Malu Montesino</v>
          </cell>
        </row>
        <row r="4910">
          <cell r="A4910" t="str">
            <v>06.191.743/0001-72</v>
          </cell>
          <cell r="B4910" t="str">
            <v>Malu Montesino</v>
          </cell>
        </row>
        <row r="4911">
          <cell r="A4911" t="str">
            <v>06.191.743/0001-72</v>
          </cell>
          <cell r="B4911" t="str">
            <v>Malu Montesino</v>
          </cell>
        </row>
        <row r="4912">
          <cell r="A4912" t="str">
            <v>35.548.400/0001-10</v>
          </cell>
          <cell r="B4912" t="str">
            <v>Malu Montesino</v>
          </cell>
        </row>
        <row r="4913">
          <cell r="A4913" t="str">
            <v>01.835.739/0001-86</v>
          </cell>
          <cell r="B4913" t="str">
            <v>Malu Montesino</v>
          </cell>
        </row>
        <row r="4914">
          <cell r="A4914" t="str">
            <v>89.674.782/0001-58</v>
          </cell>
          <cell r="B4914" t="str">
            <v>Malu Montesino</v>
          </cell>
        </row>
        <row r="4915">
          <cell r="A4915" t="str">
            <v>04.149.454/0001-80</v>
          </cell>
          <cell r="B4915" t="str">
            <v>Malu Montesino</v>
          </cell>
        </row>
        <row r="4916">
          <cell r="A4916" t="str">
            <v>07.009.980/0001-32</v>
          </cell>
          <cell r="B4916" t="str">
            <v>Malu Montesino</v>
          </cell>
        </row>
        <row r="4917">
          <cell r="A4917" t="str">
            <v>00.946.219/0001-88</v>
          </cell>
          <cell r="B4917" t="str">
            <v>Malu Montesino</v>
          </cell>
        </row>
        <row r="4918">
          <cell r="A4918" t="str">
            <v>60.160.546/0001-31</v>
          </cell>
          <cell r="B4918" t="str">
            <v>Malu Montesino</v>
          </cell>
        </row>
        <row r="4919">
          <cell r="A4919" t="str">
            <v>01.382.559/0001-96</v>
          </cell>
          <cell r="B4919" t="str">
            <v>Malu Montesino</v>
          </cell>
        </row>
        <row r="4920">
          <cell r="A4920" t="str">
            <v>02.599.337/0001-92</v>
          </cell>
          <cell r="B4920" t="str">
            <v>Malu Montesino</v>
          </cell>
        </row>
        <row r="4921">
          <cell r="A4921" t="str">
            <v>49.418.150/0001-09</v>
          </cell>
          <cell r="B4921" t="str">
            <v>Malu Montesino</v>
          </cell>
        </row>
        <row r="4922">
          <cell r="A4922" t="str">
            <v>53.846.661/0001-07</v>
          </cell>
          <cell r="B4922" t="str">
            <v>Malu Montesino</v>
          </cell>
        </row>
        <row r="4923">
          <cell r="A4923" t="str">
            <v>53.846.661/0001-07</v>
          </cell>
          <cell r="B4923" t="str">
            <v>Malu Montesino</v>
          </cell>
        </row>
        <row r="4924">
          <cell r="A4924" t="str">
            <v>27.816.487/0003-01</v>
          </cell>
          <cell r="B4924" t="str">
            <v>Malu Montesino</v>
          </cell>
        </row>
        <row r="4925">
          <cell r="A4925" t="str">
            <v>27.816.487/0003-01</v>
          </cell>
          <cell r="B4925" t="str">
            <v>Malu Montesino</v>
          </cell>
        </row>
        <row r="4926">
          <cell r="A4926" t="str">
            <v>05.706.897/0001-97</v>
          </cell>
          <cell r="B4926" t="str">
            <v>Malu Montesino</v>
          </cell>
        </row>
        <row r="4927">
          <cell r="A4927" t="str">
            <v>05.706.897/0001-97</v>
          </cell>
          <cell r="B4927" t="str">
            <v>Malu Montesino</v>
          </cell>
        </row>
        <row r="4928">
          <cell r="A4928" t="str">
            <v>59.275.792/0001-50</v>
          </cell>
          <cell r="B4928" t="str">
            <v>Malu Montesino</v>
          </cell>
        </row>
        <row r="4929">
          <cell r="A4929" t="str">
            <v>06.191.743/0001-72</v>
          </cell>
          <cell r="B4929" t="str">
            <v>Malu Montesino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exitus.com/" TargetMode="External"/><Relationship Id="rId2" Type="http://schemas.openxmlformats.org/officeDocument/2006/relationships/hyperlink" Target="http://ebazar.com.br/" TargetMode="External"/><Relationship Id="rId1" Type="http://schemas.openxmlformats.org/officeDocument/2006/relationships/hyperlink" Target="http://anttecip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937"/>
  <sheetViews>
    <sheetView tabSelected="1" workbookViewId="0">
      <pane ySplit="1" topLeftCell="A2" activePane="bottomLeft" state="frozen"/>
      <selection pane="bottomLeft" activeCell="D1" sqref="D1"/>
    </sheetView>
  </sheetViews>
  <sheetFormatPr defaultColWidth="12.6640625" defaultRowHeight="15.75" customHeight="1" x14ac:dyDescent="0.25"/>
  <cols>
    <col min="1" max="1" width="23.5546875" style="14" customWidth="1"/>
    <col min="2" max="2" width="23.5546875" style="15" customWidth="1"/>
    <col min="3" max="3" width="23.5546875" style="13" customWidth="1"/>
    <col min="4" max="4" width="89.109375" customWidth="1"/>
    <col min="5" max="5" width="140.21875" bestFit="1" customWidth="1"/>
    <col min="6" max="6" width="10.77734375" bestFit="1" customWidth="1"/>
    <col min="7" max="7" width="15.5546875" bestFit="1" customWidth="1"/>
    <col min="8" max="8" width="64" bestFit="1" customWidth="1"/>
    <col min="9" max="9" width="29.21875" bestFit="1" customWidth="1"/>
    <col min="10" max="10" width="20.21875" bestFit="1" customWidth="1"/>
    <col min="11" max="11" width="16.5546875" bestFit="1" customWidth="1"/>
    <col min="12" max="12" width="127.88671875" bestFit="1" customWidth="1"/>
    <col min="13" max="13" width="67.5546875" bestFit="1" customWidth="1"/>
    <col min="14" max="14" width="10.109375" bestFit="1" customWidth="1"/>
    <col min="15" max="15" width="106.88671875" bestFit="1" customWidth="1"/>
    <col min="16" max="16" width="57.109375" bestFit="1" customWidth="1"/>
    <col min="17" max="17" width="30.77734375" bestFit="1" customWidth="1"/>
    <col min="18" max="18" width="5.6640625" bestFit="1" customWidth="1"/>
    <col min="19" max="19" width="9" bestFit="1" customWidth="1"/>
    <col min="20" max="20" width="11" bestFit="1" customWidth="1"/>
    <col min="21" max="21" width="8.88671875" bestFit="1" customWidth="1"/>
  </cols>
  <sheetData>
    <row r="1" spans="1:23" ht="13.2" x14ac:dyDescent="0.25">
      <c r="A1" s="14" t="s">
        <v>0</v>
      </c>
      <c r="B1" s="17" t="s">
        <v>13511</v>
      </c>
      <c r="C1" s="16" t="s">
        <v>13510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/>
      <c r="W1" s="1"/>
    </row>
    <row r="2" spans="1:23" ht="13.2" x14ac:dyDescent="0.25">
      <c r="A2" s="14">
        <v>30428586000150</v>
      </c>
      <c r="B2" s="15" t="str">
        <f>TEXT(A2,"00\.000\.000\/0000\-00")</f>
        <v>30.428.586/0001-50</v>
      </c>
      <c r="C2" s="12"/>
      <c r="D2" s="3" t="s">
        <v>19</v>
      </c>
      <c r="E2" s="3" t="s">
        <v>19</v>
      </c>
      <c r="F2" s="3" t="s">
        <v>20</v>
      </c>
      <c r="G2" s="4">
        <v>43231</v>
      </c>
      <c r="H2" s="3" t="s">
        <v>21</v>
      </c>
      <c r="I2" s="3" t="s">
        <v>22</v>
      </c>
      <c r="J2" s="5">
        <v>100000</v>
      </c>
      <c r="K2" s="3">
        <v>4751201</v>
      </c>
      <c r="L2" s="3" t="s">
        <v>23</v>
      </c>
      <c r="M2" s="3" t="s">
        <v>24</v>
      </c>
      <c r="N2" s="3">
        <v>262</v>
      </c>
      <c r="O2" s="3" t="s">
        <v>25</v>
      </c>
      <c r="P2" s="3" t="s">
        <v>26</v>
      </c>
      <c r="Q2" s="3" t="s">
        <v>27</v>
      </c>
      <c r="R2" s="3" t="s">
        <v>28</v>
      </c>
      <c r="S2" s="3">
        <v>4145030</v>
      </c>
      <c r="T2" s="3">
        <v>1138044981</v>
      </c>
      <c r="U2" s="3" t="s">
        <v>29</v>
      </c>
    </row>
    <row r="3" spans="1:23" ht="13.2" x14ac:dyDescent="0.25">
      <c r="A3" s="14">
        <v>3045704000179</v>
      </c>
      <c r="B3" s="15" t="str">
        <f t="shared" ref="B3:B66" si="0">TEXT(A3,"00\.000\.000\/0000\-00")</f>
        <v>03.045.704/0001-79</v>
      </c>
      <c r="C3" s="12"/>
      <c r="D3" s="3" t="s">
        <v>30</v>
      </c>
      <c r="E3" s="3" t="s">
        <v>30</v>
      </c>
      <c r="F3" s="3" t="s">
        <v>31</v>
      </c>
      <c r="G3" s="4">
        <v>36138</v>
      </c>
      <c r="H3" s="3" t="s">
        <v>32</v>
      </c>
      <c r="I3" s="3" t="s">
        <v>33</v>
      </c>
      <c r="J3" s="5">
        <v>1000</v>
      </c>
      <c r="K3" s="3">
        <v>6499999</v>
      </c>
      <c r="L3" s="3" t="s">
        <v>34</v>
      </c>
      <c r="M3" s="3" t="s">
        <v>35</v>
      </c>
      <c r="N3" s="3">
        <v>45</v>
      </c>
      <c r="P3" s="3" t="s">
        <v>36</v>
      </c>
      <c r="Q3" s="3" t="s">
        <v>37</v>
      </c>
      <c r="R3" s="3" t="s">
        <v>28</v>
      </c>
      <c r="S3" s="3">
        <v>13478110</v>
      </c>
      <c r="T3" s="3">
        <v>1934621420</v>
      </c>
      <c r="U3" s="3" t="s">
        <v>29</v>
      </c>
    </row>
    <row r="4" spans="1:23" ht="13.2" x14ac:dyDescent="0.25">
      <c r="A4" s="14">
        <v>17124638000137</v>
      </c>
      <c r="B4" s="15" t="str">
        <f t="shared" si="0"/>
        <v>17.124.638/0001-37</v>
      </c>
      <c r="C4" s="12"/>
      <c r="D4" s="3" t="s">
        <v>38</v>
      </c>
      <c r="E4" s="3" t="s">
        <v>39</v>
      </c>
      <c r="F4" s="3" t="s">
        <v>20</v>
      </c>
      <c r="G4" s="4">
        <v>41184</v>
      </c>
      <c r="H4" s="3" t="s">
        <v>21</v>
      </c>
      <c r="I4" s="3" t="s">
        <v>22</v>
      </c>
      <c r="J4" s="5">
        <v>10000</v>
      </c>
      <c r="K4" s="3">
        <v>4679699</v>
      </c>
      <c r="L4" s="3" t="s">
        <v>40</v>
      </c>
      <c r="M4" s="3" t="s">
        <v>41</v>
      </c>
      <c r="N4" s="3">
        <v>370</v>
      </c>
      <c r="P4" s="3" t="s">
        <v>42</v>
      </c>
      <c r="Q4" s="3" t="s">
        <v>43</v>
      </c>
      <c r="R4" s="3" t="s">
        <v>28</v>
      </c>
      <c r="S4" s="3">
        <v>7832040</v>
      </c>
      <c r="T4" s="3">
        <v>1146054566</v>
      </c>
      <c r="U4" s="3" t="s">
        <v>29</v>
      </c>
    </row>
    <row r="5" spans="1:23" ht="13.2" x14ac:dyDescent="0.25">
      <c r="A5" s="14">
        <v>18236567000127</v>
      </c>
      <c r="B5" s="15" t="str">
        <f t="shared" si="0"/>
        <v>18.236.567/0001-27</v>
      </c>
      <c r="C5" s="12"/>
      <c r="D5" s="3" t="s">
        <v>44</v>
      </c>
      <c r="E5" s="3" t="s">
        <v>44</v>
      </c>
      <c r="F5" s="3" t="s">
        <v>45</v>
      </c>
      <c r="G5" s="4">
        <v>41429</v>
      </c>
      <c r="H5" s="3" t="s">
        <v>46</v>
      </c>
      <c r="I5" s="3" t="s">
        <v>47</v>
      </c>
      <c r="J5" s="5">
        <v>2000</v>
      </c>
      <c r="K5" s="3">
        <v>7319002</v>
      </c>
      <c r="L5" s="3" t="s">
        <v>48</v>
      </c>
      <c r="M5" s="3" t="s">
        <v>49</v>
      </c>
      <c r="N5" s="3">
        <v>133</v>
      </c>
      <c r="O5" s="3" t="s">
        <v>50</v>
      </c>
      <c r="P5" s="3" t="s">
        <v>51</v>
      </c>
      <c r="Q5" s="3" t="s">
        <v>52</v>
      </c>
      <c r="R5" s="3" t="s">
        <v>53</v>
      </c>
      <c r="S5" s="3">
        <v>93410030</v>
      </c>
      <c r="T5" s="3">
        <v>5192815325</v>
      </c>
      <c r="U5" s="3" t="s">
        <v>29</v>
      </c>
    </row>
    <row r="6" spans="1:23" ht="13.2" x14ac:dyDescent="0.25">
      <c r="A6" s="14">
        <v>26041219000122</v>
      </c>
      <c r="B6" s="15" t="str">
        <f t="shared" si="0"/>
        <v>26.041.219/0001-22</v>
      </c>
      <c r="C6" s="12"/>
      <c r="D6" s="3" t="s">
        <v>54</v>
      </c>
      <c r="E6" s="3" t="s">
        <v>54</v>
      </c>
      <c r="F6" s="3" t="s">
        <v>20</v>
      </c>
      <c r="G6" s="4">
        <v>42608</v>
      </c>
      <c r="H6" s="3" t="s">
        <v>46</v>
      </c>
      <c r="I6" s="3" t="s">
        <v>47</v>
      </c>
      <c r="J6" s="5">
        <v>5000</v>
      </c>
      <c r="K6" s="3">
        <v>8599604</v>
      </c>
      <c r="L6" s="3" t="s">
        <v>55</v>
      </c>
      <c r="M6" s="3" t="s">
        <v>56</v>
      </c>
      <c r="N6" s="3">
        <v>85</v>
      </c>
      <c r="O6" s="3" t="s">
        <v>57</v>
      </c>
      <c r="P6" s="3" t="s">
        <v>58</v>
      </c>
      <c r="Q6" s="3" t="s">
        <v>59</v>
      </c>
      <c r="R6" s="3" t="s">
        <v>28</v>
      </c>
      <c r="S6" s="3">
        <v>13278139</v>
      </c>
      <c r="T6" s="3">
        <v>1932716927</v>
      </c>
      <c r="U6" s="3" t="s">
        <v>29</v>
      </c>
    </row>
    <row r="7" spans="1:23" ht="13.2" x14ac:dyDescent="0.25">
      <c r="A7" s="14">
        <v>21786190000194</v>
      </c>
      <c r="B7" s="15" t="str">
        <f t="shared" si="0"/>
        <v>21.786.190/0001-94</v>
      </c>
      <c r="C7" s="12"/>
      <c r="D7" s="3" t="s">
        <v>60</v>
      </c>
      <c r="E7" s="3" t="s">
        <v>61</v>
      </c>
      <c r="F7" s="3" t="s">
        <v>20</v>
      </c>
      <c r="G7" s="4">
        <v>42034</v>
      </c>
      <c r="H7" s="3" t="s">
        <v>21</v>
      </c>
      <c r="I7" s="3" t="s">
        <v>22</v>
      </c>
      <c r="J7" s="5">
        <v>2938100</v>
      </c>
      <c r="K7" s="3">
        <v>5212500</v>
      </c>
      <c r="L7" s="3" t="s">
        <v>62</v>
      </c>
      <c r="M7" s="3" t="s">
        <v>63</v>
      </c>
      <c r="N7" s="3">
        <v>2315</v>
      </c>
      <c r="P7" s="3" t="s">
        <v>64</v>
      </c>
      <c r="Q7" s="3" t="s">
        <v>65</v>
      </c>
      <c r="R7" s="3" t="s">
        <v>28</v>
      </c>
      <c r="S7" s="3">
        <v>13064798</v>
      </c>
      <c r="T7" s="3">
        <v>1922225000</v>
      </c>
      <c r="U7" s="3" t="s">
        <v>29</v>
      </c>
    </row>
    <row r="8" spans="1:23" ht="13.2" x14ac:dyDescent="0.25">
      <c r="A8" s="14">
        <v>196526000199</v>
      </c>
      <c r="B8" s="15" t="str">
        <f t="shared" si="0"/>
        <v>00.196.526/0001-99</v>
      </c>
      <c r="C8" s="12"/>
      <c r="D8" s="3" t="s">
        <v>66</v>
      </c>
      <c r="E8" s="3" t="s">
        <v>66</v>
      </c>
      <c r="F8" s="3" t="s">
        <v>20</v>
      </c>
      <c r="G8" s="4">
        <v>34570</v>
      </c>
      <c r="H8" s="3" t="s">
        <v>21</v>
      </c>
      <c r="I8" s="3" t="s">
        <v>33</v>
      </c>
      <c r="J8" s="5">
        <v>23350000</v>
      </c>
      <c r="K8" s="3">
        <v>8630502</v>
      </c>
      <c r="L8" s="3" t="s">
        <v>67</v>
      </c>
      <c r="M8" s="3" t="s">
        <v>68</v>
      </c>
      <c r="N8" s="3">
        <v>313</v>
      </c>
      <c r="O8" s="3" t="s">
        <v>69</v>
      </c>
      <c r="P8" s="3" t="s">
        <v>70</v>
      </c>
      <c r="Q8" s="3" t="s">
        <v>27</v>
      </c>
      <c r="R8" s="3" t="s">
        <v>28</v>
      </c>
      <c r="S8" s="3">
        <v>1035905</v>
      </c>
      <c r="T8" s="3">
        <v>1116434735</v>
      </c>
      <c r="U8" s="3" t="s">
        <v>29</v>
      </c>
    </row>
    <row r="9" spans="1:23" ht="13.2" x14ac:dyDescent="0.25">
      <c r="A9" s="14">
        <v>11442205000143</v>
      </c>
      <c r="B9" s="15" t="str">
        <f t="shared" si="0"/>
        <v>11.442.205/0001-43</v>
      </c>
      <c r="C9" s="12"/>
      <c r="D9" s="3" t="s">
        <v>71</v>
      </c>
      <c r="E9" s="3" t="s">
        <v>72</v>
      </c>
      <c r="F9" s="3" t="s">
        <v>20</v>
      </c>
      <c r="G9" s="4">
        <v>40184</v>
      </c>
      <c r="H9" s="3" t="s">
        <v>21</v>
      </c>
      <c r="I9" s="3" t="s">
        <v>22</v>
      </c>
      <c r="J9" s="5">
        <v>30000</v>
      </c>
      <c r="K9" s="3">
        <v>4330499</v>
      </c>
      <c r="L9" s="3" t="s">
        <v>73</v>
      </c>
      <c r="M9" s="3" t="s">
        <v>74</v>
      </c>
      <c r="N9" s="3">
        <v>130</v>
      </c>
      <c r="O9" s="3" t="s">
        <v>75</v>
      </c>
      <c r="P9" s="3" t="s">
        <v>76</v>
      </c>
      <c r="Q9" s="3" t="s">
        <v>77</v>
      </c>
      <c r="R9" s="3" t="s">
        <v>78</v>
      </c>
      <c r="S9" s="3">
        <v>26021160</v>
      </c>
      <c r="T9" s="3">
        <v>2126678888</v>
      </c>
      <c r="U9" s="3" t="s">
        <v>29</v>
      </c>
    </row>
    <row r="10" spans="1:23" ht="13.2" x14ac:dyDescent="0.25">
      <c r="A10" s="14">
        <v>45985371000108</v>
      </c>
      <c r="B10" s="15" t="str">
        <f t="shared" si="0"/>
        <v>45.985.371/0001-08</v>
      </c>
      <c r="C10" s="12" t="str">
        <f>VLOOKUP(B10,[1]Planilha1!$A:$B,2,0)</f>
        <v>Malu Montesino</v>
      </c>
      <c r="D10" s="3" t="s">
        <v>79</v>
      </c>
      <c r="E10" s="3" t="s">
        <v>79</v>
      </c>
      <c r="F10" s="3" t="s">
        <v>20</v>
      </c>
      <c r="G10" s="4">
        <v>24302</v>
      </c>
      <c r="H10" s="3" t="s">
        <v>21</v>
      </c>
      <c r="I10" s="3" t="s">
        <v>33</v>
      </c>
      <c r="J10" s="5">
        <v>407727580</v>
      </c>
      <c r="K10" s="3">
        <v>2099199</v>
      </c>
      <c r="L10" s="3" t="s">
        <v>80</v>
      </c>
      <c r="M10" s="3" t="s">
        <v>81</v>
      </c>
      <c r="N10" s="3" t="s">
        <v>82</v>
      </c>
      <c r="O10" s="3" t="s">
        <v>83</v>
      </c>
      <c r="P10" s="3" t="s">
        <v>84</v>
      </c>
      <c r="Q10" s="3" t="s">
        <v>85</v>
      </c>
      <c r="R10" s="3" t="s">
        <v>28</v>
      </c>
      <c r="S10" s="3">
        <v>13181900</v>
      </c>
      <c r="T10" s="3">
        <v>1938387000</v>
      </c>
      <c r="U10" s="3" t="s">
        <v>29</v>
      </c>
    </row>
    <row r="11" spans="1:23" ht="13.2" x14ac:dyDescent="0.25">
      <c r="A11" s="14">
        <v>41823558000154</v>
      </c>
      <c r="B11" s="15" t="str">
        <f t="shared" si="0"/>
        <v>41.823.558/0001-54</v>
      </c>
      <c r="C11" s="12"/>
      <c r="D11" s="3" t="s">
        <v>86</v>
      </c>
      <c r="E11" s="3" t="s">
        <v>86</v>
      </c>
      <c r="F11" s="3" t="s">
        <v>20</v>
      </c>
      <c r="G11" s="4">
        <v>44321</v>
      </c>
      <c r="H11" s="3" t="s">
        <v>21</v>
      </c>
      <c r="I11" s="3" t="s">
        <v>47</v>
      </c>
      <c r="J11" s="5">
        <v>200000</v>
      </c>
      <c r="K11" s="3">
        <v>4120400</v>
      </c>
      <c r="L11" s="3" t="s">
        <v>87</v>
      </c>
      <c r="M11" s="3" t="s">
        <v>88</v>
      </c>
      <c r="N11" s="3">
        <v>1140</v>
      </c>
      <c r="P11" s="3" t="s">
        <v>89</v>
      </c>
      <c r="Q11" s="3" t="s">
        <v>90</v>
      </c>
      <c r="R11" s="3" t="s">
        <v>91</v>
      </c>
      <c r="S11" s="3">
        <v>89260300</v>
      </c>
      <c r="T11" s="3">
        <v>4733722203</v>
      </c>
      <c r="U11" s="3" t="s">
        <v>29</v>
      </c>
    </row>
    <row r="12" spans="1:23" ht="13.2" x14ac:dyDescent="0.25">
      <c r="A12" s="14">
        <v>40084157000167</v>
      </c>
      <c r="B12" s="15" t="str">
        <f t="shared" si="0"/>
        <v>40.084.157/0001-67</v>
      </c>
      <c r="C12" s="12" t="str">
        <f>VLOOKUP(B12,[1]Planilha1!$A:$B,2,0)</f>
        <v>Malu Montesino</v>
      </c>
      <c r="D12" s="3" t="s">
        <v>92</v>
      </c>
      <c r="E12" s="3" t="s">
        <v>93</v>
      </c>
      <c r="F12" s="3" t="s">
        <v>20</v>
      </c>
      <c r="G12" s="4">
        <v>44176</v>
      </c>
      <c r="H12" s="3" t="s">
        <v>94</v>
      </c>
      <c r="I12" s="3" t="s">
        <v>33</v>
      </c>
      <c r="J12" s="5">
        <v>500000</v>
      </c>
      <c r="K12" s="3">
        <v>8630599</v>
      </c>
      <c r="L12" s="3" t="s">
        <v>95</v>
      </c>
      <c r="M12" s="3" t="s">
        <v>96</v>
      </c>
      <c r="N12" s="3">
        <v>442</v>
      </c>
      <c r="O12" s="3" t="s">
        <v>97</v>
      </c>
      <c r="P12" s="3" t="s">
        <v>98</v>
      </c>
      <c r="Q12" s="3" t="s">
        <v>99</v>
      </c>
      <c r="R12" s="3" t="s">
        <v>100</v>
      </c>
      <c r="S12" s="3">
        <v>34006053</v>
      </c>
      <c r="T12" s="3">
        <v>3330823542</v>
      </c>
      <c r="U12" s="3" t="s">
        <v>29</v>
      </c>
    </row>
    <row r="13" spans="1:23" ht="13.2" x14ac:dyDescent="0.25">
      <c r="A13" s="14">
        <v>35194946000110</v>
      </c>
      <c r="B13" s="15" t="str">
        <f t="shared" si="0"/>
        <v>35.194.946/0001-10</v>
      </c>
      <c r="C13" s="12"/>
      <c r="D13" s="3" t="s">
        <v>101</v>
      </c>
      <c r="E13" s="3" t="s">
        <v>102</v>
      </c>
      <c r="F13" s="3" t="s">
        <v>20</v>
      </c>
      <c r="G13" s="4">
        <v>43753</v>
      </c>
      <c r="H13" s="3" t="s">
        <v>21</v>
      </c>
      <c r="I13" s="3" t="s">
        <v>33</v>
      </c>
      <c r="J13" s="5">
        <v>10000000</v>
      </c>
      <c r="K13" s="3">
        <v>6202300</v>
      </c>
      <c r="L13" s="3" t="s">
        <v>103</v>
      </c>
      <c r="M13" s="3" t="s">
        <v>104</v>
      </c>
      <c r="N13" s="3">
        <v>5500</v>
      </c>
      <c r="O13" s="3" t="s">
        <v>105</v>
      </c>
      <c r="P13" s="3" t="s">
        <v>106</v>
      </c>
      <c r="Q13" s="3" t="s">
        <v>107</v>
      </c>
      <c r="R13" s="3" t="s">
        <v>91</v>
      </c>
      <c r="S13" s="3">
        <v>88032005</v>
      </c>
      <c r="T13" s="3">
        <v>4830360902</v>
      </c>
      <c r="U13" s="3" t="s">
        <v>29</v>
      </c>
    </row>
    <row r="14" spans="1:23" ht="13.2" x14ac:dyDescent="0.25">
      <c r="A14" s="14">
        <v>45906001000138</v>
      </c>
      <c r="B14" s="15" t="str">
        <f t="shared" si="0"/>
        <v>45.906.001/0001-38</v>
      </c>
      <c r="C14" s="12"/>
      <c r="D14" s="3" t="s">
        <v>108</v>
      </c>
      <c r="E14" s="3" t="s">
        <v>108</v>
      </c>
      <c r="F14" s="3" t="s">
        <v>20</v>
      </c>
      <c r="G14" s="4">
        <v>44655</v>
      </c>
      <c r="H14" s="3" t="s">
        <v>46</v>
      </c>
      <c r="I14" s="3" t="s">
        <v>47</v>
      </c>
      <c r="J14" s="5">
        <v>20000</v>
      </c>
      <c r="K14" s="3">
        <v>5819100</v>
      </c>
      <c r="L14" s="3" t="s">
        <v>109</v>
      </c>
      <c r="M14" s="3" t="s">
        <v>110</v>
      </c>
      <c r="N14" s="3" t="s">
        <v>111</v>
      </c>
      <c r="P14" s="3" t="s">
        <v>112</v>
      </c>
      <c r="Q14" s="3" t="s">
        <v>113</v>
      </c>
      <c r="R14" s="3" t="s">
        <v>78</v>
      </c>
      <c r="S14" s="3">
        <v>24926540</v>
      </c>
      <c r="T14" s="3">
        <v>3291069986</v>
      </c>
      <c r="U14" s="3" t="s">
        <v>29</v>
      </c>
    </row>
    <row r="15" spans="1:23" ht="13.2" x14ac:dyDescent="0.25">
      <c r="A15" s="14">
        <v>48063131000144</v>
      </c>
      <c r="B15" s="15" t="str">
        <f t="shared" si="0"/>
        <v>48.063.131/0001-44</v>
      </c>
      <c r="C15" s="12"/>
      <c r="D15" s="3" t="s">
        <v>114</v>
      </c>
      <c r="E15" s="3" t="s">
        <v>114</v>
      </c>
      <c r="F15" s="3" t="s">
        <v>20</v>
      </c>
      <c r="G15" s="4">
        <v>44827</v>
      </c>
      <c r="H15" s="3" t="s">
        <v>46</v>
      </c>
      <c r="I15" s="3" t="s">
        <v>47</v>
      </c>
      <c r="J15" s="5">
        <v>100000</v>
      </c>
      <c r="K15" s="3">
        <v>4744099</v>
      </c>
      <c r="L15" s="3" t="s">
        <v>115</v>
      </c>
      <c r="M15" s="3" t="s">
        <v>116</v>
      </c>
      <c r="N15" s="3">
        <v>767</v>
      </c>
      <c r="O15" s="3" t="s">
        <v>117</v>
      </c>
      <c r="P15" s="3" t="s">
        <v>118</v>
      </c>
      <c r="Q15" s="3" t="s">
        <v>119</v>
      </c>
      <c r="R15" s="3" t="s">
        <v>28</v>
      </c>
      <c r="S15" s="3">
        <v>6620080</v>
      </c>
      <c r="T15" s="3">
        <v>1176216900</v>
      </c>
      <c r="U15" s="3" t="s">
        <v>29</v>
      </c>
    </row>
    <row r="16" spans="1:23" ht="13.2" x14ac:dyDescent="0.25">
      <c r="A16" s="14">
        <v>49821257000101</v>
      </c>
      <c r="B16" s="15" t="str">
        <f t="shared" si="0"/>
        <v>49.821.257/0001-01</v>
      </c>
      <c r="C16" s="12"/>
      <c r="D16" s="3" t="s">
        <v>120</v>
      </c>
      <c r="E16" s="3" t="s">
        <v>120</v>
      </c>
      <c r="F16" s="3" t="s">
        <v>20</v>
      </c>
      <c r="G16" s="4">
        <v>44991</v>
      </c>
      <c r="H16" s="3" t="s">
        <v>46</v>
      </c>
      <c r="I16" s="3" t="s">
        <v>47</v>
      </c>
      <c r="J16" s="5">
        <v>100</v>
      </c>
      <c r="K16" s="3">
        <v>8219999</v>
      </c>
      <c r="L16" s="3" t="s">
        <v>121</v>
      </c>
      <c r="M16" s="3" t="s">
        <v>122</v>
      </c>
      <c r="N16" s="3">
        <v>803</v>
      </c>
      <c r="O16" s="3" t="s">
        <v>123</v>
      </c>
      <c r="P16" s="3" t="s">
        <v>124</v>
      </c>
      <c r="Q16" s="3" t="s">
        <v>125</v>
      </c>
      <c r="R16" s="3" t="s">
        <v>91</v>
      </c>
      <c r="S16" s="3">
        <v>88815100</v>
      </c>
      <c r="T16" s="3">
        <v>4896626731</v>
      </c>
      <c r="U16" s="3" t="s">
        <v>29</v>
      </c>
    </row>
    <row r="17" spans="1:21" ht="13.2" x14ac:dyDescent="0.25">
      <c r="A17" s="14">
        <v>8992115000111</v>
      </c>
      <c r="B17" s="15" t="str">
        <f t="shared" si="0"/>
        <v>08.992.115/0001-11</v>
      </c>
      <c r="C17" s="12" t="str">
        <f>VLOOKUP(B17,[1]Planilha1!$A:$B,2,0)</f>
        <v>Malu Montesino</v>
      </c>
      <c r="D17" s="3" t="s">
        <v>126</v>
      </c>
      <c r="E17" s="3" t="s">
        <v>127</v>
      </c>
      <c r="F17" s="3" t="s">
        <v>20</v>
      </c>
      <c r="G17" s="4">
        <v>39258</v>
      </c>
      <c r="H17" s="3" t="s">
        <v>21</v>
      </c>
      <c r="I17" s="3" t="s">
        <v>33</v>
      </c>
      <c r="J17" s="5">
        <v>200000</v>
      </c>
      <c r="K17" s="3">
        <v>4663000</v>
      </c>
      <c r="L17" s="3" t="s">
        <v>128</v>
      </c>
      <c r="M17" s="3" t="s">
        <v>129</v>
      </c>
      <c r="N17" s="3">
        <v>595</v>
      </c>
      <c r="O17" s="3" t="s">
        <v>130</v>
      </c>
      <c r="P17" s="3" t="s">
        <v>131</v>
      </c>
      <c r="Q17" s="3" t="s">
        <v>37</v>
      </c>
      <c r="R17" s="3" t="s">
        <v>28</v>
      </c>
      <c r="S17" s="3">
        <v>13478713</v>
      </c>
      <c r="T17" s="3">
        <v>1932763083</v>
      </c>
      <c r="U17" s="3" t="s">
        <v>29</v>
      </c>
    </row>
    <row r="18" spans="1:21" ht="13.2" x14ac:dyDescent="0.25">
      <c r="A18" s="14">
        <v>22575103000112</v>
      </c>
      <c r="B18" s="15" t="str">
        <f t="shared" si="0"/>
        <v>22.575.103/0001-12</v>
      </c>
      <c r="C18" s="12" t="str">
        <f>VLOOKUP(B18,[1]Planilha1!$A:$B,2,0)</f>
        <v>Malu Montesino</v>
      </c>
      <c r="D18" s="3" t="s">
        <v>132</v>
      </c>
      <c r="E18" s="3" t="s">
        <v>133</v>
      </c>
      <c r="F18" s="3" t="s">
        <v>20</v>
      </c>
      <c r="G18" s="4">
        <v>42157</v>
      </c>
      <c r="H18" s="3" t="s">
        <v>21</v>
      </c>
      <c r="I18" s="3" t="s">
        <v>47</v>
      </c>
      <c r="J18" s="5" t="s">
        <v>134</v>
      </c>
      <c r="K18" s="3">
        <v>4645101</v>
      </c>
      <c r="L18" s="3" t="s">
        <v>135</v>
      </c>
      <c r="M18" s="3" t="s">
        <v>136</v>
      </c>
      <c r="N18" s="3">
        <v>157</v>
      </c>
      <c r="P18" s="3" t="s">
        <v>137</v>
      </c>
      <c r="Q18" s="3" t="s">
        <v>27</v>
      </c>
      <c r="R18" s="3" t="s">
        <v>28</v>
      </c>
      <c r="S18" s="3">
        <v>5002040</v>
      </c>
      <c r="T18" s="3">
        <v>1131516685</v>
      </c>
      <c r="U18" s="3" t="s">
        <v>29</v>
      </c>
    </row>
    <row r="19" spans="1:21" ht="13.2" x14ac:dyDescent="0.25">
      <c r="A19" s="14">
        <v>7018219000167</v>
      </c>
      <c r="B19" s="15" t="str">
        <f t="shared" si="0"/>
        <v>07.018.219/0001-67</v>
      </c>
      <c r="C19" s="12" t="str">
        <f>VLOOKUP(B19,[1]Planilha1!$A:$B,2,0)</f>
        <v>Malu Montesino</v>
      </c>
      <c r="D19" s="3" t="s">
        <v>138</v>
      </c>
      <c r="E19" s="3" t="s">
        <v>138</v>
      </c>
      <c r="F19" s="3" t="s">
        <v>20</v>
      </c>
      <c r="G19" s="4">
        <v>38253</v>
      </c>
      <c r="H19" s="3" t="s">
        <v>21</v>
      </c>
      <c r="I19" s="3" t="s">
        <v>33</v>
      </c>
      <c r="J19" s="5">
        <v>7000000</v>
      </c>
      <c r="K19" s="3">
        <v>4646002</v>
      </c>
      <c r="L19" s="3" t="s">
        <v>139</v>
      </c>
      <c r="M19" s="3" t="s">
        <v>140</v>
      </c>
      <c r="N19" s="3">
        <v>101</v>
      </c>
      <c r="O19" s="3" t="s">
        <v>141</v>
      </c>
      <c r="P19" s="3" t="s">
        <v>142</v>
      </c>
      <c r="Q19" s="3" t="s">
        <v>27</v>
      </c>
      <c r="R19" s="3" t="s">
        <v>28</v>
      </c>
      <c r="S19" s="3">
        <v>3027020</v>
      </c>
      <c r="T19" s="3">
        <v>1126183388</v>
      </c>
      <c r="U19" s="3" t="s">
        <v>29</v>
      </c>
    </row>
    <row r="20" spans="1:21" ht="13.2" x14ac:dyDescent="0.25">
      <c r="A20" s="14">
        <v>2437839000117</v>
      </c>
      <c r="B20" s="15" t="str">
        <f t="shared" si="0"/>
        <v>02.437.839/0001-17</v>
      </c>
      <c r="C20" s="12"/>
      <c r="D20" s="3" t="s">
        <v>143</v>
      </c>
      <c r="E20" s="3" t="s">
        <v>144</v>
      </c>
      <c r="F20" s="3" t="s">
        <v>20</v>
      </c>
      <c r="G20" s="4">
        <v>35874</v>
      </c>
      <c r="H20" s="3" t="s">
        <v>46</v>
      </c>
      <c r="I20" s="3" t="s">
        <v>22</v>
      </c>
      <c r="J20" s="5">
        <v>200000</v>
      </c>
      <c r="K20" s="3">
        <v>4751201</v>
      </c>
      <c r="L20" s="3" t="s">
        <v>23</v>
      </c>
      <c r="M20" s="3" t="s">
        <v>145</v>
      </c>
      <c r="N20" s="3">
        <v>4307</v>
      </c>
      <c r="O20" s="3" t="s">
        <v>146</v>
      </c>
      <c r="P20" s="3" t="s">
        <v>147</v>
      </c>
      <c r="Q20" s="3" t="s">
        <v>148</v>
      </c>
      <c r="R20" s="3" t="s">
        <v>28</v>
      </c>
      <c r="S20" s="3">
        <v>15014300</v>
      </c>
      <c r="T20" s="3">
        <v>1730112349</v>
      </c>
      <c r="U20" s="3" t="s">
        <v>29</v>
      </c>
    </row>
    <row r="21" spans="1:21" ht="13.2" x14ac:dyDescent="0.25">
      <c r="A21" s="14">
        <v>2647585000161</v>
      </c>
      <c r="B21" s="15" t="str">
        <f t="shared" si="0"/>
        <v>02.647.585/0001-61</v>
      </c>
      <c r="C21" s="12"/>
      <c r="D21" s="3" t="s">
        <v>149</v>
      </c>
      <c r="E21" s="3" t="s">
        <v>150</v>
      </c>
      <c r="F21" s="3" t="s">
        <v>20</v>
      </c>
      <c r="G21" s="4">
        <v>35992</v>
      </c>
      <c r="H21" s="3" t="s">
        <v>46</v>
      </c>
      <c r="I21" s="3" t="s">
        <v>33</v>
      </c>
      <c r="J21" s="5">
        <v>5000</v>
      </c>
      <c r="K21" s="3">
        <v>2833000</v>
      </c>
      <c r="L21" s="3" t="s">
        <v>151</v>
      </c>
      <c r="M21" s="3" t="s">
        <v>152</v>
      </c>
      <c r="N21" s="3">
        <v>157</v>
      </c>
      <c r="P21" s="3" t="s">
        <v>153</v>
      </c>
      <c r="Q21" s="3" t="s">
        <v>154</v>
      </c>
      <c r="R21" s="3" t="s">
        <v>28</v>
      </c>
      <c r="S21" s="3">
        <v>14835000</v>
      </c>
      <c r="T21" s="3">
        <v>1633489000</v>
      </c>
      <c r="U21" s="3" t="s">
        <v>29</v>
      </c>
    </row>
    <row r="22" spans="1:21" ht="13.2" x14ac:dyDescent="0.25">
      <c r="A22" s="14">
        <v>21331094000151</v>
      </c>
      <c r="B22" s="15" t="str">
        <f t="shared" si="0"/>
        <v>21.331.094/0001-51</v>
      </c>
      <c r="C22" s="12"/>
      <c r="D22" s="3" t="s">
        <v>155</v>
      </c>
      <c r="E22" s="3" t="s">
        <v>156</v>
      </c>
      <c r="F22" s="3" t="s">
        <v>20</v>
      </c>
      <c r="G22" s="4">
        <v>41946</v>
      </c>
      <c r="H22" s="3" t="s">
        <v>46</v>
      </c>
      <c r="I22" s="3" t="s">
        <v>22</v>
      </c>
      <c r="J22" s="5">
        <v>400000</v>
      </c>
      <c r="K22" s="3">
        <v>1742799</v>
      </c>
      <c r="L22" s="3" t="s">
        <v>157</v>
      </c>
      <c r="M22" s="3" t="s">
        <v>158</v>
      </c>
      <c r="N22" s="3">
        <v>958</v>
      </c>
      <c r="P22" s="3" t="s">
        <v>159</v>
      </c>
      <c r="Q22" s="3" t="s">
        <v>37</v>
      </c>
      <c r="R22" s="3" t="s">
        <v>28</v>
      </c>
      <c r="S22" s="3">
        <v>13474400</v>
      </c>
      <c r="T22" s="3">
        <v>1934059996</v>
      </c>
      <c r="U22" s="3" t="s">
        <v>29</v>
      </c>
    </row>
    <row r="23" spans="1:21" ht="13.2" x14ac:dyDescent="0.25">
      <c r="A23" s="14">
        <v>97755177000130</v>
      </c>
      <c r="B23" s="15" t="str">
        <f t="shared" si="0"/>
        <v>97.755.177/0001-30</v>
      </c>
      <c r="C23" s="12" t="str">
        <f>VLOOKUP(B23,[1]Planilha1!$A:$B,2,0)</f>
        <v>Malu Montesino</v>
      </c>
      <c r="D23" s="3" t="s">
        <v>160</v>
      </c>
      <c r="E23" s="3" t="s">
        <v>161</v>
      </c>
      <c r="F23" s="3" t="s">
        <v>20</v>
      </c>
      <c r="G23" s="4">
        <v>24373</v>
      </c>
      <c r="H23" s="3" t="s">
        <v>94</v>
      </c>
      <c r="I23" s="3" t="s">
        <v>33</v>
      </c>
      <c r="J23" s="5">
        <v>224000000</v>
      </c>
      <c r="K23" s="3">
        <v>1533500</v>
      </c>
      <c r="L23" s="3" t="s">
        <v>162</v>
      </c>
      <c r="M23" s="3" t="s">
        <v>163</v>
      </c>
      <c r="N23" s="3">
        <v>577</v>
      </c>
      <c r="P23" s="3" t="s">
        <v>70</v>
      </c>
      <c r="Q23" s="3" t="s">
        <v>164</v>
      </c>
      <c r="R23" s="3" t="s">
        <v>53</v>
      </c>
      <c r="S23" s="3">
        <v>95650000</v>
      </c>
      <c r="T23" s="3">
        <v>5135499600</v>
      </c>
      <c r="U23" s="3" t="s">
        <v>29</v>
      </c>
    </row>
    <row r="24" spans="1:21" ht="13.2" x14ac:dyDescent="0.25">
      <c r="A24" s="14">
        <v>44086444000167</v>
      </c>
      <c r="B24" s="15" t="str">
        <f t="shared" si="0"/>
        <v>44.086.444/0001-67</v>
      </c>
      <c r="C24" s="12" t="str">
        <f>VLOOKUP(B24,[1]Planilha1!$A:$B,2,0)</f>
        <v>Malu Montesino</v>
      </c>
      <c r="D24" s="3" t="s">
        <v>165</v>
      </c>
      <c r="E24" s="3" t="s">
        <v>165</v>
      </c>
      <c r="F24" s="3" t="s">
        <v>20</v>
      </c>
      <c r="G24" s="4">
        <v>44501</v>
      </c>
      <c r="H24" s="3" t="s">
        <v>46</v>
      </c>
      <c r="I24" s="3" t="s">
        <v>22</v>
      </c>
      <c r="J24" s="5">
        <v>1000</v>
      </c>
      <c r="K24" s="3">
        <v>8211300</v>
      </c>
      <c r="L24" s="3" t="s">
        <v>166</v>
      </c>
      <c r="M24" s="3" t="s">
        <v>167</v>
      </c>
      <c r="N24" s="3">
        <v>50</v>
      </c>
      <c r="P24" s="3" t="s">
        <v>168</v>
      </c>
      <c r="Q24" s="3" t="s">
        <v>27</v>
      </c>
      <c r="R24" s="3" t="s">
        <v>28</v>
      </c>
      <c r="S24" s="3">
        <v>5756200</v>
      </c>
      <c r="T24" s="3">
        <v>1198605582</v>
      </c>
      <c r="U24" s="3" t="s">
        <v>29</v>
      </c>
    </row>
    <row r="25" spans="1:21" ht="13.2" x14ac:dyDescent="0.25">
      <c r="A25" s="14">
        <v>28428671000177</v>
      </c>
      <c r="B25" s="15" t="str">
        <f t="shared" si="0"/>
        <v>28.428.671/0001-77</v>
      </c>
      <c r="C25" s="12" t="str">
        <f>VLOOKUP(B25,[1]Planilha1!$A:$B,2,0)</f>
        <v>Mariane Nascimento</v>
      </c>
      <c r="D25" s="3" t="s">
        <v>169</v>
      </c>
      <c r="E25" s="3" t="s">
        <v>169</v>
      </c>
      <c r="F25" s="3" t="s">
        <v>20</v>
      </c>
      <c r="G25" s="4">
        <v>42958</v>
      </c>
      <c r="H25" s="3" t="s">
        <v>21</v>
      </c>
      <c r="I25" s="3" t="s">
        <v>47</v>
      </c>
      <c r="J25" s="5">
        <v>100000</v>
      </c>
      <c r="K25" s="3">
        <v>7020400</v>
      </c>
      <c r="L25" s="3" t="s">
        <v>170</v>
      </c>
      <c r="M25" s="3" t="s">
        <v>171</v>
      </c>
      <c r="N25" s="3" t="s">
        <v>111</v>
      </c>
      <c r="O25" s="3" t="s">
        <v>172</v>
      </c>
      <c r="P25" s="3" t="s">
        <v>173</v>
      </c>
      <c r="Q25" s="3" t="s">
        <v>174</v>
      </c>
      <c r="R25" s="3" t="s">
        <v>28</v>
      </c>
      <c r="S25" s="3">
        <v>13825000</v>
      </c>
      <c r="T25" s="3">
        <v>1981683678</v>
      </c>
      <c r="U25" s="3" t="s">
        <v>29</v>
      </c>
    </row>
    <row r="26" spans="1:21" ht="13.2" x14ac:dyDescent="0.25">
      <c r="A26" s="14">
        <v>9479228000180</v>
      </c>
      <c r="B26" s="15" t="str">
        <f t="shared" si="0"/>
        <v>09.479.228/0001-80</v>
      </c>
      <c r="C26" s="12"/>
      <c r="D26" s="3" t="s">
        <v>175</v>
      </c>
      <c r="E26" s="3" t="s">
        <v>176</v>
      </c>
      <c r="F26" s="3" t="s">
        <v>20</v>
      </c>
      <c r="G26" s="4">
        <v>39498</v>
      </c>
      <c r="H26" s="3" t="s">
        <v>46</v>
      </c>
      <c r="I26" s="3" t="s">
        <v>47</v>
      </c>
      <c r="J26" s="5">
        <v>120000</v>
      </c>
      <c r="K26" s="3">
        <v>1813001</v>
      </c>
      <c r="L26" s="3" t="s">
        <v>177</v>
      </c>
      <c r="M26" s="3" t="s">
        <v>178</v>
      </c>
      <c r="N26" s="3">
        <v>46</v>
      </c>
      <c r="P26" s="3" t="s">
        <v>179</v>
      </c>
      <c r="Q26" s="3" t="s">
        <v>180</v>
      </c>
      <c r="R26" s="3" t="s">
        <v>28</v>
      </c>
      <c r="S26" s="3">
        <v>11340130</v>
      </c>
      <c r="T26" s="3">
        <v>1334693324</v>
      </c>
      <c r="U26" s="3" t="s">
        <v>29</v>
      </c>
    </row>
    <row r="27" spans="1:21" ht="13.2" x14ac:dyDescent="0.25">
      <c r="A27" s="14">
        <v>19998958000141</v>
      </c>
      <c r="B27" s="15" t="str">
        <f t="shared" si="0"/>
        <v>19.998.958/0001-41</v>
      </c>
      <c r="C27" s="12"/>
      <c r="D27" s="3" t="s">
        <v>181</v>
      </c>
      <c r="E27" s="3" t="s">
        <v>182</v>
      </c>
      <c r="F27" s="3" t="s">
        <v>20</v>
      </c>
      <c r="G27" s="4">
        <v>41716</v>
      </c>
      <c r="H27" s="3" t="s">
        <v>21</v>
      </c>
      <c r="I27" s="3" t="s">
        <v>47</v>
      </c>
      <c r="J27" s="5">
        <v>300000</v>
      </c>
      <c r="K27" s="3">
        <v>2222600</v>
      </c>
      <c r="L27" s="3" t="s">
        <v>183</v>
      </c>
      <c r="M27" s="3" t="s">
        <v>184</v>
      </c>
      <c r="N27" s="3">
        <v>430</v>
      </c>
      <c r="P27" s="3" t="s">
        <v>185</v>
      </c>
      <c r="Q27" s="3" t="s">
        <v>186</v>
      </c>
      <c r="R27" s="3" t="s">
        <v>187</v>
      </c>
      <c r="S27" s="3">
        <v>83035340</v>
      </c>
      <c r="T27" s="3">
        <v>4135881086</v>
      </c>
      <c r="U27" s="3" t="s">
        <v>29</v>
      </c>
    </row>
    <row r="28" spans="1:21" ht="13.2" x14ac:dyDescent="0.25">
      <c r="A28" s="14">
        <v>6888107000102</v>
      </c>
      <c r="B28" s="15" t="str">
        <f t="shared" si="0"/>
        <v>06.888.107/0001-02</v>
      </c>
      <c r="C28" s="12"/>
      <c r="D28" s="3" t="s">
        <v>188</v>
      </c>
      <c r="E28" s="3" t="s">
        <v>189</v>
      </c>
      <c r="F28" s="3" t="s">
        <v>20</v>
      </c>
      <c r="G28" s="4">
        <v>38198</v>
      </c>
      <c r="H28" s="3" t="s">
        <v>21</v>
      </c>
      <c r="I28" s="3" t="s">
        <v>47</v>
      </c>
      <c r="J28" s="5">
        <v>1100000</v>
      </c>
      <c r="K28" s="3">
        <v>1354500</v>
      </c>
      <c r="L28" s="3" t="s">
        <v>190</v>
      </c>
      <c r="M28" s="3" t="s">
        <v>191</v>
      </c>
      <c r="N28" s="3">
        <v>21</v>
      </c>
      <c r="O28" s="3" t="s">
        <v>192</v>
      </c>
      <c r="P28" s="3" t="s">
        <v>193</v>
      </c>
      <c r="Q28" s="3" t="s">
        <v>65</v>
      </c>
      <c r="R28" s="3" t="s">
        <v>28</v>
      </c>
      <c r="S28" s="3">
        <v>13092102</v>
      </c>
      <c r="T28" s="3">
        <v>1932325886</v>
      </c>
      <c r="U28" s="3" t="s">
        <v>29</v>
      </c>
    </row>
    <row r="29" spans="1:21" ht="13.2" x14ac:dyDescent="0.25">
      <c r="A29" s="14">
        <v>1726557000177</v>
      </c>
      <c r="B29" s="15" t="str">
        <f t="shared" si="0"/>
        <v>01.726.557/0001-77</v>
      </c>
      <c r="C29" s="12"/>
      <c r="D29" s="3" t="s">
        <v>194</v>
      </c>
      <c r="E29" s="3" t="s">
        <v>195</v>
      </c>
      <c r="F29" s="3" t="s">
        <v>20</v>
      </c>
      <c r="G29" s="4">
        <v>35482</v>
      </c>
      <c r="H29" s="3" t="s">
        <v>21</v>
      </c>
      <c r="I29" s="3" t="s">
        <v>33</v>
      </c>
      <c r="J29" s="5">
        <v>250000</v>
      </c>
      <c r="K29" s="3">
        <v>8020001</v>
      </c>
      <c r="L29" s="3" t="s">
        <v>196</v>
      </c>
      <c r="M29" s="3" t="s">
        <v>197</v>
      </c>
      <c r="N29" s="3">
        <v>48</v>
      </c>
      <c r="O29" s="3" t="s">
        <v>198</v>
      </c>
      <c r="P29" s="3" t="s">
        <v>199</v>
      </c>
      <c r="Q29" s="3" t="s">
        <v>27</v>
      </c>
      <c r="R29" s="3" t="s">
        <v>28</v>
      </c>
      <c r="S29" s="3">
        <v>3174120</v>
      </c>
      <c r="T29" s="3">
        <v>1137743312</v>
      </c>
      <c r="U29" s="3" t="s">
        <v>29</v>
      </c>
    </row>
    <row r="30" spans="1:21" ht="13.2" x14ac:dyDescent="0.25">
      <c r="A30" s="14">
        <v>78451614000187</v>
      </c>
      <c r="B30" s="15" t="str">
        <f t="shared" si="0"/>
        <v>78.451.614/0001-87</v>
      </c>
      <c r="C30" s="12"/>
      <c r="D30" s="3" t="s">
        <v>200</v>
      </c>
      <c r="E30" s="3" t="s">
        <v>201</v>
      </c>
      <c r="F30" s="3" t="s">
        <v>20</v>
      </c>
      <c r="G30" s="4">
        <v>30904</v>
      </c>
      <c r="H30" s="3" t="s">
        <v>21</v>
      </c>
      <c r="I30" s="3" t="s">
        <v>33</v>
      </c>
      <c r="J30" s="5">
        <v>2276219</v>
      </c>
      <c r="K30" s="3">
        <v>4645101</v>
      </c>
      <c r="L30" s="3" t="s">
        <v>135</v>
      </c>
      <c r="M30" s="3" t="s">
        <v>202</v>
      </c>
      <c r="N30" s="3">
        <v>305</v>
      </c>
      <c r="P30" s="3" t="s">
        <v>203</v>
      </c>
      <c r="Q30" s="3" t="s">
        <v>204</v>
      </c>
      <c r="R30" s="3" t="s">
        <v>187</v>
      </c>
      <c r="S30" s="3">
        <v>80310420</v>
      </c>
      <c r="T30" s="3">
        <v>4138884653</v>
      </c>
      <c r="U30" s="3" t="s">
        <v>29</v>
      </c>
    </row>
    <row r="31" spans="1:21" ht="13.2" x14ac:dyDescent="0.25">
      <c r="A31" s="14">
        <v>5862721000124</v>
      </c>
      <c r="B31" s="15" t="str">
        <f t="shared" si="0"/>
        <v>05.862.721/0001-24</v>
      </c>
      <c r="C31" s="12"/>
      <c r="D31" s="3" t="s">
        <v>205</v>
      </c>
      <c r="E31" s="3" t="s">
        <v>206</v>
      </c>
      <c r="F31" s="3" t="s">
        <v>20</v>
      </c>
      <c r="G31" s="4">
        <v>37869</v>
      </c>
      <c r="H31" s="3" t="s">
        <v>21</v>
      </c>
      <c r="I31" s="3" t="s">
        <v>33</v>
      </c>
      <c r="J31" s="5">
        <v>100000</v>
      </c>
      <c r="K31" s="3">
        <v>4759899</v>
      </c>
      <c r="L31" s="3" t="s">
        <v>207</v>
      </c>
      <c r="M31" s="3" t="s">
        <v>208</v>
      </c>
      <c r="N31" s="3">
        <v>683</v>
      </c>
      <c r="O31" s="3" t="s">
        <v>209</v>
      </c>
      <c r="P31" s="3" t="s">
        <v>210</v>
      </c>
      <c r="Q31" s="3" t="s">
        <v>211</v>
      </c>
      <c r="R31" s="3" t="s">
        <v>187</v>
      </c>
      <c r="S31" s="3">
        <v>85818630</v>
      </c>
      <c r="T31" s="3">
        <v>4532229635</v>
      </c>
      <c r="U31" s="3" t="s">
        <v>29</v>
      </c>
    </row>
    <row r="32" spans="1:21" ht="13.2" x14ac:dyDescent="0.25">
      <c r="A32" s="14">
        <v>15368452000106</v>
      </c>
      <c r="B32" s="15" t="str">
        <f t="shared" si="0"/>
        <v>15.368.452/0001-06</v>
      </c>
      <c r="C32" s="12"/>
      <c r="D32" s="3" t="s">
        <v>212</v>
      </c>
      <c r="E32" s="3" t="s">
        <v>213</v>
      </c>
      <c r="F32" s="3" t="s">
        <v>31</v>
      </c>
      <c r="G32" s="4">
        <v>41001</v>
      </c>
      <c r="H32" s="3" t="s">
        <v>21</v>
      </c>
      <c r="I32" s="3" t="s">
        <v>47</v>
      </c>
      <c r="J32" s="5">
        <v>200000</v>
      </c>
      <c r="K32" s="3">
        <v>4753900</v>
      </c>
      <c r="L32" s="3" t="s">
        <v>214</v>
      </c>
      <c r="M32" s="3" t="s">
        <v>215</v>
      </c>
      <c r="N32" s="3">
        <v>652</v>
      </c>
      <c r="P32" s="3" t="s">
        <v>216</v>
      </c>
      <c r="Q32" s="3" t="s">
        <v>217</v>
      </c>
      <c r="R32" s="3" t="s">
        <v>28</v>
      </c>
      <c r="S32" s="3">
        <v>9832430</v>
      </c>
      <c r="T32" s="3">
        <v>1111111111</v>
      </c>
      <c r="U32" s="3" t="s">
        <v>29</v>
      </c>
    </row>
    <row r="33" spans="1:21" ht="13.2" x14ac:dyDescent="0.25">
      <c r="A33" s="14">
        <v>37432689000133</v>
      </c>
      <c r="B33" s="15" t="str">
        <f t="shared" si="0"/>
        <v>37.432.689/0001-33</v>
      </c>
      <c r="C33" s="12" t="str">
        <f>VLOOKUP(B33,[1]Planilha1!$A:$B,2,0)</f>
        <v>Malu Montesino</v>
      </c>
      <c r="D33" s="3" t="s">
        <v>218</v>
      </c>
      <c r="E33" s="3" t="s">
        <v>219</v>
      </c>
      <c r="F33" s="3" t="s">
        <v>20</v>
      </c>
      <c r="G33" s="4">
        <v>33805</v>
      </c>
      <c r="H33" s="3" t="s">
        <v>21</v>
      </c>
      <c r="I33" s="3" t="s">
        <v>33</v>
      </c>
      <c r="J33" s="5" t="s">
        <v>220</v>
      </c>
      <c r="K33" s="3">
        <v>6202300</v>
      </c>
      <c r="L33" s="3" t="s">
        <v>103</v>
      </c>
      <c r="M33" s="3" t="s">
        <v>221</v>
      </c>
      <c r="N33" s="3">
        <v>3726</v>
      </c>
      <c r="O33" s="3" t="s">
        <v>222</v>
      </c>
      <c r="P33" s="3" t="s">
        <v>223</v>
      </c>
      <c r="Q33" s="3" t="s">
        <v>224</v>
      </c>
      <c r="R33" s="3" t="s">
        <v>225</v>
      </c>
      <c r="S33" s="3">
        <v>78005300</v>
      </c>
      <c r="T33" s="3">
        <v>6536170777</v>
      </c>
      <c r="U33" s="3" t="s">
        <v>29</v>
      </c>
    </row>
    <row r="34" spans="1:21" ht="13.2" x14ac:dyDescent="0.25">
      <c r="A34" s="14">
        <v>33449988000120</v>
      </c>
      <c r="B34" s="15" t="str">
        <f t="shared" si="0"/>
        <v>33.449.988/0001-20</v>
      </c>
      <c r="C34" s="12"/>
      <c r="D34" s="3" t="s">
        <v>226</v>
      </c>
      <c r="E34" s="3" t="s">
        <v>226</v>
      </c>
      <c r="F34" s="3" t="s">
        <v>20</v>
      </c>
      <c r="G34" s="4">
        <v>43579</v>
      </c>
      <c r="H34" s="3" t="s">
        <v>21</v>
      </c>
      <c r="I34" s="3" t="s">
        <v>33</v>
      </c>
      <c r="J34" s="5">
        <v>268759200</v>
      </c>
      <c r="K34" s="3">
        <v>2710403</v>
      </c>
      <c r="L34" s="3" t="s">
        <v>227</v>
      </c>
      <c r="M34" s="3" t="s">
        <v>228</v>
      </c>
      <c r="N34" s="3" t="s">
        <v>111</v>
      </c>
      <c r="O34" s="3" t="s">
        <v>229</v>
      </c>
      <c r="P34" s="3" t="s">
        <v>230</v>
      </c>
      <c r="Q34" s="3" t="s">
        <v>231</v>
      </c>
      <c r="R34" s="3" t="s">
        <v>28</v>
      </c>
      <c r="S34" s="3">
        <v>18087125</v>
      </c>
      <c r="T34" s="3">
        <v>1136889356</v>
      </c>
      <c r="U34" s="3" t="s">
        <v>29</v>
      </c>
    </row>
    <row r="35" spans="1:21" ht="13.2" x14ac:dyDescent="0.25">
      <c r="A35" s="14">
        <v>56998701000116</v>
      </c>
      <c r="B35" s="15" t="str">
        <f t="shared" si="0"/>
        <v>56.998.701/0001-16</v>
      </c>
      <c r="C35" s="12" t="str">
        <f>VLOOKUP(B35,[1]Planilha1!$A:$B,2,0)</f>
        <v>Malu Montesino</v>
      </c>
      <c r="D35" s="3" t="s">
        <v>232</v>
      </c>
      <c r="E35" s="3" t="s">
        <v>232</v>
      </c>
      <c r="F35" s="3" t="s">
        <v>20</v>
      </c>
      <c r="G35" s="4">
        <v>17447</v>
      </c>
      <c r="H35" s="3" t="s">
        <v>21</v>
      </c>
      <c r="I35" s="3" t="s">
        <v>33</v>
      </c>
      <c r="J35" s="5">
        <v>1502475500</v>
      </c>
      <c r="K35" s="3">
        <v>2121101</v>
      </c>
      <c r="L35" s="3" t="s">
        <v>233</v>
      </c>
      <c r="M35" s="3" t="s">
        <v>234</v>
      </c>
      <c r="N35" s="3">
        <v>735</v>
      </c>
      <c r="P35" s="3" t="s">
        <v>235</v>
      </c>
      <c r="Q35" s="3" t="s">
        <v>27</v>
      </c>
      <c r="R35" s="3" t="s">
        <v>28</v>
      </c>
      <c r="S35" s="3">
        <v>4566905</v>
      </c>
      <c r="T35" s="3">
        <v>1155367042</v>
      </c>
      <c r="U35" s="3" t="s">
        <v>29</v>
      </c>
    </row>
    <row r="36" spans="1:21" ht="13.2" x14ac:dyDescent="0.25">
      <c r="A36" s="14">
        <v>15800545000150</v>
      </c>
      <c r="B36" s="15" t="str">
        <f t="shared" si="0"/>
        <v>15.800.545/0001-50</v>
      </c>
      <c r="C36" s="12" t="str">
        <f>VLOOKUP(B36,[1]Planilha1!$A:$B,2,0)</f>
        <v>Mariane Nascimento</v>
      </c>
      <c r="D36" s="3" t="s">
        <v>236</v>
      </c>
      <c r="E36" s="3" t="s">
        <v>237</v>
      </c>
      <c r="F36" s="3" t="s">
        <v>20</v>
      </c>
      <c r="G36" s="4">
        <v>41075</v>
      </c>
      <c r="H36" s="3" t="s">
        <v>21</v>
      </c>
      <c r="I36" s="3" t="s">
        <v>33</v>
      </c>
      <c r="J36" s="5">
        <v>543320500</v>
      </c>
      <c r="K36" s="3">
        <v>4693100</v>
      </c>
      <c r="L36" s="3" t="s">
        <v>238</v>
      </c>
      <c r="M36" s="3" t="s">
        <v>239</v>
      </c>
      <c r="N36" s="3">
        <v>1935</v>
      </c>
      <c r="O36" s="3" t="s">
        <v>240</v>
      </c>
      <c r="P36" s="3" t="s">
        <v>241</v>
      </c>
      <c r="Q36" s="3" t="s">
        <v>27</v>
      </c>
      <c r="R36" s="3" t="s">
        <v>28</v>
      </c>
      <c r="S36" s="3">
        <v>5802140</v>
      </c>
      <c r="T36" s="3">
        <v>1145795717</v>
      </c>
      <c r="U36" s="3" t="s">
        <v>29</v>
      </c>
    </row>
    <row r="37" spans="1:21" ht="13.2" x14ac:dyDescent="0.25">
      <c r="A37" s="14">
        <v>8087674000187</v>
      </c>
      <c r="B37" s="15" t="str">
        <f t="shared" si="0"/>
        <v>08.087.674/0001-87</v>
      </c>
      <c r="C37" s="12" t="str">
        <f>VLOOKUP(B37,[1]Planilha1!$A:$B,2,0)</f>
        <v>Mariane Nascimento</v>
      </c>
      <c r="D37" s="3" t="s">
        <v>242</v>
      </c>
      <c r="E37" s="3" t="s">
        <v>243</v>
      </c>
      <c r="F37" s="3" t="s">
        <v>20</v>
      </c>
      <c r="G37" s="4">
        <v>37284</v>
      </c>
      <c r="H37" s="3" t="s">
        <v>244</v>
      </c>
      <c r="I37" s="3" t="s">
        <v>33</v>
      </c>
      <c r="J37" s="5">
        <v>0</v>
      </c>
      <c r="K37" s="3">
        <v>9499500</v>
      </c>
      <c r="L37" s="3" t="s">
        <v>245</v>
      </c>
      <c r="M37" s="3" t="s">
        <v>246</v>
      </c>
      <c r="N37" s="3">
        <v>2439</v>
      </c>
      <c r="O37" s="3" t="s">
        <v>247</v>
      </c>
      <c r="P37" s="3" t="s">
        <v>248</v>
      </c>
      <c r="Q37" s="3" t="s">
        <v>27</v>
      </c>
      <c r="R37" s="3" t="s">
        <v>28</v>
      </c>
      <c r="S37" s="3">
        <v>1311936</v>
      </c>
      <c r="T37" s="3">
        <v>1136741100</v>
      </c>
      <c r="U37" s="3" t="s">
        <v>29</v>
      </c>
    </row>
    <row r="38" spans="1:21" ht="13.2" x14ac:dyDescent="0.25">
      <c r="A38" s="14">
        <v>21001761000138</v>
      </c>
      <c r="B38" s="15" t="str">
        <f t="shared" si="0"/>
        <v>21.001.761/0001-38</v>
      </c>
      <c r="C38" s="12" t="str">
        <f>VLOOKUP(B38,[1]Planilha1!$A:$B,2,0)</f>
        <v>Mariane Nascimento</v>
      </c>
      <c r="D38" s="3" t="s">
        <v>249</v>
      </c>
      <c r="E38" s="3" t="s">
        <v>249</v>
      </c>
      <c r="F38" s="3" t="s">
        <v>20</v>
      </c>
      <c r="G38" s="4">
        <v>41891</v>
      </c>
      <c r="H38" s="3" t="s">
        <v>94</v>
      </c>
      <c r="I38" s="3" t="s">
        <v>33</v>
      </c>
      <c r="J38" s="5">
        <v>3389769500</v>
      </c>
      <c r="K38" s="3">
        <v>6462000</v>
      </c>
      <c r="L38" s="3" t="s">
        <v>250</v>
      </c>
      <c r="M38" s="3" t="s">
        <v>251</v>
      </c>
      <c r="N38" s="3">
        <v>80</v>
      </c>
      <c r="P38" s="3" t="s">
        <v>252</v>
      </c>
      <c r="Q38" s="3" t="s">
        <v>253</v>
      </c>
      <c r="R38" s="3" t="s">
        <v>78</v>
      </c>
      <c r="S38" s="3">
        <v>22621270</v>
      </c>
      <c r="T38" s="3">
        <v>2132163396</v>
      </c>
      <c r="U38" s="3" t="s">
        <v>29</v>
      </c>
    </row>
    <row r="39" spans="1:21" ht="13.2" x14ac:dyDescent="0.25">
      <c r="A39" s="14">
        <v>48771409000138</v>
      </c>
      <c r="B39" s="15" t="str">
        <f t="shared" si="0"/>
        <v>48.771.409/0001-38</v>
      </c>
      <c r="C39" s="12"/>
      <c r="D39" s="3" t="s">
        <v>254</v>
      </c>
      <c r="E39" s="3" t="s">
        <v>254</v>
      </c>
      <c r="F39" s="3" t="s">
        <v>20</v>
      </c>
      <c r="G39" s="4">
        <v>44895</v>
      </c>
      <c r="H39" s="3" t="s">
        <v>21</v>
      </c>
      <c r="I39" s="3" t="s">
        <v>33</v>
      </c>
      <c r="J39" s="5">
        <v>800000</v>
      </c>
      <c r="K39" s="3">
        <v>4663000</v>
      </c>
      <c r="L39" s="3" t="s">
        <v>128</v>
      </c>
      <c r="M39" s="3" t="s">
        <v>255</v>
      </c>
      <c r="N39" s="3">
        <v>580</v>
      </c>
      <c r="P39" s="3" t="s">
        <v>256</v>
      </c>
      <c r="Q39" s="3" t="s">
        <v>27</v>
      </c>
      <c r="R39" s="3" t="s">
        <v>28</v>
      </c>
      <c r="S39" s="3">
        <v>4222000</v>
      </c>
      <c r="T39" s="3">
        <v>1191568664</v>
      </c>
      <c r="U39" s="3" t="s">
        <v>29</v>
      </c>
    </row>
    <row r="40" spans="1:21" ht="13.2" x14ac:dyDescent="0.25">
      <c r="A40" s="14">
        <v>6127582000158</v>
      </c>
      <c r="B40" s="15" t="str">
        <f t="shared" si="0"/>
        <v>06.127.582/0001-58</v>
      </c>
      <c r="C40" s="12"/>
      <c r="D40" s="3" t="s">
        <v>257</v>
      </c>
      <c r="E40" s="3" t="s">
        <v>257</v>
      </c>
      <c r="F40" s="3" t="s">
        <v>20</v>
      </c>
      <c r="G40" s="4">
        <v>38047</v>
      </c>
      <c r="H40" s="3" t="s">
        <v>94</v>
      </c>
      <c r="I40" s="3" t="s">
        <v>33</v>
      </c>
      <c r="J40" s="5">
        <v>1000000</v>
      </c>
      <c r="K40" s="3">
        <v>6190699</v>
      </c>
      <c r="L40" s="3" t="s">
        <v>258</v>
      </c>
      <c r="M40" s="3" t="s">
        <v>259</v>
      </c>
      <c r="N40" s="3">
        <v>355</v>
      </c>
      <c r="O40" s="3" t="s">
        <v>260</v>
      </c>
      <c r="P40" s="3" t="s">
        <v>261</v>
      </c>
      <c r="Q40" s="3" t="s">
        <v>262</v>
      </c>
      <c r="R40" s="3" t="s">
        <v>28</v>
      </c>
      <c r="S40" s="3">
        <v>6233150</v>
      </c>
      <c r="T40" s="3">
        <v>1130396412</v>
      </c>
      <c r="U40" s="3" t="s">
        <v>29</v>
      </c>
    </row>
    <row r="41" spans="1:21" ht="13.2" x14ac:dyDescent="0.25">
      <c r="A41" s="14">
        <v>7036038000163</v>
      </c>
      <c r="B41" s="15" t="str">
        <f t="shared" si="0"/>
        <v>07.036.038/0001-63</v>
      </c>
      <c r="C41" s="12"/>
      <c r="D41" s="3" t="s">
        <v>263</v>
      </c>
      <c r="E41" s="3" t="s">
        <v>263</v>
      </c>
      <c r="F41" s="3" t="s">
        <v>20</v>
      </c>
      <c r="G41" s="4">
        <v>38236</v>
      </c>
      <c r="H41" s="3" t="s">
        <v>244</v>
      </c>
      <c r="I41" s="3" t="s">
        <v>33</v>
      </c>
      <c r="J41" s="5">
        <v>0</v>
      </c>
      <c r="K41" s="3">
        <v>8800600</v>
      </c>
      <c r="L41" s="3" t="s">
        <v>264</v>
      </c>
      <c r="M41" s="3" t="s">
        <v>265</v>
      </c>
      <c r="N41" s="3">
        <v>140</v>
      </c>
      <c r="O41" s="3" t="s">
        <v>266</v>
      </c>
      <c r="P41" s="3" t="s">
        <v>70</v>
      </c>
      <c r="Q41" s="3" t="s">
        <v>27</v>
      </c>
      <c r="R41" s="3" t="s">
        <v>28</v>
      </c>
      <c r="S41" s="3">
        <v>1042000</v>
      </c>
      <c r="U41" s="3" t="s">
        <v>29</v>
      </c>
    </row>
    <row r="42" spans="1:21" ht="13.2" x14ac:dyDescent="0.25">
      <c r="A42" s="14">
        <v>37287521000181</v>
      </c>
      <c r="B42" s="15" t="str">
        <f t="shared" si="0"/>
        <v>37.287.521/0001-81</v>
      </c>
      <c r="C42" s="12"/>
      <c r="D42" s="3" t="s">
        <v>267</v>
      </c>
      <c r="E42" s="3" t="s">
        <v>268</v>
      </c>
      <c r="F42" s="3" t="s">
        <v>20</v>
      </c>
      <c r="G42" s="4">
        <v>33658</v>
      </c>
      <c r="H42" s="3" t="s">
        <v>21</v>
      </c>
      <c r="I42" s="3" t="s">
        <v>47</v>
      </c>
      <c r="J42" s="5">
        <v>500000</v>
      </c>
      <c r="K42" s="3">
        <v>7911200</v>
      </c>
      <c r="L42" s="3" t="s">
        <v>269</v>
      </c>
      <c r="M42" s="3" t="s">
        <v>270</v>
      </c>
      <c r="N42" s="3">
        <v>1192</v>
      </c>
      <c r="O42" s="3" t="s">
        <v>271</v>
      </c>
      <c r="P42" s="3" t="s">
        <v>272</v>
      </c>
      <c r="Q42" s="3" t="s">
        <v>273</v>
      </c>
      <c r="R42" s="3" t="s">
        <v>274</v>
      </c>
      <c r="S42" s="3">
        <v>74823020</v>
      </c>
      <c r="T42" s="3">
        <v>6296143815</v>
      </c>
      <c r="U42" s="3" t="s">
        <v>29</v>
      </c>
    </row>
    <row r="43" spans="1:21" ht="13.2" x14ac:dyDescent="0.25">
      <c r="A43" s="14">
        <v>42174805000606</v>
      </c>
      <c r="B43" s="15" t="str">
        <f t="shared" si="0"/>
        <v>42.174.805/0006-06</v>
      </c>
      <c r="C43" s="12"/>
      <c r="D43" s="3" t="s">
        <v>275</v>
      </c>
      <c r="E43" s="3" t="s">
        <v>275</v>
      </c>
      <c r="F43" s="3" t="s">
        <v>45</v>
      </c>
      <c r="G43" s="4">
        <v>40193</v>
      </c>
      <c r="H43" s="3" t="s">
        <v>32</v>
      </c>
      <c r="I43" s="3" t="s">
        <v>33</v>
      </c>
      <c r="J43" s="5">
        <v>350000</v>
      </c>
      <c r="K43" s="3">
        <v>7112000</v>
      </c>
      <c r="L43" s="3" t="s">
        <v>276</v>
      </c>
      <c r="M43" s="3" t="s">
        <v>277</v>
      </c>
      <c r="N43" s="3">
        <v>85</v>
      </c>
      <c r="O43" s="3" t="s">
        <v>278</v>
      </c>
      <c r="P43" s="3" t="s">
        <v>279</v>
      </c>
      <c r="Q43" s="3" t="s">
        <v>280</v>
      </c>
      <c r="R43" s="3" t="s">
        <v>281</v>
      </c>
      <c r="S43" s="3">
        <v>41820774</v>
      </c>
      <c r="T43" s="3">
        <v>2132321783</v>
      </c>
      <c r="U43" s="3" t="s">
        <v>29</v>
      </c>
    </row>
    <row r="44" spans="1:21" ht="13.2" x14ac:dyDescent="0.25">
      <c r="A44" s="14">
        <v>74635000133</v>
      </c>
      <c r="B44" s="15" t="str">
        <f t="shared" si="0"/>
        <v>00.074.635/0001-33</v>
      </c>
      <c r="C44" s="12" t="str">
        <f>VLOOKUP(B44,[1]Planilha1!$A:$B,2,0)</f>
        <v>Malu Montesino</v>
      </c>
      <c r="D44" s="3" t="s">
        <v>282</v>
      </c>
      <c r="E44" s="3" t="s">
        <v>283</v>
      </c>
      <c r="F44" s="3" t="s">
        <v>20</v>
      </c>
      <c r="G44" s="4">
        <v>34477</v>
      </c>
      <c r="H44" s="3" t="s">
        <v>94</v>
      </c>
      <c r="I44" s="3" t="s">
        <v>33</v>
      </c>
      <c r="J44" s="5">
        <v>50696356</v>
      </c>
      <c r="K44" s="3">
        <v>5120000</v>
      </c>
      <c r="L44" s="3" t="s">
        <v>284</v>
      </c>
      <c r="M44" s="3" t="s">
        <v>285</v>
      </c>
      <c r="N44" s="3" t="s">
        <v>82</v>
      </c>
      <c r="O44" s="3" t="s">
        <v>286</v>
      </c>
      <c r="P44" s="3" t="s">
        <v>287</v>
      </c>
      <c r="Q44" s="3" t="s">
        <v>65</v>
      </c>
      <c r="R44" s="3" t="s">
        <v>28</v>
      </c>
      <c r="S44" s="3">
        <v>13052970</v>
      </c>
      <c r="T44" s="3">
        <v>1921384400</v>
      </c>
      <c r="U44" s="3" t="s">
        <v>29</v>
      </c>
    </row>
    <row r="45" spans="1:21" ht="13.2" x14ac:dyDescent="0.25">
      <c r="A45" s="14">
        <v>25301875000154</v>
      </c>
      <c r="B45" s="15" t="str">
        <f t="shared" si="0"/>
        <v>25.301.875/0001-54</v>
      </c>
      <c r="C45" s="12"/>
      <c r="D45" s="3" t="s">
        <v>288</v>
      </c>
      <c r="E45" s="3" t="s">
        <v>289</v>
      </c>
      <c r="F45" s="3" t="s">
        <v>20</v>
      </c>
      <c r="G45" s="4">
        <v>42578</v>
      </c>
      <c r="H45" s="3" t="s">
        <v>21</v>
      </c>
      <c r="I45" s="3" t="s">
        <v>22</v>
      </c>
      <c r="J45" s="5">
        <v>110000</v>
      </c>
      <c r="K45" s="3">
        <v>8111700</v>
      </c>
      <c r="L45" s="3" t="s">
        <v>290</v>
      </c>
      <c r="M45" s="3" t="s">
        <v>291</v>
      </c>
      <c r="N45" s="3">
        <v>135</v>
      </c>
      <c r="P45" s="3" t="s">
        <v>292</v>
      </c>
      <c r="Q45" s="3" t="s">
        <v>27</v>
      </c>
      <c r="R45" s="3" t="s">
        <v>28</v>
      </c>
      <c r="S45" s="3">
        <v>4124020</v>
      </c>
      <c r="T45" s="3">
        <v>1123645283</v>
      </c>
      <c r="U45" s="3" t="s">
        <v>29</v>
      </c>
    </row>
    <row r="46" spans="1:21" ht="13.2" x14ac:dyDescent="0.25">
      <c r="A46" s="14">
        <v>6347221000117</v>
      </c>
      <c r="B46" s="15" t="str">
        <f t="shared" si="0"/>
        <v>06.347.221/0001-17</v>
      </c>
      <c r="C46" s="12"/>
      <c r="D46" s="3" t="s">
        <v>293</v>
      </c>
      <c r="E46" s="3" t="s">
        <v>293</v>
      </c>
      <c r="F46" s="3" t="s">
        <v>20</v>
      </c>
      <c r="G46" s="4">
        <v>38120</v>
      </c>
      <c r="H46" s="3" t="s">
        <v>21</v>
      </c>
      <c r="I46" s="3" t="s">
        <v>33</v>
      </c>
      <c r="J46" s="5">
        <v>2100000</v>
      </c>
      <c r="K46" s="3">
        <v>4679699</v>
      </c>
      <c r="L46" s="3" t="s">
        <v>40</v>
      </c>
      <c r="M46" s="3" t="s">
        <v>294</v>
      </c>
      <c r="N46" s="3">
        <v>211</v>
      </c>
      <c r="O46" s="3" t="s">
        <v>295</v>
      </c>
      <c r="P46" s="3" t="s">
        <v>296</v>
      </c>
      <c r="Q46" s="3" t="s">
        <v>27</v>
      </c>
      <c r="R46" s="3" t="s">
        <v>28</v>
      </c>
      <c r="S46" s="3">
        <v>1419000</v>
      </c>
      <c r="T46" s="3">
        <v>1131710313</v>
      </c>
      <c r="U46" s="3" t="s">
        <v>29</v>
      </c>
    </row>
    <row r="47" spans="1:21" ht="13.2" x14ac:dyDescent="0.25">
      <c r="A47" s="14">
        <v>60882719000125</v>
      </c>
      <c r="B47" s="15" t="str">
        <f t="shared" si="0"/>
        <v>60.882.719/0001-25</v>
      </c>
      <c r="C47" s="12"/>
      <c r="D47" s="3" t="s">
        <v>297</v>
      </c>
      <c r="E47" s="3" t="s">
        <v>297</v>
      </c>
      <c r="F47" s="3" t="s">
        <v>45</v>
      </c>
      <c r="G47" s="4">
        <v>26666</v>
      </c>
      <c r="H47" s="3" t="s">
        <v>21</v>
      </c>
      <c r="I47" s="3" t="s">
        <v>33</v>
      </c>
      <c r="J47" s="5">
        <v>231614290</v>
      </c>
      <c r="K47" s="3">
        <v>6201501</v>
      </c>
      <c r="L47" s="3" t="s">
        <v>298</v>
      </c>
      <c r="M47" s="3" t="s">
        <v>299</v>
      </c>
      <c r="N47" s="3">
        <v>2642</v>
      </c>
      <c r="O47" s="3" t="s">
        <v>300</v>
      </c>
      <c r="P47" s="3" t="s">
        <v>70</v>
      </c>
      <c r="Q47" s="3" t="s">
        <v>211</v>
      </c>
      <c r="R47" s="3" t="s">
        <v>301</v>
      </c>
      <c r="S47" s="3">
        <v>62850000</v>
      </c>
      <c r="T47" s="3">
        <v>1934718432</v>
      </c>
      <c r="U47" s="3" t="s">
        <v>29</v>
      </c>
    </row>
    <row r="48" spans="1:21" ht="13.2" x14ac:dyDescent="0.25">
      <c r="A48" s="14">
        <v>637913000113</v>
      </c>
      <c r="B48" s="15" t="str">
        <f t="shared" si="0"/>
        <v>00.637.913/0001-13</v>
      </c>
      <c r="C48" s="12" t="str">
        <f>VLOOKUP(B48,[1]Planilha1!$A:$B,2,0)</f>
        <v>Malu Montesino</v>
      </c>
      <c r="D48" s="3" t="s">
        <v>302</v>
      </c>
      <c r="E48" s="3" t="s">
        <v>302</v>
      </c>
      <c r="F48" s="3" t="s">
        <v>45</v>
      </c>
      <c r="G48" s="4">
        <v>34852</v>
      </c>
      <c r="H48" s="3" t="s">
        <v>21</v>
      </c>
      <c r="I48" s="3" t="s">
        <v>33</v>
      </c>
      <c r="J48" s="5">
        <v>45875</v>
      </c>
      <c r="K48" s="3">
        <v>6209100</v>
      </c>
      <c r="L48" s="3" t="s">
        <v>303</v>
      </c>
      <c r="M48" s="3" t="s">
        <v>304</v>
      </c>
      <c r="N48" s="3">
        <v>2051</v>
      </c>
      <c r="O48" s="3" t="s">
        <v>305</v>
      </c>
      <c r="P48" s="3" t="s">
        <v>306</v>
      </c>
      <c r="Q48" s="3" t="s">
        <v>27</v>
      </c>
      <c r="R48" s="3" t="s">
        <v>28</v>
      </c>
      <c r="S48" s="3">
        <v>4717004</v>
      </c>
      <c r="T48" s="3">
        <v>1131175564</v>
      </c>
      <c r="U48" s="3" t="s">
        <v>29</v>
      </c>
    </row>
    <row r="49" spans="1:21" ht="13.2" x14ac:dyDescent="0.25">
      <c r="A49" s="14">
        <v>96534094000158</v>
      </c>
      <c r="B49" s="15" t="str">
        <f t="shared" si="0"/>
        <v>96.534.094/0001-58</v>
      </c>
      <c r="C49" s="12" t="str">
        <f>VLOOKUP(B49,[1]Planilha1!$A:$B,2,0)</f>
        <v>Mariane Nascimento</v>
      </c>
      <c r="D49" s="3" t="s">
        <v>307</v>
      </c>
      <c r="E49" s="3" t="s">
        <v>307</v>
      </c>
      <c r="F49" s="3" t="s">
        <v>20</v>
      </c>
      <c r="G49" s="4">
        <v>34485</v>
      </c>
      <c r="H49" s="3" t="s">
        <v>21</v>
      </c>
      <c r="I49" s="3" t="s">
        <v>33</v>
      </c>
      <c r="J49" s="5">
        <v>1945641000</v>
      </c>
      <c r="K49" s="3">
        <v>7020400</v>
      </c>
      <c r="L49" s="3" t="s">
        <v>170</v>
      </c>
      <c r="M49" s="3" t="s">
        <v>308</v>
      </c>
      <c r="N49" s="3">
        <v>14401</v>
      </c>
      <c r="O49" s="3" t="s">
        <v>309</v>
      </c>
      <c r="P49" s="3" t="s">
        <v>310</v>
      </c>
      <c r="Q49" s="3" t="s">
        <v>27</v>
      </c>
      <c r="R49" s="3" t="s">
        <v>28</v>
      </c>
      <c r="S49" s="3">
        <v>4794000</v>
      </c>
      <c r="T49" s="3">
        <v>1151883000</v>
      </c>
      <c r="U49" s="3" t="s">
        <v>29</v>
      </c>
    </row>
    <row r="50" spans="1:21" ht="13.2" x14ac:dyDescent="0.25">
      <c r="A50" s="14">
        <v>3503152000103</v>
      </c>
      <c r="B50" s="15" t="str">
        <f t="shared" si="0"/>
        <v>03.503.152/0001-03</v>
      </c>
      <c r="C50" s="12"/>
      <c r="D50" s="3" t="s">
        <v>311</v>
      </c>
      <c r="E50" s="3" t="s">
        <v>311</v>
      </c>
      <c r="F50" s="3" t="s">
        <v>20</v>
      </c>
      <c r="G50" s="4">
        <v>36430</v>
      </c>
      <c r="H50" s="3" t="s">
        <v>312</v>
      </c>
      <c r="I50" s="3" t="s">
        <v>33</v>
      </c>
      <c r="J50" s="5">
        <v>767556500</v>
      </c>
      <c r="K50" s="3">
        <v>4211101</v>
      </c>
      <c r="L50" s="3" t="s">
        <v>313</v>
      </c>
      <c r="M50" s="3" t="s">
        <v>314</v>
      </c>
      <c r="N50" s="3">
        <v>134</v>
      </c>
      <c r="O50" s="3" t="s">
        <v>315</v>
      </c>
      <c r="P50" s="3" t="s">
        <v>316</v>
      </c>
      <c r="Q50" s="3" t="s">
        <v>27</v>
      </c>
      <c r="R50" s="3" t="s">
        <v>28</v>
      </c>
      <c r="S50" s="3">
        <v>4551000</v>
      </c>
      <c r="T50" s="3">
        <v>1130748300</v>
      </c>
      <c r="U50" s="3" t="s">
        <v>29</v>
      </c>
    </row>
    <row r="51" spans="1:21" ht="13.2" x14ac:dyDescent="0.25">
      <c r="A51" s="14">
        <v>2325176000149</v>
      </c>
      <c r="B51" s="15" t="str">
        <f t="shared" si="0"/>
        <v>02.325.176/0001-49</v>
      </c>
      <c r="C51" s="12" t="str">
        <f>VLOOKUP(B51,[1]Planilha1!$A:$B,2,0)</f>
        <v>Malu Montesino</v>
      </c>
      <c r="D51" s="3" t="s">
        <v>317</v>
      </c>
      <c r="E51" s="3" t="s">
        <v>317</v>
      </c>
      <c r="F51" s="3" t="s">
        <v>20</v>
      </c>
      <c r="G51" s="4">
        <v>35815</v>
      </c>
      <c r="H51" s="3" t="s">
        <v>21</v>
      </c>
      <c r="I51" s="3" t="s">
        <v>33</v>
      </c>
      <c r="J51" s="5">
        <v>106722150</v>
      </c>
      <c r="K51" s="3">
        <v>4211101</v>
      </c>
      <c r="L51" s="3" t="s">
        <v>313</v>
      </c>
      <c r="M51" s="3" t="s">
        <v>314</v>
      </c>
      <c r="N51" s="3">
        <v>134</v>
      </c>
      <c r="O51" s="3" t="s">
        <v>318</v>
      </c>
      <c r="P51" s="3" t="s">
        <v>316</v>
      </c>
      <c r="Q51" s="3" t="s">
        <v>27</v>
      </c>
      <c r="R51" s="3" t="s">
        <v>28</v>
      </c>
      <c r="S51" s="3">
        <v>4551000</v>
      </c>
      <c r="T51" s="3">
        <v>1130748300</v>
      </c>
      <c r="U51" s="3" t="s">
        <v>29</v>
      </c>
    </row>
    <row r="52" spans="1:21" ht="13.2" x14ac:dyDescent="0.25">
      <c r="A52" s="14">
        <v>44990901000143</v>
      </c>
      <c r="B52" s="15" t="str">
        <f t="shared" si="0"/>
        <v>44.990.901/0001-43</v>
      </c>
      <c r="C52" s="12"/>
      <c r="D52" s="3" t="s">
        <v>319</v>
      </c>
      <c r="E52" s="3" t="s">
        <v>320</v>
      </c>
      <c r="F52" s="3" t="s">
        <v>20</v>
      </c>
      <c r="G52" s="4">
        <v>24289</v>
      </c>
      <c r="H52" s="3" t="s">
        <v>21</v>
      </c>
      <c r="I52" s="3" t="s">
        <v>33</v>
      </c>
      <c r="J52" s="5">
        <v>521244580</v>
      </c>
      <c r="K52" s="3">
        <v>1741902</v>
      </c>
      <c r="L52" s="3" t="s">
        <v>321</v>
      </c>
      <c r="M52" s="3" t="s">
        <v>322</v>
      </c>
      <c r="N52" s="6">
        <v>45906</v>
      </c>
      <c r="P52" s="3" t="s">
        <v>323</v>
      </c>
      <c r="Q52" s="3" t="s">
        <v>324</v>
      </c>
      <c r="R52" s="3" t="s">
        <v>28</v>
      </c>
      <c r="S52" s="3">
        <v>17013900</v>
      </c>
      <c r="T52" s="3">
        <v>1432354119</v>
      </c>
      <c r="U52" s="3" t="s">
        <v>29</v>
      </c>
    </row>
    <row r="53" spans="1:21" ht="13.2" x14ac:dyDescent="0.25">
      <c r="A53" s="14">
        <v>64171697000146</v>
      </c>
      <c r="B53" s="15" t="str">
        <f t="shared" si="0"/>
        <v>64.171.697/0001-46</v>
      </c>
      <c r="C53" s="12"/>
      <c r="D53" s="3" t="s">
        <v>325</v>
      </c>
      <c r="E53" s="3" t="s">
        <v>325</v>
      </c>
      <c r="F53" s="3" t="s">
        <v>20</v>
      </c>
      <c r="G53" s="4">
        <v>33156</v>
      </c>
      <c r="H53" s="3" t="s">
        <v>21</v>
      </c>
      <c r="I53" s="3" t="s">
        <v>33</v>
      </c>
      <c r="J53" s="5">
        <v>20000000</v>
      </c>
      <c r="K53" s="3">
        <v>4644301</v>
      </c>
      <c r="L53" s="3" t="s">
        <v>326</v>
      </c>
      <c r="M53" s="3" t="s">
        <v>239</v>
      </c>
      <c r="N53" s="3">
        <v>1985</v>
      </c>
      <c r="O53" s="3" t="s">
        <v>327</v>
      </c>
      <c r="P53" s="3" t="s">
        <v>241</v>
      </c>
      <c r="Q53" s="3" t="s">
        <v>27</v>
      </c>
      <c r="R53" s="3" t="s">
        <v>28</v>
      </c>
      <c r="S53" s="3">
        <v>5802140</v>
      </c>
      <c r="T53" s="3">
        <v>1155163291</v>
      </c>
      <c r="U53" s="3" t="s">
        <v>29</v>
      </c>
    </row>
    <row r="54" spans="1:21" ht="13.2" x14ac:dyDescent="0.25">
      <c r="A54" s="14">
        <v>6105362000123</v>
      </c>
      <c r="B54" s="15" t="str">
        <f t="shared" si="0"/>
        <v>06.105.362/0001-23</v>
      </c>
      <c r="C54" s="12" t="str">
        <f>VLOOKUP(B54,[1]Planilha1!$A:$B,2,0)</f>
        <v>Malu Montesino</v>
      </c>
      <c r="D54" s="3" t="s">
        <v>328</v>
      </c>
      <c r="E54" s="3" t="s">
        <v>328</v>
      </c>
      <c r="F54" s="3" t="s">
        <v>20</v>
      </c>
      <c r="G54" s="4">
        <v>37992</v>
      </c>
      <c r="H54" s="3" t="s">
        <v>21</v>
      </c>
      <c r="I54" s="3" t="s">
        <v>33</v>
      </c>
      <c r="J54" s="5">
        <v>297000000</v>
      </c>
      <c r="K54" s="3">
        <v>4645101</v>
      </c>
      <c r="L54" s="3" t="s">
        <v>135</v>
      </c>
      <c r="M54" s="3" t="s">
        <v>329</v>
      </c>
      <c r="N54" s="3">
        <v>4370</v>
      </c>
      <c r="O54" s="3" t="s">
        <v>330</v>
      </c>
      <c r="P54" s="3" t="s">
        <v>331</v>
      </c>
      <c r="Q54" s="3" t="s">
        <v>332</v>
      </c>
      <c r="R54" s="3" t="s">
        <v>78</v>
      </c>
      <c r="S54" s="3">
        <v>25055009</v>
      </c>
      <c r="T54" s="3">
        <v>2121261641</v>
      </c>
      <c r="U54" s="3" t="s">
        <v>29</v>
      </c>
    </row>
    <row r="55" spans="1:21" ht="13.2" x14ac:dyDescent="0.25">
      <c r="A55" s="14">
        <v>2470279000100</v>
      </c>
      <c r="B55" s="15" t="str">
        <f t="shared" si="0"/>
        <v>02.470.279/0001-00</v>
      </c>
      <c r="C55" s="12" t="str">
        <f>VLOOKUP(B55,[1]Planilha1!$A:$B,2,0)</f>
        <v>Malu Montesino</v>
      </c>
      <c r="D55" s="3" t="s">
        <v>333</v>
      </c>
      <c r="E55" s="3" t="s">
        <v>333</v>
      </c>
      <c r="F55" s="3" t="s">
        <v>20</v>
      </c>
      <c r="G55" s="4">
        <v>35900</v>
      </c>
      <c r="H55" s="3" t="s">
        <v>21</v>
      </c>
      <c r="I55" s="3" t="s">
        <v>33</v>
      </c>
      <c r="J55" s="5">
        <v>1200000</v>
      </c>
      <c r="K55" s="3">
        <v>4679699</v>
      </c>
      <c r="L55" s="3" t="s">
        <v>40</v>
      </c>
      <c r="M55" s="3" t="s">
        <v>334</v>
      </c>
      <c r="N55" s="3">
        <v>1648</v>
      </c>
      <c r="O55" s="3" t="s">
        <v>335</v>
      </c>
      <c r="P55" s="3" t="s">
        <v>336</v>
      </c>
      <c r="Q55" s="3" t="s">
        <v>27</v>
      </c>
      <c r="R55" s="3" t="s">
        <v>28</v>
      </c>
      <c r="S55" s="3">
        <v>3107001</v>
      </c>
      <c r="T55" s="3">
        <v>1120652799</v>
      </c>
      <c r="U55" s="3" t="s">
        <v>29</v>
      </c>
    </row>
    <row r="56" spans="1:21" ht="13.2" x14ac:dyDescent="0.25">
      <c r="A56" s="14">
        <v>14798740000120</v>
      </c>
      <c r="B56" s="15" t="str">
        <f t="shared" si="0"/>
        <v>14.798.740/0001-20</v>
      </c>
      <c r="C56" s="12" t="str">
        <f>VLOOKUP(B56,[1]Planilha1!$A:$B,2,0)</f>
        <v>Mariane Nascimento</v>
      </c>
      <c r="D56" s="3" t="s">
        <v>337</v>
      </c>
      <c r="E56" s="3" t="s">
        <v>338</v>
      </c>
      <c r="F56" s="3" t="s">
        <v>20</v>
      </c>
      <c r="G56" s="4">
        <v>40900</v>
      </c>
      <c r="H56" s="3" t="s">
        <v>21</v>
      </c>
      <c r="I56" s="3" t="s">
        <v>33</v>
      </c>
      <c r="J56" s="5">
        <v>26526568</v>
      </c>
      <c r="K56" s="3">
        <v>6110803</v>
      </c>
      <c r="L56" s="3" t="s">
        <v>339</v>
      </c>
      <c r="M56" s="3" t="s">
        <v>340</v>
      </c>
      <c r="N56" s="3" t="s">
        <v>341</v>
      </c>
      <c r="O56" s="3" t="s">
        <v>342</v>
      </c>
      <c r="P56" s="3" t="s">
        <v>248</v>
      </c>
      <c r="Q56" s="3" t="s">
        <v>343</v>
      </c>
      <c r="R56" s="3" t="s">
        <v>91</v>
      </c>
      <c r="S56" s="3">
        <v>89804160</v>
      </c>
      <c r="T56" s="3">
        <v>4933300200</v>
      </c>
      <c r="U56" s="3" t="s">
        <v>29</v>
      </c>
    </row>
    <row r="57" spans="1:21" ht="13.2" x14ac:dyDescent="0.25">
      <c r="A57" s="14">
        <v>74095407000186</v>
      </c>
      <c r="B57" s="15" t="str">
        <f t="shared" si="0"/>
        <v>74.095.407/0001-86</v>
      </c>
      <c r="C57" s="12" t="str">
        <f>VLOOKUP(B57,[1]Planilha1!$A:$B,2,0)</f>
        <v>Malu Montesino</v>
      </c>
      <c r="D57" s="3" t="s">
        <v>344</v>
      </c>
      <c r="E57" s="3" t="s">
        <v>344</v>
      </c>
      <c r="F57" s="3" t="s">
        <v>20</v>
      </c>
      <c r="G57" s="4">
        <v>34358</v>
      </c>
      <c r="H57" s="3" t="s">
        <v>21</v>
      </c>
      <c r="I57" s="3" t="s">
        <v>33</v>
      </c>
      <c r="J57" s="5">
        <v>2300000</v>
      </c>
      <c r="K57" s="3">
        <v>2825900</v>
      </c>
      <c r="L57" s="3" t="s">
        <v>345</v>
      </c>
      <c r="M57" s="3" t="s">
        <v>346</v>
      </c>
      <c r="N57" s="3">
        <v>9400</v>
      </c>
      <c r="P57" s="3" t="s">
        <v>347</v>
      </c>
      <c r="Q57" s="3" t="s">
        <v>348</v>
      </c>
      <c r="R57" s="3" t="s">
        <v>91</v>
      </c>
      <c r="S57" s="3">
        <v>89086635</v>
      </c>
      <c r="T57" s="3">
        <v>4733305830</v>
      </c>
      <c r="U57" s="3" t="s">
        <v>29</v>
      </c>
    </row>
    <row r="58" spans="1:21" ht="13.2" x14ac:dyDescent="0.25">
      <c r="A58" s="14">
        <v>58088204000106</v>
      </c>
      <c r="B58" s="15" t="str">
        <f t="shared" si="0"/>
        <v>58.088.204/0001-06</v>
      </c>
      <c r="C58" s="12"/>
      <c r="D58" s="3" t="s">
        <v>349</v>
      </c>
      <c r="E58" s="3" t="s">
        <v>349</v>
      </c>
      <c r="F58" s="3" t="s">
        <v>20</v>
      </c>
      <c r="G58" s="4">
        <v>32080</v>
      </c>
      <c r="H58" s="3" t="s">
        <v>21</v>
      </c>
      <c r="I58" s="3" t="s">
        <v>22</v>
      </c>
      <c r="J58" s="5">
        <v>120000</v>
      </c>
      <c r="K58" s="3">
        <v>8211300</v>
      </c>
      <c r="L58" s="3" t="s">
        <v>166</v>
      </c>
      <c r="M58" s="3" t="s">
        <v>350</v>
      </c>
      <c r="N58" s="3">
        <v>586</v>
      </c>
      <c r="O58" s="3" t="s">
        <v>351</v>
      </c>
      <c r="P58" s="3" t="s">
        <v>352</v>
      </c>
      <c r="Q58" s="3" t="s">
        <v>27</v>
      </c>
      <c r="R58" s="3" t="s">
        <v>28</v>
      </c>
      <c r="S58" s="3">
        <v>3309060</v>
      </c>
      <c r="T58" s="3">
        <v>1127824444</v>
      </c>
      <c r="U58" s="3" t="s">
        <v>29</v>
      </c>
    </row>
    <row r="59" spans="1:21" ht="13.2" x14ac:dyDescent="0.25">
      <c r="A59" s="14">
        <v>60659463000191</v>
      </c>
      <c r="B59" s="15" t="str">
        <f t="shared" si="0"/>
        <v>60.659.463/0001-91</v>
      </c>
      <c r="C59" s="12" t="str">
        <f>VLOOKUP(B59,[1]Planilha1!$A:$B,2,0)</f>
        <v>Mariane Nascimento</v>
      </c>
      <c r="D59" s="3" t="s">
        <v>353</v>
      </c>
      <c r="E59" s="3" t="s">
        <v>353</v>
      </c>
      <c r="F59" s="3" t="s">
        <v>20</v>
      </c>
      <c r="G59" s="4">
        <v>24330</v>
      </c>
      <c r="H59" s="3" t="s">
        <v>94</v>
      </c>
      <c r="I59" s="3" t="s">
        <v>33</v>
      </c>
      <c r="J59" s="5">
        <v>1296672300</v>
      </c>
      <c r="K59" s="3">
        <v>2121101</v>
      </c>
      <c r="L59" s="3" t="s">
        <v>233</v>
      </c>
      <c r="M59" s="3" t="s">
        <v>354</v>
      </c>
      <c r="N59" s="3" t="s">
        <v>82</v>
      </c>
      <c r="O59" s="3" t="s">
        <v>355</v>
      </c>
      <c r="P59" s="3" t="s">
        <v>356</v>
      </c>
      <c r="Q59" s="3" t="s">
        <v>357</v>
      </c>
      <c r="R59" s="3" t="s">
        <v>28</v>
      </c>
      <c r="S59" s="3">
        <v>7034904</v>
      </c>
      <c r="T59" s="3">
        <v>1126086294</v>
      </c>
      <c r="U59" s="3" t="s">
        <v>29</v>
      </c>
    </row>
    <row r="60" spans="1:21" ht="13.2" x14ac:dyDescent="0.25">
      <c r="A60" s="14">
        <v>8221047000197</v>
      </c>
      <c r="B60" s="15" t="str">
        <f t="shared" si="0"/>
        <v>08.221.047/0001-97</v>
      </c>
      <c r="C60" s="12" t="str">
        <f>VLOOKUP(B60,[1]Planilha1!$A:$B,2,0)</f>
        <v>Mariane Nascimento</v>
      </c>
      <c r="D60" s="3" t="s">
        <v>358</v>
      </c>
      <c r="E60" s="3" t="s">
        <v>358</v>
      </c>
      <c r="F60" s="3" t="s">
        <v>20</v>
      </c>
      <c r="G60" s="4">
        <v>38939</v>
      </c>
      <c r="H60" s="3" t="s">
        <v>21</v>
      </c>
      <c r="I60" s="3" t="s">
        <v>33</v>
      </c>
      <c r="J60" s="5">
        <v>4000000</v>
      </c>
      <c r="K60" s="3">
        <v>3101200</v>
      </c>
      <c r="L60" s="3" t="s">
        <v>359</v>
      </c>
      <c r="M60" s="3" t="s">
        <v>360</v>
      </c>
      <c r="N60" s="3">
        <v>100</v>
      </c>
      <c r="O60" s="3" t="s">
        <v>361</v>
      </c>
      <c r="P60" s="3" t="s">
        <v>362</v>
      </c>
      <c r="Q60" s="3" t="s">
        <v>363</v>
      </c>
      <c r="R60" s="3" t="s">
        <v>100</v>
      </c>
      <c r="S60" s="3">
        <v>35501221</v>
      </c>
      <c r="T60" s="3">
        <v>3732215553</v>
      </c>
      <c r="U60" s="3" t="s">
        <v>29</v>
      </c>
    </row>
    <row r="61" spans="1:21" ht="13.2" x14ac:dyDescent="0.25">
      <c r="A61" s="14">
        <v>12121772000160</v>
      </c>
      <c r="B61" s="15" t="str">
        <f t="shared" si="0"/>
        <v>12.121.772/0001-60</v>
      </c>
      <c r="C61" s="12"/>
      <c r="D61" s="3" t="s">
        <v>364</v>
      </c>
      <c r="E61" s="3" t="s">
        <v>364</v>
      </c>
      <c r="F61" s="3" t="s">
        <v>20</v>
      </c>
      <c r="G61" s="4">
        <v>40345</v>
      </c>
      <c r="H61" s="3" t="s">
        <v>21</v>
      </c>
      <c r="I61" s="3" t="s">
        <v>33</v>
      </c>
      <c r="J61" s="5">
        <v>120000</v>
      </c>
      <c r="K61" s="3">
        <v>4120400</v>
      </c>
      <c r="L61" s="3" t="s">
        <v>87</v>
      </c>
      <c r="M61" s="3" t="s">
        <v>365</v>
      </c>
      <c r="N61" s="3">
        <v>1831</v>
      </c>
      <c r="P61" s="3" t="s">
        <v>366</v>
      </c>
      <c r="Q61" s="3" t="s">
        <v>367</v>
      </c>
      <c r="R61" s="3" t="s">
        <v>28</v>
      </c>
      <c r="S61" s="3">
        <v>13419310</v>
      </c>
      <c r="T61" s="3">
        <v>1934348490</v>
      </c>
      <c r="U61" s="3" t="s">
        <v>29</v>
      </c>
    </row>
    <row r="62" spans="1:21" ht="13.2" x14ac:dyDescent="0.25">
      <c r="A62" s="14">
        <v>8854993000170</v>
      </c>
      <c r="B62" s="15" t="str">
        <f t="shared" si="0"/>
        <v>08.854.993/0001-70</v>
      </c>
      <c r="C62" s="12" t="str">
        <f>VLOOKUP(B62,[1]Planilha1!$A:$B,2,0)</f>
        <v>Malu Montesino</v>
      </c>
      <c r="D62" s="3" t="s">
        <v>368</v>
      </c>
      <c r="E62" s="3" t="s">
        <v>369</v>
      </c>
      <c r="F62" s="3" t="s">
        <v>45</v>
      </c>
      <c r="G62" s="4">
        <v>39223</v>
      </c>
      <c r="H62" s="3" t="s">
        <v>21</v>
      </c>
      <c r="I62" s="3" t="s">
        <v>47</v>
      </c>
      <c r="J62" s="5">
        <v>100000</v>
      </c>
      <c r="K62" s="3">
        <v>4679699</v>
      </c>
      <c r="L62" s="3" t="s">
        <v>40</v>
      </c>
      <c r="M62" s="3" t="s">
        <v>370</v>
      </c>
      <c r="N62" s="3">
        <v>37</v>
      </c>
      <c r="P62" s="3" t="s">
        <v>70</v>
      </c>
      <c r="Q62" s="3" t="s">
        <v>371</v>
      </c>
      <c r="R62" s="3" t="s">
        <v>301</v>
      </c>
      <c r="S62" s="3">
        <v>63010127</v>
      </c>
      <c r="T62" s="3">
        <v>8835126068</v>
      </c>
      <c r="U62" s="3" t="s">
        <v>29</v>
      </c>
    </row>
    <row r="63" spans="1:21" ht="13.2" x14ac:dyDescent="0.25">
      <c r="A63" s="14">
        <v>12432922000157</v>
      </c>
      <c r="B63" s="15" t="str">
        <f t="shared" si="0"/>
        <v>12.432.922/0001-57</v>
      </c>
      <c r="C63" s="12"/>
      <c r="D63" s="3" t="s">
        <v>372</v>
      </c>
      <c r="E63" s="3" t="s">
        <v>372</v>
      </c>
      <c r="F63" s="3" t="s">
        <v>20</v>
      </c>
      <c r="G63" s="4">
        <v>40401</v>
      </c>
      <c r="H63" s="3" t="s">
        <v>21</v>
      </c>
      <c r="I63" s="3" t="s">
        <v>33</v>
      </c>
      <c r="J63" s="5">
        <v>44638080</v>
      </c>
      <c r="K63" s="3">
        <v>4679699</v>
      </c>
      <c r="L63" s="3" t="s">
        <v>40</v>
      </c>
      <c r="M63" s="3" t="s">
        <v>373</v>
      </c>
      <c r="N63" s="3">
        <v>866</v>
      </c>
      <c r="P63" s="3" t="s">
        <v>374</v>
      </c>
      <c r="Q63" s="3" t="s">
        <v>375</v>
      </c>
      <c r="R63" s="3" t="s">
        <v>28</v>
      </c>
      <c r="S63" s="3">
        <v>12334480</v>
      </c>
      <c r="T63" s="3">
        <v>1238784686</v>
      </c>
      <c r="U63" s="3" t="s">
        <v>29</v>
      </c>
    </row>
    <row r="64" spans="1:21" ht="13.2" x14ac:dyDescent="0.25">
      <c r="A64" s="14">
        <v>7636657000199</v>
      </c>
      <c r="B64" s="15" t="str">
        <f t="shared" si="0"/>
        <v>07.636.657/0001-99</v>
      </c>
      <c r="C64" s="12"/>
      <c r="D64" s="3" t="s">
        <v>376</v>
      </c>
      <c r="E64" s="3" t="s">
        <v>376</v>
      </c>
      <c r="F64" s="3" t="s">
        <v>20</v>
      </c>
      <c r="G64" s="4">
        <v>31175</v>
      </c>
      <c r="H64" s="3" t="s">
        <v>377</v>
      </c>
      <c r="I64" s="3" t="s">
        <v>33</v>
      </c>
      <c r="J64" s="5">
        <v>933708600</v>
      </c>
      <c r="K64" s="3">
        <v>2411300</v>
      </c>
      <c r="L64" s="3" t="s">
        <v>378</v>
      </c>
      <c r="M64" s="3" t="s">
        <v>379</v>
      </c>
      <c r="N64" s="3" t="s">
        <v>82</v>
      </c>
      <c r="P64" s="3" t="s">
        <v>380</v>
      </c>
      <c r="Q64" s="3" t="s">
        <v>381</v>
      </c>
      <c r="R64" s="3" t="s">
        <v>382</v>
      </c>
      <c r="S64" s="3">
        <v>65930000</v>
      </c>
      <c r="T64" s="3">
        <v>3132282500</v>
      </c>
      <c r="U64" s="3" t="s">
        <v>29</v>
      </c>
    </row>
    <row r="65" spans="1:21" ht="13.2" x14ac:dyDescent="0.25">
      <c r="A65" s="14">
        <v>16716417000195</v>
      </c>
      <c r="B65" s="15" t="str">
        <f t="shared" si="0"/>
        <v>16.716.417/0001-95</v>
      </c>
      <c r="C65" s="12" t="str">
        <f>VLOOKUP(B65,[1]Planilha1!$A:$B,2,0)</f>
        <v>Mariane Nascimento</v>
      </c>
      <c r="D65" s="3" t="s">
        <v>383</v>
      </c>
      <c r="E65" s="3" t="s">
        <v>384</v>
      </c>
      <c r="F65" s="3" t="s">
        <v>20</v>
      </c>
      <c r="G65" s="4">
        <v>26826</v>
      </c>
      <c r="H65" s="3" t="s">
        <v>94</v>
      </c>
      <c r="I65" s="3" t="s">
        <v>33</v>
      </c>
      <c r="J65" s="5">
        <v>23500000</v>
      </c>
      <c r="K65" s="3">
        <v>2531401</v>
      </c>
      <c r="L65" s="3" t="s">
        <v>385</v>
      </c>
      <c r="M65" s="3" t="s">
        <v>386</v>
      </c>
      <c r="N65" s="3">
        <v>300</v>
      </c>
      <c r="P65" s="3" t="s">
        <v>387</v>
      </c>
      <c r="Q65" s="3" t="s">
        <v>388</v>
      </c>
      <c r="R65" s="3" t="s">
        <v>100</v>
      </c>
      <c r="S65" s="3">
        <v>33040278</v>
      </c>
      <c r="T65" s="3">
        <v>3136491711</v>
      </c>
      <c r="U65" s="3" t="s">
        <v>29</v>
      </c>
    </row>
    <row r="66" spans="1:21" ht="13.2" x14ac:dyDescent="0.25">
      <c r="A66" s="14">
        <v>92216209000881</v>
      </c>
      <c r="B66" s="15" t="str">
        <f t="shared" si="0"/>
        <v>92.216.209/0008-81</v>
      </c>
      <c r="C66" s="12"/>
      <c r="D66" s="3" t="s">
        <v>389</v>
      </c>
      <c r="E66" s="3" t="s">
        <v>389</v>
      </c>
      <c r="F66" s="3" t="s">
        <v>20</v>
      </c>
      <c r="G66" s="4">
        <v>39839</v>
      </c>
      <c r="H66" s="3" t="s">
        <v>21</v>
      </c>
      <c r="I66" s="3" t="s">
        <v>33</v>
      </c>
      <c r="J66" s="5">
        <v>136907740</v>
      </c>
      <c r="K66" s="3">
        <v>4685100</v>
      </c>
      <c r="L66" s="3" t="s">
        <v>390</v>
      </c>
      <c r="M66" s="3" t="s">
        <v>391</v>
      </c>
      <c r="N66" s="3">
        <v>1490</v>
      </c>
      <c r="P66" s="3" t="s">
        <v>392</v>
      </c>
      <c r="Q66" s="3" t="s">
        <v>393</v>
      </c>
      <c r="R66" s="3" t="s">
        <v>28</v>
      </c>
      <c r="S66" s="3">
        <v>13295450</v>
      </c>
      <c r="T66" s="3">
        <v>5134709000</v>
      </c>
      <c r="U66" s="3" t="s">
        <v>29</v>
      </c>
    </row>
    <row r="67" spans="1:21" ht="13.2" x14ac:dyDescent="0.25">
      <c r="A67" s="14">
        <v>11596211000155</v>
      </c>
      <c r="B67" s="15" t="str">
        <f t="shared" ref="B67:B130" si="1">TEXT(A67,"00\.000\.000\/0000\-00")</f>
        <v>11.596.211/0001-55</v>
      </c>
      <c r="C67" s="12"/>
      <c r="D67" s="3" t="s">
        <v>394</v>
      </c>
      <c r="E67" s="3" t="s">
        <v>395</v>
      </c>
      <c r="F67" s="3" t="s">
        <v>45</v>
      </c>
      <c r="G67" s="4">
        <v>40219</v>
      </c>
      <c r="H67" s="3" t="s">
        <v>21</v>
      </c>
      <c r="I67" s="3" t="s">
        <v>22</v>
      </c>
      <c r="J67" s="5">
        <v>80000</v>
      </c>
      <c r="K67" s="3">
        <v>4744001</v>
      </c>
      <c r="L67" s="3" t="s">
        <v>396</v>
      </c>
      <c r="M67" s="3" t="s">
        <v>397</v>
      </c>
      <c r="N67" s="3">
        <v>205</v>
      </c>
      <c r="P67" s="3" t="s">
        <v>398</v>
      </c>
      <c r="Q67" s="3" t="s">
        <v>399</v>
      </c>
      <c r="R67" s="3" t="s">
        <v>28</v>
      </c>
      <c r="S67" s="3">
        <v>18213450</v>
      </c>
      <c r="T67" s="3">
        <v>1533769222</v>
      </c>
      <c r="U67" s="3" t="s">
        <v>29</v>
      </c>
    </row>
    <row r="68" spans="1:21" ht="13.2" x14ac:dyDescent="0.25">
      <c r="A68" s="14">
        <v>1112133000112</v>
      </c>
      <c r="B68" s="15" t="str">
        <f t="shared" si="1"/>
        <v>01.112.133/0001-12</v>
      </c>
      <c r="C68" s="12"/>
      <c r="D68" s="3" t="s">
        <v>400</v>
      </c>
      <c r="E68" s="3" t="s">
        <v>400</v>
      </c>
      <c r="F68" s="3" t="s">
        <v>20</v>
      </c>
      <c r="G68" s="4">
        <v>35121</v>
      </c>
      <c r="H68" s="3" t="s">
        <v>21</v>
      </c>
      <c r="I68" s="3" t="s">
        <v>33</v>
      </c>
      <c r="J68" s="5">
        <v>150000000</v>
      </c>
      <c r="K68" s="3">
        <v>4685100</v>
      </c>
      <c r="L68" s="3" t="s">
        <v>390</v>
      </c>
      <c r="M68" s="3" t="s">
        <v>401</v>
      </c>
      <c r="N68" s="3">
        <v>235</v>
      </c>
      <c r="P68" s="3" t="s">
        <v>402</v>
      </c>
      <c r="Q68" s="3" t="s">
        <v>27</v>
      </c>
      <c r="R68" s="3" t="s">
        <v>28</v>
      </c>
      <c r="S68" s="3">
        <v>2185010</v>
      </c>
      <c r="T68" s="3">
        <v>1129550277</v>
      </c>
      <c r="U68" s="3" t="s">
        <v>29</v>
      </c>
    </row>
    <row r="69" spans="1:21" ht="13.2" x14ac:dyDescent="0.25">
      <c r="A69" s="14">
        <v>43919968000129</v>
      </c>
      <c r="B69" s="15" t="str">
        <f t="shared" si="1"/>
        <v>43.919.968/0001-29</v>
      </c>
      <c r="C69" s="12"/>
      <c r="D69" s="3" t="s">
        <v>403</v>
      </c>
      <c r="E69" s="3" t="s">
        <v>403</v>
      </c>
      <c r="F69" s="3" t="s">
        <v>20</v>
      </c>
      <c r="G69" s="4">
        <v>27071</v>
      </c>
      <c r="H69" s="3" t="s">
        <v>21</v>
      </c>
      <c r="I69" s="3" t="s">
        <v>33</v>
      </c>
      <c r="J69" s="5">
        <v>385824000</v>
      </c>
      <c r="K69" s="3">
        <v>4685100</v>
      </c>
      <c r="L69" s="3" t="s">
        <v>390</v>
      </c>
      <c r="M69" s="3" t="s">
        <v>404</v>
      </c>
      <c r="N69" s="3">
        <v>465</v>
      </c>
      <c r="O69" s="3" t="s">
        <v>405</v>
      </c>
      <c r="P69" s="3" t="s">
        <v>406</v>
      </c>
      <c r="Q69" s="3" t="s">
        <v>357</v>
      </c>
      <c r="R69" s="3" t="s">
        <v>28</v>
      </c>
      <c r="S69" s="3">
        <v>7221060</v>
      </c>
      <c r="T69" s="3">
        <v>1124132000</v>
      </c>
      <c r="U69" s="3" t="s">
        <v>29</v>
      </c>
    </row>
    <row r="70" spans="1:21" ht="13.2" x14ac:dyDescent="0.25">
      <c r="A70" s="14">
        <v>27961442000150</v>
      </c>
      <c r="B70" s="15" t="str">
        <f t="shared" si="1"/>
        <v>27.961.442/0001-50</v>
      </c>
      <c r="C70" s="12"/>
      <c r="D70" s="3" t="s">
        <v>407</v>
      </c>
      <c r="E70" s="3" t="s">
        <v>408</v>
      </c>
      <c r="F70" s="3" t="s">
        <v>20</v>
      </c>
      <c r="G70" s="4">
        <v>42899</v>
      </c>
      <c r="H70" s="3" t="s">
        <v>21</v>
      </c>
      <c r="I70" s="3" t="s">
        <v>22</v>
      </c>
      <c r="J70" s="5">
        <v>150000</v>
      </c>
      <c r="K70" s="3">
        <v>7112000</v>
      </c>
      <c r="L70" s="3" t="s">
        <v>276</v>
      </c>
      <c r="M70" s="3" t="s">
        <v>409</v>
      </c>
      <c r="N70" s="3">
        <v>146</v>
      </c>
      <c r="O70" s="3" t="s">
        <v>410</v>
      </c>
      <c r="P70" s="3" t="s">
        <v>411</v>
      </c>
      <c r="Q70" s="3" t="s">
        <v>294</v>
      </c>
      <c r="R70" s="3" t="s">
        <v>28</v>
      </c>
      <c r="S70" s="3">
        <v>11060000</v>
      </c>
      <c r="T70" s="3">
        <v>1333238812</v>
      </c>
      <c r="U70" s="3" t="s">
        <v>29</v>
      </c>
    </row>
    <row r="71" spans="1:21" ht="13.2" x14ac:dyDescent="0.25">
      <c r="A71" s="14">
        <v>10433622000167</v>
      </c>
      <c r="B71" s="15" t="str">
        <f t="shared" si="1"/>
        <v>10.433.622/0001-67</v>
      </c>
      <c r="C71" s="12" t="str">
        <f>VLOOKUP(B71,[1]Planilha1!$A:$B,2,0)</f>
        <v>Malu Montesino</v>
      </c>
      <c r="D71" s="3" t="s">
        <v>412</v>
      </c>
      <c r="E71" s="3" t="s">
        <v>413</v>
      </c>
      <c r="F71" s="3" t="s">
        <v>20</v>
      </c>
      <c r="G71" s="4">
        <v>39742</v>
      </c>
      <c r="H71" s="3" t="s">
        <v>21</v>
      </c>
      <c r="I71" s="3" t="s">
        <v>33</v>
      </c>
      <c r="J71" s="5">
        <v>1584000</v>
      </c>
      <c r="K71" s="3">
        <v>2229399</v>
      </c>
      <c r="L71" s="3" t="s">
        <v>414</v>
      </c>
      <c r="M71" s="3" t="s">
        <v>415</v>
      </c>
      <c r="N71" s="3">
        <v>5841</v>
      </c>
      <c r="P71" s="3" t="s">
        <v>416</v>
      </c>
      <c r="Q71" s="3" t="s">
        <v>417</v>
      </c>
      <c r="R71" s="3" t="s">
        <v>53</v>
      </c>
      <c r="S71" s="3">
        <v>95182000</v>
      </c>
      <c r="T71" s="3">
        <v>5432132201</v>
      </c>
      <c r="U71" s="3" t="s">
        <v>29</v>
      </c>
    </row>
    <row r="72" spans="1:21" ht="13.2" x14ac:dyDescent="0.25">
      <c r="A72" s="14">
        <v>81372070000172</v>
      </c>
      <c r="B72" s="15" t="str">
        <f t="shared" si="1"/>
        <v>81.372.070/0001-72</v>
      </c>
      <c r="C72" s="12" t="str">
        <f>VLOOKUP(B72,[1]Planilha1!$A:$B,2,0)</f>
        <v>Malu Montesino</v>
      </c>
      <c r="D72" s="3" t="s">
        <v>418</v>
      </c>
      <c r="E72" s="3" t="s">
        <v>418</v>
      </c>
      <c r="F72" s="3" t="s">
        <v>20</v>
      </c>
      <c r="G72" s="4">
        <v>32692</v>
      </c>
      <c r="H72" s="3" t="s">
        <v>21</v>
      </c>
      <c r="I72" s="3" t="s">
        <v>33</v>
      </c>
      <c r="J72" s="5">
        <v>70000</v>
      </c>
      <c r="K72" s="3">
        <v>4684299</v>
      </c>
      <c r="L72" s="3" t="s">
        <v>419</v>
      </c>
      <c r="M72" s="3" t="s">
        <v>420</v>
      </c>
      <c r="N72" s="3">
        <v>20</v>
      </c>
      <c r="O72" s="3" t="s">
        <v>421</v>
      </c>
      <c r="P72" s="3" t="s">
        <v>422</v>
      </c>
      <c r="Q72" s="3" t="s">
        <v>423</v>
      </c>
      <c r="R72" s="3" t="s">
        <v>91</v>
      </c>
      <c r="S72" s="3">
        <v>89213200</v>
      </c>
      <c r="T72" s="3">
        <v>4734544500</v>
      </c>
      <c r="U72" s="3" t="s">
        <v>29</v>
      </c>
    </row>
    <row r="73" spans="1:21" ht="13.2" x14ac:dyDescent="0.25">
      <c r="A73" s="14">
        <v>7869242000165</v>
      </c>
      <c r="B73" s="15" t="str">
        <f t="shared" si="1"/>
        <v>07.869.242/0001-65</v>
      </c>
      <c r="C73" s="12"/>
      <c r="D73" s="3" t="s">
        <v>424</v>
      </c>
      <c r="E73" s="3" t="s">
        <v>424</v>
      </c>
      <c r="F73" s="3" t="s">
        <v>20</v>
      </c>
      <c r="G73" s="4">
        <v>38782</v>
      </c>
      <c r="H73" s="3" t="s">
        <v>21</v>
      </c>
      <c r="I73" s="3" t="s">
        <v>33</v>
      </c>
      <c r="J73" s="5">
        <v>2800000</v>
      </c>
      <c r="K73" s="3">
        <v>5211799</v>
      </c>
      <c r="L73" s="3" t="s">
        <v>425</v>
      </c>
      <c r="M73" s="3" t="s">
        <v>426</v>
      </c>
      <c r="N73" s="3">
        <v>1601</v>
      </c>
      <c r="O73" s="3" t="s">
        <v>427</v>
      </c>
      <c r="P73" s="3" t="s">
        <v>428</v>
      </c>
      <c r="Q73" s="3" t="s">
        <v>217</v>
      </c>
      <c r="R73" s="3" t="s">
        <v>28</v>
      </c>
      <c r="S73" s="3">
        <v>9852060</v>
      </c>
      <c r="T73" s="3">
        <v>1143435577</v>
      </c>
      <c r="U73" s="3" t="s">
        <v>29</v>
      </c>
    </row>
    <row r="74" spans="1:21" ht="13.2" x14ac:dyDescent="0.25">
      <c r="A74" s="14">
        <v>32431500000174</v>
      </c>
      <c r="B74" s="15" t="str">
        <f t="shared" si="1"/>
        <v>32.431.500/0001-74</v>
      </c>
      <c r="C74" s="12"/>
      <c r="D74" s="3" t="s">
        <v>429</v>
      </c>
      <c r="E74" s="3" t="s">
        <v>430</v>
      </c>
      <c r="F74" s="3" t="s">
        <v>20</v>
      </c>
      <c r="G74" s="4">
        <v>43479</v>
      </c>
      <c r="H74" s="3" t="s">
        <v>21</v>
      </c>
      <c r="I74" s="3" t="s">
        <v>47</v>
      </c>
      <c r="J74" s="5">
        <v>100000</v>
      </c>
      <c r="K74" s="3">
        <v>7112000</v>
      </c>
      <c r="L74" s="3" t="s">
        <v>276</v>
      </c>
      <c r="M74" s="3" t="s">
        <v>431</v>
      </c>
      <c r="N74" s="3">
        <v>401</v>
      </c>
      <c r="P74" s="3" t="s">
        <v>432</v>
      </c>
      <c r="Q74" s="3" t="s">
        <v>433</v>
      </c>
      <c r="R74" s="3" t="s">
        <v>100</v>
      </c>
      <c r="S74" s="3">
        <v>32425545</v>
      </c>
      <c r="T74" s="3">
        <v>3135212475</v>
      </c>
      <c r="U74" s="3" t="s">
        <v>29</v>
      </c>
    </row>
    <row r="75" spans="1:21" ht="13.2" x14ac:dyDescent="0.25">
      <c r="A75" s="14">
        <v>1733265000161</v>
      </c>
      <c r="B75" s="15" t="str">
        <f t="shared" si="1"/>
        <v>01.733.265/0001-61</v>
      </c>
      <c r="C75" s="12"/>
      <c r="D75" s="3" t="s">
        <v>434</v>
      </c>
      <c r="E75" s="3" t="s">
        <v>434</v>
      </c>
      <c r="F75" s="3" t="s">
        <v>20</v>
      </c>
      <c r="G75" s="4">
        <v>35475</v>
      </c>
      <c r="H75" s="3" t="s">
        <v>21</v>
      </c>
      <c r="I75" s="3" t="s">
        <v>33</v>
      </c>
      <c r="J75" s="5">
        <v>6383000</v>
      </c>
      <c r="K75" s="3">
        <v>2640000</v>
      </c>
      <c r="L75" s="3" t="s">
        <v>435</v>
      </c>
      <c r="M75" s="3" t="s">
        <v>27</v>
      </c>
      <c r="N75" s="3">
        <v>555</v>
      </c>
      <c r="O75" s="3">
        <v>549</v>
      </c>
      <c r="P75" s="3" t="s">
        <v>436</v>
      </c>
      <c r="Q75" s="3" t="s">
        <v>437</v>
      </c>
      <c r="R75" s="3" t="s">
        <v>53</v>
      </c>
      <c r="S75" s="3">
        <v>90230161</v>
      </c>
      <c r="U75" s="3" t="s">
        <v>29</v>
      </c>
    </row>
    <row r="76" spans="1:21" ht="13.2" x14ac:dyDescent="0.25">
      <c r="A76" s="14">
        <v>7935049000185</v>
      </c>
      <c r="B76" s="15" t="str">
        <f t="shared" si="1"/>
        <v>07.935.049/0001-85</v>
      </c>
      <c r="C76" s="12" t="str">
        <f>VLOOKUP(B76,[1]Planilha1!$A:$B,2,0)</f>
        <v>Malu Montesino</v>
      </c>
      <c r="D76" s="3" t="s">
        <v>438</v>
      </c>
      <c r="E76" s="3" t="s">
        <v>439</v>
      </c>
      <c r="F76" s="3" t="s">
        <v>20</v>
      </c>
      <c r="G76" s="4">
        <v>38805</v>
      </c>
      <c r="H76" s="3" t="s">
        <v>21</v>
      </c>
      <c r="I76" s="3" t="s">
        <v>22</v>
      </c>
      <c r="J76" s="5">
        <v>230000</v>
      </c>
      <c r="K76" s="3">
        <v>2731700</v>
      </c>
      <c r="L76" s="3" t="s">
        <v>440</v>
      </c>
      <c r="M76" s="3" t="s">
        <v>441</v>
      </c>
      <c r="N76" s="3">
        <v>207</v>
      </c>
      <c r="P76" s="3" t="s">
        <v>442</v>
      </c>
      <c r="Q76" s="3" t="s">
        <v>443</v>
      </c>
      <c r="R76" s="3" t="s">
        <v>28</v>
      </c>
      <c r="S76" s="3">
        <v>17539068</v>
      </c>
      <c r="T76" s="3">
        <v>1434512221</v>
      </c>
      <c r="U76" s="3" t="s">
        <v>29</v>
      </c>
    </row>
    <row r="77" spans="1:21" ht="13.2" x14ac:dyDescent="0.25">
      <c r="A77" s="14">
        <v>944911000177</v>
      </c>
      <c r="B77" s="15" t="str">
        <f t="shared" si="1"/>
        <v>00.944.911/0001-77</v>
      </c>
      <c r="C77" s="12"/>
      <c r="D77" s="3" t="s">
        <v>444</v>
      </c>
      <c r="E77" s="3" t="s">
        <v>445</v>
      </c>
      <c r="F77" s="3" t="s">
        <v>20</v>
      </c>
      <c r="G77" s="4">
        <v>35038</v>
      </c>
      <c r="H77" s="3" t="s">
        <v>32</v>
      </c>
      <c r="I77" s="3" t="s">
        <v>22</v>
      </c>
      <c r="J77" s="5">
        <v>400000</v>
      </c>
      <c r="K77" s="3">
        <v>7119704</v>
      </c>
      <c r="L77" s="3" t="s">
        <v>446</v>
      </c>
      <c r="M77" s="3" t="s">
        <v>447</v>
      </c>
      <c r="N77" s="3">
        <v>513</v>
      </c>
      <c r="P77" s="3" t="s">
        <v>70</v>
      </c>
      <c r="Q77" s="3" t="s">
        <v>448</v>
      </c>
      <c r="R77" s="3" t="s">
        <v>449</v>
      </c>
      <c r="S77" s="3">
        <v>69025030</v>
      </c>
      <c r="T77" s="3">
        <v>9284178020</v>
      </c>
      <c r="U77" s="3" t="s">
        <v>29</v>
      </c>
    </row>
    <row r="78" spans="1:21" ht="13.2" x14ac:dyDescent="0.25">
      <c r="A78" s="14">
        <v>9811654000170</v>
      </c>
      <c r="B78" s="15" t="str">
        <f t="shared" si="1"/>
        <v>09.811.654/0001-70</v>
      </c>
      <c r="C78" s="12" t="str">
        <f>VLOOKUP(B78,[1]Planilha1!$A:$B,2,0)</f>
        <v>Malu Montesino</v>
      </c>
      <c r="D78" s="3" t="s">
        <v>450</v>
      </c>
      <c r="E78" s="3" t="s">
        <v>451</v>
      </c>
      <c r="F78" s="3" t="s">
        <v>20</v>
      </c>
      <c r="G78" s="4">
        <v>31496</v>
      </c>
      <c r="H78" s="3" t="s">
        <v>94</v>
      </c>
      <c r="I78" s="3" t="s">
        <v>33</v>
      </c>
      <c r="J78" s="5">
        <v>2725479000</v>
      </c>
      <c r="K78" s="3">
        <v>2722801</v>
      </c>
      <c r="L78" s="3" t="s">
        <v>452</v>
      </c>
      <c r="M78" s="3" t="s">
        <v>453</v>
      </c>
      <c r="N78" s="3">
        <v>195</v>
      </c>
      <c r="P78" s="3" t="s">
        <v>454</v>
      </c>
      <c r="Q78" s="3" t="s">
        <v>455</v>
      </c>
      <c r="R78" s="3" t="s">
        <v>456</v>
      </c>
      <c r="S78" s="3">
        <v>55150615</v>
      </c>
      <c r="T78" s="3">
        <v>8134111159</v>
      </c>
      <c r="U78" s="3" t="s">
        <v>29</v>
      </c>
    </row>
    <row r="79" spans="1:21" ht="13.2" x14ac:dyDescent="0.25">
      <c r="A79" s="14">
        <v>11744795000169</v>
      </c>
      <c r="B79" s="15" t="str">
        <f t="shared" si="1"/>
        <v>11.744.795/0001-69</v>
      </c>
      <c r="C79" s="12"/>
      <c r="D79" s="3" t="s">
        <v>457</v>
      </c>
      <c r="E79" s="3" t="s">
        <v>457</v>
      </c>
      <c r="F79" s="3" t="s">
        <v>20</v>
      </c>
      <c r="G79" s="4">
        <v>40260</v>
      </c>
      <c r="H79" s="3" t="s">
        <v>21</v>
      </c>
      <c r="I79" s="3" t="s">
        <v>33</v>
      </c>
      <c r="J79" s="5">
        <v>57464460</v>
      </c>
      <c r="K79" s="3">
        <v>6463800</v>
      </c>
      <c r="L79" s="3" t="s">
        <v>458</v>
      </c>
      <c r="M79" s="3" t="s">
        <v>459</v>
      </c>
      <c r="N79" s="3">
        <v>1355</v>
      </c>
      <c r="O79" s="3" t="s">
        <v>460</v>
      </c>
      <c r="P79" s="3" t="s">
        <v>461</v>
      </c>
      <c r="Q79" s="3" t="s">
        <v>27</v>
      </c>
      <c r="R79" s="3" t="s">
        <v>28</v>
      </c>
      <c r="S79" s="3">
        <v>1307003</v>
      </c>
      <c r="T79" s="3">
        <v>1149357800</v>
      </c>
      <c r="U79" s="3" t="s">
        <v>29</v>
      </c>
    </row>
    <row r="80" spans="1:21" ht="13.2" x14ac:dyDescent="0.25">
      <c r="A80" s="14">
        <v>15434057000176</v>
      </c>
      <c r="B80" s="15" t="str">
        <f t="shared" si="1"/>
        <v>15.434.057/0001-76</v>
      </c>
      <c r="C80" s="12"/>
      <c r="D80" s="3" t="s">
        <v>462</v>
      </c>
      <c r="E80" s="3" t="s">
        <v>463</v>
      </c>
      <c r="F80" s="3" t="s">
        <v>31</v>
      </c>
      <c r="G80" s="4">
        <v>41025</v>
      </c>
      <c r="H80" s="3" t="s">
        <v>21</v>
      </c>
      <c r="I80" s="3" t="s">
        <v>22</v>
      </c>
      <c r="J80" s="5">
        <v>500000</v>
      </c>
      <c r="K80" s="3">
        <v>4649408</v>
      </c>
      <c r="L80" s="3" t="s">
        <v>464</v>
      </c>
      <c r="M80" s="3" t="s">
        <v>465</v>
      </c>
      <c r="N80" s="3">
        <v>33</v>
      </c>
      <c r="O80" s="3" t="s">
        <v>466</v>
      </c>
      <c r="P80" s="3" t="s">
        <v>467</v>
      </c>
      <c r="Q80" s="3" t="s">
        <v>448</v>
      </c>
      <c r="R80" s="3" t="s">
        <v>449</v>
      </c>
      <c r="S80" s="3">
        <v>69058340</v>
      </c>
      <c r="T80" s="3">
        <v>9233023791</v>
      </c>
      <c r="U80" s="3" t="s">
        <v>29</v>
      </c>
    </row>
    <row r="81" spans="1:21" ht="13.2" x14ac:dyDescent="0.25">
      <c r="A81" s="14">
        <v>5270922000132</v>
      </c>
      <c r="B81" s="15" t="str">
        <f t="shared" si="1"/>
        <v>05.270.922/0001-32</v>
      </c>
      <c r="C81" s="12"/>
      <c r="D81" s="3" t="s">
        <v>468</v>
      </c>
      <c r="E81" s="3" t="s">
        <v>469</v>
      </c>
      <c r="F81" s="3" t="s">
        <v>20</v>
      </c>
      <c r="G81" s="4">
        <v>37498</v>
      </c>
      <c r="H81" s="3" t="s">
        <v>21</v>
      </c>
      <c r="I81" s="3" t="s">
        <v>22</v>
      </c>
      <c r="J81" s="5">
        <v>120000</v>
      </c>
      <c r="K81" s="3">
        <v>8111700</v>
      </c>
      <c r="L81" s="3" t="s">
        <v>290</v>
      </c>
      <c r="M81" s="3" t="s">
        <v>470</v>
      </c>
      <c r="N81" s="3">
        <v>291</v>
      </c>
      <c r="P81" s="3" t="s">
        <v>70</v>
      </c>
      <c r="Q81" s="3" t="s">
        <v>471</v>
      </c>
      <c r="R81" s="3" t="s">
        <v>28</v>
      </c>
      <c r="S81" s="3">
        <v>9520070</v>
      </c>
      <c r="T81" s="3">
        <v>1138558080</v>
      </c>
      <c r="U81" s="3" t="s">
        <v>29</v>
      </c>
    </row>
    <row r="82" spans="1:21" ht="13.2" x14ac:dyDescent="0.25">
      <c r="A82" s="14">
        <v>4552404000149</v>
      </c>
      <c r="B82" s="15" t="str">
        <f t="shared" si="1"/>
        <v>04.552.404/0001-49</v>
      </c>
      <c r="C82" s="12"/>
      <c r="D82" s="3" t="s">
        <v>472</v>
      </c>
      <c r="E82" s="3" t="s">
        <v>472</v>
      </c>
      <c r="F82" s="3" t="s">
        <v>20</v>
      </c>
      <c r="G82" s="4">
        <v>37063</v>
      </c>
      <c r="H82" s="3" t="s">
        <v>21</v>
      </c>
      <c r="I82" s="3" t="s">
        <v>33</v>
      </c>
      <c r="J82" s="5">
        <v>4388006</v>
      </c>
      <c r="K82" s="3">
        <v>7830200</v>
      </c>
      <c r="L82" s="3" t="s">
        <v>473</v>
      </c>
      <c r="M82" s="3" t="s">
        <v>474</v>
      </c>
      <c r="N82" s="3">
        <v>610</v>
      </c>
      <c r="P82" s="3" t="s">
        <v>475</v>
      </c>
      <c r="Q82" s="3" t="s">
        <v>476</v>
      </c>
      <c r="R82" s="3" t="s">
        <v>100</v>
      </c>
      <c r="S82" s="3">
        <v>31270740</v>
      </c>
      <c r="T82" s="3">
        <v>3125527505</v>
      </c>
      <c r="U82" s="3" t="s">
        <v>29</v>
      </c>
    </row>
    <row r="83" spans="1:21" ht="13.2" x14ac:dyDescent="0.25">
      <c r="A83" s="14">
        <v>4927782000160</v>
      </c>
      <c r="B83" s="15" t="str">
        <f t="shared" si="1"/>
        <v>04.927.782/0001-60</v>
      </c>
      <c r="C83" s="12" t="str">
        <f>VLOOKUP(B83,[1]Planilha1!$A:$B,2,0)</f>
        <v>Mariane Nascimento</v>
      </c>
      <c r="D83" s="3" t="s">
        <v>477</v>
      </c>
      <c r="E83" s="3" t="s">
        <v>477</v>
      </c>
      <c r="F83" s="3" t="s">
        <v>20</v>
      </c>
      <c r="G83" s="4">
        <v>37309</v>
      </c>
      <c r="H83" s="3" t="s">
        <v>21</v>
      </c>
      <c r="I83" s="3" t="s">
        <v>33</v>
      </c>
      <c r="J83" s="5">
        <v>300000</v>
      </c>
      <c r="K83" s="3">
        <v>4645101</v>
      </c>
      <c r="L83" s="3" t="s">
        <v>135</v>
      </c>
      <c r="M83" s="3" t="s">
        <v>478</v>
      </c>
      <c r="N83" s="3">
        <v>330</v>
      </c>
      <c r="P83" s="3" t="s">
        <v>479</v>
      </c>
      <c r="Q83" s="3" t="s">
        <v>476</v>
      </c>
      <c r="R83" s="3" t="s">
        <v>100</v>
      </c>
      <c r="S83" s="3">
        <v>31310140</v>
      </c>
      <c r="T83" s="3">
        <v>3184420206</v>
      </c>
      <c r="U83" s="3" t="s">
        <v>29</v>
      </c>
    </row>
    <row r="84" spans="1:21" ht="13.2" x14ac:dyDescent="0.25">
      <c r="A84" s="14">
        <v>35918663000174</v>
      </c>
      <c r="B84" s="15" t="str">
        <f t="shared" si="1"/>
        <v>35.918.663/0001-74</v>
      </c>
      <c r="C84" s="12"/>
      <c r="D84" s="3" t="s">
        <v>480</v>
      </c>
      <c r="E84" s="3" t="s">
        <v>480</v>
      </c>
      <c r="F84" s="3" t="s">
        <v>20</v>
      </c>
      <c r="G84" s="4">
        <v>32854</v>
      </c>
      <c r="H84" s="3" t="s">
        <v>94</v>
      </c>
      <c r="I84" s="3" t="s">
        <v>33</v>
      </c>
      <c r="J84" s="5">
        <v>49683384</v>
      </c>
      <c r="K84" s="3">
        <v>7820500</v>
      </c>
      <c r="L84" s="3" t="s">
        <v>481</v>
      </c>
      <c r="M84" s="3" t="s">
        <v>246</v>
      </c>
      <c r="N84" s="3">
        <v>283</v>
      </c>
      <c r="O84" s="3" t="s">
        <v>482</v>
      </c>
      <c r="P84" s="3" t="s">
        <v>248</v>
      </c>
      <c r="Q84" s="3" t="s">
        <v>27</v>
      </c>
      <c r="R84" s="3" t="s">
        <v>28</v>
      </c>
      <c r="S84" s="3">
        <v>1311000</v>
      </c>
      <c r="T84" s="3">
        <v>1130890400</v>
      </c>
      <c r="U84" s="3" t="s">
        <v>29</v>
      </c>
    </row>
    <row r="85" spans="1:21" ht="13.2" x14ac:dyDescent="0.25">
      <c r="A85" s="14">
        <v>73077299000156</v>
      </c>
      <c r="B85" s="15" t="str">
        <f t="shared" si="1"/>
        <v>73.077.299/0001-56</v>
      </c>
      <c r="C85" s="12" t="str">
        <f>VLOOKUP(B85,[1]Planilha1!$A:$B,2,0)</f>
        <v>Malu Montesino</v>
      </c>
      <c r="D85" s="3" t="s">
        <v>483</v>
      </c>
      <c r="E85" s="3" t="s">
        <v>484</v>
      </c>
      <c r="F85" s="3" t="s">
        <v>45</v>
      </c>
      <c r="G85" s="4">
        <v>25435</v>
      </c>
      <c r="H85" s="3" t="s">
        <v>21</v>
      </c>
      <c r="I85" s="3" t="s">
        <v>33</v>
      </c>
      <c r="J85" s="5">
        <v>127790150</v>
      </c>
      <c r="K85" s="3">
        <v>2091600</v>
      </c>
      <c r="L85" s="3" t="s">
        <v>485</v>
      </c>
      <c r="M85" s="3" t="s">
        <v>486</v>
      </c>
      <c r="N85" s="3">
        <v>675</v>
      </c>
      <c r="P85" s="3" t="s">
        <v>487</v>
      </c>
      <c r="Q85" s="3" t="s">
        <v>488</v>
      </c>
      <c r="R85" s="3" t="s">
        <v>28</v>
      </c>
      <c r="S85" s="3">
        <v>13288166</v>
      </c>
      <c r="T85" s="3">
        <v>1940097711</v>
      </c>
      <c r="U85" s="3" t="s">
        <v>29</v>
      </c>
    </row>
    <row r="86" spans="1:21" ht="13.2" x14ac:dyDescent="0.25">
      <c r="A86" s="14">
        <v>46062030000123</v>
      </c>
      <c r="B86" s="15" t="str">
        <f t="shared" si="1"/>
        <v>46.062.030/0001-23</v>
      </c>
      <c r="C86" s="12" t="str">
        <f>VLOOKUP(B86,[1]Planilha1!$A:$B,2,0)</f>
        <v>Malu Montesino</v>
      </c>
      <c r="D86" s="3" t="s">
        <v>489</v>
      </c>
      <c r="E86" s="3" t="s">
        <v>489</v>
      </c>
      <c r="F86" s="3" t="s">
        <v>20</v>
      </c>
      <c r="G86" s="4">
        <v>25966</v>
      </c>
      <c r="H86" s="3" t="s">
        <v>21</v>
      </c>
      <c r="I86" s="3" t="s">
        <v>33</v>
      </c>
      <c r="J86" s="5">
        <v>39498190</v>
      </c>
      <c r="K86" s="3">
        <v>2091600</v>
      </c>
      <c r="L86" s="3" t="s">
        <v>485</v>
      </c>
      <c r="M86" s="3" t="s">
        <v>490</v>
      </c>
      <c r="N86" s="3">
        <v>2002</v>
      </c>
      <c r="P86" s="3" t="s">
        <v>491</v>
      </c>
      <c r="Q86" s="3" t="s">
        <v>85</v>
      </c>
      <c r="R86" s="3" t="s">
        <v>28</v>
      </c>
      <c r="S86" s="3">
        <v>13181905</v>
      </c>
      <c r="T86" s="3">
        <v>1921040700</v>
      </c>
      <c r="U86" s="3" t="s">
        <v>29</v>
      </c>
    </row>
    <row r="87" spans="1:21" ht="13.2" x14ac:dyDescent="0.25">
      <c r="A87" s="14">
        <v>37996567000170</v>
      </c>
      <c r="B87" s="15" t="str">
        <f t="shared" si="1"/>
        <v>37.996.567/0001-70</v>
      </c>
      <c r="C87" s="12"/>
      <c r="D87" s="3" t="s">
        <v>492</v>
      </c>
      <c r="E87" s="3" t="s">
        <v>493</v>
      </c>
      <c r="F87" s="3" t="s">
        <v>20</v>
      </c>
      <c r="G87" s="4">
        <v>44049</v>
      </c>
      <c r="H87" s="3" t="s">
        <v>21</v>
      </c>
      <c r="I87" s="3" t="s">
        <v>47</v>
      </c>
      <c r="J87" s="5">
        <v>100000</v>
      </c>
      <c r="K87" s="3">
        <v>8121400</v>
      </c>
      <c r="L87" s="3" t="s">
        <v>494</v>
      </c>
      <c r="M87" s="3" t="s">
        <v>495</v>
      </c>
      <c r="N87" s="3">
        <v>317</v>
      </c>
      <c r="O87" s="3" t="s">
        <v>496</v>
      </c>
      <c r="P87" s="3" t="s">
        <v>497</v>
      </c>
      <c r="Q87" s="3" t="s">
        <v>27</v>
      </c>
      <c r="R87" s="3" t="s">
        <v>28</v>
      </c>
      <c r="S87" s="3">
        <v>4892000</v>
      </c>
      <c r="T87" s="3">
        <v>1195901427</v>
      </c>
      <c r="U87" s="3" t="s">
        <v>29</v>
      </c>
    </row>
    <row r="88" spans="1:21" ht="13.2" x14ac:dyDescent="0.25">
      <c r="A88" s="14">
        <v>22872822000103</v>
      </c>
      <c r="B88" s="15" t="str">
        <f t="shared" si="1"/>
        <v>22.872.822/0001-03</v>
      </c>
      <c r="C88" s="12" t="str">
        <f>VLOOKUP(B88,[1]Planilha1!$A:$B,2,0)</f>
        <v>Mariane Nascimento</v>
      </c>
      <c r="D88" s="3" t="s">
        <v>498</v>
      </c>
      <c r="E88" s="3" t="s">
        <v>499</v>
      </c>
      <c r="F88" s="3" t="s">
        <v>31</v>
      </c>
      <c r="G88" s="4">
        <v>42202</v>
      </c>
      <c r="H88" s="3" t="s">
        <v>21</v>
      </c>
      <c r="I88" s="3" t="s">
        <v>47</v>
      </c>
      <c r="J88" s="5">
        <v>100000</v>
      </c>
      <c r="K88" s="3">
        <v>8111700</v>
      </c>
      <c r="L88" s="3" t="s">
        <v>290</v>
      </c>
      <c r="M88" s="3" t="s">
        <v>500</v>
      </c>
      <c r="N88" s="3">
        <v>14</v>
      </c>
      <c r="P88" s="3" t="s">
        <v>501</v>
      </c>
      <c r="Q88" s="3" t="s">
        <v>27</v>
      </c>
      <c r="R88" s="3" t="s">
        <v>28</v>
      </c>
      <c r="S88" s="3">
        <v>4844590</v>
      </c>
      <c r="T88" s="3">
        <v>1156678638</v>
      </c>
      <c r="U88" s="3" t="s">
        <v>29</v>
      </c>
    </row>
    <row r="89" spans="1:21" ht="13.2" x14ac:dyDescent="0.25">
      <c r="A89" s="14">
        <v>2137361000100</v>
      </c>
      <c r="B89" s="15" t="str">
        <f t="shared" si="1"/>
        <v>02.137.361/0001-00</v>
      </c>
      <c r="C89" s="12"/>
      <c r="D89" s="3" t="s">
        <v>502</v>
      </c>
      <c r="E89" s="3" t="s">
        <v>502</v>
      </c>
      <c r="F89" s="3" t="s">
        <v>20</v>
      </c>
      <c r="G89" s="4">
        <v>35691</v>
      </c>
      <c r="H89" s="3" t="s">
        <v>21</v>
      </c>
      <c r="I89" s="3" t="s">
        <v>22</v>
      </c>
      <c r="J89" s="5">
        <v>60000</v>
      </c>
      <c r="K89" s="3">
        <v>8219901</v>
      </c>
      <c r="L89" s="3" t="s">
        <v>503</v>
      </c>
      <c r="M89" s="3" t="s">
        <v>504</v>
      </c>
      <c r="N89" s="3">
        <v>390</v>
      </c>
      <c r="O89" s="3" t="s">
        <v>505</v>
      </c>
      <c r="P89" s="3" t="s">
        <v>506</v>
      </c>
      <c r="Q89" s="3" t="s">
        <v>262</v>
      </c>
      <c r="R89" s="3" t="s">
        <v>28</v>
      </c>
      <c r="S89" s="3">
        <v>6180180</v>
      </c>
      <c r="T89" s="3">
        <v>1137190849</v>
      </c>
      <c r="U89" s="3" t="s">
        <v>29</v>
      </c>
    </row>
    <row r="90" spans="1:21" ht="13.2" x14ac:dyDescent="0.25">
      <c r="A90" s="14">
        <v>55980684000127</v>
      </c>
      <c r="B90" s="15" t="str">
        <f t="shared" si="1"/>
        <v>55.980.684/0001-27</v>
      </c>
      <c r="C90" s="12" t="str">
        <f>VLOOKUP(B90,[1]Planilha1!$A:$B,2,0)</f>
        <v>Mariane Nascimento</v>
      </c>
      <c r="D90" s="3" t="s">
        <v>507</v>
      </c>
      <c r="E90" s="3" t="s">
        <v>507</v>
      </c>
      <c r="F90" s="3" t="s">
        <v>20</v>
      </c>
      <c r="G90" s="4">
        <v>31595</v>
      </c>
      <c r="H90" s="3" t="s">
        <v>94</v>
      </c>
      <c r="I90" s="3" t="s">
        <v>33</v>
      </c>
      <c r="J90" s="5">
        <v>594686200</v>
      </c>
      <c r="K90" s="3">
        <v>2121101</v>
      </c>
      <c r="L90" s="3" t="s">
        <v>233</v>
      </c>
      <c r="M90" s="3" t="s">
        <v>508</v>
      </c>
      <c r="N90" s="3">
        <v>3400</v>
      </c>
      <c r="P90" s="3" t="s">
        <v>509</v>
      </c>
      <c r="Q90" s="3" t="s">
        <v>510</v>
      </c>
      <c r="R90" s="3" t="s">
        <v>28</v>
      </c>
      <c r="S90" s="3">
        <v>12402020</v>
      </c>
      <c r="T90" s="3">
        <v>1155015530</v>
      </c>
      <c r="U90" s="3" t="s">
        <v>29</v>
      </c>
    </row>
    <row r="91" spans="1:21" ht="13.2" x14ac:dyDescent="0.25">
      <c r="A91" s="14">
        <v>14164155000178</v>
      </c>
      <c r="B91" s="15" t="str">
        <f t="shared" si="1"/>
        <v>14.164.155/0001-78</v>
      </c>
      <c r="C91" s="12"/>
      <c r="D91" s="3" t="s">
        <v>511</v>
      </c>
      <c r="E91" s="3" t="s">
        <v>511</v>
      </c>
      <c r="F91" s="3" t="s">
        <v>45</v>
      </c>
      <c r="G91" s="4">
        <v>40764</v>
      </c>
      <c r="H91" s="3" t="s">
        <v>21</v>
      </c>
      <c r="I91" s="3" t="s">
        <v>47</v>
      </c>
      <c r="J91" s="5">
        <v>100000</v>
      </c>
      <c r="K91" s="3">
        <v>7820500</v>
      </c>
      <c r="L91" s="3" t="s">
        <v>481</v>
      </c>
      <c r="M91" s="3" t="s">
        <v>512</v>
      </c>
      <c r="N91" s="3">
        <v>26</v>
      </c>
      <c r="O91" s="3" t="s">
        <v>513</v>
      </c>
      <c r="P91" s="3" t="s">
        <v>514</v>
      </c>
      <c r="Q91" s="3" t="s">
        <v>515</v>
      </c>
      <c r="R91" s="3" t="s">
        <v>456</v>
      </c>
      <c r="S91" s="3">
        <v>54440310</v>
      </c>
      <c r="T91" s="3">
        <v>8134711576</v>
      </c>
      <c r="U91" s="3" t="s">
        <v>29</v>
      </c>
    </row>
    <row r="92" spans="1:21" ht="13.2" x14ac:dyDescent="0.25">
      <c r="A92" s="14">
        <v>42632913000170</v>
      </c>
      <c r="B92" s="15" t="str">
        <f t="shared" si="1"/>
        <v>42.632.913/0001-70</v>
      </c>
      <c r="C92" s="12"/>
      <c r="D92" s="3" t="s">
        <v>516</v>
      </c>
      <c r="E92" s="3" t="s">
        <v>516</v>
      </c>
      <c r="F92" s="3" t="s">
        <v>20</v>
      </c>
      <c r="G92" s="4">
        <v>44385</v>
      </c>
      <c r="H92" s="3" t="s">
        <v>21</v>
      </c>
      <c r="I92" s="3" t="s">
        <v>33</v>
      </c>
      <c r="J92" s="5">
        <v>1000000</v>
      </c>
      <c r="K92" s="3">
        <v>4711301</v>
      </c>
      <c r="L92" s="3" t="s">
        <v>517</v>
      </c>
      <c r="M92" s="3" t="s">
        <v>518</v>
      </c>
      <c r="N92" s="3">
        <v>31180</v>
      </c>
      <c r="P92" s="3" t="s">
        <v>519</v>
      </c>
      <c r="Q92" s="3" t="s">
        <v>253</v>
      </c>
      <c r="R92" s="3" t="s">
        <v>78</v>
      </c>
      <c r="S92" s="3">
        <v>21725001</v>
      </c>
      <c r="T92" s="3">
        <v>2133775271</v>
      </c>
      <c r="U92" s="3" t="s">
        <v>29</v>
      </c>
    </row>
    <row r="93" spans="1:21" ht="13.2" x14ac:dyDescent="0.25">
      <c r="A93" s="14">
        <v>6305968000102</v>
      </c>
      <c r="B93" s="15" t="str">
        <f t="shared" si="1"/>
        <v>06.305.968/0001-02</v>
      </c>
      <c r="C93" s="12"/>
      <c r="D93" s="3" t="s">
        <v>520</v>
      </c>
      <c r="E93" s="3" t="s">
        <v>520</v>
      </c>
      <c r="F93" s="3" t="s">
        <v>20</v>
      </c>
      <c r="G93" s="4">
        <v>38141</v>
      </c>
      <c r="H93" s="3" t="s">
        <v>21</v>
      </c>
      <c r="I93" s="3" t="s">
        <v>33</v>
      </c>
      <c r="J93" s="5">
        <v>16116569</v>
      </c>
      <c r="K93" s="3">
        <v>2944100</v>
      </c>
      <c r="L93" s="3" t="s">
        <v>521</v>
      </c>
      <c r="M93" s="3" t="s">
        <v>522</v>
      </c>
      <c r="N93" s="3">
        <v>105</v>
      </c>
      <c r="P93" s="3" t="s">
        <v>523</v>
      </c>
      <c r="Q93" s="3" t="s">
        <v>524</v>
      </c>
      <c r="R93" s="3" t="s">
        <v>28</v>
      </c>
      <c r="S93" s="3">
        <v>14072068</v>
      </c>
      <c r="T93" s="3">
        <v>1639653946</v>
      </c>
      <c r="U93" s="3" t="s">
        <v>29</v>
      </c>
    </row>
    <row r="94" spans="1:21" ht="13.2" x14ac:dyDescent="0.25">
      <c r="A94" s="14">
        <v>36100141000123</v>
      </c>
      <c r="B94" s="15" t="str">
        <f t="shared" si="1"/>
        <v>36.100.141/0001-23</v>
      </c>
      <c r="C94" s="12"/>
      <c r="D94" s="3" t="s">
        <v>525</v>
      </c>
      <c r="E94" s="3" t="s">
        <v>525</v>
      </c>
      <c r="F94" s="3" t="s">
        <v>20</v>
      </c>
      <c r="G94" s="4">
        <v>43852</v>
      </c>
      <c r="H94" s="3" t="s">
        <v>46</v>
      </c>
      <c r="I94" s="3" t="s">
        <v>47</v>
      </c>
      <c r="J94" s="5">
        <v>1500</v>
      </c>
      <c r="K94" s="3">
        <v>1091101</v>
      </c>
      <c r="L94" s="3" t="s">
        <v>526</v>
      </c>
      <c r="M94" s="3" t="s">
        <v>527</v>
      </c>
      <c r="N94" s="3">
        <v>366</v>
      </c>
      <c r="P94" s="3" t="s">
        <v>528</v>
      </c>
      <c r="Q94" s="3" t="s">
        <v>529</v>
      </c>
      <c r="R94" s="3" t="s">
        <v>100</v>
      </c>
      <c r="S94" s="3">
        <v>35051170</v>
      </c>
      <c r="T94" s="3">
        <v>3332121407</v>
      </c>
      <c r="U94" s="3" t="s">
        <v>29</v>
      </c>
    </row>
    <row r="95" spans="1:21" ht="13.2" x14ac:dyDescent="0.25">
      <c r="A95" s="14">
        <v>8190855000134</v>
      </c>
      <c r="B95" s="15" t="str">
        <f t="shared" si="1"/>
        <v>08.190.855/0001-34</v>
      </c>
      <c r="C95" s="12"/>
      <c r="D95" s="3" t="s">
        <v>530</v>
      </c>
      <c r="E95" s="3" t="s">
        <v>531</v>
      </c>
      <c r="F95" s="3" t="s">
        <v>20</v>
      </c>
      <c r="G95" s="4">
        <v>38919</v>
      </c>
      <c r="H95" s="3" t="s">
        <v>21</v>
      </c>
      <c r="I95" s="3" t="s">
        <v>33</v>
      </c>
      <c r="J95" s="5">
        <v>1412000</v>
      </c>
      <c r="K95" s="3">
        <v>8299799</v>
      </c>
      <c r="L95" s="3" t="s">
        <v>532</v>
      </c>
      <c r="M95" s="3" t="s">
        <v>533</v>
      </c>
      <c r="N95" s="3">
        <v>196</v>
      </c>
      <c r="O95" s="3" t="s">
        <v>534</v>
      </c>
      <c r="P95" s="3" t="s">
        <v>535</v>
      </c>
      <c r="Q95" s="3" t="s">
        <v>536</v>
      </c>
      <c r="R95" s="3" t="s">
        <v>91</v>
      </c>
      <c r="S95" s="3">
        <v>88117290</v>
      </c>
      <c r="T95" s="3">
        <v>4833467887</v>
      </c>
      <c r="U95" s="3" t="s">
        <v>29</v>
      </c>
    </row>
    <row r="96" spans="1:21" ht="13.2" x14ac:dyDescent="0.25">
      <c r="A96" s="14">
        <v>40174170000107</v>
      </c>
      <c r="B96" s="15" t="str">
        <f t="shared" si="1"/>
        <v>40.174.170/0001-07</v>
      </c>
      <c r="C96" s="12" t="str">
        <f>VLOOKUP(B96,[1]Planilha1!$A:$B,2,0)</f>
        <v>Mariane Nascimento</v>
      </c>
      <c r="D96" s="3" t="s">
        <v>537</v>
      </c>
      <c r="E96" s="3" t="s">
        <v>538</v>
      </c>
      <c r="F96" s="3" t="s">
        <v>20</v>
      </c>
      <c r="G96" s="4">
        <v>44186</v>
      </c>
      <c r="H96" s="3" t="s">
        <v>21</v>
      </c>
      <c r="I96" s="3" t="s">
        <v>47</v>
      </c>
      <c r="J96" s="5">
        <v>50000</v>
      </c>
      <c r="K96" s="3">
        <v>4763604</v>
      </c>
      <c r="L96" s="3" t="s">
        <v>539</v>
      </c>
      <c r="M96" s="3" t="s">
        <v>540</v>
      </c>
      <c r="N96" s="3">
        <v>879</v>
      </c>
      <c r="P96" s="3" t="s">
        <v>541</v>
      </c>
      <c r="Q96" s="3" t="s">
        <v>27</v>
      </c>
      <c r="R96" s="3" t="s">
        <v>28</v>
      </c>
      <c r="S96" s="3">
        <v>2357001</v>
      </c>
      <c r="T96" s="3">
        <v>1123655421</v>
      </c>
      <c r="U96" s="3" t="s">
        <v>29</v>
      </c>
    </row>
    <row r="97" spans="1:21" ht="13.2" x14ac:dyDescent="0.25">
      <c r="A97" s="14">
        <v>8827501000158</v>
      </c>
      <c r="B97" s="15" t="str">
        <f t="shared" si="1"/>
        <v>08.827.501/0001-58</v>
      </c>
      <c r="C97" s="12" t="str">
        <f>VLOOKUP(B97,[1]Planilha1!$A:$B,2,0)</f>
        <v>Malu Montesino</v>
      </c>
      <c r="D97" s="3" t="s">
        <v>542</v>
      </c>
      <c r="E97" s="3" t="s">
        <v>542</v>
      </c>
      <c r="F97" s="3" t="s">
        <v>20</v>
      </c>
      <c r="G97" s="4">
        <v>39191</v>
      </c>
      <c r="H97" s="3" t="s">
        <v>377</v>
      </c>
      <c r="I97" s="3" t="s">
        <v>33</v>
      </c>
      <c r="J97" s="5">
        <v>1270691700</v>
      </c>
      <c r="K97" s="3">
        <v>6462000</v>
      </c>
      <c r="L97" s="3" t="s">
        <v>250</v>
      </c>
      <c r="M97" s="3" t="s">
        <v>543</v>
      </c>
      <c r="N97" s="3">
        <v>1663</v>
      </c>
      <c r="O97" s="3" t="s">
        <v>544</v>
      </c>
      <c r="P97" s="3" t="s">
        <v>545</v>
      </c>
      <c r="Q97" s="3" t="s">
        <v>27</v>
      </c>
      <c r="R97" s="3" t="s">
        <v>28</v>
      </c>
      <c r="S97" s="3">
        <v>1452001</v>
      </c>
      <c r="T97" s="3">
        <v>1934598300</v>
      </c>
      <c r="U97" s="3" t="s">
        <v>29</v>
      </c>
    </row>
    <row r="98" spans="1:21" ht="13.2" x14ac:dyDescent="0.25">
      <c r="A98" s="14">
        <v>88031539000159</v>
      </c>
      <c r="B98" s="15" t="str">
        <f t="shared" si="1"/>
        <v>88.031.539/0001-59</v>
      </c>
      <c r="C98" s="12" t="str">
        <f>VLOOKUP(B98,[1]Planilha1!$A:$B,2,0)</f>
        <v>Mariane Nascimento</v>
      </c>
      <c r="D98" s="3" t="s">
        <v>546</v>
      </c>
      <c r="E98" s="3" t="s">
        <v>547</v>
      </c>
      <c r="F98" s="3" t="s">
        <v>20</v>
      </c>
      <c r="G98" s="4">
        <v>29979</v>
      </c>
      <c r="H98" s="3" t="s">
        <v>94</v>
      </c>
      <c r="I98" s="3" t="s">
        <v>33</v>
      </c>
      <c r="J98" s="5">
        <v>99000000</v>
      </c>
      <c r="K98" s="3">
        <v>2610800</v>
      </c>
      <c r="L98" s="3" t="s">
        <v>548</v>
      </c>
      <c r="M98" s="3" t="s">
        <v>549</v>
      </c>
      <c r="N98" s="3">
        <v>4400</v>
      </c>
      <c r="P98" s="3" t="s">
        <v>550</v>
      </c>
      <c r="Q98" s="3" t="s">
        <v>437</v>
      </c>
      <c r="R98" s="3" t="s">
        <v>53</v>
      </c>
      <c r="S98" s="3">
        <v>91040620</v>
      </c>
      <c r="T98" s="3">
        <v>5130146736</v>
      </c>
      <c r="U98" s="3" t="s">
        <v>29</v>
      </c>
    </row>
    <row r="99" spans="1:21" ht="13.2" x14ac:dyDescent="0.25">
      <c r="A99" s="14">
        <v>12528708000107</v>
      </c>
      <c r="B99" s="15" t="str">
        <f t="shared" si="1"/>
        <v>12.528.708/0001-07</v>
      </c>
      <c r="C99" s="12"/>
      <c r="D99" s="3" t="s">
        <v>551</v>
      </c>
      <c r="E99" s="3" t="s">
        <v>551</v>
      </c>
      <c r="F99" s="3" t="s">
        <v>20</v>
      </c>
      <c r="G99" s="4">
        <v>40431</v>
      </c>
      <c r="H99" s="3" t="s">
        <v>377</v>
      </c>
      <c r="I99" s="3" t="s">
        <v>33</v>
      </c>
      <c r="J99" s="5">
        <v>911975000</v>
      </c>
      <c r="K99" s="3">
        <v>2710401</v>
      </c>
      <c r="L99" s="3" t="s">
        <v>552</v>
      </c>
      <c r="M99" s="3" t="s">
        <v>553</v>
      </c>
      <c r="N99" s="3" t="s">
        <v>82</v>
      </c>
      <c r="O99" s="3" t="s">
        <v>554</v>
      </c>
      <c r="P99" s="3" t="s">
        <v>555</v>
      </c>
      <c r="Q99" s="3" t="s">
        <v>556</v>
      </c>
      <c r="R99" s="3" t="s">
        <v>301</v>
      </c>
      <c r="S99" s="3">
        <v>61680000</v>
      </c>
      <c r="T99" s="3">
        <v>8533045858</v>
      </c>
      <c r="U99" s="3" t="s">
        <v>29</v>
      </c>
    </row>
    <row r="100" spans="1:21" ht="13.2" x14ac:dyDescent="0.25">
      <c r="A100" s="14">
        <v>26308513000158</v>
      </c>
      <c r="B100" s="15" t="str">
        <f t="shared" si="1"/>
        <v>26.308.513/0001-58</v>
      </c>
      <c r="C100" s="12" t="str">
        <f>VLOOKUP(B100,[1]Planilha1!$A:$B,2,0)</f>
        <v>Malu Montesino</v>
      </c>
      <c r="D100" s="3" t="s">
        <v>557</v>
      </c>
      <c r="E100" s="3" t="s">
        <v>557</v>
      </c>
      <c r="F100" s="3" t="s">
        <v>20</v>
      </c>
      <c r="G100" s="4">
        <v>42649</v>
      </c>
      <c r="H100" s="3" t="s">
        <v>21</v>
      </c>
      <c r="I100" s="3" t="s">
        <v>33</v>
      </c>
      <c r="J100" s="5">
        <v>1323304</v>
      </c>
      <c r="K100" s="3">
        <v>4669999</v>
      </c>
      <c r="L100" s="3" t="s">
        <v>558</v>
      </c>
      <c r="M100" s="3" t="s">
        <v>559</v>
      </c>
      <c r="N100" s="3">
        <v>1245</v>
      </c>
      <c r="P100" s="3" t="s">
        <v>560</v>
      </c>
      <c r="Q100" s="3" t="s">
        <v>27</v>
      </c>
      <c r="R100" s="3" t="s">
        <v>28</v>
      </c>
      <c r="S100" s="3">
        <v>4041054</v>
      </c>
      <c r="T100" s="3">
        <v>1130740270</v>
      </c>
      <c r="U100" s="3" t="s">
        <v>29</v>
      </c>
    </row>
    <row r="101" spans="1:21" ht="13.2" x14ac:dyDescent="0.25">
      <c r="A101" s="14">
        <v>3434855000119</v>
      </c>
      <c r="B101" s="15" t="str">
        <f t="shared" si="1"/>
        <v>03.434.855/0001-19</v>
      </c>
      <c r="C101" s="12" t="str">
        <f>VLOOKUP(B101,[1]Planilha1!$A:$B,2,0)</f>
        <v>Malu Montesino</v>
      </c>
      <c r="D101" s="3" t="s">
        <v>561</v>
      </c>
      <c r="E101" s="3" t="s">
        <v>562</v>
      </c>
      <c r="F101" s="3" t="s">
        <v>20</v>
      </c>
      <c r="G101" s="4">
        <v>36433</v>
      </c>
      <c r="H101" s="3" t="s">
        <v>21</v>
      </c>
      <c r="I101" s="3" t="s">
        <v>33</v>
      </c>
      <c r="J101" s="5">
        <v>27201840</v>
      </c>
      <c r="K101" s="3">
        <v>2814301</v>
      </c>
      <c r="L101" s="3" t="s">
        <v>563</v>
      </c>
      <c r="M101" s="3" t="s">
        <v>564</v>
      </c>
      <c r="N101" s="3">
        <v>300</v>
      </c>
      <c r="O101" s="3" t="s">
        <v>565</v>
      </c>
      <c r="P101" s="3" t="s">
        <v>566</v>
      </c>
      <c r="Q101" s="3" t="s">
        <v>567</v>
      </c>
      <c r="R101" s="3" t="s">
        <v>28</v>
      </c>
      <c r="S101" s="3">
        <v>13213189</v>
      </c>
      <c r="T101" s="3">
        <v>1146124021</v>
      </c>
      <c r="U101" s="3" t="s">
        <v>29</v>
      </c>
    </row>
    <row r="102" spans="1:21" ht="13.2" x14ac:dyDescent="0.25">
      <c r="A102" s="14">
        <v>29127216000102</v>
      </c>
      <c r="B102" s="15" t="str">
        <f t="shared" si="1"/>
        <v>29.127.216/0001-02</v>
      </c>
      <c r="C102" s="12" t="str">
        <f>VLOOKUP(B102,[1]Planilha1!$A:$B,2,0)</f>
        <v>Malu Montesino</v>
      </c>
      <c r="D102" s="3" t="s">
        <v>568</v>
      </c>
      <c r="E102" s="3" t="s">
        <v>569</v>
      </c>
      <c r="F102" s="3" t="s">
        <v>20</v>
      </c>
      <c r="G102" s="4">
        <v>43062</v>
      </c>
      <c r="H102" s="3" t="s">
        <v>21</v>
      </c>
      <c r="I102" s="3" t="s">
        <v>33</v>
      </c>
      <c r="J102" s="5">
        <v>1800000</v>
      </c>
      <c r="K102" s="3">
        <v>7112000</v>
      </c>
      <c r="L102" s="3" t="s">
        <v>276</v>
      </c>
      <c r="M102" s="3" t="s">
        <v>570</v>
      </c>
      <c r="N102" s="3" t="s">
        <v>82</v>
      </c>
      <c r="O102" s="3" t="s">
        <v>571</v>
      </c>
      <c r="P102" s="3" t="s">
        <v>572</v>
      </c>
      <c r="Q102" s="3" t="s">
        <v>573</v>
      </c>
      <c r="R102" s="3" t="s">
        <v>274</v>
      </c>
      <c r="S102" s="3">
        <v>74905460</v>
      </c>
      <c r="T102" s="3">
        <v>6239521122</v>
      </c>
      <c r="U102" s="3" t="s">
        <v>29</v>
      </c>
    </row>
    <row r="103" spans="1:21" ht="13.2" x14ac:dyDescent="0.25">
      <c r="A103" s="14">
        <v>20962717000121</v>
      </c>
      <c r="B103" s="15" t="str">
        <f t="shared" si="1"/>
        <v>20.962.717/0001-21</v>
      </c>
      <c r="C103" s="12"/>
      <c r="D103" s="3" t="s">
        <v>574</v>
      </c>
      <c r="E103" s="3" t="s">
        <v>575</v>
      </c>
      <c r="F103" s="3" t="s">
        <v>20</v>
      </c>
      <c r="G103" s="4">
        <v>41885</v>
      </c>
      <c r="H103" s="3" t="s">
        <v>21</v>
      </c>
      <c r="I103" s="3" t="s">
        <v>22</v>
      </c>
      <c r="J103" s="5">
        <v>50000</v>
      </c>
      <c r="K103" s="3">
        <v>2229302</v>
      </c>
      <c r="L103" s="3" t="s">
        <v>576</v>
      </c>
      <c r="M103" s="3" t="s">
        <v>577</v>
      </c>
      <c r="N103" s="3">
        <v>215</v>
      </c>
      <c r="O103" s="3" t="s">
        <v>578</v>
      </c>
      <c r="P103" s="3" t="s">
        <v>579</v>
      </c>
      <c r="Q103" s="3" t="s">
        <v>27</v>
      </c>
      <c r="R103" s="3" t="s">
        <v>28</v>
      </c>
      <c r="S103" s="3">
        <v>2322129</v>
      </c>
      <c r="T103" s="3">
        <v>1129581465</v>
      </c>
      <c r="U103" s="3" t="s">
        <v>29</v>
      </c>
    </row>
    <row r="104" spans="1:21" ht="13.2" x14ac:dyDescent="0.25">
      <c r="A104" s="14">
        <v>3992516000158</v>
      </c>
      <c r="B104" s="15" t="str">
        <f t="shared" si="1"/>
        <v>03.992.516/0001-58</v>
      </c>
      <c r="C104" s="12"/>
      <c r="D104" s="3" t="s">
        <v>580</v>
      </c>
      <c r="E104" s="3" t="s">
        <v>580</v>
      </c>
      <c r="F104" s="3" t="s">
        <v>20</v>
      </c>
      <c r="G104" s="4">
        <v>36755</v>
      </c>
      <c r="H104" s="3" t="s">
        <v>21</v>
      </c>
      <c r="I104" s="3" t="s">
        <v>33</v>
      </c>
      <c r="J104" s="5">
        <v>11396000</v>
      </c>
      <c r="K104" s="3">
        <v>2451200</v>
      </c>
      <c r="L104" s="3" t="s">
        <v>581</v>
      </c>
      <c r="M104" s="3" t="s">
        <v>582</v>
      </c>
      <c r="N104" s="3">
        <v>50</v>
      </c>
      <c r="O104" s="3" t="s">
        <v>583</v>
      </c>
      <c r="P104" s="3" t="s">
        <v>584</v>
      </c>
      <c r="Q104" s="3" t="s">
        <v>585</v>
      </c>
      <c r="R104" s="3" t="s">
        <v>100</v>
      </c>
      <c r="S104" s="3">
        <v>35547000</v>
      </c>
      <c r="T104" s="3">
        <v>3133920129</v>
      </c>
      <c r="U104" s="3" t="s">
        <v>29</v>
      </c>
    </row>
    <row r="105" spans="1:21" ht="13.2" x14ac:dyDescent="0.25">
      <c r="A105" s="14">
        <v>68119866000150</v>
      </c>
      <c r="B105" s="15" t="str">
        <f t="shared" si="1"/>
        <v>68.119.866/0001-50</v>
      </c>
      <c r="C105" s="12"/>
      <c r="D105" s="3" t="s">
        <v>586</v>
      </c>
      <c r="E105" s="3" t="s">
        <v>587</v>
      </c>
      <c r="F105" s="3" t="s">
        <v>20</v>
      </c>
      <c r="G105" s="4">
        <v>33777</v>
      </c>
      <c r="H105" s="3" t="s">
        <v>21</v>
      </c>
      <c r="I105" s="3" t="s">
        <v>33</v>
      </c>
      <c r="J105" s="5">
        <v>12000000</v>
      </c>
      <c r="K105" s="3">
        <v>4120400</v>
      </c>
      <c r="L105" s="3" t="s">
        <v>87</v>
      </c>
      <c r="M105" s="3" t="s">
        <v>588</v>
      </c>
      <c r="N105" s="3">
        <v>146</v>
      </c>
      <c r="P105" s="3" t="s">
        <v>589</v>
      </c>
      <c r="Q105" s="3" t="s">
        <v>27</v>
      </c>
      <c r="R105" s="3" t="s">
        <v>28</v>
      </c>
      <c r="S105" s="3">
        <v>1248010</v>
      </c>
      <c r="T105" s="3">
        <v>1136740666</v>
      </c>
      <c r="U105" s="3" t="s">
        <v>29</v>
      </c>
    </row>
    <row r="106" spans="1:21" ht="13.2" x14ac:dyDescent="0.25">
      <c r="A106" s="14">
        <v>50648468000165</v>
      </c>
      <c r="B106" s="15" t="str">
        <f t="shared" si="1"/>
        <v>50.648.468/0001-65</v>
      </c>
      <c r="C106" s="12"/>
      <c r="D106" s="3" t="s">
        <v>590</v>
      </c>
      <c r="E106" s="3" t="s">
        <v>590</v>
      </c>
      <c r="F106" s="3" t="s">
        <v>20</v>
      </c>
      <c r="G106" s="4">
        <v>28731</v>
      </c>
      <c r="H106" s="3" t="s">
        <v>21</v>
      </c>
      <c r="I106" s="3" t="s">
        <v>33</v>
      </c>
      <c r="J106" s="5">
        <v>56092932</v>
      </c>
      <c r="K106" s="3">
        <v>7112000</v>
      </c>
      <c r="L106" s="3" t="s">
        <v>276</v>
      </c>
      <c r="M106" s="3" t="s">
        <v>591</v>
      </c>
      <c r="N106" s="3">
        <v>100</v>
      </c>
      <c r="O106" s="3" t="s">
        <v>592</v>
      </c>
      <c r="P106" s="3" t="s">
        <v>593</v>
      </c>
      <c r="Q106" s="3" t="s">
        <v>27</v>
      </c>
      <c r="R106" s="3" t="s">
        <v>28</v>
      </c>
      <c r="S106" s="3">
        <v>4726908</v>
      </c>
      <c r="T106" s="3">
        <v>1134726955</v>
      </c>
      <c r="U106" s="3" t="s">
        <v>29</v>
      </c>
    </row>
    <row r="107" spans="1:21" ht="13.2" x14ac:dyDescent="0.25">
      <c r="A107" s="14">
        <v>15403299000100</v>
      </c>
      <c r="B107" s="15" t="str">
        <f t="shared" si="1"/>
        <v>15.403.299/0001-00</v>
      </c>
      <c r="C107" s="12"/>
      <c r="D107" s="3" t="s">
        <v>594</v>
      </c>
      <c r="E107" s="3" t="s">
        <v>594</v>
      </c>
      <c r="F107" s="3" t="s">
        <v>20</v>
      </c>
      <c r="G107" s="4">
        <v>41019</v>
      </c>
      <c r="H107" s="3" t="s">
        <v>21</v>
      </c>
      <c r="I107" s="3" t="s">
        <v>33</v>
      </c>
      <c r="J107" s="5">
        <v>23500000</v>
      </c>
      <c r="K107" s="3">
        <v>4661300</v>
      </c>
      <c r="L107" s="3" t="s">
        <v>595</v>
      </c>
      <c r="M107" s="3" t="s">
        <v>596</v>
      </c>
      <c r="N107" s="3">
        <v>1662</v>
      </c>
      <c r="P107" s="3" t="s">
        <v>597</v>
      </c>
      <c r="Q107" s="3" t="s">
        <v>204</v>
      </c>
      <c r="R107" s="3" t="s">
        <v>187</v>
      </c>
      <c r="S107" s="3">
        <v>80040445</v>
      </c>
      <c r="T107" s="3">
        <v>4192672039</v>
      </c>
      <c r="U107" s="3" t="s">
        <v>29</v>
      </c>
    </row>
    <row r="108" spans="1:21" ht="13.2" x14ac:dyDescent="0.25">
      <c r="A108" s="14">
        <v>2728291000164</v>
      </c>
      <c r="B108" s="15" t="str">
        <f t="shared" si="1"/>
        <v>02.728.291/0001-64</v>
      </c>
      <c r="C108" s="12" t="str">
        <f>VLOOKUP(B108,[1]Planilha1!$A:$B,2,0)</f>
        <v>Malu Montesino</v>
      </c>
      <c r="D108" s="3" t="s">
        <v>598</v>
      </c>
      <c r="E108" s="3" t="s">
        <v>599</v>
      </c>
      <c r="F108" s="3" t="s">
        <v>20</v>
      </c>
      <c r="G108" s="4">
        <v>36032</v>
      </c>
      <c r="H108" s="3" t="s">
        <v>21</v>
      </c>
      <c r="I108" s="3" t="s">
        <v>33</v>
      </c>
      <c r="J108" s="5">
        <v>50000</v>
      </c>
      <c r="K108" s="3">
        <v>2651500</v>
      </c>
      <c r="L108" s="3" t="s">
        <v>600</v>
      </c>
      <c r="M108" s="3" t="s">
        <v>601</v>
      </c>
      <c r="N108" s="3">
        <v>60</v>
      </c>
      <c r="P108" s="3" t="s">
        <v>602</v>
      </c>
      <c r="Q108" s="3" t="s">
        <v>603</v>
      </c>
      <c r="R108" s="3" t="s">
        <v>53</v>
      </c>
      <c r="S108" s="3">
        <v>94035185</v>
      </c>
      <c r="T108" s="3">
        <v>5132083030</v>
      </c>
      <c r="U108" s="3" t="s">
        <v>29</v>
      </c>
    </row>
    <row r="109" spans="1:21" ht="13.2" x14ac:dyDescent="0.25">
      <c r="A109" s="14">
        <v>12917170000114</v>
      </c>
      <c r="B109" s="15" t="str">
        <f t="shared" si="1"/>
        <v>12.917.170/0001-14</v>
      </c>
      <c r="C109" s="12"/>
      <c r="D109" s="3" t="s">
        <v>604</v>
      </c>
      <c r="E109" s="3" t="s">
        <v>604</v>
      </c>
      <c r="F109" s="3" t="s">
        <v>20</v>
      </c>
      <c r="G109" s="4">
        <v>40492</v>
      </c>
      <c r="H109" s="3" t="s">
        <v>21</v>
      </c>
      <c r="I109" s="3" t="s">
        <v>33</v>
      </c>
      <c r="J109" s="5">
        <v>30000</v>
      </c>
      <c r="K109" s="3">
        <v>4753900</v>
      </c>
      <c r="L109" s="3" t="s">
        <v>214</v>
      </c>
      <c r="M109" s="3" t="s">
        <v>605</v>
      </c>
      <c r="N109" s="3">
        <v>745</v>
      </c>
      <c r="O109" s="3" t="s">
        <v>534</v>
      </c>
      <c r="P109" s="3" t="s">
        <v>606</v>
      </c>
      <c r="Q109" s="3" t="s">
        <v>27</v>
      </c>
      <c r="R109" s="3" t="s">
        <v>28</v>
      </c>
      <c r="S109" s="3">
        <v>3377000</v>
      </c>
      <c r="T109" s="3">
        <v>1121165523</v>
      </c>
      <c r="U109" s="3" t="s">
        <v>29</v>
      </c>
    </row>
    <row r="110" spans="1:21" ht="13.2" x14ac:dyDescent="0.25">
      <c r="A110" s="14">
        <v>55962369001491</v>
      </c>
      <c r="B110" s="15" t="str">
        <f t="shared" si="1"/>
        <v>55.962.369/0014-91</v>
      </c>
      <c r="C110" s="12" t="str">
        <f>VLOOKUP(B110,[1]Planilha1!$A:$B,2,0)</f>
        <v>Malu Montesino</v>
      </c>
      <c r="D110" s="3" t="s">
        <v>607</v>
      </c>
      <c r="E110" s="3" t="s">
        <v>607</v>
      </c>
      <c r="F110" s="3" t="s">
        <v>20</v>
      </c>
      <c r="G110" s="4">
        <v>43004</v>
      </c>
      <c r="H110" s="3" t="s">
        <v>21</v>
      </c>
      <c r="I110" s="3" t="s">
        <v>33</v>
      </c>
      <c r="J110" s="5">
        <v>3662609000</v>
      </c>
      <c r="K110" s="3">
        <v>2831300</v>
      </c>
      <c r="L110" s="3" t="s">
        <v>608</v>
      </c>
      <c r="M110" s="3" t="s">
        <v>609</v>
      </c>
      <c r="N110" s="3">
        <v>10260</v>
      </c>
      <c r="P110" s="3" t="s">
        <v>610</v>
      </c>
      <c r="Q110" s="3" t="s">
        <v>611</v>
      </c>
      <c r="R110" s="3" t="s">
        <v>53</v>
      </c>
      <c r="S110" s="3">
        <v>92420532</v>
      </c>
      <c r="T110" s="3">
        <v>5134627309</v>
      </c>
      <c r="U110" s="3" t="s">
        <v>29</v>
      </c>
    </row>
    <row r="111" spans="1:21" ht="13.2" x14ac:dyDescent="0.25">
      <c r="A111" s="14">
        <v>51938702000151</v>
      </c>
      <c r="B111" s="15" t="str">
        <f t="shared" si="1"/>
        <v>51.938.702/0001-51</v>
      </c>
      <c r="C111" s="12"/>
      <c r="D111" s="3" t="s">
        <v>612</v>
      </c>
      <c r="E111" s="3" t="s">
        <v>612</v>
      </c>
      <c r="F111" s="3" t="s">
        <v>20</v>
      </c>
      <c r="G111" s="4">
        <v>29193</v>
      </c>
      <c r="H111" s="3" t="s">
        <v>21</v>
      </c>
      <c r="I111" s="3" t="s">
        <v>33</v>
      </c>
      <c r="J111" s="5">
        <v>28200000</v>
      </c>
      <c r="K111" s="3">
        <v>2219600</v>
      </c>
      <c r="L111" s="3" t="s">
        <v>613</v>
      </c>
      <c r="M111" s="3" t="s">
        <v>614</v>
      </c>
      <c r="N111" s="3">
        <v>516</v>
      </c>
      <c r="O111" s="3" t="s">
        <v>615</v>
      </c>
      <c r="P111" s="3" t="s">
        <v>616</v>
      </c>
      <c r="Q111" s="3" t="s">
        <v>617</v>
      </c>
      <c r="R111" s="3" t="s">
        <v>28</v>
      </c>
      <c r="S111" s="3">
        <v>6460120</v>
      </c>
      <c r="T111" s="3">
        <v>1141332000</v>
      </c>
      <c r="U111" s="3" t="s">
        <v>29</v>
      </c>
    </row>
    <row r="112" spans="1:21" ht="13.2" x14ac:dyDescent="0.25">
      <c r="A112" s="14">
        <v>46853800000156</v>
      </c>
      <c r="B112" s="15" t="str">
        <f t="shared" si="1"/>
        <v>46.853.800/0001-56</v>
      </c>
      <c r="C112" s="12"/>
      <c r="D112" s="3" t="s">
        <v>618</v>
      </c>
      <c r="E112" s="3" t="s">
        <v>619</v>
      </c>
      <c r="F112" s="3" t="s">
        <v>20</v>
      </c>
      <c r="G112" s="4">
        <v>27158</v>
      </c>
      <c r="H112" s="3" t="s">
        <v>620</v>
      </c>
      <c r="I112" s="3" t="s">
        <v>33</v>
      </c>
      <c r="J112" s="5">
        <v>0</v>
      </c>
      <c r="K112" s="3">
        <v>8411600</v>
      </c>
      <c r="L112" s="3" t="s">
        <v>621</v>
      </c>
      <c r="M112" s="3" t="s">
        <v>370</v>
      </c>
      <c r="N112" s="3">
        <v>170</v>
      </c>
      <c r="O112" s="3" t="s">
        <v>622</v>
      </c>
      <c r="P112" s="3" t="s">
        <v>70</v>
      </c>
      <c r="Q112" s="3" t="s">
        <v>27</v>
      </c>
      <c r="R112" s="3" t="s">
        <v>28</v>
      </c>
      <c r="S112" s="3">
        <v>1014000</v>
      </c>
      <c r="T112" s="3">
        <v>1132938200</v>
      </c>
      <c r="U112" s="3" t="s">
        <v>29</v>
      </c>
    </row>
    <row r="113" spans="1:21" ht="13.2" x14ac:dyDescent="0.25">
      <c r="A113" s="14">
        <v>5507500000138</v>
      </c>
      <c r="B113" s="15" t="str">
        <f t="shared" si="1"/>
        <v>05.507.500/0001-38</v>
      </c>
      <c r="C113" s="12"/>
      <c r="D113" s="3" t="s">
        <v>623</v>
      </c>
      <c r="E113" s="3" t="s">
        <v>624</v>
      </c>
      <c r="F113" s="3" t="s">
        <v>20</v>
      </c>
      <c r="G113" s="4">
        <v>37665</v>
      </c>
      <c r="H113" s="3" t="s">
        <v>625</v>
      </c>
      <c r="I113" s="3" t="s">
        <v>33</v>
      </c>
      <c r="J113" s="5">
        <v>0</v>
      </c>
      <c r="K113" s="3">
        <v>9430800</v>
      </c>
      <c r="L113" s="3" t="s">
        <v>626</v>
      </c>
      <c r="M113" s="3" t="s">
        <v>627</v>
      </c>
      <c r="N113" s="3" t="s">
        <v>628</v>
      </c>
      <c r="O113" s="3" t="s">
        <v>629</v>
      </c>
      <c r="P113" s="3" t="s">
        <v>630</v>
      </c>
      <c r="Q113" s="3" t="s">
        <v>631</v>
      </c>
      <c r="R113" s="3" t="s">
        <v>632</v>
      </c>
      <c r="S113" s="3">
        <v>70040250</v>
      </c>
      <c r="T113" s="3">
        <v>6134260557</v>
      </c>
      <c r="U113" s="3" t="s">
        <v>29</v>
      </c>
    </row>
    <row r="114" spans="1:21" ht="13.2" x14ac:dyDescent="0.25">
      <c r="A114" s="14">
        <v>3426989000198</v>
      </c>
      <c r="B114" s="15" t="str">
        <f t="shared" si="1"/>
        <v>03.426.989/0001-98</v>
      </c>
      <c r="C114" s="12" t="str">
        <f>VLOOKUP(B114,[1]Planilha1!$A:$B,2,0)</f>
        <v>Mariane Nascimento</v>
      </c>
      <c r="D114" s="3" t="s">
        <v>633</v>
      </c>
      <c r="E114" s="3" t="s">
        <v>634</v>
      </c>
      <c r="F114" s="3" t="s">
        <v>20</v>
      </c>
      <c r="G114" s="4">
        <v>36362</v>
      </c>
      <c r="H114" s="3" t="s">
        <v>620</v>
      </c>
      <c r="I114" s="3" t="s">
        <v>33</v>
      </c>
      <c r="J114" s="5">
        <v>0</v>
      </c>
      <c r="K114" s="3">
        <v>8411600</v>
      </c>
      <c r="L114" s="3" t="s">
        <v>621</v>
      </c>
      <c r="M114" s="3" t="s">
        <v>635</v>
      </c>
      <c r="N114" s="3">
        <v>10</v>
      </c>
      <c r="O114" s="3" t="s">
        <v>636</v>
      </c>
      <c r="P114" s="3" t="s">
        <v>637</v>
      </c>
      <c r="Q114" s="3" t="s">
        <v>294</v>
      </c>
      <c r="R114" s="3" t="s">
        <v>28</v>
      </c>
      <c r="S114" s="3">
        <v>11065922</v>
      </c>
      <c r="T114" s="3">
        <v>1332027000</v>
      </c>
      <c r="U114" s="3" t="s">
        <v>29</v>
      </c>
    </row>
    <row r="115" spans="1:21" ht="13.2" x14ac:dyDescent="0.25">
      <c r="A115" s="14">
        <v>52061181000160</v>
      </c>
      <c r="B115" s="15" t="str">
        <f t="shared" si="1"/>
        <v>52.061.181/0001-60</v>
      </c>
      <c r="C115" s="12"/>
      <c r="D115" s="3" t="s">
        <v>638</v>
      </c>
      <c r="E115" s="3" t="s">
        <v>639</v>
      </c>
      <c r="F115" s="3" t="s">
        <v>20</v>
      </c>
      <c r="G115" s="4">
        <v>25871</v>
      </c>
      <c r="H115" s="3" t="s">
        <v>640</v>
      </c>
      <c r="I115" s="3" t="s">
        <v>33</v>
      </c>
      <c r="J115" s="5">
        <v>0</v>
      </c>
      <c r="K115" s="3">
        <v>8413200</v>
      </c>
      <c r="L115" s="3" t="s">
        <v>641</v>
      </c>
      <c r="M115" s="3" t="s">
        <v>475</v>
      </c>
      <c r="N115" s="3">
        <v>359</v>
      </c>
      <c r="P115" s="3" t="s">
        <v>70</v>
      </c>
      <c r="Q115" s="3" t="s">
        <v>443</v>
      </c>
      <c r="R115" s="3" t="s">
        <v>28</v>
      </c>
      <c r="S115" s="3">
        <v>17500005</v>
      </c>
      <c r="T115" s="3">
        <v>1434028500</v>
      </c>
      <c r="U115" s="3" t="s">
        <v>29</v>
      </c>
    </row>
    <row r="116" spans="1:21" ht="13.2" x14ac:dyDescent="0.25">
      <c r="A116" s="14">
        <v>2313673000208</v>
      </c>
      <c r="B116" s="15" t="str">
        <f t="shared" si="1"/>
        <v>02.313.673/0002-08</v>
      </c>
      <c r="C116" s="12"/>
      <c r="D116" s="3" t="s">
        <v>642</v>
      </c>
      <c r="E116" s="3" t="s">
        <v>643</v>
      </c>
      <c r="F116" s="3" t="s">
        <v>20</v>
      </c>
      <c r="G116" s="4">
        <v>35810</v>
      </c>
      <c r="H116" s="3" t="s">
        <v>644</v>
      </c>
      <c r="I116" s="3" t="s">
        <v>33</v>
      </c>
      <c r="J116" s="5">
        <v>0</v>
      </c>
      <c r="K116" s="3">
        <v>8411600</v>
      </c>
      <c r="L116" s="3" t="s">
        <v>621</v>
      </c>
      <c r="M116" s="3" t="s">
        <v>645</v>
      </c>
      <c r="N116" s="3">
        <v>65</v>
      </c>
      <c r="O116" s="3" t="s">
        <v>646</v>
      </c>
      <c r="P116" s="3" t="s">
        <v>647</v>
      </c>
      <c r="Q116" s="3" t="s">
        <v>253</v>
      </c>
      <c r="R116" s="3" t="s">
        <v>78</v>
      </c>
      <c r="S116" s="3">
        <v>20090004</v>
      </c>
      <c r="T116" s="3">
        <v>215071007</v>
      </c>
      <c r="U116" s="3" t="s">
        <v>29</v>
      </c>
    </row>
    <row r="117" spans="1:21" ht="13.2" x14ac:dyDescent="0.25">
      <c r="A117" s="14">
        <v>2538438000153</v>
      </c>
      <c r="B117" s="15" t="str">
        <f t="shared" si="1"/>
        <v>02.538.438/0001-53</v>
      </c>
      <c r="C117" s="12"/>
      <c r="D117" s="3" t="s">
        <v>648</v>
      </c>
      <c r="E117" s="3" t="s">
        <v>648</v>
      </c>
      <c r="F117" s="3" t="s">
        <v>20</v>
      </c>
      <c r="G117" s="4">
        <v>35929</v>
      </c>
      <c r="H117" s="3" t="s">
        <v>620</v>
      </c>
      <c r="I117" s="3" t="s">
        <v>33</v>
      </c>
      <c r="J117" s="5">
        <v>0</v>
      </c>
      <c r="K117" s="3">
        <v>8411600</v>
      </c>
      <c r="L117" s="3" t="s">
        <v>621</v>
      </c>
      <c r="M117" s="3" t="s">
        <v>649</v>
      </c>
      <c r="N117" s="3">
        <v>428</v>
      </c>
      <c r="P117" s="3" t="s">
        <v>296</v>
      </c>
      <c r="Q117" s="3" t="s">
        <v>27</v>
      </c>
      <c r="R117" s="3" t="s">
        <v>28</v>
      </c>
      <c r="S117" s="3">
        <v>5411902</v>
      </c>
      <c r="T117" s="3">
        <v>1132042100</v>
      </c>
      <c r="U117" s="3" t="s">
        <v>29</v>
      </c>
    </row>
    <row r="118" spans="1:21" ht="13.2" x14ac:dyDescent="0.25">
      <c r="A118" s="14">
        <v>27971604000131</v>
      </c>
      <c r="B118" s="15" t="str">
        <f t="shared" si="1"/>
        <v>27.971.604/0001-31</v>
      </c>
      <c r="C118" s="12"/>
      <c r="D118" s="3" t="s">
        <v>650</v>
      </c>
      <c r="E118" s="3" t="s">
        <v>651</v>
      </c>
      <c r="F118" s="3" t="s">
        <v>20</v>
      </c>
      <c r="G118" s="4">
        <v>42900</v>
      </c>
      <c r="H118" s="3" t="s">
        <v>21</v>
      </c>
      <c r="I118" s="3" t="s">
        <v>22</v>
      </c>
      <c r="J118" s="5">
        <v>120000</v>
      </c>
      <c r="K118" s="3">
        <v>8599604</v>
      </c>
      <c r="L118" s="3" t="s">
        <v>55</v>
      </c>
      <c r="M118" s="3" t="s">
        <v>652</v>
      </c>
      <c r="N118" s="3">
        <v>75</v>
      </c>
      <c r="P118" s="3" t="s">
        <v>653</v>
      </c>
      <c r="Q118" s="3" t="s">
        <v>654</v>
      </c>
      <c r="R118" s="3" t="s">
        <v>91</v>
      </c>
      <c r="S118" s="3">
        <v>88702737</v>
      </c>
      <c r="T118" s="3">
        <v>4892000427</v>
      </c>
      <c r="U118" s="3" t="s">
        <v>29</v>
      </c>
    </row>
    <row r="119" spans="1:21" ht="13.2" x14ac:dyDescent="0.25">
      <c r="A119" s="14">
        <v>4820153000136</v>
      </c>
      <c r="B119" s="15" t="str">
        <f t="shared" si="1"/>
        <v>04.820.153/0001-36</v>
      </c>
      <c r="C119" s="12" t="str">
        <f>VLOOKUP(B119,[1]Planilha1!$A:$B,2,0)</f>
        <v>Malu Montesino</v>
      </c>
      <c r="D119" s="3" t="s">
        <v>655</v>
      </c>
      <c r="E119" s="3" t="s">
        <v>655</v>
      </c>
      <c r="F119" s="3" t="s">
        <v>20</v>
      </c>
      <c r="G119" s="4">
        <v>37155</v>
      </c>
      <c r="H119" s="3" t="s">
        <v>21</v>
      </c>
      <c r="I119" s="3" t="s">
        <v>33</v>
      </c>
      <c r="J119" s="5">
        <v>500000</v>
      </c>
      <c r="K119" s="3">
        <v>7311400</v>
      </c>
      <c r="L119" s="3" t="s">
        <v>656</v>
      </c>
      <c r="M119" s="3" t="s">
        <v>657</v>
      </c>
      <c r="N119" s="3">
        <v>74</v>
      </c>
      <c r="P119" s="3" t="s">
        <v>658</v>
      </c>
      <c r="Q119" s="3" t="s">
        <v>27</v>
      </c>
      <c r="R119" s="3" t="s">
        <v>28</v>
      </c>
      <c r="S119" s="3">
        <v>5578020</v>
      </c>
      <c r="T119" s="3">
        <v>1130554160</v>
      </c>
      <c r="U119" s="3" t="s">
        <v>29</v>
      </c>
    </row>
    <row r="120" spans="1:21" ht="13.2" x14ac:dyDescent="0.25">
      <c r="A120" s="14">
        <v>11681470000184</v>
      </c>
      <c r="B120" s="15" t="str">
        <f t="shared" si="1"/>
        <v>11.681.470/0001-84</v>
      </c>
      <c r="C120" s="12" t="str">
        <f>VLOOKUP(B120,[1]Planilha1!$A:$B,2,0)</f>
        <v>Malu Montesino</v>
      </c>
      <c r="D120" s="3" t="s">
        <v>659</v>
      </c>
      <c r="E120" s="3" t="s">
        <v>660</v>
      </c>
      <c r="F120" s="3" t="s">
        <v>20</v>
      </c>
      <c r="G120" s="4">
        <v>40248</v>
      </c>
      <c r="H120" s="3" t="s">
        <v>21</v>
      </c>
      <c r="I120" s="3" t="s">
        <v>33</v>
      </c>
      <c r="J120" s="5">
        <v>1000000</v>
      </c>
      <c r="K120" s="3">
        <v>2852600</v>
      </c>
      <c r="L120" s="3" t="s">
        <v>661</v>
      </c>
      <c r="M120" s="3" t="s">
        <v>662</v>
      </c>
      <c r="N120" s="3" t="s">
        <v>82</v>
      </c>
      <c r="O120" s="3" t="s">
        <v>663</v>
      </c>
      <c r="P120" s="3" t="s">
        <v>153</v>
      </c>
      <c r="Q120" s="3" t="s">
        <v>664</v>
      </c>
      <c r="R120" s="3" t="s">
        <v>28</v>
      </c>
      <c r="S120" s="3">
        <v>13990000</v>
      </c>
      <c r="T120" s="3">
        <v>1938885800</v>
      </c>
      <c r="U120" s="3" t="s">
        <v>29</v>
      </c>
    </row>
    <row r="121" spans="1:21" ht="13.2" x14ac:dyDescent="0.25">
      <c r="A121" s="14">
        <v>9511423000140</v>
      </c>
      <c r="B121" s="15" t="str">
        <f t="shared" si="1"/>
        <v>09.511.423/0001-40</v>
      </c>
      <c r="C121" s="12" t="str">
        <f>VLOOKUP(B121,[1]Planilha1!$A:$B,2,0)</f>
        <v>Mariane Nascimento</v>
      </c>
      <c r="D121" s="3" t="s">
        <v>665</v>
      </c>
      <c r="E121" s="3" t="s">
        <v>665</v>
      </c>
      <c r="F121" s="3" t="s">
        <v>20</v>
      </c>
      <c r="G121" s="4">
        <v>39524</v>
      </c>
      <c r="H121" s="3" t="s">
        <v>21</v>
      </c>
      <c r="I121" s="3" t="s">
        <v>22</v>
      </c>
      <c r="J121" s="5">
        <v>200000</v>
      </c>
      <c r="K121" s="3">
        <v>4644301</v>
      </c>
      <c r="L121" s="3" t="s">
        <v>326</v>
      </c>
      <c r="M121" s="3" t="s">
        <v>666</v>
      </c>
      <c r="N121" s="3">
        <v>1414</v>
      </c>
      <c r="P121" s="3" t="s">
        <v>70</v>
      </c>
      <c r="Q121" s="3" t="s">
        <v>667</v>
      </c>
      <c r="R121" s="3" t="s">
        <v>301</v>
      </c>
      <c r="S121" s="3">
        <v>60110261</v>
      </c>
      <c r="T121" s="3">
        <v>8532546423</v>
      </c>
      <c r="U121" s="3" t="s">
        <v>29</v>
      </c>
    </row>
    <row r="122" spans="1:21" ht="13.2" x14ac:dyDescent="0.25">
      <c r="A122" s="14">
        <v>2283886000153</v>
      </c>
      <c r="B122" s="15" t="str">
        <f t="shared" si="1"/>
        <v>02.283.886/0001-53</v>
      </c>
      <c r="C122" s="12" t="str">
        <f>VLOOKUP(B122,[1]Planilha1!$A:$B,2,0)</f>
        <v>Malu Montesino</v>
      </c>
      <c r="D122" s="3" t="s">
        <v>668</v>
      </c>
      <c r="E122" s="3" t="s">
        <v>668</v>
      </c>
      <c r="F122" s="3" t="s">
        <v>20</v>
      </c>
      <c r="G122" s="4">
        <v>35691</v>
      </c>
      <c r="H122" s="3" t="s">
        <v>21</v>
      </c>
      <c r="I122" s="3" t="s">
        <v>33</v>
      </c>
      <c r="J122" s="5">
        <v>273985500</v>
      </c>
      <c r="K122" s="3">
        <v>7739099</v>
      </c>
      <c r="L122" s="3" t="s">
        <v>669</v>
      </c>
      <c r="M122" s="3" t="s">
        <v>670</v>
      </c>
      <c r="N122" s="3">
        <v>1000</v>
      </c>
      <c r="O122" s="3" t="s">
        <v>671</v>
      </c>
      <c r="P122" s="3" t="s">
        <v>672</v>
      </c>
      <c r="Q122" s="3" t="s">
        <v>673</v>
      </c>
      <c r="R122" s="3" t="s">
        <v>28</v>
      </c>
      <c r="S122" s="3">
        <v>13916074</v>
      </c>
      <c r="T122" s="3">
        <v>1938676650</v>
      </c>
      <c r="U122" s="3" t="s">
        <v>29</v>
      </c>
    </row>
    <row r="123" spans="1:21" ht="13.2" x14ac:dyDescent="0.25">
      <c r="A123" s="14">
        <v>58764309000138</v>
      </c>
      <c r="B123" s="15" t="str">
        <f t="shared" si="1"/>
        <v>58.764.309/0001-38</v>
      </c>
      <c r="C123" s="12"/>
      <c r="D123" s="3" t="s">
        <v>674</v>
      </c>
      <c r="E123" s="3" t="s">
        <v>674</v>
      </c>
      <c r="F123" s="3" t="s">
        <v>20</v>
      </c>
      <c r="G123" s="4">
        <v>32225</v>
      </c>
      <c r="H123" s="3" t="s">
        <v>94</v>
      </c>
      <c r="I123" s="3" t="s">
        <v>33</v>
      </c>
      <c r="J123" s="5">
        <v>471707460</v>
      </c>
      <c r="K123" s="3">
        <v>2833000</v>
      </c>
      <c r="L123" s="3" t="s">
        <v>151</v>
      </c>
      <c r="M123" s="3" t="s">
        <v>675</v>
      </c>
      <c r="N123" s="3">
        <v>1000</v>
      </c>
      <c r="P123" s="3" t="s">
        <v>676</v>
      </c>
      <c r="Q123" s="3" t="s">
        <v>677</v>
      </c>
      <c r="R123" s="3" t="s">
        <v>28</v>
      </c>
      <c r="S123" s="3">
        <v>19887899</v>
      </c>
      <c r="T123" s="3">
        <v>1134212674</v>
      </c>
      <c r="U123" s="3" t="s">
        <v>29</v>
      </c>
    </row>
    <row r="124" spans="1:21" ht="13.2" x14ac:dyDescent="0.25">
      <c r="A124" s="14">
        <v>3290250000100</v>
      </c>
      <c r="B124" s="15" t="str">
        <f t="shared" si="1"/>
        <v>03.290.250/0001-00</v>
      </c>
      <c r="C124" s="12" t="str">
        <f>VLOOKUP(B124,[1]Planilha1!$A:$B,2,0)</f>
        <v>Mariane Nascimento</v>
      </c>
      <c r="D124" s="3" t="s">
        <v>678</v>
      </c>
      <c r="E124" s="3" t="s">
        <v>678</v>
      </c>
      <c r="F124" s="3" t="s">
        <v>20</v>
      </c>
      <c r="G124" s="4">
        <v>36356</v>
      </c>
      <c r="H124" s="3" t="s">
        <v>21</v>
      </c>
      <c r="I124" s="3" t="s">
        <v>33</v>
      </c>
      <c r="J124" s="5">
        <v>183901860</v>
      </c>
      <c r="K124" s="3">
        <v>4669999</v>
      </c>
      <c r="L124" s="3" t="s">
        <v>558</v>
      </c>
      <c r="M124" s="3" t="s">
        <v>679</v>
      </c>
      <c r="N124" s="3">
        <v>1142</v>
      </c>
      <c r="O124" s="3" t="s">
        <v>680</v>
      </c>
      <c r="P124" s="3" t="s">
        <v>681</v>
      </c>
      <c r="Q124" s="3" t="s">
        <v>617</v>
      </c>
      <c r="R124" s="3" t="s">
        <v>28</v>
      </c>
      <c r="S124" s="3">
        <v>6455000</v>
      </c>
      <c r="T124" s="3">
        <v>1141973579</v>
      </c>
      <c r="U124" s="3" t="s">
        <v>29</v>
      </c>
    </row>
    <row r="125" spans="1:21" ht="13.2" x14ac:dyDescent="0.25">
      <c r="A125" s="14">
        <v>68993641000128</v>
      </c>
      <c r="B125" s="15" t="str">
        <f t="shared" si="1"/>
        <v>68.993.641/0001-28</v>
      </c>
      <c r="C125" s="12"/>
      <c r="D125" s="3" t="s">
        <v>682</v>
      </c>
      <c r="E125" s="3" t="s">
        <v>683</v>
      </c>
      <c r="F125" s="3" t="s">
        <v>20</v>
      </c>
      <c r="G125" s="4">
        <v>33900</v>
      </c>
      <c r="H125" s="3" t="s">
        <v>21</v>
      </c>
      <c r="I125" s="3" t="s">
        <v>33</v>
      </c>
      <c r="J125" s="5">
        <v>3250000</v>
      </c>
      <c r="K125" s="3">
        <v>4651601</v>
      </c>
      <c r="L125" s="3" t="s">
        <v>684</v>
      </c>
      <c r="M125" s="3" t="s">
        <v>685</v>
      </c>
      <c r="N125" s="3">
        <v>100</v>
      </c>
      <c r="O125" s="3" t="s">
        <v>686</v>
      </c>
      <c r="P125" s="3" t="s">
        <v>687</v>
      </c>
      <c r="Q125" s="3" t="s">
        <v>688</v>
      </c>
      <c r="R125" s="3" t="s">
        <v>28</v>
      </c>
      <c r="S125" s="3">
        <v>6714285</v>
      </c>
      <c r="T125" s="3">
        <v>1937594592</v>
      </c>
      <c r="U125" s="3" t="s">
        <v>29</v>
      </c>
    </row>
    <row r="126" spans="1:21" ht="13.2" x14ac:dyDescent="0.25">
      <c r="A126" s="14">
        <v>5222267000147</v>
      </c>
      <c r="B126" s="15" t="str">
        <f t="shared" si="1"/>
        <v>05.222.267/0001-47</v>
      </c>
      <c r="C126" s="12" t="str">
        <f>VLOOKUP(B126,[1]Planilha1!$A:$B,2,0)</f>
        <v>Malu Montesino</v>
      </c>
      <c r="D126" s="3" t="s">
        <v>689</v>
      </c>
      <c r="E126" s="3" t="s">
        <v>690</v>
      </c>
      <c r="F126" s="3" t="s">
        <v>20</v>
      </c>
      <c r="G126" s="4">
        <v>37483</v>
      </c>
      <c r="H126" s="3" t="s">
        <v>21</v>
      </c>
      <c r="I126" s="3" t="s">
        <v>33</v>
      </c>
      <c r="J126" s="5">
        <v>200000</v>
      </c>
      <c r="K126" s="3">
        <v>4664800</v>
      </c>
      <c r="L126" s="3" t="s">
        <v>691</v>
      </c>
      <c r="M126" s="3" t="s">
        <v>692</v>
      </c>
      <c r="N126" s="3">
        <v>438</v>
      </c>
      <c r="P126" s="3" t="s">
        <v>693</v>
      </c>
      <c r="Q126" s="3" t="s">
        <v>476</v>
      </c>
      <c r="R126" s="3" t="s">
        <v>100</v>
      </c>
      <c r="S126" s="3">
        <v>30190130</v>
      </c>
      <c r="T126" s="3">
        <v>3132145150</v>
      </c>
      <c r="U126" s="3" t="s">
        <v>29</v>
      </c>
    </row>
    <row r="127" spans="1:21" ht="13.2" x14ac:dyDescent="0.25">
      <c r="A127" s="14">
        <v>21725948000184</v>
      </c>
      <c r="B127" s="15" t="str">
        <f t="shared" si="1"/>
        <v>21.725.948/0001-84</v>
      </c>
      <c r="C127" s="12" t="str">
        <f>VLOOKUP(B127,[1]Planilha1!$A:$B,2,0)</f>
        <v>Malu Montesino</v>
      </c>
      <c r="D127" s="3" t="s">
        <v>694</v>
      </c>
      <c r="E127" s="3" t="s">
        <v>694</v>
      </c>
      <c r="F127" s="3" t="s">
        <v>20</v>
      </c>
      <c r="G127" s="4">
        <v>42026</v>
      </c>
      <c r="H127" s="3" t="s">
        <v>94</v>
      </c>
      <c r="I127" s="3" t="s">
        <v>33</v>
      </c>
      <c r="J127" s="5">
        <v>1143800</v>
      </c>
      <c r="K127" s="3">
        <v>2610800</v>
      </c>
      <c r="L127" s="3" t="s">
        <v>548</v>
      </c>
      <c r="M127" s="3" t="s">
        <v>695</v>
      </c>
      <c r="N127" s="3">
        <v>330</v>
      </c>
      <c r="O127" s="3" t="s">
        <v>696</v>
      </c>
      <c r="P127" s="3" t="s">
        <v>697</v>
      </c>
      <c r="Q127" s="3" t="s">
        <v>363</v>
      </c>
      <c r="R127" s="3" t="s">
        <v>100</v>
      </c>
      <c r="S127" s="3">
        <v>35501256</v>
      </c>
      <c r="T127" s="3">
        <v>3732121623</v>
      </c>
      <c r="U127" s="3" t="s">
        <v>29</v>
      </c>
    </row>
    <row r="128" spans="1:21" ht="13.2" x14ac:dyDescent="0.25">
      <c r="A128" s="14">
        <v>9412398000148</v>
      </c>
      <c r="B128" s="15" t="str">
        <f t="shared" si="1"/>
        <v>09.412.398/0001-48</v>
      </c>
      <c r="C128" s="12" t="str">
        <f>VLOOKUP(B128,[1]Planilha1!$A:$B,2,0)</f>
        <v>Malu Montesino</v>
      </c>
      <c r="D128" s="3" t="s">
        <v>698</v>
      </c>
      <c r="E128" s="3" t="s">
        <v>699</v>
      </c>
      <c r="F128" s="3" t="s">
        <v>20</v>
      </c>
      <c r="G128" s="4">
        <v>39511</v>
      </c>
      <c r="H128" s="3" t="s">
        <v>21</v>
      </c>
      <c r="I128" s="3" t="s">
        <v>22</v>
      </c>
      <c r="J128" s="5">
        <v>3000000</v>
      </c>
      <c r="K128" s="3">
        <v>5232000</v>
      </c>
      <c r="L128" s="3" t="s">
        <v>700</v>
      </c>
      <c r="M128" s="3" t="s">
        <v>701</v>
      </c>
      <c r="N128" s="3">
        <v>1700</v>
      </c>
      <c r="O128" s="3" t="s">
        <v>702</v>
      </c>
      <c r="P128" s="3" t="s">
        <v>703</v>
      </c>
      <c r="Q128" s="3" t="s">
        <v>27</v>
      </c>
      <c r="R128" s="3" t="s">
        <v>28</v>
      </c>
      <c r="S128" s="3">
        <v>5319000</v>
      </c>
      <c r="T128" s="3">
        <v>1131207002</v>
      </c>
      <c r="U128" s="3" t="s">
        <v>29</v>
      </c>
    </row>
    <row r="129" spans="1:21" ht="13.2" x14ac:dyDescent="0.25">
      <c r="A129" s="14">
        <v>5657559000102</v>
      </c>
      <c r="B129" s="15" t="str">
        <f t="shared" si="1"/>
        <v>05.657.559/0001-02</v>
      </c>
      <c r="C129" s="12"/>
      <c r="D129" s="3" t="s">
        <v>704</v>
      </c>
      <c r="E129" s="3" t="s">
        <v>705</v>
      </c>
      <c r="F129" s="3" t="s">
        <v>20</v>
      </c>
      <c r="G129" s="4">
        <v>37760</v>
      </c>
      <c r="H129" s="3" t="s">
        <v>21</v>
      </c>
      <c r="I129" s="3" t="s">
        <v>33</v>
      </c>
      <c r="J129" s="5">
        <v>300000</v>
      </c>
      <c r="K129" s="3">
        <v>4773300</v>
      </c>
      <c r="L129" s="3" t="s">
        <v>706</v>
      </c>
      <c r="M129" s="3" t="s">
        <v>707</v>
      </c>
      <c r="N129" s="3">
        <v>978</v>
      </c>
      <c r="O129" s="3" t="s">
        <v>708</v>
      </c>
      <c r="P129" s="3" t="s">
        <v>709</v>
      </c>
      <c r="Q129" s="3" t="s">
        <v>710</v>
      </c>
      <c r="R129" s="3" t="s">
        <v>711</v>
      </c>
      <c r="S129" s="3">
        <v>49055233</v>
      </c>
      <c r="T129" s="3">
        <v>7932118772</v>
      </c>
      <c r="U129" s="3" t="s">
        <v>29</v>
      </c>
    </row>
    <row r="130" spans="1:21" ht="13.2" x14ac:dyDescent="0.25">
      <c r="A130" s="14">
        <v>65817900000171</v>
      </c>
      <c r="B130" s="15" t="str">
        <f t="shared" si="1"/>
        <v>65.817.900/0001-71</v>
      </c>
      <c r="C130" s="12"/>
      <c r="D130" s="3" t="s">
        <v>712</v>
      </c>
      <c r="E130" s="3" t="s">
        <v>713</v>
      </c>
      <c r="F130" s="3" t="s">
        <v>20</v>
      </c>
      <c r="G130" s="4">
        <v>33350</v>
      </c>
      <c r="H130" s="3" t="s">
        <v>21</v>
      </c>
      <c r="I130" s="3" t="s">
        <v>33</v>
      </c>
      <c r="J130" s="5">
        <v>3000000</v>
      </c>
      <c r="K130" s="3">
        <v>4644301</v>
      </c>
      <c r="L130" s="3" t="s">
        <v>326</v>
      </c>
      <c r="M130" s="3" t="s">
        <v>714</v>
      </c>
      <c r="N130" s="3">
        <v>1105</v>
      </c>
      <c r="P130" s="3" t="s">
        <v>715</v>
      </c>
      <c r="Q130" s="3" t="s">
        <v>716</v>
      </c>
      <c r="R130" s="3" t="s">
        <v>28</v>
      </c>
      <c r="S130" s="3">
        <v>13617400</v>
      </c>
      <c r="T130" s="3">
        <v>1935737300</v>
      </c>
      <c r="U130" s="3" t="s">
        <v>29</v>
      </c>
    </row>
    <row r="131" spans="1:21" ht="13.2" x14ac:dyDescent="0.25">
      <c r="A131" s="14">
        <v>44857199000144</v>
      </c>
      <c r="B131" s="15" t="str">
        <f t="shared" ref="B131:B194" si="2">TEXT(A131,"00\.000\.000\/0000\-00")</f>
        <v>44.857.199/0001-44</v>
      </c>
      <c r="C131" s="12"/>
      <c r="D131" s="3" t="s">
        <v>717</v>
      </c>
      <c r="E131" s="3" t="s">
        <v>718</v>
      </c>
      <c r="F131" s="3" t="s">
        <v>20</v>
      </c>
      <c r="G131" s="4">
        <v>44574</v>
      </c>
      <c r="H131" s="3" t="s">
        <v>21</v>
      </c>
      <c r="I131" s="3" t="s">
        <v>33</v>
      </c>
      <c r="J131" s="5">
        <v>136000</v>
      </c>
      <c r="K131" s="3">
        <v>5211702</v>
      </c>
      <c r="L131" s="3" t="s">
        <v>719</v>
      </c>
      <c r="M131" s="3" t="s">
        <v>720</v>
      </c>
      <c r="N131" s="3">
        <v>345</v>
      </c>
      <c r="O131" s="3" t="s">
        <v>721</v>
      </c>
      <c r="P131" s="3" t="s">
        <v>722</v>
      </c>
      <c r="Q131" s="3" t="s">
        <v>253</v>
      </c>
      <c r="R131" s="3" t="s">
        <v>78</v>
      </c>
      <c r="S131" s="3">
        <v>21535490</v>
      </c>
      <c r="T131" s="3">
        <v>2121076050</v>
      </c>
      <c r="U131" s="3" t="s">
        <v>29</v>
      </c>
    </row>
    <row r="132" spans="1:21" ht="13.2" x14ac:dyDescent="0.25">
      <c r="A132" s="14">
        <v>29678987000180</v>
      </c>
      <c r="B132" s="15" t="str">
        <f t="shared" si="2"/>
        <v>29.678.987/0001-80</v>
      </c>
      <c r="C132" s="12"/>
      <c r="D132" s="3" t="s">
        <v>723</v>
      </c>
      <c r="E132" s="3" t="s">
        <v>724</v>
      </c>
      <c r="F132" s="3" t="s">
        <v>20</v>
      </c>
      <c r="G132" s="4">
        <v>43145</v>
      </c>
      <c r="H132" s="3" t="s">
        <v>21</v>
      </c>
      <c r="I132" s="3" t="s">
        <v>47</v>
      </c>
      <c r="J132" s="5">
        <v>40000</v>
      </c>
      <c r="K132" s="3">
        <v>5813100</v>
      </c>
      <c r="L132" s="3" t="s">
        <v>725</v>
      </c>
      <c r="M132" s="3" t="s">
        <v>246</v>
      </c>
      <c r="N132" s="3">
        <v>1636</v>
      </c>
      <c r="O132" s="3" t="s">
        <v>726</v>
      </c>
      <c r="P132" s="3" t="s">
        <v>248</v>
      </c>
      <c r="Q132" s="3" t="s">
        <v>27</v>
      </c>
      <c r="R132" s="3" t="s">
        <v>28</v>
      </c>
      <c r="S132" s="3">
        <v>1310200</v>
      </c>
      <c r="T132" s="3">
        <v>1151982342</v>
      </c>
      <c r="U132" s="3" t="s">
        <v>29</v>
      </c>
    </row>
    <row r="133" spans="1:21" ht="13.2" x14ac:dyDescent="0.25">
      <c r="A133" s="14">
        <v>88610324000192</v>
      </c>
      <c r="B133" s="15" t="str">
        <f t="shared" si="2"/>
        <v>88.610.324/0001-92</v>
      </c>
      <c r="C133" s="12" t="str">
        <f>VLOOKUP(B133,[1]Planilha1!$A:$B,2,0)</f>
        <v>Malu Montesino</v>
      </c>
      <c r="D133" s="3" t="s">
        <v>727</v>
      </c>
      <c r="E133" s="3" t="s">
        <v>727</v>
      </c>
      <c r="F133" s="3" t="s">
        <v>20</v>
      </c>
      <c r="G133" s="4">
        <v>24320</v>
      </c>
      <c r="H133" s="3" t="s">
        <v>94</v>
      </c>
      <c r="I133" s="3" t="s">
        <v>33</v>
      </c>
      <c r="J133" s="5">
        <v>0</v>
      </c>
      <c r="K133" s="3">
        <v>2831300</v>
      </c>
      <c r="L133" s="3" t="s">
        <v>608</v>
      </c>
      <c r="M133" s="3" t="s">
        <v>728</v>
      </c>
      <c r="N133" s="3">
        <v>15104</v>
      </c>
      <c r="P133" s="3" t="s">
        <v>729</v>
      </c>
      <c r="Q133" s="3" t="s">
        <v>730</v>
      </c>
      <c r="R133" s="3" t="s">
        <v>53</v>
      </c>
      <c r="S133" s="3">
        <v>95059520</v>
      </c>
      <c r="T133" s="3">
        <v>542388018</v>
      </c>
      <c r="U133" s="3" t="s">
        <v>29</v>
      </c>
    </row>
    <row r="134" spans="1:21" ht="13.2" x14ac:dyDescent="0.25">
      <c r="A134" s="14">
        <v>3860998000192</v>
      </c>
      <c r="B134" s="15" t="str">
        <f t="shared" si="2"/>
        <v>03.860.998/0001-92</v>
      </c>
      <c r="C134" s="12"/>
      <c r="D134" s="3" t="s">
        <v>731</v>
      </c>
      <c r="E134" s="3" t="s">
        <v>731</v>
      </c>
      <c r="F134" s="3" t="s">
        <v>20</v>
      </c>
      <c r="G134" s="4">
        <v>36675</v>
      </c>
      <c r="H134" s="3" t="s">
        <v>94</v>
      </c>
      <c r="I134" s="3" t="s">
        <v>33</v>
      </c>
      <c r="J134" s="5">
        <v>205469090</v>
      </c>
      <c r="K134" s="3">
        <v>2013402</v>
      </c>
      <c r="L134" s="3" t="s">
        <v>732</v>
      </c>
      <c r="M134" s="3" t="s">
        <v>733</v>
      </c>
      <c r="N134" s="3">
        <v>1876</v>
      </c>
      <c r="O134" s="3" t="s">
        <v>734</v>
      </c>
      <c r="P134" s="3" t="s">
        <v>735</v>
      </c>
      <c r="Q134" s="3" t="s">
        <v>524</v>
      </c>
      <c r="R134" s="3" t="s">
        <v>28</v>
      </c>
      <c r="S134" s="3">
        <v>14075330</v>
      </c>
      <c r="T134" s="3">
        <v>1154000021</v>
      </c>
      <c r="U134" s="3" t="s">
        <v>29</v>
      </c>
    </row>
    <row r="135" spans="1:21" ht="13.2" x14ac:dyDescent="0.25">
      <c r="A135" s="14">
        <v>81632093000179</v>
      </c>
      <c r="B135" s="15" t="str">
        <f t="shared" si="2"/>
        <v>81.632.093/0001-79</v>
      </c>
      <c r="C135" s="12" t="str">
        <f>VLOOKUP(B135,[1]Planilha1!$A:$B,2,0)</f>
        <v>Malu Montesino</v>
      </c>
      <c r="D135" s="3" t="s">
        <v>736</v>
      </c>
      <c r="E135" s="3" t="s">
        <v>736</v>
      </c>
      <c r="F135" s="3" t="s">
        <v>20</v>
      </c>
      <c r="G135" s="4">
        <v>32890</v>
      </c>
      <c r="H135" s="3" t="s">
        <v>21</v>
      </c>
      <c r="I135" s="3" t="s">
        <v>33</v>
      </c>
      <c r="J135" s="5">
        <v>56650370</v>
      </c>
      <c r="K135" s="3">
        <v>4681802</v>
      </c>
      <c r="L135" s="3" t="s">
        <v>737</v>
      </c>
      <c r="M135" s="3" t="s">
        <v>738</v>
      </c>
      <c r="N135" s="3">
        <v>2010</v>
      </c>
      <c r="O135" s="3" t="s">
        <v>496</v>
      </c>
      <c r="P135" s="3" t="s">
        <v>739</v>
      </c>
      <c r="Q135" s="3" t="s">
        <v>90</v>
      </c>
      <c r="R135" s="3" t="s">
        <v>91</v>
      </c>
      <c r="S135" s="3">
        <v>89257000</v>
      </c>
      <c r="T135" s="3">
        <v>4733728888</v>
      </c>
      <c r="U135" s="3" t="s">
        <v>29</v>
      </c>
    </row>
    <row r="136" spans="1:21" ht="13.2" x14ac:dyDescent="0.25">
      <c r="A136" s="14">
        <v>657669000150</v>
      </c>
      <c r="B136" s="15" t="str">
        <f t="shared" si="2"/>
        <v>00.657.669/0001-50</v>
      </c>
      <c r="C136" s="12" t="str">
        <f>VLOOKUP(B136,[1]Planilha1!$A:$B,2,0)</f>
        <v>Malu Montesino</v>
      </c>
      <c r="D136" s="3" t="s">
        <v>740</v>
      </c>
      <c r="E136" s="3" t="s">
        <v>741</v>
      </c>
      <c r="F136" s="3" t="s">
        <v>20</v>
      </c>
      <c r="G136" s="4">
        <v>34870</v>
      </c>
      <c r="H136" s="3" t="s">
        <v>21</v>
      </c>
      <c r="I136" s="3" t="s">
        <v>33</v>
      </c>
      <c r="J136" s="5">
        <v>450000</v>
      </c>
      <c r="K136" s="3">
        <v>2833000</v>
      </c>
      <c r="L136" s="3" t="s">
        <v>151</v>
      </c>
      <c r="M136" s="3" t="s">
        <v>742</v>
      </c>
      <c r="N136" s="3">
        <v>347</v>
      </c>
      <c r="P136" s="3" t="s">
        <v>743</v>
      </c>
      <c r="Q136" s="3" t="s">
        <v>744</v>
      </c>
      <c r="R136" s="3" t="s">
        <v>28</v>
      </c>
      <c r="S136" s="3">
        <v>13167546</v>
      </c>
      <c r="T136" s="3">
        <v>1938771404</v>
      </c>
      <c r="U136" s="3" t="s">
        <v>29</v>
      </c>
    </row>
    <row r="137" spans="1:21" ht="13.2" x14ac:dyDescent="0.25">
      <c r="A137" s="14">
        <v>88093141000147</v>
      </c>
      <c r="B137" s="15" t="str">
        <f t="shared" si="2"/>
        <v>88.093.141/0001-47</v>
      </c>
      <c r="C137" s="12"/>
      <c r="D137" s="3" t="s">
        <v>745</v>
      </c>
      <c r="E137" s="3" t="s">
        <v>746</v>
      </c>
      <c r="F137" s="3" t="s">
        <v>20</v>
      </c>
      <c r="G137" s="4">
        <v>27180</v>
      </c>
      <c r="H137" s="3" t="s">
        <v>21</v>
      </c>
      <c r="I137" s="3" t="s">
        <v>33</v>
      </c>
      <c r="J137" s="5">
        <v>4648769</v>
      </c>
      <c r="K137" s="3">
        <v>2833000</v>
      </c>
      <c r="L137" s="3" t="s">
        <v>151</v>
      </c>
      <c r="M137" s="3" t="s">
        <v>747</v>
      </c>
      <c r="N137" s="3" t="s">
        <v>82</v>
      </c>
      <c r="P137" s="3" t="s">
        <v>153</v>
      </c>
      <c r="Q137" s="3" t="s">
        <v>748</v>
      </c>
      <c r="R137" s="3" t="s">
        <v>53</v>
      </c>
      <c r="S137" s="3">
        <v>97030440</v>
      </c>
      <c r="U137" s="3" t="s">
        <v>29</v>
      </c>
    </row>
    <row r="138" spans="1:21" ht="13.2" x14ac:dyDescent="0.25">
      <c r="A138" s="14">
        <v>1165514000160</v>
      </c>
      <c r="B138" s="15" t="str">
        <f t="shared" si="2"/>
        <v>01.165.514/0001-60</v>
      </c>
      <c r="C138" s="12" t="str">
        <f>VLOOKUP(B138,[1]Planilha1!$A:$B,2,0)</f>
        <v>Malu Montesino</v>
      </c>
      <c r="D138" s="3" t="s">
        <v>749</v>
      </c>
      <c r="E138" s="3" t="s">
        <v>749</v>
      </c>
      <c r="F138" s="3" t="s">
        <v>20</v>
      </c>
      <c r="G138" s="4">
        <v>35177</v>
      </c>
      <c r="H138" s="3" t="s">
        <v>21</v>
      </c>
      <c r="I138" s="3" t="s">
        <v>22</v>
      </c>
      <c r="J138" s="5">
        <v>10000</v>
      </c>
      <c r="K138" s="3">
        <v>4633801</v>
      </c>
      <c r="L138" s="3" t="s">
        <v>750</v>
      </c>
      <c r="M138" s="3" t="s">
        <v>751</v>
      </c>
      <c r="N138" s="3">
        <v>1946</v>
      </c>
      <c r="O138" s="3" t="s">
        <v>752</v>
      </c>
      <c r="P138" s="3" t="s">
        <v>753</v>
      </c>
      <c r="Q138" s="3" t="s">
        <v>27</v>
      </c>
      <c r="R138" s="3" t="s">
        <v>28</v>
      </c>
      <c r="S138" s="3">
        <v>5316900</v>
      </c>
      <c r="T138" s="3">
        <v>1130310354</v>
      </c>
      <c r="U138" s="3" t="s">
        <v>29</v>
      </c>
    </row>
    <row r="139" spans="1:21" ht="13.2" x14ac:dyDescent="0.25">
      <c r="A139" s="14">
        <v>5480746000163</v>
      </c>
      <c r="B139" s="15" t="str">
        <f t="shared" si="2"/>
        <v>05.480.746/0001-63</v>
      </c>
      <c r="C139" s="12"/>
      <c r="D139" s="3" t="s">
        <v>754</v>
      </c>
      <c r="E139" s="3" t="s">
        <v>755</v>
      </c>
      <c r="F139" s="3" t="s">
        <v>45</v>
      </c>
      <c r="G139" s="4">
        <v>37642</v>
      </c>
      <c r="H139" s="3" t="s">
        <v>21</v>
      </c>
      <c r="I139" s="3" t="s">
        <v>33</v>
      </c>
      <c r="J139" s="5">
        <v>75000000</v>
      </c>
      <c r="K139" s="3">
        <v>4661300</v>
      </c>
      <c r="L139" s="3" t="s">
        <v>595</v>
      </c>
      <c r="M139" s="3" t="s">
        <v>756</v>
      </c>
      <c r="N139" s="3">
        <v>2478</v>
      </c>
      <c r="P139" s="3" t="s">
        <v>757</v>
      </c>
      <c r="Q139" s="3" t="s">
        <v>758</v>
      </c>
      <c r="R139" s="3" t="s">
        <v>225</v>
      </c>
      <c r="S139" s="3">
        <v>78705540</v>
      </c>
      <c r="T139" s="3">
        <v>6634118888</v>
      </c>
      <c r="U139" s="3" t="s">
        <v>29</v>
      </c>
    </row>
    <row r="140" spans="1:21" ht="13.2" x14ac:dyDescent="0.25">
      <c r="A140" s="14">
        <v>19691327000185</v>
      </c>
      <c r="B140" s="15" t="str">
        <f t="shared" si="2"/>
        <v>19.691.327/0001-85</v>
      </c>
      <c r="C140" s="12"/>
      <c r="D140" s="3" t="s">
        <v>759</v>
      </c>
      <c r="E140" s="3" t="s">
        <v>759</v>
      </c>
      <c r="F140" s="3" t="s">
        <v>20</v>
      </c>
      <c r="G140" s="4">
        <v>41680</v>
      </c>
      <c r="H140" s="3" t="s">
        <v>21</v>
      </c>
      <c r="I140" s="3" t="s">
        <v>33</v>
      </c>
      <c r="J140" s="5">
        <v>3795360</v>
      </c>
      <c r="K140" s="3">
        <v>1031700</v>
      </c>
      <c r="L140" s="3" t="s">
        <v>760</v>
      </c>
      <c r="M140" s="3" t="s">
        <v>761</v>
      </c>
      <c r="N140" s="3" t="s">
        <v>82</v>
      </c>
      <c r="O140" s="3" t="s">
        <v>762</v>
      </c>
      <c r="P140" s="3" t="s">
        <v>763</v>
      </c>
      <c r="Q140" s="3" t="s">
        <v>764</v>
      </c>
      <c r="R140" s="3" t="s">
        <v>765</v>
      </c>
      <c r="S140" s="3">
        <v>29278000</v>
      </c>
      <c r="T140" s="3">
        <v>2799813567</v>
      </c>
      <c r="U140" s="3" t="s">
        <v>29</v>
      </c>
    </row>
    <row r="141" spans="1:21" ht="13.2" x14ac:dyDescent="0.25">
      <c r="A141" s="14">
        <v>37325063000128</v>
      </c>
      <c r="B141" s="15" t="str">
        <f t="shared" si="2"/>
        <v>37.325.063/0001-28</v>
      </c>
      <c r="C141" s="12" t="str">
        <f>VLOOKUP(B141,[1]Planilha1!$A:$B,2,0)</f>
        <v>Malu Montesino</v>
      </c>
      <c r="D141" s="3" t="s">
        <v>766</v>
      </c>
      <c r="E141" s="3" t="s">
        <v>767</v>
      </c>
      <c r="F141" s="3" t="s">
        <v>20</v>
      </c>
      <c r="G141" s="4">
        <v>43986</v>
      </c>
      <c r="H141" s="3" t="s">
        <v>21</v>
      </c>
      <c r="I141" s="3" t="s">
        <v>47</v>
      </c>
      <c r="J141" s="5">
        <v>100000</v>
      </c>
      <c r="K141" s="3">
        <v>4530703</v>
      </c>
      <c r="L141" s="3" t="s">
        <v>768</v>
      </c>
      <c r="M141" s="3" t="s">
        <v>769</v>
      </c>
      <c r="N141" s="3">
        <v>347</v>
      </c>
      <c r="O141" s="3" t="s">
        <v>770</v>
      </c>
      <c r="P141" s="3" t="s">
        <v>771</v>
      </c>
      <c r="Q141" s="3" t="s">
        <v>273</v>
      </c>
      <c r="R141" s="3" t="s">
        <v>274</v>
      </c>
      <c r="S141" s="3">
        <v>74430360</v>
      </c>
      <c r="T141" s="3">
        <v>6232919912</v>
      </c>
      <c r="U141" s="3" t="s">
        <v>29</v>
      </c>
    </row>
    <row r="142" spans="1:21" ht="13.2" x14ac:dyDescent="0.25">
      <c r="A142" s="14">
        <v>8205477000115</v>
      </c>
      <c r="B142" s="15" t="str">
        <f t="shared" si="2"/>
        <v>08.205.477/0001-15</v>
      </c>
      <c r="C142" s="12"/>
      <c r="D142" s="3" t="s">
        <v>772</v>
      </c>
      <c r="E142" s="3" t="s">
        <v>773</v>
      </c>
      <c r="F142" s="3" t="s">
        <v>20</v>
      </c>
      <c r="G142" s="4">
        <v>38924</v>
      </c>
      <c r="H142" s="3" t="s">
        <v>21</v>
      </c>
      <c r="I142" s="3" t="s">
        <v>22</v>
      </c>
      <c r="J142" s="5">
        <v>1300000</v>
      </c>
      <c r="K142" s="3">
        <v>4789099</v>
      </c>
      <c r="L142" s="3" t="s">
        <v>774</v>
      </c>
      <c r="M142" s="3" t="s">
        <v>775</v>
      </c>
      <c r="N142" s="3">
        <v>56</v>
      </c>
      <c r="P142" s="3" t="s">
        <v>70</v>
      </c>
      <c r="Q142" s="3" t="s">
        <v>776</v>
      </c>
      <c r="R142" s="3" t="s">
        <v>281</v>
      </c>
      <c r="S142" s="3">
        <v>46430000</v>
      </c>
      <c r="T142" s="3">
        <v>7734515673</v>
      </c>
      <c r="U142" s="3" t="s">
        <v>29</v>
      </c>
    </row>
    <row r="143" spans="1:21" ht="13.2" x14ac:dyDescent="0.25">
      <c r="A143" s="14">
        <v>88369889000120</v>
      </c>
      <c r="B143" s="15" t="str">
        <f t="shared" si="2"/>
        <v>88.369.889/0001-20</v>
      </c>
      <c r="C143" s="12"/>
      <c r="D143" s="3" t="s">
        <v>777</v>
      </c>
      <c r="E143" s="3" t="s">
        <v>778</v>
      </c>
      <c r="F143" s="3" t="s">
        <v>20</v>
      </c>
      <c r="G143" s="4">
        <v>27026</v>
      </c>
      <c r="H143" s="3" t="s">
        <v>94</v>
      </c>
      <c r="I143" s="3" t="s">
        <v>33</v>
      </c>
      <c r="J143" s="5">
        <v>28500000</v>
      </c>
      <c r="K143" s="3">
        <v>111302</v>
      </c>
      <c r="L143" s="3" t="s">
        <v>779</v>
      </c>
      <c r="M143" s="3" t="s">
        <v>780</v>
      </c>
      <c r="N143" s="3">
        <v>160</v>
      </c>
      <c r="P143" s="3" t="s">
        <v>70</v>
      </c>
      <c r="Q143" s="3" t="s">
        <v>781</v>
      </c>
      <c r="R143" s="3" t="s">
        <v>53</v>
      </c>
      <c r="S143" s="3">
        <v>95770000</v>
      </c>
      <c r="T143" s="3">
        <v>5136374545</v>
      </c>
      <c r="U143" s="3" t="s">
        <v>29</v>
      </c>
    </row>
    <row r="144" spans="1:21" ht="13.2" x14ac:dyDescent="0.25">
      <c r="A144" s="14">
        <v>3542091000185</v>
      </c>
      <c r="B144" s="15" t="str">
        <f t="shared" si="2"/>
        <v>03.542.091/0001-85</v>
      </c>
      <c r="C144" s="12"/>
      <c r="D144" s="3" t="s">
        <v>782</v>
      </c>
      <c r="E144" s="3" t="s">
        <v>782</v>
      </c>
      <c r="F144" s="3" t="s">
        <v>20</v>
      </c>
      <c r="G144" s="4">
        <v>36502</v>
      </c>
      <c r="H144" s="3" t="s">
        <v>21</v>
      </c>
      <c r="I144" s="3" t="s">
        <v>33</v>
      </c>
      <c r="J144" s="5">
        <v>1123800</v>
      </c>
      <c r="K144" s="3">
        <v>4689399</v>
      </c>
      <c r="L144" s="3" t="s">
        <v>783</v>
      </c>
      <c r="M144" s="3" t="s">
        <v>784</v>
      </c>
      <c r="N144" s="3">
        <v>21</v>
      </c>
      <c r="O144" s="3" t="s">
        <v>785</v>
      </c>
      <c r="P144" s="3" t="s">
        <v>70</v>
      </c>
      <c r="Q144" s="3" t="s">
        <v>253</v>
      </c>
      <c r="R144" s="3" t="s">
        <v>78</v>
      </c>
      <c r="S144" s="3">
        <v>20010000</v>
      </c>
      <c r="T144" s="3">
        <v>2125332200</v>
      </c>
      <c r="U144" s="3" t="s">
        <v>29</v>
      </c>
    </row>
    <row r="145" spans="1:21" ht="13.2" x14ac:dyDescent="0.25">
      <c r="A145" s="14">
        <v>15622879000180</v>
      </c>
      <c r="B145" s="15" t="str">
        <f t="shared" si="2"/>
        <v>15.622.879/0001-80</v>
      </c>
      <c r="C145" s="12"/>
      <c r="D145" s="3" t="s">
        <v>786</v>
      </c>
      <c r="E145" s="3" t="s">
        <v>787</v>
      </c>
      <c r="F145" s="3" t="s">
        <v>20</v>
      </c>
      <c r="G145" s="4">
        <v>41059</v>
      </c>
      <c r="H145" s="3" t="s">
        <v>21</v>
      </c>
      <c r="I145" s="3" t="s">
        <v>33</v>
      </c>
      <c r="J145" s="5">
        <v>740000</v>
      </c>
      <c r="K145" s="3">
        <v>3600601</v>
      </c>
      <c r="L145" s="3" t="s">
        <v>788</v>
      </c>
      <c r="M145" s="3" t="s">
        <v>789</v>
      </c>
      <c r="N145" s="3">
        <v>671</v>
      </c>
      <c r="P145" s="3" t="s">
        <v>790</v>
      </c>
      <c r="Q145" s="3" t="s">
        <v>791</v>
      </c>
      <c r="R145" s="3" t="s">
        <v>792</v>
      </c>
      <c r="S145" s="3">
        <v>68502370</v>
      </c>
      <c r="T145" s="3">
        <v>9432225444</v>
      </c>
      <c r="U145" s="3" t="s">
        <v>29</v>
      </c>
    </row>
    <row r="146" spans="1:21" ht="13.2" x14ac:dyDescent="0.25">
      <c r="A146" s="14">
        <v>4407874000119</v>
      </c>
      <c r="B146" s="15" t="str">
        <f t="shared" si="2"/>
        <v>04.407.874/0001-19</v>
      </c>
      <c r="C146" s="12"/>
      <c r="D146" s="3" t="s">
        <v>793</v>
      </c>
      <c r="E146" s="3" t="s">
        <v>794</v>
      </c>
      <c r="F146" s="3" t="s">
        <v>31</v>
      </c>
      <c r="G146" s="4">
        <v>37005</v>
      </c>
      <c r="H146" s="3" t="s">
        <v>21</v>
      </c>
      <c r="I146" s="3" t="s">
        <v>33</v>
      </c>
      <c r="J146" s="5">
        <v>1200000</v>
      </c>
      <c r="K146" s="3">
        <v>1121600</v>
      </c>
      <c r="L146" s="3" t="s">
        <v>795</v>
      </c>
      <c r="M146" s="3" t="s">
        <v>796</v>
      </c>
      <c r="N146" s="3" t="s">
        <v>111</v>
      </c>
      <c r="P146" s="3" t="s">
        <v>797</v>
      </c>
      <c r="Q146" s="3" t="s">
        <v>798</v>
      </c>
      <c r="R146" s="3" t="s">
        <v>382</v>
      </c>
      <c r="S146" s="3">
        <v>65110000</v>
      </c>
      <c r="T146" s="3">
        <v>9832311650</v>
      </c>
      <c r="U146" s="3" t="s">
        <v>29</v>
      </c>
    </row>
    <row r="147" spans="1:21" ht="13.2" x14ac:dyDescent="0.25">
      <c r="A147" s="14">
        <v>8455185000130</v>
      </c>
      <c r="B147" s="15" t="str">
        <f t="shared" si="2"/>
        <v>08.455.185/0001-30</v>
      </c>
      <c r="C147" s="12"/>
      <c r="D147" s="3" t="s">
        <v>799</v>
      </c>
      <c r="E147" s="3" t="s">
        <v>799</v>
      </c>
      <c r="F147" s="3" t="s">
        <v>20</v>
      </c>
      <c r="G147" s="4">
        <v>39038</v>
      </c>
      <c r="H147" s="3" t="s">
        <v>94</v>
      </c>
      <c r="I147" s="3" t="s">
        <v>33</v>
      </c>
      <c r="J147" s="5">
        <v>35159110</v>
      </c>
      <c r="K147" s="3">
        <v>6462000</v>
      </c>
      <c r="L147" s="3" t="s">
        <v>250</v>
      </c>
      <c r="M147" s="3" t="s">
        <v>800</v>
      </c>
      <c r="N147" s="3">
        <v>890</v>
      </c>
      <c r="O147" s="3" t="s">
        <v>801</v>
      </c>
      <c r="P147" s="3" t="s">
        <v>461</v>
      </c>
      <c r="Q147" s="3" t="s">
        <v>27</v>
      </c>
      <c r="R147" s="3" t="s">
        <v>28</v>
      </c>
      <c r="S147" s="3">
        <v>1304001</v>
      </c>
      <c r="T147" s="3">
        <v>1130185800</v>
      </c>
      <c r="U147" s="3" t="s">
        <v>29</v>
      </c>
    </row>
    <row r="148" spans="1:21" ht="13.2" x14ac:dyDescent="0.25">
      <c r="A148" s="14">
        <v>20918034000177</v>
      </c>
      <c r="B148" s="15" t="str">
        <f t="shared" si="2"/>
        <v>20.918.034/0001-77</v>
      </c>
      <c r="C148" s="12" t="str">
        <f>VLOOKUP(B148,[1]Planilha1!$A:$B,2,0)</f>
        <v>Malu Montesino</v>
      </c>
      <c r="D148" s="3" t="s">
        <v>802</v>
      </c>
      <c r="E148" s="3" t="s">
        <v>802</v>
      </c>
      <c r="F148" s="3" t="s">
        <v>20</v>
      </c>
      <c r="G148" s="4">
        <v>41878</v>
      </c>
      <c r="H148" s="3" t="s">
        <v>94</v>
      </c>
      <c r="I148" s="3" t="s">
        <v>33</v>
      </c>
      <c r="J148" s="5">
        <v>114727000</v>
      </c>
      <c r="K148" s="3">
        <v>3600601</v>
      </c>
      <c r="L148" s="3" t="s">
        <v>788</v>
      </c>
      <c r="M148" s="3" t="s">
        <v>803</v>
      </c>
      <c r="N148" s="3">
        <v>1250</v>
      </c>
      <c r="P148" s="3" t="s">
        <v>804</v>
      </c>
      <c r="Q148" s="3" t="s">
        <v>805</v>
      </c>
      <c r="R148" s="3" t="s">
        <v>28</v>
      </c>
      <c r="S148" s="3">
        <v>17208550</v>
      </c>
      <c r="T148" s="3">
        <v>2127299247</v>
      </c>
      <c r="U148" s="3" t="s">
        <v>29</v>
      </c>
    </row>
    <row r="149" spans="1:21" ht="13.2" x14ac:dyDescent="0.25">
      <c r="A149" s="14">
        <v>1280003000199</v>
      </c>
      <c r="B149" s="15" t="str">
        <f t="shared" si="2"/>
        <v>01.280.003/0001-99</v>
      </c>
      <c r="C149" s="12"/>
      <c r="D149" s="3" t="s">
        <v>806</v>
      </c>
      <c r="E149" s="3" t="s">
        <v>806</v>
      </c>
      <c r="F149" s="3" t="s">
        <v>20</v>
      </c>
      <c r="G149" s="4">
        <v>35240</v>
      </c>
      <c r="H149" s="3" t="s">
        <v>94</v>
      </c>
      <c r="I149" s="3" t="s">
        <v>33</v>
      </c>
      <c r="J149" s="5">
        <v>116500000</v>
      </c>
      <c r="K149" s="3">
        <v>3600601</v>
      </c>
      <c r="L149" s="3" t="s">
        <v>788</v>
      </c>
      <c r="M149" s="3" t="s">
        <v>807</v>
      </c>
      <c r="N149" s="3">
        <v>233</v>
      </c>
      <c r="P149" s="3" t="s">
        <v>808</v>
      </c>
      <c r="Q149" s="3" t="s">
        <v>809</v>
      </c>
      <c r="R149" s="3" t="s">
        <v>78</v>
      </c>
      <c r="S149" s="3">
        <v>28025496</v>
      </c>
      <c r="T149" s="3">
        <v>2127299247</v>
      </c>
      <c r="U149" s="3" t="s">
        <v>29</v>
      </c>
    </row>
    <row r="150" spans="1:21" ht="13.2" x14ac:dyDescent="0.25">
      <c r="A150" s="14">
        <v>8202415000150</v>
      </c>
      <c r="B150" s="15" t="str">
        <f t="shared" si="2"/>
        <v>08.202.415/0001-50</v>
      </c>
      <c r="C150" s="12"/>
      <c r="D150" s="3" t="s">
        <v>810</v>
      </c>
      <c r="E150" s="3" t="s">
        <v>811</v>
      </c>
      <c r="F150" s="3" t="s">
        <v>20</v>
      </c>
      <c r="G150" s="4">
        <v>38936</v>
      </c>
      <c r="H150" s="3" t="s">
        <v>94</v>
      </c>
      <c r="I150" s="3" t="s">
        <v>33</v>
      </c>
      <c r="J150" s="5">
        <v>45658870</v>
      </c>
      <c r="K150" s="3">
        <v>2652300</v>
      </c>
      <c r="L150" s="3" t="s">
        <v>812</v>
      </c>
      <c r="M150" s="3" t="s">
        <v>104</v>
      </c>
      <c r="N150" s="3">
        <v>600</v>
      </c>
      <c r="O150" s="3" t="s">
        <v>813</v>
      </c>
      <c r="P150" s="3" t="s">
        <v>814</v>
      </c>
      <c r="Q150" s="3" t="s">
        <v>107</v>
      </c>
      <c r="R150" s="3" t="s">
        <v>91</v>
      </c>
      <c r="S150" s="3">
        <v>88030000</v>
      </c>
      <c r="T150" s="3">
        <v>4840529834</v>
      </c>
      <c r="U150" s="3" t="s">
        <v>29</v>
      </c>
    </row>
    <row r="151" spans="1:21" ht="13.2" x14ac:dyDescent="0.25">
      <c r="A151" s="14">
        <v>57103673000194</v>
      </c>
      <c r="B151" s="15" t="str">
        <f t="shared" si="2"/>
        <v>57.103.673/0001-94</v>
      </c>
      <c r="C151" s="12"/>
      <c r="D151" s="3" t="s">
        <v>815</v>
      </c>
      <c r="E151" s="3" t="s">
        <v>815</v>
      </c>
      <c r="F151" s="3" t="s">
        <v>20</v>
      </c>
      <c r="G151" s="4">
        <v>31819</v>
      </c>
      <c r="H151" s="3" t="s">
        <v>21</v>
      </c>
      <c r="I151" s="3" t="s">
        <v>22</v>
      </c>
      <c r="J151" s="5">
        <v>1100000</v>
      </c>
      <c r="K151" s="3">
        <v>7112000</v>
      </c>
      <c r="L151" s="3" t="s">
        <v>276</v>
      </c>
      <c r="M151" s="3" t="s">
        <v>816</v>
      </c>
      <c r="N151" s="3">
        <v>241</v>
      </c>
      <c r="P151" s="3" t="s">
        <v>817</v>
      </c>
      <c r="Q151" s="3" t="s">
        <v>217</v>
      </c>
      <c r="R151" s="3" t="s">
        <v>28</v>
      </c>
      <c r="S151" s="3">
        <v>9750330</v>
      </c>
      <c r="T151" s="3">
        <v>1123680216</v>
      </c>
      <c r="U151" s="3" t="s">
        <v>29</v>
      </c>
    </row>
    <row r="152" spans="1:21" ht="13.2" x14ac:dyDescent="0.25">
      <c r="A152" s="14">
        <v>767144000178</v>
      </c>
      <c r="B152" s="15" t="str">
        <f t="shared" si="2"/>
        <v>00.767.144/0001-78</v>
      </c>
      <c r="C152" s="12"/>
      <c r="D152" s="3" t="s">
        <v>818</v>
      </c>
      <c r="E152" s="3" t="s">
        <v>819</v>
      </c>
      <c r="F152" s="3" t="s">
        <v>20</v>
      </c>
      <c r="G152" s="4">
        <v>34878</v>
      </c>
      <c r="H152" s="3" t="s">
        <v>21</v>
      </c>
      <c r="I152" s="3" t="s">
        <v>33</v>
      </c>
      <c r="J152" s="5">
        <v>138066220</v>
      </c>
      <c r="K152" s="3">
        <v>1721400</v>
      </c>
      <c r="L152" s="3" t="s">
        <v>820</v>
      </c>
      <c r="M152" s="3" t="s">
        <v>821</v>
      </c>
      <c r="N152" s="3">
        <v>770</v>
      </c>
      <c r="P152" s="3" t="s">
        <v>822</v>
      </c>
      <c r="Q152" s="3" t="s">
        <v>823</v>
      </c>
      <c r="R152" s="3" t="s">
        <v>28</v>
      </c>
      <c r="S152" s="3">
        <v>13290290</v>
      </c>
      <c r="T152" s="3">
        <v>1938789200</v>
      </c>
      <c r="U152" s="3" t="s">
        <v>29</v>
      </c>
    </row>
    <row r="153" spans="1:21" ht="13.2" x14ac:dyDescent="0.25">
      <c r="A153" s="14">
        <v>7500596000138</v>
      </c>
      <c r="B153" s="15" t="str">
        <f t="shared" si="2"/>
        <v>07.500.596/0001-38</v>
      </c>
      <c r="C153" s="12"/>
      <c r="D153" s="3" t="s">
        <v>824</v>
      </c>
      <c r="E153" s="3" t="s">
        <v>825</v>
      </c>
      <c r="F153" s="3" t="s">
        <v>20</v>
      </c>
      <c r="G153" s="4">
        <v>38545</v>
      </c>
      <c r="H153" s="3" t="s">
        <v>21</v>
      </c>
      <c r="I153" s="3" t="s">
        <v>33</v>
      </c>
      <c r="J153" s="5">
        <v>900000</v>
      </c>
      <c r="K153" s="3">
        <v>2829101</v>
      </c>
      <c r="L153" s="3" t="s">
        <v>826</v>
      </c>
      <c r="M153" s="3" t="s">
        <v>827</v>
      </c>
      <c r="N153" s="3">
        <v>148</v>
      </c>
      <c r="O153" s="3" t="s">
        <v>828</v>
      </c>
      <c r="P153" s="3" t="s">
        <v>153</v>
      </c>
      <c r="Q153" s="3" t="s">
        <v>829</v>
      </c>
      <c r="R153" s="3" t="s">
        <v>100</v>
      </c>
      <c r="S153" s="3">
        <v>37504110</v>
      </c>
      <c r="T153" s="3">
        <v>3536297550</v>
      </c>
      <c r="U153" s="3" t="s">
        <v>29</v>
      </c>
    </row>
    <row r="154" spans="1:21" ht="13.2" x14ac:dyDescent="0.25">
      <c r="A154" s="14">
        <v>48605307000142</v>
      </c>
      <c r="B154" s="15" t="str">
        <f t="shared" si="2"/>
        <v>48.605.307/0001-42</v>
      </c>
      <c r="C154" s="12"/>
      <c r="D154" s="3" t="s">
        <v>830</v>
      </c>
      <c r="E154" s="3" t="s">
        <v>831</v>
      </c>
      <c r="F154" s="3" t="s">
        <v>20</v>
      </c>
      <c r="G154" s="4">
        <v>28097</v>
      </c>
      <c r="H154" s="3" t="s">
        <v>244</v>
      </c>
      <c r="I154" s="3" t="s">
        <v>33</v>
      </c>
      <c r="J154" s="5">
        <v>0</v>
      </c>
      <c r="K154" s="3">
        <v>9430800</v>
      </c>
      <c r="L154" s="3" t="s">
        <v>626</v>
      </c>
      <c r="M154" s="3" t="s">
        <v>246</v>
      </c>
      <c r="N154" s="3">
        <v>1471</v>
      </c>
      <c r="P154" s="3" t="s">
        <v>248</v>
      </c>
      <c r="Q154" s="3" t="s">
        <v>27</v>
      </c>
      <c r="R154" s="3" t="s">
        <v>28</v>
      </c>
      <c r="S154" s="3">
        <v>1311927</v>
      </c>
      <c r="T154" s="3">
        <v>1155494880</v>
      </c>
      <c r="U154" s="3" t="s">
        <v>29</v>
      </c>
    </row>
    <row r="155" spans="1:21" ht="13.2" x14ac:dyDescent="0.25">
      <c r="A155" s="14">
        <v>331788000119</v>
      </c>
      <c r="B155" s="15" t="str">
        <f t="shared" si="2"/>
        <v>00.331.788/0001-19</v>
      </c>
      <c r="C155" s="12"/>
      <c r="D155" s="3" t="s">
        <v>832</v>
      </c>
      <c r="E155" s="3" t="s">
        <v>832</v>
      </c>
      <c r="F155" s="3" t="s">
        <v>20</v>
      </c>
      <c r="G155" s="4">
        <v>34670</v>
      </c>
      <c r="H155" s="3" t="s">
        <v>21</v>
      </c>
      <c r="I155" s="3" t="s">
        <v>33</v>
      </c>
      <c r="J155" s="5">
        <v>1240442000</v>
      </c>
      <c r="K155" s="3">
        <v>2014200</v>
      </c>
      <c r="L155" s="3" t="s">
        <v>833</v>
      </c>
      <c r="M155" s="3" t="s">
        <v>834</v>
      </c>
      <c r="N155" s="3">
        <v>8234</v>
      </c>
      <c r="O155" s="3" t="s">
        <v>835</v>
      </c>
      <c r="P155" s="3" t="s">
        <v>241</v>
      </c>
      <c r="Q155" s="3" t="s">
        <v>27</v>
      </c>
      <c r="R155" s="3" t="s">
        <v>28</v>
      </c>
      <c r="S155" s="3">
        <v>4703901</v>
      </c>
      <c r="T155" s="3">
        <v>1155098300</v>
      </c>
      <c r="U155" s="3" t="s">
        <v>29</v>
      </c>
    </row>
    <row r="156" spans="1:21" ht="13.2" x14ac:dyDescent="0.25">
      <c r="A156" s="14">
        <v>43843358000199</v>
      </c>
      <c r="B156" s="15" t="str">
        <f t="shared" si="2"/>
        <v>43.843.358/0001-99</v>
      </c>
      <c r="C156" s="12" t="str">
        <f>VLOOKUP(B156,[1]Planilha1!$A:$B,2,0)</f>
        <v>Malu Montesino</v>
      </c>
      <c r="D156" s="3" t="s">
        <v>836</v>
      </c>
      <c r="E156" s="3" t="s">
        <v>836</v>
      </c>
      <c r="F156" s="3" t="s">
        <v>20</v>
      </c>
      <c r="G156" s="4">
        <v>26947</v>
      </c>
      <c r="H156" s="3" t="s">
        <v>21</v>
      </c>
      <c r="I156" s="3" t="s">
        <v>33</v>
      </c>
      <c r="J156" s="5">
        <v>362141950</v>
      </c>
      <c r="K156" s="3">
        <v>2014200</v>
      </c>
      <c r="L156" s="3" t="s">
        <v>833</v>
      </c>
      <c r="M156" s="3" t="s">
        <v>837</v>
      </c>
      <c r="N156" s="3">
        <v>1400</v>
      </c>
      <c r="O156" s="3" t="s">
        <v>838</v>
      </c>
      <c r="P156" s="3" t="s">
        <v>137</v>
      </c>
      <c r="Q156" s="3" t="s">
        <v>27</v>
      </c>
      <c r="R156" s="3" t="s">
        <v>28</v>
      </c>
      <c r="S156" s="3">
        <v>5001903</v>
      </c>
      <c r="T156" s="3">
        <v>1138561600</v>
      </c>
      <c r="U156" s="3" t="s">
        <v>29</v>
      </c>
    </row>
    <row r="157" spans="1:21" ht="13.2" x14ac:dyDescent="0.25">
      <c r="A157" s="14">
        <v>48070825000109</v>
      </c>
      <c r="B157" s="15" t="str">
        <f t="shared" si="2"/>
        <v>48.070.825/0001-09</v>
      </c>
      <c r="C157" s="12"/>
      <c r="D157" s="3" t="s">
        <v>839</v>
      </c>
      <c r="E157" s="3" t="s">
        <v>839</v>
      </c>
      <c r="F157" s="3" t="s">
        <v>20</v>
      </c>
      <c r="G157" s="4">
        <v>28006</v>
      </c>
      <c r="H157" s="3" t="s">
        <v>21</v>
      </c>
      <c r="I157" s="3" t="s">
        <v>33</v>
      </c>
      <c r="J157" s="5" t="s">
        <v>840</v>
      </c>
      <c r="K157" s="3">
        <v>7739099</v>
      </c>
      <c r="L157" s="3" t="s">
        <v>669</v>
      </c>
      <c r="M157" s="3" t="s">
        <v>841</v>
      </c>
      <c r="N157" s="3">
        <v>182</v>
      </c>
      <c r="O157" s="3" t="s">
        <v>842</v>
      </c>
      <c r="P157" s="3" t="s">
        <v>843</v>
      </c>
      <c r="Q157" s="3" t="s">
        <v>27</v>
      </c>
      <c r="R157" s="3" t="s">
        <v>28</v>
      </c>
      <c r="S157" s="3">
        <v>4781065</v>
      </c>
      <c r="T157" s="3">
        <v>1134883700</v>
      </c>
      <c r="U157" s="3" t="s">
        <v>29</v>
      </c>
    </row>
    <row r="158" spans="1:21" ht="13.2" x14ac:dyDescent="0.25">
      <c r="A158" s="14">
        <v>37806810000140</v>
      </c>
      <c r="B158" s="15" t="str">
        <f t="shared" si="2"/>
        <v>37.806.810/0001-40</v>
      </c>
      <c r="C158" s="12"/>
      <c r="D158" s="3" t="s">
        <v>844</v>
      </c>
      <c r="E158" s="3" t="s">
        <v>844</v>
      </c>
      <c r="F158" s="3" t="s">
        <v>20</v>
      </c>
      <c r="G158" s="4">
        <v>44033</v>
      </c>
      <c r="H158" s="3" t="s">
        <v>21</v>
      </c>
      <c r="I158" s="3" t="s">
        <v>47</v>
      </c>
      <c r="J158" s="5">
        <v>1000</v>
      </c>
      <c r="K158" s="3">
        <v>8211300</v>
      </c>
      <c r="L158" s="3" t="s">
        <v>166</v>
      </c>
      <c r="M158" s="3" t="s">
        <v>845</v>
      </c>
      <c r="N158" s="3">
        <v>378</v>
      </c>
      <c r="P158" s="3" t="s">
        <v>846</v>
      </c>
      <c r="Q158" s="3" t="s">
        <v>27</v>
      </c>
      <c r="R158" s="3" t="s">
        <v>28</v>
      </c>
      <c r="S158" s="3">
        <v>4606050</v>
      </c>
      <c r="T158" s="3">
        <v>1132410966</v>
      </c>
      <c r="U158" s="3" t="s">
        <v>29</v>
      </c>
    </row>
    <row r="159" spans="1:21" ht="13.2" x14ac:dyDescent="0.25">
      <c r="A159" s="14">
        <v>45142984000183</v>
      </c>
      <c r="B159" s="15" t="str">
        <f t="shared" si="2"/>
        <v>45.142.984/0001-83</v>
      </c>
      <c r="C159" s="12"/>
      <c r="D159" s="3" t="s">
        <v>847</v>
      </c>
      <c r="E159" s="3" t="s">
        <v>847</v>
      </c>
      <c r="F159" s="3" t="s">
        <v>20</v>
      </c>
      <c r="G159" s="4">
        <v>44595</v>
      </c>
      <c r="H159" s="3" t="s">
        <v>21</v>
      </c>
      <c r="I159" s="3" t="s">
        <v>22</v>
      </c>
      <c r="J159" s="5">
        <v>5000</v>
      </c>
      <c r="K159" s="3">
        <v>4753900</v>
      </c>
      <c r="L159" s="3" t="s">
        <v>214</v>
      </c>
      <c r="M159" s="3" t="s">
        <v>848</v>
      </c>
      <c r="N159" s="3">
        <v>41</v>
      </c>
      <c r="P159" s="3" t="s">
        <v>849</v>
      </c>
      <c r="Q159" s="3" t="s">
        <v>27</v>
      </c>
      <c r="R159" s="3" t="s">
        <v>28</v>
      </c>
      <c r="S159" s="3">
        <v>3357020</v>
      </c>
      <c r="T159" s="3">
        <v>1137945002</v>
      </c>
      <c r="U159" s="3" t="s">
        <v>29</v>
      </c>
    </row>
    <row r="160" spans="1:21" ht="13.2" x14ac:dyDescent="0.25">
      <c r="A160" s="14">
        <v>3685434000160</v>
      </c>
      <c r="B160" s="15" t="str">
        <f t="shared" si="2"/>
        <v>03.685.434/0001-60</v>
      </c>
      <c r="C160" s="12" t="str">
        <f>VLOOKUP(B160,[1]Planilha1!$A:$B,2,0)</f>
        <v>Malu Montesino</v>
      </c>
      <c r="D160" s="3" t="s">
        <v>850</v>
      </c>
      <c r="E160" s="3" t="s">
        <v>851</v>
      </c>
      <c r="F160" s="3" t="s">
        <v>20</v>
      </c>
      <c r="G160" s="4">
        <v>36579</v>
      </c>
      <c r="H160" s="3" t="s">
        <v>21</v>
      </c>
      <c r="I160" s="3" t="s">
        <v>33</v>
      </c>
      <c r="J160" s="5">
        <v>3843841</v>
      </c>
      <c r="K160" s="3">
        <v>2814301</v>
      </c>
      <c r="L160" s="3" t="s">
        <v>563</v>
      </c>
      <c r="M160" s="3" t="s">
        <v>852</v>
      </c>
      <c r="N160" s="3">
        <v>648</v>
      </c>
      <c r="P160" s="3" t="s">
        <v>853</v>
      </c>
      <c r="Q160" s="3" t="s">
        <v>854</v>
      </c>
      <c r="R160" s="3" t="s">
        <v>28</v>
      </c>
      <c r="S160" s="3">
        <v>13482280</v>
      </c>
      <c r="T160" s="3">
        <v>1934534177</v>
      </c>
      <c r="U160" s="3" t="s">
        <v>29</v>
      </c>
    </row>
    <row r="161" spans="1:21" ht="13.2" x14ac:dyDescent="0.25">
      <c r="A161" s="14">
        <v>1623434000100</v>
      </c>
      <c r="B161" s="15" t="str">
        <f t="shared" si="2"/>
        <v>01.623.434/0001-00</v>
      </c>
      <c r="C161" s="12"/>
      <c r="D161" s="3" t="s">
        <v>855</v>
      </c>
      <c r="E161" s="3" t="s">
        <v>855</v>
      </c>
      <c r="F161" s="3" t="s">
        <v>20</v>
      </c>
      <c r="G161" s="4">
        <v>35443</v>
      </c>
      <c r="H161" s="3" t="s">
        <v>21</v>
      </c>
      <c r="I161" s="3" t="s">
        <v>33</v>
      </c>
      <c r="J161" s="5">
        <v>36437740</v>
      </c>
      <c r="K161" s="3">
        <v>2930101</v>
      </c>
      <c r="L161" s="3" t="s">
        <v>856</v>
      </c>
      <c r="M161" s="3" t="s">
        <v>857</v>
      </c>
      <c r="N161" s="3">
        <v>1475</v>
      </c>
      <c r="O161" s="3" t="s">
        <v>858</v>
      </c>
      <c r="P161" s="3" t="s">
        <v>859</v>
      </c>
      <c r="Q161" s="3" t="s">
        <v>186</v>
      </c>
      <c r="R161" s="3" t="s">
        <v>187</v>
      </c>
      <c r="S161" s="3">
        <v>83055400</v>
      </c>
      <c r="T161" s="3">
        <v>4130200900</v>
      </c>
      <c r="U161" s="3" t="s">
        <v>29</v>
      </c>
    </row>
    <row r="162" spans="1:21" ht="13.2" x14ac:dyDescent="0.25">
      <c r="A162" s="14">
        <v>1816875000129</v>
      </c>
      <c r="B162" s="15" t="str">
        <f t="shared" si="2"/>
        <v>01.816.875/0001-29</v>
      </c>
      <c r="C162" s="12"/>
      <c r="D162" s="3" t="s">
        <v>860</v>
      </c>
      <c r="E162" s="3" t="s">
        <v>860</v>
      </c>
      <c r="F162" s="3" t="s">
        <v>20</v>
      </c>
      <c r="G162" s="4">
        <v>31491</v>
      </c>
      <c r="H162" s="3" t="s">
        <v>21</v>
      </c>
      <c r="I162" s="3" t="s">
        <v>33</v>
      </c>
      <c r="J162" s="5">
        <v>2000000</v>
      </c>
      <c r="K162" s="3">
        <v>4673700</v>
      </c>
      <c r="L162" s="3" t="s">
        <v>861</v>
      </c>
      <c r="M162" s="3" t="s">
        <v>81</v>
      </c>
      <c r="N162" s="7">
        <v>11116</v>
      </c>
      <c r="O162" s="3" t="s">
        <v>862</v>
      </c>
      <c r="P162" s="3" t="s">
        <v>863</v>
      </c>
      <c r="Q162" s="3" t="s">
        <v>273</v>
      </c>
      <c r="R162" s="3" t="s">
        <v>274</v>
      </c>
      <c r="S162" s="3">
        <v>74433020</v>
      </c>
      <c r="T162" s="3">
        <v>6230932545</v>
      </c>
      <c r="U162" s="3" t="s">
        <v>29</v>
      </c>
    </row>
    <row r="163" spans="1:21" ht="13.2" x14ac:dyDescent="0.25">
      <c r="A163" s="14">
        <v>59476598000132</v>
      </c>
      <c r="B163" s="15" t="str">
        <f t="shared" si="2"/>
        <v>59.476.598/0001-32</v>
      </c>
      <c r="C163" s="12"/>
      <c r="D163" s="3" t="s">
        <v>864</v>
      </c>
      <c r="E163" s="3" t="s">
        <v>864</v>
      </c>
      <c r="F163" s="3" t="s">
        <v>20</v>
      </c>
      <c r="G163" s="4">
        <v>32399</v>
      </c>
      <c r="H163" s="3" t="s">
        <v>21</v>
      </c>
      <c r="I163" s="3" t="s">
        <v>33</v>
      </c>
      <c r="J163" s="5">
        <v>2160000</v>
      </c>
      <c r="K163" s="3">
        <v>4751201</v>
      </c>
      <c r="L163" s="3" t="s">
        <v>23</v>
      </c>
      <c r="M163" s="3" t="s">
        <v>837</v>
      </c>
      <c r="N163" s="3">
        <v>404</v>
      </c>
      <c r="O163" s="3" t="s">
        <v>865</v>
      </c>
      <c r="P163" s="3" t="s">
        <v>137</v>
      </c>
      <c r="Q163" s="3" t="s">
        <v>27</v>
      </c>
      <c r="R163" s="3" t="s">
        <v>28</v>
      </c>
      <c r="S163" s="3">
        <v>5001000</v>
      </c>
      <c r="T163" s="3">
        <v>1130564016</v>
      </c>
      <c r="U163" s="3" t="s">
        <v>29</v>
      </c>
    </row>
    <row r="164" spans="1:21" ht="13.2" x14ac:dyDescent="0.25">
      <c r="A164" s="14">
        <v>10196957000109</v>
      </c>
      <c r="B164" s="15" t="str">
        <f t="shared" si="2"/>
        <v>10.196.957/0001-09</v>
      </c>
      <c r="C164" s="12" t="str">
        <f>VLOOKUP(B164,[1]Planilha1!$A:$B,2,0)</f>
        <v>Malu Montesino</v>
      </c>
      <c r="D164" s="3" t="s">
        <v>866</v>
      </c>
      <c r="E164" s="3" t="s">
        <v>867</v>
      </c>
      <c r="F164" s="3" t="s">
        <v>20</v>
      </c>
      <c r="G164" s="4">
        <v>39650</v>
      </c>
      <c r="H164" s="3" t="s">
        <v>21</v>
      </c>
      <c r="I164" s="3" t="s">
        <v>33</v>
      </c>
      <c r="J164" s="5">
        <v>1850000</v>
      </c>
      <c r="K164" s="3">
        <v>2223400</v>
      </c>
      <c r="L164" s="3" t="s">
        <v>868</v>
      </c>
      <c r="M164" s="3" t="s">
        <v>869</v>
      </c>
      <c r="N164" s="3">
        <v>4782</v>
      </c>
      <c r="P164" s="3" t="s">
        <v>870</v>
      </c>
      <c r="Q164" s="3" t="s">
        <v>423</v>
      </c>
      <c r="R164" s="3" t="s">
        <v>91</v>
      </c>
      <c r="S164" s="3">
        <v>89226002</v>
      </c>
      <c r="T164" s="3">
        <v>4732055000</v>
      </c>
      <c r="U164" s="3" t="s">
        <v>29</v>
      </c>
    </row>
    <row r="165" spans="1:21" ht="13.2" x14ac:dyDescent="0.25">
      <c r="A165" s="14">
        <v>5545381000108</v>
      </c>
      <c r="B165" s="15" t="str">
        <f t="shared" si="2"/>
        <v>05.545.381/0001-08</v>
      </c>
      <c r="C165" s="12"/>
      <c r="D165" s="3" t="s">
        <v>871</v>
      </c>
      <c r="E165" s="3" t="s">
        <v>871</v>
      </c>
      <c r="F165" s="3" t="s">
        <v>20</v>
      </c>
      <c r="G165" s="4">
        <v>37671</v>
      </c>
      <c r="H165" s="3" t="s">
        <v>21</v>
      </c>
      <c r="I165" s="3" t="s">
        <v>33</v>
      </c>
      <c r="J165" s="5">
        <v>10000000</v>
      </c>
      <c r="K165" s="3">
        <v>4789099</v>
      </c>
      <c r="L165" s="3" t="s">
        <v>774</v>
      </c>
      <c r="M165" s="3" t="s">
        <v>872</v>
      </c>
      <c r="N165" s="3">
        <v>357</v>
      </c>
      <c r="O165" s="3" t="s">
        <v>873</v>
      </c>
      <c r="P165" s="3" t="s">
        <v>874</v>
      </c>
      <c r="Q165" s="3" t="s">
        <v>875</v>
      </c>
      <c r="R165" s="3" t="s">
        <v>53</v>
      </c>
      <c r="S165" s="3">
        <v>93032200</v>
      </c>
      <c r="T165" s="3">
        <v>5136041717</v>
      </c>
      <c r="U165" s="3" t="s">
        <v>29</v>
      </c>
    </row>
    <row r="166" spans="1:21" ht="13.2" x14ac:dyDescent="0.25">
      <c r="A166" s="14">
        <v>60561719010277</v>
      </c>
      <c r="B166" s="15" t="str">
        <f t="shared" si="2"/>
        <v>60.561.719/0102-77</v>
      </c>
      <c r="C166" s="12" t="str">
        <f>VLOOKUP(B166,[1]Planilha1!$A:$B,2,0)</f>
        <v>Malu Montesino</v>
      </c>
      <c r="D166" s="3" t="s">
        <v>876</v>
      </c>
      <c r="E166" s="3" t="s">
        <v>876</v>
      </c>
      <c r="F166" s="3" t="s">
        <v>20</v>
      </c>
      <c r="G166" s="4">
        <v>41733</v>
      </c>
      <c r="H166" s="3" t="s">
        <v>21</v>
      </c>
      <c r="I166" s="3" t="s">
        <v>33</v>
      </c>
      <c r="J166" s="5">
        <v>264831280</v>
      </c>
      <c r="K166" s="3">
        <v>2071100</v>
      </c>
      <c r="L166" s="3" t="s">
        <v>877</v>
      </c>
      <c r="M166" s="3" t="s">
        <v>878</v>
      </c>
      <c r="N166" s="3">
        <v>2100</v>
      </c>
      <c r="O166" s="3" t="s">
        <v>879</v>
      </c>
      <c r="P166" s="3" t="s">
        <v>880</v>
      </c>
      <c r="Q166" s="3" t="s">
        <v>881</v>
      </c>
      <c r="R166" s="3" t="s">
        <v>28</v>
      </c>
      <c r="S166" s="3">
        <v>9370901</v>
      </c>
      <c r="T166" s="3">
        <v>1145435511</v>
      </c>
      <c r="U166" s="3" t="s">
        <v>29</v>
      </c>
    </row>
    <row r="167" spans="1:21" ht="13.2" x14ac:dyDescent="0.25">
      <c r="A167" s="14">
        <v>5809358000183</v>
      </c>
      <c r="B167" s="15" t="str">
        <f t="shared" si="2"/>
        <v>05.809.358/0001-83</v>
      </c>
      <c r="C167" s="12"/>
      <c r="D167" s="3" t="s">
        <v>882</v>
      </c>
      <c r="E167" s="3" t="s">
        <v>882</v>
      </c>
      <c r="F167" s="3" t="s">
        <v>20</v>
      </c>
      <c r="G167" s="4">
        <v>37831</v>
      </c>
      <c r="H167" s="3" t="s">
        <v>21</v>
      </c>
      <c r="I167" s="3" t="s">
        <v>33</v>
      </c>
      <c r="J167" s="5">
        <v>590000</v>
      </c>
      <c r="K167" s="3">
        <v>4693100</v>
      </c>
      <c r="L167" s="3" t="s">
        <v>238</v>
      </c>
      <c r="M167" s="3" t="s">
        <v>883</v>
      </c>
      <c r="N167" s="3">
        <v>121</v>
      </c>
      <c r="O167" s="3" t="s">
        <v>884</v>
      </c>
      <c r="P167" s="3" t="s">
        <v>885</v>
      </c>
      <c r="Q167" s="3" t="s">
        <v>27</v>
      </c>
      <c r="R167" s="3" t="s">
        <v>28</v>
      </c>
      <c r="S167" s="3">
        <v>3185010</v>
      </c>
      <c r="T167" s="3">
        <v>1122972007</v>
      </c>
      <c r="U167" s="3" t="s">
        <v>29</v>
      </c>
    </row>
    <row r="168" spans="1:21" ht="13.2" x14ac:dyDescent="0.25">
      <c r="A168" s="14">
        <v>60656774000105</v>
      </c>
      <c r="B168" s="15" t="str">
        <f t="shared" si="2"/>
        <v>60.656.774/0001-05</v>
      </c>
      <c r="C168" s="12" t="str">
        <f>VLOOKUP(B168,[1]Planilha1!$A:$B,2,0)</f>
        <v>Malu Montesino</v>
      </c>
      <c r="D168" s="3" t="s">
        <v>886</v>
      </c>
      <c r="E168" s="3" t="s">
        <v>886</v>
      </c>
      <c r="F168" s="3" t="s">
        <v>20</v>
      </c>
      <c r="G168" s="4">
        <v>26659</v>
      </c>
      <c r="H168" s="3" t="s">
        <v>21</v>
      </c>
      <c r="I168" s="3" t="s">
        <v>33</v>
      </c>
      <c r="J168" s="5">
        <v>30000000</v>
      </c>
      <c r="K168" s="3">
        <v>3101200</v>
      </c>
      <c r="L168" s="3" t="s">
        <v>359</v>
      </c>
      <c r="M168" s="3" t="s">
        <v>887</v>
      </c>
      <c r="N168" s="3">
        <v>867</v>
      </c>
      <c r="P168" s="3" t="s">
        <v>370</v>
      </c>
      <c r="Q168" s="3" t="s">
        <v>231</v>
      </c>
      <c r="R168" s="3" t="s">
        <v>28</v>
      </c>
      <c r="S168" s="3">
        <v>18085005</v>
      </c>
      <c r="T168" s="3">
        <v>1532385161</v>
      </c>
      <c r="U168" s="3" t="s">
        <v>29</v>
      </c>
    </row>
    <row r="169" spans="1:21" ht="13.2" x14ac:dyDescent="0.25">
      <c r="A169" s="14">
        <v>10357071000108</v>
      </c>
      <c r="B169" s="15" t="str">
        <f t="shared" si="2"/>
        <v>10.357.071/0001-08</v>
      </c>
      <c r="C169" s="12"/>
      <c r="D169" s="3" t="s">
        <v>888</v>
      </c>
      <c r="E169" s="3" t="s">
        <v>889</v>
      </c>
      <c r="F169" s="3" t="s">
        <v>20</v>
      </c>
      <c r="G169" s="4">
        <v>39693</v>
      </c>
      <c r="H169" s="3" t="s">
        <v>21</v>
      </c>
      <c r="I169" s="3" t="s">
        <v>22</v>
      </c>
      <c r="J169" s="5">
        <v>100000</v>
      </c>
      <c r="K169" s="3">
        <v>4623102</v>
      </c>
      <c r="L169" s="3" t="s">
        <v>890</v>
      </c>
      <c r="M169" s="3" t="s">
        <v>891</v>
      </c>
      <c r="N169" s="3">
        <v>545</v>
      </c>
      <c r="P169" s="3" t="s">
        <v>892</v>
      </c>
      <c r="Q169" s="3" t="s">
        <v>893</v>
      </c>
      <c r="R169" s="3" t="s">
        <v>28</v>
      </c>
      <c r="S169" s="3">
        <v>17240000</v>
      </c>
      <c r="T169" s="3">
        <v>1436663201</v>
      </c>
      <c r="U169" s="3" t="s">
        <v>29</v>
      </c>
    </row>
    <row r="170" spans="1:21" ht="13.2" x14ac:dyDescent="0.25">
      <c r="A170" s="14">
        <v>79897849000160</v>
      </c>
      <c r="B170" s="15" t="str">
        <f t="shared" si="2"/>
        <v>79.897.849/0001-60</v>
      </c>
      <c r="C170" s="12"/>
      <c r="D170" s="3" t="s">
        <v>894</v>
      </c>
      <c r="E170" s="3" t="s">
        <v>894</v>
      </c>
      <c r="F170" s="3" t="s">
        <v>20</v>
      </c>
      <c r="G170" s="4">
        <v>31819</v>
      </c>
      <c r="H170" s="3" t="s">
        <v>21</v>
      </c>
      <c r="I170" s="3" t="s">
        <v>33</v>
      </c>
      <c r="J170" s="5">
        <v>3600000</v>
      </c>
      <c r="K170" s="3">
        <v>2863100</v>
      </c>
      <c r="L170" s="3" t="s">
        <v>895</v>
      </c>
      <c r="M170" s="3" t="s">
        <v>896</v>
      </c>
      <c r="N170" s="3" t="s">
        <v>82</v>
      </c>
      <c r="P170" s="3" t="s">
        <v>897</v>
      </c>
      <c r="Q170" s="3" t="s">
        <v>423</v>
      </c>
      <c r="R170" s="3" t="s">
        <v>91</v>
      </c>
      <c r="S170" s="3">
        <v>89239500</v>
      </c>
      <c r="T170" s="3">
        <v>4740093300</v>
      </c>
      <c r="U170" s="3" t="s">
        <v>29</v>
      </c>
    </row>
    <row r="171" spans="1:21" ht="13.2" x14ac:dyDescent="0.25">
      <c r="A171" s="14">
        <v>4050400000162</v>
      </c>
      <c r="B171" s="15" t="str">
        <f t="shared" si="2"/>
        <v>04.050.400/0001-62</v>
      </c>
      <c r="C171" s="12" t="str">
        <f>VLOOKUP(B171,[1]Planilha1!$A:$B,2,0)</f>
        <v>Malu Montesino</v>
      </c>
      <c r="D171" s="3" t="s">
        <v>898</v>
      </c>
      <c r="E171" s="3" t="s">
        <v>899</v>
      </c>
      <c r="F171" s="3" t="s">
        <v>20</v>
      </c>
      <c r="G171" s="4">
        <v>36788</v>
      </c>
      <c r="H171" s="3" t="s">
        <v>94</v>
      </c>
      <c r="I171" s="3" t="s">
        <v>33</v>
      </c>
      <c r="J171" s="5">
        <v>9550000</v>
      </c>
      <c r="K171" s="3">
        <v>3900500</v>
      </c>
      <c r="L171" s="3" t="s">
        <v>900</v>
      </c>
      <c r="M171" s="3" t="s">
        <v>901</v>
      </c>
      <c r="N171" s="3">
        <v>3060</v>
      </c>
      <c r="O171" s="3" t="s">
        <v>902</v>
      </c>
      <c r="P171" s="3" t="s">
        <v>903</v>
      </c>
      <c r="Q171" s="3" t="s">
        <v>27</v>
      </c>
      <c r="R171" s="3" t="s">
        <v>28</v>
      </c>
      <c r="S171" s="3">
        <v>4046500</v>
      </c>
      <c r="T171" s="3">
        <v>1140599999</v>
      </c>
      <c r="U171" s="3" t="s">
        <v>29</v>
      </c>
    </row>
    <row r="172" spans="1:21" ht="13.2" x14ac:dyDescent="0.25">
      <c r="A172" s="14">
        <v>46049987000130</v>
      </c>
      <c r="B172" s="15" t="str">
        <f t="shared" si="2"/>
        <v>46.049.987/0001-30</v>
      </c>
      <c r="C172" s="12"/>
      <c r="D172" s="3" t="s">
        <v>904</v>
      </c>
      <c r="E172" s="3" t="s">
        <v>904</v>
      </c>
      <c r="F172" s="3" t="s">
        <v>45</v>
      </c>
      <c r="G172" s="4">
        <v>29790</v>
      </c>
      <c r="H172" s="3" t="s">
        <v>21</v>
      </c>
      <c r="I172" s="3" t="s">
        <v>33</v>
      </c>
      <c r="J172" s="5">
        <v>1502882800</v>
      </c>
      <c r="K172" s="3">
        <v>2631100</v>
      </c>
      <c r="L172" s="3" t="s">
        <v>905</v>
      </c>
      <c r="M172" s="3" t="s">
        <v>906</v>
      </c>
      <c r="N172" s="3">
        <v>401</v>
      </c>
      <c r="O172" s="3" t="s">
        <v>907</v>
      </c>
      <c r="P172" s="3" t="s">
        <v>616</v>
      </c>
      <c r="Q172" s="3" t="s">
        <v>617</v>
      </c>
      <c r="R172" s="3" t="s">
        <v>28</v>
      </c>
      <c r="S172" s="3">
        <v>6460040</v>
      </c>
      <c r="T172" s="3">
        <v>1148339100</v>
      </c>
      <c r="U172" s="3" t="s">
        <v>29</v>
      </c>
    </row>
    <row r="173" spans="1:21" ht="13.2" x14ac:dyDescent="0.25">
      <c r="A173" s="14">
        <v>23637697000101</v>
      </c>
      <c r="B173" s="15" t="str">
        <f t="shared" si="2"/>
        <v>23.637.697/0001-01</v>
      </c>
      <c r="C173" s="12" t="str">
        <f>VLOOKUP(B173,[1]Planilha1!$A:$B,2,0)</f>
        <v>Malu Montesino</v>
      </c>
      <c r="D173" s="3" t="s">
        <v>908</v>
      </c>
      <c r="E173" s="3" t="s">
        <v>908</v>
      </c>
      <c r="F173" s="3" t="s">
        <v>20</v>
      </c>
      <c r="G173" s="4">
        <v>25269</v>
      </c>
      <c r="H173" s="3" t="s">
        <v>94</v>
      </c>
      <c r="I173" s="3" t="s">
        <v>33</v>
      </c>
      <c r="J173" s="5">
        <v>5478070000</v>
      </c>
      <c r="K173" s="3">
        <v>2441501</v>
      </c>
      <c r="L173" s="3" t="s">
        <v>909</v>
      </c>
      <c r="M173" s="3" t="s">
        <v>910</v>
      </c>
      <c r="N173" s="3" t="s">
        <v>82</v>
      </c>
      <c r="P173" s="3" t="s">
        <v>911</v>
      </c>
      <c r="Q173" s="3" t="s">
        <v>827</v>
      </c>
      <c r="R173" s="3" t="s">
        <v>100</v>
      </c>
      <c r="S173" s="3">
        <v>37719900</v>
      </c>
      <c r="T173" s="3">
        <v>3537295484</v>
      </c>
      <c r="U173" s="3" t="s">
        <v>29</v>
      </c>
    </row>
    <row r="174" spans="1:21" ht="13.2" x14ac:dyDescent="0.25">
      <c r="A174" s="14">
        <v>1133298000170</v>
      </c>
      <c r="B174" s="15" t="str">
        <f t="shared" si="2"/>
        <v>01.133.298/0001-70</v>
      </c>
      <c r="C174" s="12" t="str">
        <f>VLOOKUP(B174,[1]Planilha1!$A:$B,2,0)</f>
        <v>Malu Montesino</v>
      </c>
      <c r="D174" s="3" t="s">
        <v>912</v>
      </c>
      <c r="E174" s="3" t="s">
        <v>912</v>
      </c>
      <c r="F174" s="3" t="s">
        <v>20</v>
      </c>
      <c r="G174" s="4">
        <v>35151</v>
      </c>
      <c r="H174" s="3" t="s">
        <v>94</v>
      </c>
      <c r="I174" s="3" t="s">
        <v>33</v>
      </c>
      <c r="J174" s="5">
        <v>73035720</v>
      </c>
      <c r="K174" s="3">
        <v>2093200</v>
      </c>
      <c r="L174" s="3" t="s">
        <v>913</v>
      </c>
      <c r="M174" s="3" t="s">
        <v>914</v>
      </c>
      <c r="N174" s="3">
        <v>400</v>
      </c>
      <c r="P174" s="3" t="s">
        <v>153</v>
      </c>
      <c r="Q174" s="3" t="s">
        <v>915</v>
      </c>
      <c r="R174" s="3" t="s">
        <v>28</v>
      </c>
      <c r="S174" s="3">
        <v>14140000</v>
      </c>
      <c r="T174" s="3">
        <v>1639515080</v>
      </c>
      <c r="U174" s="3" t="s">
        <v>29</v>
      </c>
    </row>
    <row r="175" spans="1:21" ht="13.2" x14ac:dyDescent="0.25">
      <c r="A175" s="14">
        <v>60412327000100</v>
      </c>
      <c r="B175" s="15" t="str">
        <f t="shared" si="2"/>
        <v>60.412.327/0001-00</v>
      </c>
      <c r="C175" s="12" t="str">
        <f>VLOOKUP(B175,[1]Planilha1!$A:$B,2,0)</f>
        <v>Mariane Nascimento</v>
      </c>
      <c r="D175" s="3" t="s">
        <v>916</v>
      </c>
      <c r="E175" s="3" t="s">
        <v>916</v>
      </c>
      <c r="F175" s="3" t="s">
        <v>45</v>
      </c>
      <c r="G175" s="4">
        <v>15262</v>
      </c>
      <c r="H175" s="3" t="s">
        <v>21</v>
      </c>
      <c r="I175" s="3" t="s">
        <v>33</v>
      </c>
      <c r="J175" s="5">
        <v>7729167</v>
      </c>
      <c r="K175" s="3">
        <v>2121101</v>
      </c>
      <c r="L175" s="3" t="s">
        <v>233</v>
      </c>
      <c r="M175" s="3" t="s">
        <v>917</v>
      </c>
      <c r="N175" s="3">
        <v>90</v>
      </c>
      <c r="O175" s="3" t="s">
        <v>918</v>
      </c>
      <c r="P175" s="3" t="s">
        <v>919</v>
      </c>
      <c r="Q175" s="3" t="s">
        <v>27</v>
      </c>
      <c r="R175" s="3" t="s">
        <v>28</v>
      </c>
      <c r="S175" s="3">
        <v>4636000</v>
      </c>
      <c r="T175" s="3">
        <v>1137324064</v>
      </c>
      <c r="U175" s="3" t="s">
        <v>29</v>
      </c>
    </row>
    <row r="176" spans="1:21" ht="13.2" x14ac:dyDescent="0.25">
      <c r="A176" s="14">
        <v>1389269000174</v>
      </c>
      <c r="B176" s="15" t="str">
        <f t="shared" si="2"/>
        <v>01.389.269/0001-74</v>
      </c>
      <c r="C176" s="12"/>
      <c r="D176" s="3" t="s">
        <v>920</v>
      </c>
      <c r="E176" s="3" t="s">
        <v>921</v>
      </c>
      <c r="F176" s="3" t="s">
        <v>20</v>
      </c>
      <c r="G176" s="4">
        <v>35300</v>
      </c>
      <c r="H176" s="3" t="s">
        <v>21</v>
      </c>
      <c r="I176" s="3" t="s">
        <v>33</v>
      </c>
      <c r="J176" s="5">
        <v>6552440</v>
      </c>
      <c r="K176" s="3">
        <v>9512600</v>
      </c>
      <c r="L176" s="3" t="s">
        <v>922</v>
      </c>
      <c r="M176" s="3" t="s">
        <v>923</v>
      </c>
      <c r="N176" s="3">
        <v>1455</v>
      </c>
      <c r="P176" s="3" t="s">
        <v>924</v>
      </c>
      <c r="Q176" s="3" t="s">
        <v>476</v>
      </c>
      <c r="R176" s="3" t="s">
        <v>100</v>
      </c>
      <c r="S176" s="3">
        <v>30180126</v>
      </c>
      <c r="T176" s="3">
        <v>3133307000</v>
      </c>
      <c r="U176" s="3" t="s">
        <v>29</v>
      </c>
    </row>
    <row r="177" spans="1:21" ht="13.2" x14ac:dyDescent="0.25">
      <c r="A177" s="14">
        <v>22843623000169</v>
      </c>
      <c r="B177" s="15" t="str">
        <f t="shared" si="2"/>
        <v>22.843.623/0001-69</v>
      </c>
      <c r="C177" s="12"/>
      <c r="D177" s="3" t="s">
        <v>925</v>
      </c>
      <c r="E177" s="3" t="s">
        <v>925</v>
      </c>
      <c r="F177" s="3" t="s">
        <v>20</v>
      </c>
      <c r="G177" s="4">
        <v>42199</v>
      </c>
      <c r="H177" s="3" t="s">
        <v>21</v>
      </c>
      <c r="I177" s="3" t="s">
        <v>47</v>
      </c>
      <c r="J177" s="5">
        <v>60000</v>
      </c>
      <c r="K177" s="3">
        <v>8599699</v>
      </c>
      <c r="L177" s="3" t="s">
        <v>926</v>
      </c>
      <c r="M177" s="3" t="s">
        <v>927</v>
      </c>
      <c r="N177" s="3">
        <v>6500</v>
      </c>
      <c r="P177" s="3" t="s">
        <v>928</v>
      </c>
      <c r="Q177" s="3" t="s">
        <v>929</v>
      </c>
      <c r="R177" s="3" t="s">
        <v>28</v>
      </c>
      <c r="S177" s="3">
        <v>6517530</v>
      </c>
      <c r="T177" s="3">
        <v>1141991073</v>
      </c>
      <c r="U177" s="3" t="s">
        <v>29</v>
      </c>
    </row>
    <row r="178" spans="1:21" ht="13.2" x14ac:dyDescent="0.25">
      <c r="A178" s="14">
        <v>23067398000189</v>
      </c>
      <c r="B178" s="15" t="str">
        <f t="shared" si="2"/>
        <v>23.067.398/0001-89</v>
      </c>
      <c r="C178" s="12"/>
      <c r="D178" s="3" t="s">
        <v>930</v>
      </c>
      <c r="E178" s="3" t="s">
        <v>930</v>
      </c>
      <c r="F178" s="3" t="s">
        <v>31</v>
      </c>
      <c r="G178" s="4">
        <v>42230</v>
      </c>
      <c r="H178" s="3" t="s">
        <v>46</v>
      </c>
      <c r="I178" s="3" t="s">
        <v>47</v>
      </c>
      <c r="J178" s="5">
        <v>50</v>
      </c>
      <c r="K178" s="3">
        <v>7420004</v>
      </c>
      <c r="L178" s="3" t="s">
        <v>931</v>
      </c>
      <c r="M178" s="3" t="s">
        <v>932</v>
      </c>
      <c r="N178" s="3">
        <v>400</v>
      </c>
      <c r="P178" s="3" t="s">
        <v>933</v>
      </c>
      <c r="Q178" s="3" t="s">
        <v>934</v>
      </c>
      <c r="R178" s="3" t="s">
        <v>28</v>
      </c>
      <c r="S178" s="3">
        <v>13323210</v>
      </c>
      <c r="T178" s="3">
        <v>1140215199</v>
      </c>
      <c r="U178" s="3" t="s">
        <v>29</v>
      </c>
    </row>
    <row r="179" spans="1:21" ht="13.2" x14ac:dyDescent="0.25">
      <c r="A179" s="14">
        <v>4740876000125</v>
      </c>
      <c r="B179" s="15" t="str">
        <f t="shared" si="2"/>
        <v>04.740.876/0001-25</v>
      </c>
      <c r="C179" s="12" t="str">
        <f>VLOOKUP(B179,[1]Planilha1!$A:$B,2,0)</f>
        <v>Malu Montesino</v>
      </c>
      <c r="D179" s="3" t="s">
        <v>935</v>
      </c>
      <c r="E179" s="3" t="s">
        <v>936</v>
      </c>
      <c r="F179" s="3" t="s">
        <v>20</v>
      </c>
      <c r="G179" s="4">
        <v>37161</v>
      </c>
      <c r="H179" s="3" t="s">
        <v>94</v>
      </c>
      <c r="I179" s="3" t="s">
        <v>33</v>
      </c>
      <c r="J179" s="5">
        <v>472414100</v>
      </c>
      <c r="K179" s="3">
        <v>8299702</v>
      </c>
      <c r="L179" s="3" t="s">
        <v>937</v>
      </c>
      <c r="M179" s="3" t="s">
        <v>938</v>
      </c>
      <c r="N179" s="3">
        <v>512</v>
      </c>
      <c r="O179" s="3" t="s">
        <v>939</v>
      </c>
      <c r="P179" s="3" t="s">
        <v>940</v>
      </c>
      <c r="Q179" s="3" t="s">
        <v>617</v>
      </c>
      <c r="R179" s="3" t="s">
        <v>28</v>
      </c>
      <c r="S179" s="3">
        <v>6455030</v>
      </c>
      <c r="T179" s="3">
        <v>1121881800</v>
      </c>
      <c r="U179" s="3" t="s">
        <v>29</v>
      </c>
    </row>
    <row r="180" spans="1:21" ht="13.2" x14ac:dyDescent="0.25">
      <c r="A180" s="14">
        <v>12063361000166</v>
      </c>
      <c r="B180" s="15" t="str">
        <f t="shared" si="2"/>
        <v>12.063.361/0001-66</v>
      </c>
      <c r="C180" s="12"/>
      <c r="D180" s="3" t="s">
        <v>941</v>
      </c>
      <c r="E180" s="3" t="s">
        <v>942</v>
      </c>
      <c r="F180" s="3" t="s">
        <v>20</v>
      </c>
      <c r="G180" s="4">
        <v>40337</v>
      </c>
      <c r="H180" s="3" t="s">
        <v>46</v>
      </c>
      <c r="I180" s="3" t="s">
        <v>47</v>
      </c>
      <c r="J180" s="5">
        <v>5000</v>
      </c>
      <c r="K180" s="3">
        <v>8011101</v>
      </c>
      <c r="L180" s="3" t="s">
        <v>943</v>
      </c>
      <c r="M180" s="3" t="s">
        <v>944</v>
      </c>
      <c r="N180" s="3">
        <v>161</v>
      </c>
      <c r="O180" s="3" t="s">
        <v>945</v>
      </c>
      <c r="P180" s="3" t="s">
        <v>946</v>
      </c>
      <c r="Q180" s="3" t="s">
        <v>476</v>
      </c>
      <c r="R180" s="3" t="s">
        <v>100</v>
      </c>
      <c r="S180" s="3">
        <v>31630075</v>
      </c>
      <c r="T180" s="3">
        <v>3132716413</v>
      </c>
      <c r="U180" s="3" t="s">
        <v>29</v>
      </c>
    </row>
    <row r="181" spans="1:21" ht="13.2" x14ac:dyDescent="0.25">
      <c r="A181" s="14">
        <v>7204255000115</v>
      </c>
      <c r="B181" s="15" t="str">
        <f t="shared" si="2"/>
        <v>07.204.255/0001-15</v>
      </c>
      <c r="C181" s="12"/>
      <c r="D181" s="3" t="s">
        <v>947</v>
      </c>
      <c r="E181" s="3" t="s">
        <v>948</v>
      </c>
      <c r="F181" s="3" t="s">
        <v>20</v>
      </c>
      <c r="G181" s="4">
        <v>38380</v>
      </c>
      <c r="H181" s="3" t="s">
        <v>21</v>
      </c>
      <c r="I181" s="3" t="s">
        <v>33</v>
      </c>
      <c r="J181" s="5">
        <v>3000000</v>
      </c>
      <c r="K181" s="3">
        <v>8121400</v>
      </c>
      <c r="L181" s="3" t="s">
        <v>494</v>
      </c>
      <c r="M181" s="3" t="s">
        <v>949</v>
      </c>
      <c r="N181" s="3">
        <v>677</v>
      </c>
      <c r="P181" s="3" t="s">
        <v>950</v>
      </c>
      <c r="Q181" s="3" t="s">
        <v>883</v>
      </c>
      <c r="R181" s="3" t="s">
        <v>951</v>
      </c>
      <c r="S181" s="3">
        <v>64052340</v>
      </c>
      <c r="T181" s="3">
        <v>8633059978</v>
      </c>
      <c r="U181" s="3" t="s">
        <v>29</v>
      </c>
    </row>
    <row r="182" spans="1:21" ht="13.2" x14ac:dyDescent="0.25">
      <c r="A182" s="14">
        <v>11405384000149</v>
      </c>
      <c r="B182" s="15" t="str">
        <f t="shared" si="2"/>
        <v>11.405.384/0001-49</v>
      </c>
      <c r="C182" s="12" t="str">
        <f>VLOOKUP(B182,[1]Planilha1!$A:$B,2,0)</f>
        <v>Malu Montesino</v>
      </c>
      <c r="D182" s="3" t="s">
        <v>952</v>
      </c>
      <c r="E182" s="3" t="s">
        <v>952</v>
      </c>
      <c r="F182" s="3" t="s">
        <v>20</v>
      </c>
      <c r="G182" s="4">
        <v>40162</v>
      </c>
      <c r="H182" s="3" t="s">
        <v>21</v>
      </c>
      <c r="I182" s="3" t="s">
        <v>33</v>
      </c>
      <c r="J182" s="5">
        <v>9000000</v>
      </c>
      <c r="K182" s="3">
        <v>2660400</v>
      </c>
      <c r="L182" s="3" t="s">
        <v>953</v>
      </c>
      <c r="M182" s="3" t="s">
        <v>954</v>
      </c>
      <c r="N182" s="3">
        <v>55</v>
      </c>
      <c r="O182" s="3" t="s">
        <v>955</v>
      </c>
      <c r="P182" s="3" t="s">
        <v>956</v>
      </c>
      <c r="Q182" s="3" t="s">
        <v>957</v>
      </c>
      <c r="R182" s="3" t="s">
        <v>100</v>
      </c>
      <c r="S182" s="3">
        <v>33240094</v>
      </c>
      <c r="T182" s="3">
        <v>3136816388</v>
      </c>
      <c r="U182" s="3" t="s">
        <v>29</v>
      </c>
    </row>
    <row r="183" spans="1:21" ht="13.2" x14ac:dyDescent="0.25">
      <c r="A183" s="14">
        <v>30046596000121</v>
      </c>
      <c r="B183" s="15" t="str">
        <f t="shared" si="2"/>
        <v>30.046.596/0001-21</v>
      </c>
      <c r="C183" s="12" t="str">
        <f>VLOOKUP(B183,[1]Planilha1!$A:$B,2,0)</f>
        <v>Malu Montesino</v>
      </c>
      <c r="D183" s="3" t="s">
        <v>958</v>
      </c>
      <c r="E183" s="3" t="s">
        <v>959</v>
      </c>
      <c r="F183" s="3" t="s">
        <v>20</v>
      </c>
      <c r="G183" s="4">
        <v>43186</v>
      </c>
      <c r="H183" s="3" t="s">
        <v>21</v>
      </c>
      <c r="I183" s="3" t="s">
        <v>47</v>
      </c>
      <c r="J183" s="5">
        <v>100000</v>
      </c>
      <c r="K183" s="3">
        <v>2651500</v>
      </c>
      <c r="L183" s="3" t="s">
        <v>600</v>
      </c>
      <c r="M183" s="3" t="s">
        <v>960</v>
      </c>
      <c r="N183" s="3">
        <v>111</v>
      </c>
      <c r="O183" s="3" t="s">
        <v>961</v>
      </c>
      <c r="P183" s="3" t="s">
        <v>70</v>
      </c>
      <c r="Q183" s="3" t="s">
        <v>217</v>
      </c>
      <c r="R183" s="3" t="s">
        <v>28</v>
      </c>
      <c r="S183" s="3">
        <v>9750730</v>
      </c>
      <c r="T183" s="3">
        <v>1143149075</v>
      </c>
      <c r="U183" s="3" t="s">
        <v>29</v>
      </c>
    </row>
    <row r="184" spans="1:21" ht="13.2" x14ac:dyDescent="0.25">
      <c r="A184" s="14">
        <v>31837899000125</v>
      </c>
      <c r="B184" s="15" t="str">
        <f t="shared" si="2"/>
        <v>31.837.899/0001-25</v>
      </c>
      <c r="C184" s="12"/>
      <c r="D184" s="3" t="s">
        <v>962</v>
      </c>
      <c r="E184" s="3" t="s">
        <v>963</v>
      </c>
      <c r="F184" s="3" t="s">
        <v>20</v>
      </c>
      <c r="G184" s="4">
        <v>43396</v>
      </c>
      <c r="H184" s="3" t="s">
        <v>21</v>
      </c>
      <c r="I184" s="3" t="s">
        <v>33</v>
      </c>
      <c r="J184" s="5">
        <v>3800000</v>
      </c>
      <c r="K184" s="3">
        <v>4321500</v>
      </c>
      <c r="L184" s="3" t="s">
        <v>964</v>
      </c>
      <c r="M184" s="3" t="s">
        <v>965</v>
      </c>
      <c r="N184" s="3" t="s">
        <v>82</v>
      </c>
      <c r="P184" s="3" t="s">
        <v>966</v>
      </c>
      <c r="Q184" s="3" t="s">
        <v>631</v>
      </c>
      <c r="R184" s="3" t="s">
        <v>632</v>
      </c>
      <c r="S184" s="3">
        <v>71805705</v>
      </c>
      <c r="T184" s="3">
        <v>6183155525</v>
      </c>
      <c r="U184" s="3" t="s">
        <v>29</v>
      </c>
    </row>
    <row r="185" spans="1:21" ht="13.2" x14ac:dyDescent="0.25">
      <c r="A185" s="14">
        <v>24030552000100</v>
      </c>
      <c r="B185" s="15" t="str">
        <f t="shared" si="2"/>
        <v>24.030.552/0001-00</v>
      </c>
      <c r="C185" s="12"/>
      <c r="D185" s="3" t="s">
        <v>967</v>
      </c>
      <c r="E185" s="3" t="s">
        <v>968</v>
      </c>
      <c r="F185" s="3" t="s">
        <v>20</v>
      </c>
      <c r="G185" s="4">
        <v>42391</v>
      </c>
      <c r="H185" s="3" t="s">
        <v>21</v>
      </c>
      <c r="I185" s="3" t="s">
        <v>33</v>
      </c>
      <c r="J185" s="5">
        <v>3600000</v>
      </c>
      <c r="K185" s="3">
        <v>4645101</v>
      </c>
      <c r="L185" s="3" t="s">
        <v>135</v>
      </c>
      <c r="M185" s="3" t="s">
        <v>969</v>
      </c>
      <c r="N185" s="3">
        <v>158</v>
      </c>
      <c r="P185" s="3" t="s">
        <v>970</v>
      </c>
      <c r="Q185" s="3" t="s">
        <v>971</v>
      </c>
      <c r="R185" s="3" t="s">
        <v>100</v>
      </c>
      <c r="S185" s="3">
        <v>37205830</v>
      </c>
      <c r="T185" s="3">
        <v>3538224210</v>
      </c>
      <c r="U185" s="3" t="s">
        <v>29</v>
      </c>
    </row>
    <row r="186" spans="1:21" ht="13.2" x14ac:dyDescent="0.25">
      <c r="A186" s="14">
        <v>5194502000114</v>
      </c>
      <c r="B186" s="15" t="str">
        <f t="shared" si="2"/>
        <v>05.194.502/0001-14</v>
      </c>
      <c r="C186" s="12"/>
      <c r="D186" s="3" t="s">
        <v>972</v>
      </c>
      <c r="E186" s="3" t="s">
        <v>972</v>
      </c>
      <c r="F186" s="3" t="s">
        <v>20</v>
      </c>
      <c r="G186" s="4">
        <v>37460</v>
      </c>
      <c r="H186" s="3" t="s">
        <v>21</v>
      </c>
      <c r="I186" s="3" t="s">
        <v>33</v>
      </c>
      <c r="J186" s="5">
        <v>5284776</v>
      </c>
      <c r="K186" s="3">
        <v>4644301</v>
      </c>
      <c r="L186" s="3" t="s">
        <v>326</v>
      </c>
      <c r="M186" s="3" t="s">
        <v>973</v>
      </c>
      <c r="N186" s="3">
        <v>1700</v>
      </c>
      <c r="P186" s="3" t="s">
        <v>153</v>
      </c>
      <c r="Q186" s="3" t="s">
        <v>974</v>
      </c>
      <c r="R186" s="3" t="s">
        <v>100</v>
      </c>
      <c r="S186" s="3">
        <v>37135516</v>
      </c>
      <c r="T186" s="3">
        <v>3537010450</v>
      </c>
      <c r="U186" s="3" t="s">
        <v>29</v>
      </c>
    </row>
    <row r="187" spans="1:21" ht="13.2" x14ac:dyDescent="0.25">
      <c r="A187" s="14">
        <v>55818397000115</v>
      </c>
      <c r="B187" s="15" t="str">
        <f t="shared" si="2"/>
        <v>55.818.397/0001-15</v>
      </c>
      <c r="C187" s="12"/>
      <c r="D187" s="3" t="s">
        <v>975</v>
      </c>
      <c r="E187" s="3" t="s">
        <v>975</v>
      </c>
      <c r="F187" s="3" t="s">
        <v>20</v>
      </c>
      <c r="G187" s="4">
        <v>31573</v>
      </c>
      <c r="H187" s="3" t="s">
        <v>21</v>
      </c>
      <c r="I187" s="3" t="s">
        <v>33</v>
      </c>
      <c r="J187" s="5">
        <v>1101000</v>
      </c>
      <c r="K187" s="3">
        <v>2821601</v>
      </c>
      <c r="L187" s="3" t="s">
        <v>976</v>
      </c>
      <c r="M187" s="3" t="s">
        <v>977</v>
      </c>
      <c r="N187" s="3">
        <v>6529</v>
      </c>
      <c r="O187" s="3" t="s">
        <v>978</v>
      </c>
      <c r="P187" s="3" t="s">
        <v>979</v>
      </c>
      <c r="Q187" s="3" t="s">
        <v>929</v>
      </c>
      <c r="R187" s="3" t="s">
        <v>28</v>
      </c>
      <c r="S187" s="3">
        <v>6530001</v>
      </c>
      <c r="T187" s="3">
        <v>1141568935</v>
      </c>
      <c r="U187" s="3" t="s">
        <v>29</v>
      </c>
    </row>
    <row r="188" spans="1:21" ht="13.2" x14ac:dyDescent="0.25">
      <c r="A188" s="14">
        <v>1456620000100</v>
      </c>
      <c r="B188" s="15" t="str">
        <f t="shared" si="2"/>
        <v>01.456.620/0001-00</v>
      </c>
      <c r="C188" s="12"/>
      <c r="D188" s="3" t="s">
        <v>980</v>
      </c>
      <c r="E188" s="3" t="s">
        <v>980</v>
      </c>
      <c r="F188" s="3" t="s">
        <v>20</v>
      </c>
      <c r="G188" s="4">
        <v>35325</v>
      </c>
      <c r="H188" s="3" t="s">
        <v>21</v>
      </c>
      <c r="I188" s="3" t="s">
        <v>22</v>
      </c>
      <c r="J188" s="5">
        <v>1520000</v>
      </c>
      <c r="K188" s="3">
        <v>8121400</v>
      </c>
      <c r="L188" s="3" t="s">
        <v>494</v>
      </c>
      <c r="M188" s="3" t="s">
        <v>981</v>
      </c>
      <c r="N188" s="3" t="s">
        <v>982</v>
      </c>
      <c r="P188" s="3" t="s">
        <v>70</v>
      </c>
      <c r="Q188" s="3" t="s">
        <v>324</v>
      </c>
      <c r="R188" s="3" t="s">
        <v>28</v>
      </c>
      <c r="S188" s="3">
        <v>17015331</v>
      </c>
      <c r="T188" s="3">
        <v>1438789500</v>
      </c>
      <c r="U188" s="3" t="s">
        <v>29</v>
      </c>
    </row>
    <row r="189" spans="1:21" ht="13.2" x14ac:dyDescent="0.25">
      <c r="A189" s="14">
        <v>4622116000113</v>
      </c>
      <c r="B189" s="15" t="str">
        <f t="shared" si="2"/>
        <v>04.622.116/0001-13</v>
      </c>
      <c r="C189" s="12"/>
      <c r="D189" s="3" t="s">
        <v>983</v>
      </c>
      <c r="E189" s="3" t="s">
        <v>984</v>
      </c>
      <c r="F189" s="3" t="s">
        <v>45</v>
      </c>
      <c r="G189" s="4">
        <v>37118</v>
      </c>
      <c r="H189" s="3" t="s">
        <v>94</v>
      </c>
      <c r="I189" s="3" t="s">
        <v>33</v>
      </c>
      <c r="J189" s="5">
        <v>646176900</v>
      </c>
      <c r="K189" s="3">
        <v>6110803</v>
      </c>
      <c r="L189" s="3" t="s">
        <v>339</v>
      </c>
      <c r="M189" s="3" t="s">
        <v>985</v>
      </c>
      <c r="N189" s="3">
        <v>415</v>
      </c>
      <c r="O189" s="3" t="s">
        <v>986</v>
      </c>
      <c r="P189" s="3" t="s">
        <v>518</v>
      </c>
      <c r="Q189" s="3" t="s">
        <v>987</v>
      </c>
      <c r="R189" s="3" t="s">
        <v>100</v>
      </c>
      <c r="S189" s="3">
        <v>38400668</v>
      </c>
      <c r="T189" s="3">
        <v>3432562961</v>
      </c>
      <c r="U189" s="3" t="s">
        <v>29</v>
      </c>
    </row>
    <row r="190" spans="1:21" ht="13.2" x14ac:dyDescent="0.25">
      <c r="A190" s="14">
        <v>71208516000174</v>
      </c>
      <c r="B190" s="15" t="str">
        <f t="shared" si="2"/>
        <v>71.208.516/0001-74</v>
      </c>
      <c r="C190" s="12"/>
      <c r="D190" s="3" t="s">
        <v>988</v>
      </c>
      <c r="E190" s="3" t="s">
        <v>989</v>
      </c>
      <c r="F190" s="3" t="s">
        <v>20</v>
      </c>
      <c r="G190" s="4">
        <v>34089</v>
      </c>
      <c r="H190" s="3" t="s">
        <v>377</v>
      </c>
      <c r="I190" s="3" t="s">
        <v>33</v>
      </c>
      <c r="J190" s="5">
        <v>901831200</v>
      </c>
      <c r="K190" s="3">
        <v>6110801</v>
      </c>
      <c r="L190" s="3" t="s">
        <v>990</v>
      </c>
      <c r="M190" s="3" t="s">
        <v>985</v>
      </c>
      <c r="N190" s="3">
        <v>415</v>
      </c>
      <c r="P190" s="3" t="s">
        <v>518</v>
      </c>
      <c r="Q190" s="3" t="s">
        <v>987</v>
      </c>
      <c r="R190" s="3" t="s">
        <v>100</v>
      </c>
      <c r="S190" s="3">
        <v>38400668</v>
      </c>
      <c r="T190" s="3">
        <v>3432562963</v>
      </c>
      <c r="U190" s="3" t="s">
        <v>29</v>
      </c>
    </row>
    <row r="191" spans="1:21" ht="13.2" x14ac:dyDescent="0.25">
      <c r="A191" s="14">
        <v>8362070000100</v>
      </c>
      <c r="B191" s="15" t="str">
        <f t="shared" si="2"/>
        <v>08.362.070/0001-00</v>
      </c>
      <c r="C191" s="12"/>
      <c r="D191" s="3" t="s">
        <v>991</v>
      </c>
      <c r="E191" s="3" t="s">
        <v>992</v>
      </c>
      <c r="F191" s="3" t="s">
        <v>20</v>
      </c>
      <c r="G191" s="4">
        <v>39007</v>
      </c>
      <c r="H191" s="3" t="s">
        <v>21</v>
      </c>
      <c r="I191" s="3" t="s">
        <v>33</v>
      </c>
      <c r="J191" s="5">
        <v>1000000</v>
      </c>
      <c r="K191" s="3">
        <v>4520001</v>
      </c>
      <c r="L191" s="3" t="s">
        <v>993</v>
      </c>
      <c r="M191" s="3" t="s">
        <v>994</v>
      </c>
      <c r="N191" s="3">
        <v>1920</v>
      </c>
      <c r="P191" s="3" t="s">
        <v>995</v>
      </c>
      <c r="Q191" s="3" t="s">
        <v>77</v>
      </c>
      <c r="R191" s="3" t="s">
        <v>78</v>
      </c>
      <c r="S191" s="3">
        <v>26010660</v>
      </c>
      <c r="T191" s="3">
        <v>2131442612</v>
      </c>
      <c r="U191" s="3" t="s">
        <v>29</v>
      </c>
    </row>
    <row r="192" spans="1:21" ht="13.2" x14ac:dyDescent="0.25">
      <c r="A192" s="14">
        <v>3941052000150</v>
      </c>
      <c r="B192" s="15" t="str">
        <f t="shared" si="2"/>
        <v>03.941.052/0001-50</v>
      </c>
      <c r="C192" s="12"/>
      <c r="D192" s="3" t="s">
        <v>996</v>
      </c>
      <c r="E192" s="3" t="s">
        <v>996</v>
      </c>
      <c r="F192" s="3" t="s">
        <v>20</v>
      </c>
      <c r="G192" s="4">
        <v>36727</v>
      </c>
      <c r="H192" s="3" t="s">
        <v>94</v>
      </c>
      <c r="I192" s="3" t="s">
        <v>33</v>
      </c>
      <c r="J192" s="5">
        <v>484000000</v>
      </c>
      <c r="K192" s="3">
        <v>1012103</v>
      </c>
      <c r="L192" s="3" t="s">
        <v>997</v>
      </c>
      <c r="M192" s="3" t="s">
        <v>998</v>
      </c>
      <c r="N192" s="3">
        <v>3326</v>
      </c>
      <c r="P192" s="3" t="s">
        <v>999</v>
      </c>
      <c r="Q192" s="3" t="s">
        <v>437</v>
      </c>
      <c r="R192" s="3" t="s">
        <v>53</v>
      </c>
      <c r="S192" s="3">
        <v>90410007</v>
      </c>
      <c r="T192" s="3">
        <v>5121235000</v>
      </c>
      <c r="U192" s="3" t="s">
        <v>29</v>
      </c>
    </row>
    <row r="193" spans="1:21" ht="13.2" x14ac:dyDescent="0.25">
      <c r="A193" s="14">
        <v>3645657000102</v>
      </c>
      <c r="B193" s="15" t="str">
        <f t="shared" si="2"/>
        <v>03.645.657/0001-02</v>
      </c>
      <c r="C193" s="12"/>
      <c r="D193" s="3" t="s">
        <v>1000</v>
      </c>
      <c r="E193" s="3" t="s">
        <v>1001</v>
      </c>
      <c r="F193" s="3" t="s">
        <v>20</v>
      </c>
      <c r="G193" s="4">
        <v>36572</v>
      </c>
      <c r="H193" s="3" t="s">
        <v>94</v>
      </c>
      <c r="I193" s="3" t="s">
        <v>33</v>
      </c>
      <c r="J193" s="5">
        <v>216000000</v>
      </c>
      <c r="K193" s="3">
        <v>1099602</v>
      </c>
      <c r="L193" s="3" t="s">
        <v>1002</v>
      </c>
      <c r="M193" s="3" t="s">
        <v>1003</v>
      </c>
      <c r="N193" s="3">
        <v>200</v>
      </c>
      <c r="O193" s="3" t="s">
        <v>1004</v>
      </c>
      <c r="P193" s="3" t="s">
        <v>1005</v>
      </c>
      <c r="Q193" s="3" t="s">
        <v>65</v>
      </c>
      <c r="R193" s="3" t="s">
        <v>28</v>
      </c>
      <c r="S193" s="3">
        <v>13069310</v>
      </c>
      <c r="T193" s="3">
        <v>1937168888</v>
      </c>
      <c r="U193" s="3" t="s">
        <v>29</v>
      </c>
    </row>
    <row r="194" spans="1:21" ht="13.2" x14ac:dyDescent="0.25">
      <c r="A194" s="14">
        <v>3948499000151</v>
      </c>
      <c r="B194" s="15" t="str">
        <f t="shared" si="2"/>
        <v>03.948.499/0001-51</v>
      </c>
      <c r="C194" s="12"/>
      <c r="D194" s="3" t="s">
        <v>1006</v>
      </c>
      <c r="E194" s="3" t="s">
        <v>1007</v>
      </c>
      <c r="F194" s="3" t="s">
        <v>20</v>
      </c>
      <c r="G194" s="4">
        <v>36726</v>
      </c>
      <c r="H194" s="3" t="s">
        <v>21</v>
      </c>
      <c r="I194" s="3" t="s">
        <v>33</v>
      </c>
      <c r="J194" s="5">
        <v>1500000</v>
      </c>
      <c r="K194" s="3">
        <v>1013901</v>
      </c>
      <c r="L194" s="3" t="s">
        <v>1008</v>
      </c>
      <c r="M194" s="3" t="s">
        <v>1009</v>
      </c>
      <c r="N194" s="3">
        <v>23066</v>
      </c>
      <c r="P194" s="3" t="s">
        <v>1010</v>
      </c>
      <c r="Q194" s="3" t="s">
        <v>476</v>
      </c>
      <c r="R194" s="3" t="s">
        <v>100</v>
      </c>
      <c r="S194" s="3">
        <v>31910585</v>
      </c>
      <c r="T194" s="3">
        <v>3135052800</v>
      </c>
      <c r="U194" s="3" t="s">
        <v>29</v>
      </c>
    </row>
    <row r="195" spans="1:21" ht="13.2" x14ac:dyDescent="0.25">
      <c r="A195" s="14">
        <v>8479109000165</v>
      </c>
      <c r="B195" s="15" t="str">
        <f t="shared" ref="B195:B258" si="3">TEXT(A195,"00\.000\.000\/0000\-00")</f>
        <v>08.479.109/0001-65</v>
      </c>
      <c r="C195" s="12" t="str">
        <f>VLOOKUP(B195,[1]Planilha1!$A:$B,2,0)</f>
        <v>Malu Montesino</v>
      </c>
      <c r="D195" s="3" t="s">
        <v>1011</v>
      </c>
      <c r="E195" s="3" t="s">
        <v>1011</v>
      </c>
      <c r="F195" s="3" t="s">
        <v>31</v>
      </c>
      <c r="G195" s="4">
        <v>38898</v>
      </c>
      <c r="H195" s="3" t="s">
        <v>21</v>
      </c>
      <c r="I195" s="3" t="s">
        <v>47</v>
      </c>
      <c r="J195" s="5">
        <v>10000</v>
      </c>
      <c r="K195" s="3">
        <v>2539001</v>
      </c>
      <c r="L195" s="3" t="s">
        <v>1012</v>
      </c>
      <c r="M195" s="3" t="s">
        <v>1013</v>
      </c>
      <c r="N195" s="3">
        <v>267</v>
      </c>
      <c r="O195" s="3" t="s">
        <v>1014</v>
      </c>
      <c r="P195" s="3" t="s">
        <v>1015</v>
      </c>
      <c r="Q195" s="3" t="s">
        <v>27</v>
      </c>
      <c r="R195" s="3" t="s">
        <v>28</v>
      </c>
      <c r="S195" s="3">
        <v>3605000</v>
      </c>
      <c r="T195" s="3">
        <v>1164214036</v>
      </c>
      <c r="U195" s="3" t="s">
        <v>29</v>
      </c>
    </row>
    <row r="196" spans="1:21" ht="13.2" x14ac:dyDescent="0.25">
      <c r="A196" s="14">
        <v>43426626000177</v>
      </c>
      <c r="B196" s="15" t="str">
        <f t="shared" si="3"/>
        <v>43.426.626/0001-77</v>
      </c>
      <c r="C196" s="12"/>
      <c r="D196" s="3" t="s">
        <v>1016</v>
      </c>
      <c r="E196" s="3" t="s">
        <v>1016</v>
      </c>
      <c r="F196" s="3" t="s">
        <v>20</v>
      </c>
      <c r="G196" s="4">
        <v>26528</v>
      </c>
      <c r="H196" s="3" t="s">
        <v>21</v>
      </c>
      <c r="I196" s="3" t="s">
        <v>33</v>
      </c>
      <c r="J196" s="5">
        <v>30299048</v>
      </c>
      <c r="K196" s="3">
        <v>2121101</v>
      </c>
      <c r="L196" s="3" t="s">
        <v>233</v>
      </c>
      <c r="M196" s="3" t="s">
        <v>1017</v>
      </c>
      <c r="N196" s="3">
        <v>105</v>
      </c>
      <c r="O196" s="3" t="s">
        <v>1018</v>
      </c>
      <c r="P196" s="3" t="s">
        <v>1019</v>
      </c>
      <c r="Q196" s="3" t="s">
        <v>27</v>
      </c>
      <c r="R196" s="3" t="s">
        <v>28</v>
      </c>
      <c r="S196" s="3">
        <v>4571900</v>
      </c>
      <c r="T196" s="3">
        <v>1130480500</v>
      </c>
      <c r="U196" s="3" t="s">
        <v>29</v>
      </c>
    </row>
    <row r="197" spans="1:21" ht="13.2" x14ac:dyDescent="0.25">
      <c r="A197" s="14">
        <v>51492104000100</v>
      </c>
      <c r="B197" s="15" t="str">
        <f t="shared" si="3"/>
        <v>51.492.104/0001-00</v>
      </c>
      <c r="C197" s="12"/>
      <c r="D197" s="3" t="s">
        <v>1020</v>
      </c>
      <c r="E197" s="3" t="s">
        <v>1021</v>
      </c>
      <c r="F197" s="3" t="s">
        <v>20</v>
      </c>
      <c r="G197" s="4">
        <v>45127</v>
      </c>
      <c r="H197" s="3" t="s">
        <v>21</v>
      </c>
      <c r="I197" s="3" t="s">
        <v>22</v>
      </c>
      <c r="J197" s="5">
        <v>100000</v>
      </c>
      <c r="K197" s="3">
        <v>6920602</v>
      </c>
      <c r="L197" s="3" t="s">
        <v>1022</v>
      </c>
      <c r="M197" s="3" t="s">
        <v>1023</v>
      </c>
      <c r="N197" s="3">
        <v>366</v>
      </c>
      <c r="O197" s="3" t="s">
        <v>1024</v>
      </c>
      <c r="P197" s="3" t="s">
        <v>248</v>
      </c>
      <c r="Q197" s="3" t="s">
        <v>27</v>
      </c>
      <c r="R197" s="3" t="s">
        <v>28</v>
      </c>
      <c r="S197" s="3">
        <v>1332900</v>
      </c>
      <c r="T197" s="3">
        <v>1154561992</v>
      </c>
      <c r="U197" s="3" t="s">
        <v>29</v>
      </c>
    </row>
    <row r="198" spans="1:21" ht="13.2" x14ac:dyDescent="0.25">
      <c r="A198" s="14">
        <v>55979736000145</v>
      </c>
      <c r="B198" s="15" t="str">
        <f t="shared" si="3"/>
        <v>55.979.736/0001-45</v>
      </c>
      <c r="C198" s="12" t="str">
        <f>VLOOKUP(B198,[1]Planilha1!$A:$B,2,0)</f>
        <v>Malu Montesino</v>
      </c>
      <c r="D198" s="3" t="s">
        <v>1025</v>
      </c>
      <c r="E198" s="3" t="s">
        <v>1026</v>
      </c>
      <c r="F198" s="3" t="s">
        <v>20</v>
      </c>
      <c r="G198" s="4">
        <v>24330</v>
      </c>
      <c r="H198" s="3" t="s">
        <v>94</v>
      </c>
      <c r="I198" s="3" t="s">
        <v>33</v>
      </c>
      <c r="J198" s="5">
        <v>76962620</v>
      </c>
      <c r="K198" s="3">
        <v>2660400</v>
      </c>
      <c r="L198" s="3" t="s">
        <v>953</v>
      </c>
      <c r="M198" s="3" t="s">
        <v>1027</v>
      </c>
      <c r="N198" s="3">
        <v>0</v>
      </c>
      <c r="O198" s="3" t="s">
        <v>1028</v>
      </c>
      <c r="P198" s="3" t="s">
        <v>1029</v>
      </c>
      <c r="Q198" s="3" t="s">
        <v>524</v>
      </c>
      <c r="R198" s="3" t="s">
        <v>28</v>
      </c>
      <c r="S198" s="3">
        <v>14097500</v>
      </c>
      <c r="T198" s="3">
        <v>1682270297</v>
      </c>
      <c r="U198" s="3" t="s">
        <v>29</v>
      </c>
    </row>
    <row r="199" spans="1:21" ht="13.2" x14ac:dyDescent="0.25">
      <c r="A199" s="14">
        <v>20247322000147</v>
      </c>
      <c r="B199" s="15" t="str">
        <f t="shared" si="3"/>
        <v>20.247.322/0001-47</v>
      </c>
      <c r="C199" s="12"/>
      <c r="D199" s="3" t="s">
        <v>1030</v>
      </c>
      <c r="E199" s="3" t="s">
        <v>1030</v>
      </c>
      <c r="F199" s="3" t="s">
        <v>20</v>
      </c>
      <c r="G199" s="4">
        <v>41773</v>
      </c>
      <c r="H199" s="3" t="s">
        <v>377</v>
      </c>
      <c r="I199" s="3" t="s">
        <v>33</v>
      </c>
      <c r="J199" s="5">
        <v>1029711500</v>
      </c>
      <c r="K199" s="3">
        <v>4652400</v>
      </c>
      <c r="L199" s="3" t="s">
        <v>1031</v>
      </c>
      <c r="M199" s="3" t="s">
        <v>1032</v>
      </c>
      <c r="N199" s="7">
        <v>1500</v>
      </c>
      <c r="O199" s="3" t="s">
        <v>1033</v>
      </c>
      <c r="P199" s="3" t="s">
        <v>153</v>
      </c>
      <c r="Q199" s="3" t="s">
        <v>567</v>
      </c>
      <c r="R199" s="3" t="s">
        <v>28</v>
      </c>
      <c r="S199" s="3">
        <v>13213086</v>
      </c>
      <c r="T199" s="3">
        <v>1155039993</v>
      </c>
      <c r="U199" s="3" t="s">
        <v>29</v>
      </c>
    </row>
    <row r="200" spans="1:21" ht="13.2" x14ac:dyDescent="0.25">
      <c r="A200" s="14">
        <v>8584090000117</v>
      </c>
      <c r="B200" s="15" t="str">
        <f t="shared" si="3"/>
        <v>08.584.090/0001-17</v>
      </c>
      <c r="C200" s="12"/>
      <c r="D200" s="3" t="s">
        <v>1034</v>
      </c>
      <c r="E200" s="3" t="s">
        <v>1035</v>
      </c>
      <c r="F200" s="3" t="s">
        <v>31</v>
      </c>
      <c r="G200" s="4">
        <v>39073</v>
      </c>
      <c r="H200" s="3" t="s">
        <v>21</v>
      </c>
      <c r="I200" s="3" t="s">
        <v>22</v>
      </c>
      <c r="J200" s="5">
        <v>500000</v>
      </c>
      <c r="K200" s="3">
        <v>4645101</v>
      </c>
      <c r="L200" s="3" t="s">
        <v>135</v>
      </c>
      <c r="M200" s="3" t="s">
        <v>1036</v>
      </c>
      <c r="N200" s="3">
        <v>1428</v>
      </c>
      <c r="O200" s="3" t="s">
        <v>1037</v>
      </c>
      <c r="P200" s="3" t="s">
        <v>1038</v>
      </c>
      <c r="Q200" s="3" t="s">
        <v>253</v>
      </c>
      <c r="R200" s="3" t="s">
        <v>78</v>
      </c>
      <c r="S200" s="3">
        <v>22740362</v>
      </c>
      <c r="T200" s="3">
        <v>2125090261</v>
      </c>
      <c r="U200" s="3" t="s">
        <v>29</v>
      </c>
    </row>
    <row r="201" spans="1:21" ht="13.2" x14ac:dyDescent="0.25">
      <c r="A201" s="14">
        <v>33189131000118</v>
      </c>
      <c r="B201" s="15" t="str">
        <f t="shared" si="3"/>
        <v>33.189.131/0001-18</v>
      </c>
      <c r="C201" s="12"/>
      <c r="D201" s="3" t="s">
        <v>1039</v>
      </c>
      <c r="E201" s="3" t="s">
        <v>1039</v>
      </c>
      <c r="F201" s="3" t="s">
        <v>20</v>
      </c>
      <c r="G201" s="4">
        <v>43553</v>
      </c>
      <c r="H201" s="3" t="s">
        <v>21</v>
      </c>
      <c r="I201" s="3" t="s">
        <v>33</v>
      </c>
      <c r="J201" s="5">
        <v>156092220</v>
      </c>
      <c r="K201" s="3">
        <v>4212000</v>
      </c>
      <c r="L201" s="3" t="s">
        <v>1040</v>
      </c>
      <c r="M201" s="3" t="s">
        <v>1041</v>
      </c>
      <c r="N201" s="3">
        <v>503</v>
      </c>
      <c r="O201" s="3" t="s">
        <v>1042</v>
      </c>
      <c r="P201" s="3" t="s">
        <v>1043</v>
      </c>
      <c r="Q201" s="3" t="s">
        <v>617</v>
      </c>
      <c r="R201" s="3" t="s">
        <v>28</v>
      </c>
      <c r="S201" s="3">
        <v>6454040</v>
      </c>
      <c r="T201" s="3">
        <v>1147658732</v>
      </c>
      <c r="U201" s="3" t="s">
        <v>29</v>
      </c>
    </row>
    <row r="202" spans="1:21" ht="13.2" x14ac:dyDescent="0.25">
      <c r="A202" s="14">
        <v>60537263000166</v>
      </c>
      <c r="B202" s="15" t="str">
        <f t="shared" si="3"/>
        <v>60.537.263/0001-66</v>
      </c>
      <c r="C202" s="12"/>
      <c r="D202" s="3" t="s">
        <v>1044</v>
      </c>
      <c r="E202" s="3" t="s">
        <v>1045</v>
      </c>
      <c r="F202" s="3" t="s">
        <v>20</v>
      </c>
      <c r="G202" s="4">
        <v>32617</v>
      </c>
      <c r="H202" s="3" t="s">
        <v>377</v>
      </c>
      <c r="I202" s="3" t="s">
        <v>33</v>
      </c>
      <c r="J202" s="5">
        <v>654756700</v>
      </c>
      <c r="K202" s="3">
        <v>5223100</v>
      </c>
      <c r="L202" s="3" t="s">
        <v>1046</v>
      </c>
      <c r="M202" s="3" t="s">
        <v>1047</v>
      </c>
      <c r="N202" s="3">
        <v>1830</v>
      </c>
      <c r="O202" s="3" t="s">
        <v>1048</v>
      </c>
      <c r="P202" s="3" t="s">
        <v>1049</v>
      </c>
      <c r="Q202" s="3" t="s">
        <v>27</v>
      </c>
      <c r="R202" s="3" t="s">
        <v>28</v>
      </c>
      <c r="S202" s="3">
        <v>4543900</v>
      </c>
      <c r="T202" s="3">
        <v>1121618000</v>
      </c>
      <c r="U202" s="3" t="s">
        <v>29</v>
      </c>
    </row>
    <row r="203" spans="1:21" ht="13.2" x14ac:dyDescent="0.25">
      <c r="A203" s="14">
        <v>3250204000179</v>
      </c>
      <c r="B203" s="15" t="str">
        <f t="shared" si="3"/>
        <v>03.250.204/0001-79</v>
      </c>
      <c r="C203" s="12" t="str">
        <f>VLOOKUP(B203,[1]Planilha1!$A:$B,2,0)</f>
        <v>Malu Montesino</v>
      </c>
      <c r="D203" s="3" t="s">
        <v>1050</v>
      </c>
      <c r="E203" s="3" t="s">
        <v>1051</v>
      </c>
      <c r="F203" s="3" t="s">
        <v>20</v>
      </c>
      <c r="G203" s="4">
        <v>36325</v>
      </c>
      <c r="H203" s="3" t="s">
        <v>21</v>
      </c>
      <c r="I203" s="3" t="s">
        <v>33</v>
      </c>
      <c r="J203" s="5">
        <v>4136154</v>
      </c>
      <c r="K203" s="3">
        <v>2229399</v>
      </c>
      <c r="L203" s="3" t="s">
        <v>414</v>
      </c>
      <c r="M203" s="3" t="s">
        <v>1052</v>
      </c>
      <c r="N203" s="3">
        <v>277</v>
      </c>
      <c r="P203" s="3" t="s">
        <v>1053</v>
      </c>
      <c r="Q203" s="3" t="s">
        <v>1054</v>
      </c>
      <c r="R203" s="3" t="s">
        <v>28</v>
      </c>
      <c r="S203" s="3">
        <v>13360000</v>
      </c>
      <c r="T203" s="3">
        <v>1934929700</v>
      </c>
      <c r="U203" s="3" t="s">
        <v>29</v>
      </c>
    </row>
    <row r="204" spans="1:21" ht="13.2" x14ac:dyDescent="0.25">
      <c r="A204" s="14">
        <v>7884692000127</v>
      </c>
      <c r="B204" s="15" t="str">
        <f t="shared" si="3"/>
        <v>07.884.692/0001-27</v>
      </c>
      <c r="C204" s="12" t="str">
        <f>VLOOKUP(B204,[1]Planilha1!$A:$B,2,0)</f>
        <v>Malu Montesino</v>
      </c>
      <c r="D204" s="3" t="s">
        <v>1055</v>
      </c>
      <c r="E204" s="3" t="s">
        <v>1055</v>
      </c>
      <c r="F204" s="3" t="s">
        <v>20</v>
      </c>
      <c r="G204" s="4">
        <v>38785</v>
      </c>
      <c r="H204" s="3" t="s">
        <v>21</v>
      </c>
      <c r="I204" s="3" t="s">
        <v>33</v>
      </c>
      <c r="J204" s="5">
        <v>1817470</v>
      </c>
      <c r="K204" s="3">
        <v>4663000</v>
      </c>
      <c r="L204" s="3" t="s">
        <v>128</v>
      </c>
      <c r="M204" s="3" t="s">
        <v>1056</v>
      </c>
      <c r="N204" s="3">
        <v>65</v>
      </c>
      <c r="O204" s="3" t="s">
        <v>1057</v>
      </c>
      <c r="P204" s="3" t="s">
        <v>1058</v>
      </c>
      <c r="Q204" s="3" t="s">
        <v>730</v>
      </c>
      <c r="R204" s="3" t="s">
        <v>53</v>
      </c>
      <c r="S204" s="3">
        <v>95032040</v>
      </c>
      <c r="T204" s="3">
        <v>4730298303</v>
      </c>
      <c r="U204" s="3" t="s">
        <v>29</v>
      </c>
    </row>
    <row r="205" spans="1:21" ht="13.2" x14ac:dyDescent="0.25">
      <c r="A205" s="14">
        <v>12821486000108</v>
      </c>
      <c r="B205" s="15" t="str">
        <f t="shared" si="3"/>
        <v>12.821.486/0001-08</v>
      </c>
      <c r="C205" s="12" t="str">
        <f>VLOOKUP(B205,[1]Planilha1!$A:$B,2,0)</f>
        <v>Malu Montesino</v>
      </c>
      <c r="D205" s="3" t="s">
        <v>1059</v>
      </c>
      <c r="E205" s="3" t="s">
        <v>1059</v>
      </c>
      <c r="F205" s="3" t="s">
        <v>20</v>
      </c>
      <c r="G205" s="4">
        <v>40483</v>
      </c>
      <c r="H205" s="3" t="s">
        <v>94</v>
      </c>
      <c r="I205" s="3" t="s">
        <v>33</v>
      </c>
      <c r="J205" s="5">
        <v>649198</v>
      </c>
      <c r="K205" s="3">
        <v>4663000</v>
      </c>
      <c r="L205" s="3" t="s">
        <v>128</v>
      </c>
      <c r="M205" s="3" t="s">
        <v>1060</v>
      </c>
      <c r="N205" s="3">
        <v>336</v>
      </c>
      <c r="P205" s="3" t="s">
        <v>687</v>
      </c>
      <c r="Q205" s="3" t="s">
        <v>688</v>
      </c>
      <c r="R205" s="3" t="s">
        <v>28</v>
      </c>
      <c r="S205" s="3">
        <v>6714200</v>
      </c>
      <c r="T205" s="3">
        <v>1133130408</v>
      </c>
      <c r="U205" s="3" t="s">
        <v>29</v>
      </c>
    </row>
    <row r="206" spans="1:21" ht="13.2" x14ac:dyDescent="0.25">
      <c r="A206" s="14">
        <v>66748955000130</v>
      </c>
      <c r="B206" s="15" t="str">
        <f t="shared" si="3"/>
        <v>66.748.955/0001-30</v>
      </c>
      <c r="C206" s="12"/>
      <c r="D206" s="3" t="s">
        <v>1061</v>
      </c>
      <c r="E206" s="3" t="s">
        <v>1061</v>
      </c>
      <c r="F206" s="3" t="s">
        <v>20</v>
      </c>
      <c r="G206" s="4">
        <v>33459</v>
      </c>
      <c r="H206" s="3" t="s">
        <v>21</v>
      </c>
      <c r="I206" s="3" t="s">
        <v>33</v>
      </c>
      <c r="J206" s="5">
        <v>80000000</v>
      </c>
      <c r="K206" s="3">
        <v>4120400</v>
      </c>
      <c r="L206" s="3" t="s">
        <v>87</v>
      </c>
      <c r="M206" s="3" t="s">
        <v>1062</v>
      </c>
      <c r="N206" s="3">
        <v>1202</v>
      </c>
      <c r="O206" s="3" t="s">
        <v>1063</v>
      </c>
      <c r="P206" s="3" t="s">
        <v>1064</v>
      </c>
      <c r="Q206" s="3" t="s">
        <v>27</v>
      </c>
      <c r="R206" s="3" t="s">
        <v>28</v>
      </c>
      <c r="S206" s="3">
        <v>4037004</v>
      </c>
      <c r="T206" s="3">
        <v>1138211666</v>
      </c>
      <c r="U206" s="3" t="s">
        <v>29</v>
      </c>
    </row>
    <row r="207" spans="1:21" ht="13.2" x14ac:dyDescent="0.25">
      <c r="A207" s="14">
        <v>61079117000105</v>
      </c>
      <c r="B207" s="15" t="str">
        <f t="shared" si="3"/>
        <v>61.079.117/0001-05</v>
      </c>
      <c r="C207" s="12"/>
      <c r="D207" s="3" t="s">
        <v>1065</v>
      </c>
      <c r="E207" s="3" t="s">
        <v>1065</v>
      </c>
      <c r="F207" s="3" t="s">
        <v>20</v>
      </c>
      <c r="G207" s="4">
        <v>2656</v>
      </c>
      <c r="H207" s="3" t="s">
        <v>377</v>
      </c>
      <c r="I207" s="3" t="s">
        <v>33</v>
      </c>
      <c r="J207" s="5">
        <v>3938257400</v>
      </c>
      <c r="K207" s="3">
        <v>1311100</v>
      </c>
      <c r="L207" s="3" t="s">
        <v>1066</v>
      </c>
      <c r="M207" s="3" t="s">
        <v>308</v>
      </c>
      <c r="N207" s="3">
        <v>14261</v>
      </c>
      <c r="O207" s="3" t="s">
        <v>1067</v>
      </c>
      <c r="P207" s="3" t="s">
        <v>310</v>
      </c>
      <c r="Q207" s="3" t="s">
        <v>27</v>
      </c>
      <c r="R207" s="3" t="s">
        <v>28</v>
      </c>
      <c r="S207" s="3">
        <v>4794000</v>
      </c>
      <c r="T207" s="3">
        <v>1138477322</v>
      </c>
      <c r="U207" s="3" t="s">
        <v>29</v>
      </c>
    </row>
    <row r="208" spans="1:21" ht="13.2" x14ac:dyDescent="0.25">
      <c r="A208" s="14">
        <v>47876552000121</v>
      </c>
      <c r="B208" s="15" t="str">
        <f t="shared" si="3"/>
        <v>47.876.552/0001-21</v>
      </c>
      <c r="C208" s="12"/>
      <c r="D208" s="3" t="s">
        <v>1068</v>
      </c>
      <c r="E208" s="3" t="s">
        <v>1068</v>
      </c>
      <c r="F208" s="3" t="s">
        <v>20</v>
      </c>
      <c r="G208" s="4">
        <v>27936</v>
      </c>
      <c r="H208" s="3" t="s">
        <v>21</v>
      </c>
      <c r="I208" s="3" t="s">
        <v>33</v>
      </c>
      <c r="J208" s="5">
        <v>7000000</v>
      </c>
      <c r="K208" s="3">
        <v>2731700</v>
      </c>
      <c r="L208" s="3" t="s">
        <v>440</v>
      </c>
      <c r="M208" s="3" t="s">
        <v>1069</v>
      </c>
      <c r="N208" s="3">
        <v>58</v>
      </c>
      <c r="P208" s="3" t="s">
        <v>1070</v>
      </c>
      <c r="Q208" s="3" t="s">
        <v>27</v>
      </c>
      <c r="R208" s="3" t="s">
        <v>28</v>
      </c>
      <c r="S208" s="3">
        <v>2726160</v>
      </c>
      <c r="T208" s="3">
        <v>1122023722</v>
      </c>
      <c r="U208" s="3" t="s">
        <v>29</v>
      </c>
    </row>
    <row r="209" spans="1:21" ht="13.2" x14ac:dyDescent="0.25">
      <c r="A209" s="14">
        <v>12432418000157</v>
      </c>
      <c r="B209" s="15" t="str">
        <f t="shared" si="3"/>
        <v>12.432.418/0001-57</v>
      </c>
      <c r="C209" s="12" t="str">
        <f>VLOOKUP(B209,[1]Planilha1!$A:$B,2,0)</f>
        <v>Malu Montesino</v>
      </c>
      <c r="D209" s="3" t="s">
        <v>1071</v>
      </c>
      <c r="E209" s="3" t="s">
        <v>1072</v>
      </c>
      <c r="F209" s="3" t="s">
        <v>20</v>
      </c>
      <c r="G209" s="4">
        <v>40385</v>
      </c>
      <c r="H209" s="3" t="s">
        <v>21</v>
      </c>
      <c r="I209" s="3" t="s">
        <v>33</v>
      </c>
      <c r="J209" s="5">
        <v>220000</v>
      </c>
      <c r="K209" s="3">
        <v>4789099</v>
      </c>
      <c r="L209" s="3" t="s">
        <v>774</v>
      </c>
      <c r="M209" s="3" t="s">
        <v>1073</v>
      </c>
      <c r="N209" s="3">
        <v>414</v>
      </c>
      <c r="O209" s="3" t="s">
        <v>1074</v>
      </c>
      <c r="P209" s="3" t="s">
        <v>216</v>
      </c>
      <c r="Q209" s="3" t="s">
        <v>217</v>
      </c>
      <c r="R209" s="3" t="s">
        <v>28</v>
      </c>
      <c r="S209" s="3">
        <v>9830100</v>
      </c>
      <c r="T209" s="3">
        <v>1143549477</v>
      </c>
      <c r="U209" s="3" t="s">
        <v>29</v>
      </c>
    </row>
    <row r="210" spans="1:21" ht="13.2" x14ac:dyDescent="0.25">
      <c r="A210" s="14">
        <v>7438908000120</v>
      </c>
      <c r="B210" s="15" t="str">
        <f t="shared" si="3"/>
        <v>07.438.908/0001-20</v>
      </c>
      <c r="C210" s="12" t="str">
        <f>VLOOKUP(B210,[1]Planilha1!$A:$B,2,0)</f>
        <v>Malu Montesino</v>
      </c>
      <c r="D210" s="3" t="s">
        <v>1075</v>
      </c>
      <c r="E210" s="3" t="s">
        <v>1075</v>
      </c>
      <c r="F210" s="3" t="s">
        <v>20</v>
      </c>
      <c r="G210" s="4">
        <v>38518</v>
      </c>
      <c r="H210" s="3" t="s">
        <v>21</v>
      </c>
      <c r="I210" s="3" t="s">
        <v>33</v>
      </c>
      <c r="J210" s="5">
        <v>1500000</v>
      </c>
      <c r="K210" s="3">
        <v>2099199</v>
      </c>
      <c r="L210" s="3" t="s">
        <v>80</v>
      </c>
      <c r="M210" s="3" t="s">
        <v>1076</v>
      </c>
      <c r="N210" s="3" t="s">
        <v>82</v>
      </c>
      <c r="P210" s="3" t="s">
        <v>1077</v>
      </c>
      <c r="Q210" s="3" t="s">
        <v>1078</v>
      </c>
      <c r="R210" s="3" t="s">
        <v>187</v>
      </c>
      <c r="S210" s="3">
        <v>85100970</v>
      </c>
      <c r="T210" s="3">
        <v>4236291244</v>
      </c>
      <c r="U210" s="3" t="s">
        <v>29</v>
      </c>
    </row>
    <row r="211" spans="1:21" ht="13.2" x14ac:dyDescent="0.25">
      <c r="A211" s="14">
        <v>18677057000195</v>
      </c>
      <c r="B211" s="15" t="str">
        <f t="shared" si="3"/>
        <v>18.677.057/0001-95</v>
      </c>
      <c r="C211" s="12" t="str">
        <f>VLOOKUP(B211,[1]Planilha1!$A:$B,2,0)</f>
        <v>Malu Montesino</v>
      </c>
      <c r="D211" s="3" t="s">
        <v>1079</v>
      </c>
      <c r="E211" s="3" t="s">
        <v>1079</v>
      </c>
      <c r="F211" s="3" t="s">
        <v>20</v>
      </c>
      <c r="G211" s="4">
        <v>41500</v>
      </c>
      <c r="H211" s="3" t="s">
        <v>21</v>
      </c>
      <c r="I211" s="3" t="s">
        <v>33</v>
      </c>
      <c r="J211" s="5">
        <v>200000</v>
      </c>
      <c r="K211" s="3">
        <v>7112000</v>
      </c>
      <c r="L211" s="3" t="s">
        <v>276</v>
      </c>
      <c r="M211" s="3" t="s">
        <v>1080</v>
      </c>
      <c r="N211" s="3">
        <v>374</v>
      </c>
      <c r="P211" s="3" t="s">
        <v>1081</v>
      </c>
      <c r="Q211" s="3" t="s">
        <v>85</v>
      </c>
      <c r="R211" s="3" t="s">
        <v>28</v>
      </c>
      <c r="S211" s="3">
        <v>13178541</v>
      </c>
      <c r="T211" s="3">
        <v>1933249032</v>
      </c>
      <c r="U211" s="3" t="s">
        <v>29</v>
      </c>
    </row>
    <row r="212" spans="1:21" ht="13.2" x14ac:dyDescent="0.25">
      <c r="A212" s="14">
        <v>61451027000195</v>
      </c>
      <c r="B212" s="15" t="str">
        <f t="shared" si="3"/>
        <v>61.451.027/0001-95</v>
      </c>
      <c r="C212" s="12"/>
      <c r="D212" s="3" t="s">
        <v>1082</v>
      </c>
      <c r="E212" s="3" t="s">
        <v>1082</v>
      </c>
      <c r="F212" s="3" t="s">
        <v>20</v>
      </c>
      <c r="G212" s="4">
        <v>24317</v>
      </c>
      <c r="H212" s="3" t="s">
        <v>21</v>
      </c>
      <c r="I212" s="3" t="s">
        <v>33</v>
      </c>
      <c r="J212" s="5">
        <v>10000000</v>
      </c>
      <c r="K212" s="3">
        <v>2949299</v>
      </c>
      <c r="L212" s="3" t="s">
        <v>1083</v>
      </c>
      <c r="M212" s="3" t="s">
        <v>1084</v>
      </c>
      <c r="N212" s="3">
        <v>100</v>
      </c>
      <c r="P212" s="3" t="s">
        <v>153</v>
      </c>
      <c r="Q212" s="3" t="s">
        <v>567</v>
      </c>
      <c r="R212" s="3" t="s">
        <v>28</v>
      </c>
      <c r="S212" s="3">
        <v>13213008</v>
      </c>
      <c r="T212" s="3">
        <v>1173921127</v>
      </c>
      <c r="U212" s="3" t="s">
        <v>29</v>
      </c>
    </row>
    <row r="213" spans="1:21" ht="13.2" x14ac:dyDescent="0.25">
      <c r="A213" s="14">
        <v>19045238000161</v>
      </c>
      <c r="B213" s="15" t="str">
        <f t="shared" si="3"/>
        <v>19.045.238/0001-61</v>
      </c>
      <c r="C213" s="12"/>
      <c r="D213" s="3" t="s">
        <v>1085</v>
      </c>
      <c r="E213" s="3" t="s">
        <v>1086</v>
      </c>
      <c r="F213" s="3" t="s">
        <v>20</v>
      </c>
      <c r="G213" s="4">
        <v>41557</v>
      </c>
      <c r="H213" s="3" t="s">
        <v>21</v>
      </c>
      <c r="I213" s="3" t="s">
        <v>33</v>
      </c>
      <c r="J213" s="5">
        <v>11859025</v>
      </c>
      <c r="K213" s="3">
        <v>6190699</v>
      </c>
      <c r="L213" s="3" t="s">
        <v>258</v>
      </c>
      <c r="M213" s="3" t="s">
        <v>1087</v>
      </c>
      <c r="N213" s="3">
        <v>490</v>
      </c>
      <c r="O213" s="3" t="s">
        <v>1088</v>
      </c>
      <c r="P213" s="3" t="s">
        <v>256</v>
      </c>
      <c r="Q213" s="3" t="s">
        <v>27</v>
      </c>
      <c r="R213" s="3" t="s">
        <v>28</v>
      </c>
      <c r="S213" s="3">
        <v>4221000</v>
      </c>
      <c r="T213" s="3">
        <v>1121551454</v>
      </c>
      <c r="U213" s="3" t="s">
        <v>29</v>
      </c>
    </row>
    <row r="214" spans="1:21" ht="13.2" x14ac:dyDescent="0.25">
      <c r="A214" s="14">
        <v>3736615000179</v>
      </c>
      <c r="B214" s="15" t="str">
        <f t="shared" si="3"/>
        <v>03.736.615/0001-79</v>
      </c>
      <c r="C214" s="12"/>
      <c r="D214" s="3" t="s">
        <v>1089</v>
      </c>
      <c r="E214" s="3" t="s">
        <v>1090</v>
      </c>
      <c r="F214" s="3" t="s">
        <v>20</v>
      </c>
      <c r="G214" s="4">
        <v>36602</v>
      </c>
      <c r="H214" s="3" t="s">
        <v>21</v>
      </c>
      <c r="I214" s="3" t="s">
        <v>33</v>
      </c>
      <c r="J214" s="5">
        <v>168694400</v>
      </c>
      <c r="K214" s="3">
        <v>7490199</v>
      </c>
      <c r="L214" s="3" t="s">
        <v>1091</v>
      </c>
      <c r="M214" s="3" t="s">
        <v>1092</v>
      </c>
      <c r="N214" s="3">
        <v>1824</v>
      </c>
      <c r="P214" s="3" t="s">
        <v>1093</v>
      </c>
      <c r="Q214" s="3" t="s">
        <v>27</v>
      </c>
      <c r="R214" s="3" t="s">
        <v>28</v>
      </c>
      <c r="S214" s="3">
        <v>2068000</v>
      </c>
      <c r="T214" s="3">
        <v>1130789626</v>
      </c>
      <c r="U214" s="3" t="s">
        <v>29</v>
      </c>
    </row>
    <row r="215" spans="1:21" ht="13.2" x14ac:dyDescent="0.25">
      <c r="A215" s="14">
        <v>7883571000160</v>
      </c>
      <c r="B215" s="15" t="str">
        <f t="shared" si="3"/>
        <v>07.883.571/0001-60</v>
      </c>
      <c r="C215" s="12" t="str">
        <f>VLOOKUP(B215,[1]Planilha1!$A:$B,2,0)</f>
        <v>Malu Montesino</v>
      </c>
      <c r="D215" s="3" t="s">
        <v>1094</v>
      </c>
      <c r="E215" s="3" t="s">
        <v>1094</v>
      </c>
      <c r="F215" s="3" t="s">
        <v>20</v>
      </c>
      <c r="G215" s="4">
        <v>38768</v>
      </c>
      <c r="H215" s="3" t="s">
        <v>21</v>
      </c>
      <c r="I215" s="3" t="s">
        <v>22</v>
      </c>
      <c r="J215" s="5">
        <v>10000</v>
      </c>
      <c r="K215" s="3">
        <v>4663000</v>
      </c>
      <c r="L215" s="3" t="s">
        <v>128</v>
      </c>
      <c r="M215" s="3" t="s">
        <v>1095</v>
      </c>
      <c r="N215" s="3">
        <v>3300</v>
      </c>
      <c r="O215" s="3" t="s">
        <v>1096</v>
      </c>
      <c r="P215" s="3" t="s">
        <v>252</v>
      </c>
      <c r="Q215" s="3" t="s">
        <v>253</v>
      </c>
      <c r="R215" s="3" t="s">
        <v>78</v>
      </c>
      <c r="S215" s="3">
        <v>22775040</v>
      </c>
      <c r="T215" s="3">
        <v>2134190086</v>
      </c>
      <c r="U215" s="3" t="s">
        <v>29</v>
      </c>
    </row>
    <row r="216" spans="1:21" ht="13.2" x14ac:dyDescent="0.25">
      <c r="A216" s="14">
        <v>69130300000191</v>
      </c>
      <c r="B216" s="15" t="str">
        <f t="shared" si="3"/>
        <v>69.130.300/0001-91</v>
      </c>
      <c r="C216" s="12"/>
      <c r="D216" s="3" t="s">
        <v>1097</v>
      </c>
      <c r="E216" s="3" t="s">
        <v>1097</v>
      </c>
      <c r="F216" s="3" t="s">
        <v>20</v>
      </c>
      <c r="G216" s="4">
        <v>34033</v>
      </c>
      <c r="H216" s="3" t="s">
        <v>21</v>
      </c>
      <c r="I216" s="3" t="s">
        <v>33</v>
      </c>
      <c r="J216" s="5">
        <v>1502000</v>
      </c>
      <c r="K216" s="3">
        <v>8011101</v>
      </c>
      <c r="L216" s="3" t="s">
        <v>943</v>
      </c>
      <c r="M216" s="3" t="s">
        <v>589</v>
      </c>
      <c r="N216" s="3">
        <v>1886</v>
      </c>
      <c r="P216" s="3" t="s">
        <v>589</v>
      </c>
      <c r="Q216" s="3" t="s">
        <v>27</v>
      </c>
      <c r="R216" s="3" t="s">
        <v>28</v>
      </c>
      <c r="S216" s="3">
        <v>1234000</v>
      </c>
      <c r="T216" s="3">
        <v>1156273939</v>
      </c>
      <c r="U216" s="3" t="s">
        <v>29</v>
      </c>
    </row>
    <row r="217" spans="1:21" ht="13.2" x14ac:dyDescent="0.25">
      <c r="A217" s="14">
        <v>33325184000119</v>
      </c>
      <c r="B217" s="15" t="str">
        <f t="shared" si="3"/>
        <v>33.325.184/0001-19</v>
      </c>
      <c r="C217" s="12" t="str">
        <f>VLOOKUP(B217,[1]Planilha1!$A:$B,2,0)</f>
        <v>Malu Montesino</v>
      </c>
      <c r="D217" s="3" t="s">
        <v>1098</v>
      </c>
      <c r="E217" s="3" t="s">
        <v>1098</v>
      </c>
      <c r="F217" s="3" t="s">
        <v>20</v>
      </c>
      <c r="G217" s="4">
        <v>24369</v>
      </c>
      <c r="H217" s="3" t="s">
        <v>21</v>
      </c>
      <c r="I217" s="3" t="s">
        <v>33</v>
      </c>
      <c r="J217" s="5">
        <v>49555000</v>
      </c>
      <c r="K217" s="3">
        <v>9601703</v>
      </c>
      <c r="L217" s="3" t="s">
        <v>1099</v>
      </c>
      <c r="M217" s="3" t="s">
        <v>1100</v>
      </c>
      <c r="N217" s="3">
        <v>875</v>
      </c>
      <c r="P217" s="3" t="s">
        <v>1101</v>
      </c>
      <c r="Q217" s="3" t="s">
        <v>27</v>
      </c>
      <c r="R217" s="3" t="s">
        <v>28</v>
      </c>
      <c r="S217" s="3">
        <v>4741001</v>
      </c>
      <c r="U217" s="3" t="s">
        <v>29</v>
      </c>
    </row>
    <row r="218" spans="1:21" ht="13.2" x14ac:dyDescent="0.25">
      <c r="A218" s="14">
        <v>88309620000158</v>
      </c>
      <c r="B218" s="15" t="str">
        <f t="shared" si="3"/>
        <v>88.309.620/0001-58</v>
      </c>
      <c r="C218" s="12" t="str">
        <f>VLOOKUP(B218,[1]Planilha1!$A:$B,2,0)</f>
        <v>Malu Montesino</v>
      </c>
      <c r="D218" s="3" t="s">
        <v>1102</v>
      </c>
      <c r="E218" s="3" t="s">
        <v>1103</v>
      </c>
      <c r="F218" s="3" t="s">
        <v>20</v>
      </c>
      <c r="G218" s="4">
        <v>24369</v>
      </c>
      <c r="H218" s="3" t="s">
        <v>21</v>
      </c>
      <c r="I218" s="3" t="s">
        <v>33</v>
      </c>
      <c r="J218" s="5">
        <v>1883295600</v>
      </c>
      <c r="K218" s="3">
        <v>4663000</v>
      </c>
      <c r="L218" s="3" t="s">
        <v>128</v>
      </c>
      <c r="M218" s="3" t="s">
        <v>1104</v>
      </c>
      <c r="N218" s="3">
        <v>150</v>
      </c>
      <c r="O218" s="3" t="s">
        <v>505</v>
      </c>
      <c r="P218" s="3" t="s">
        <v>137</v>
      </c>
      <c r="Q218" s="3" t="s">
        <v>27</v>
      </c>
      <c r="R218" s="3" t="s">
        <v>28</v>
      </c>
      <c r="S218" s="3">
        <v>5036050</v>
      </c>
      <c r="T218" s="3">
        <v>1136178000</v>
      </c>
      <c r="U218" s="3" t="s">
        <v>29</v>
      </c>
    </row>
    <row r="219" spans="1:21" ht="13.2" x14ac:dyDescent="0.25">
      <c r="A219" s="14">
        <v>771945000107</v>
      </c>
      <c r="B219" s="15" t="str">
        <f t="shared" si="3"/>
        <v>00.771.945/0001-07</v>
      </c>
      <c r="C219" s="12"/>
      <c r="D219" s="3" t="s">
        <v>1105</v>
      </c>
      <c r="E219" s="3" t="s">
        <v>1106</v>
      </c>
      <c r="F219" s="3" t="s">
        <v>20</v>
      </c>
      <c r="G219" s="4">
        <v>34929</v>
      </c>
      <c r="H219" s="3" t="s">
        <v>21</v>
      </c>
      <c r="I219" s="3" t="s">
        <v>33</v>
      </c>
      <c r="J219" s="5">
        <v>15410355</v>
      </c>
      <c r="K219" s="3">
        <v>4623101</v>
      </c>
      <c r="L219" s="3" t="s">
        <v>1107</v>
      </c>
      <c r="M219" s="3" t="s">
        <v>1108</v>
      </c>
      <c r="N219" s="3" t="s">
        <v>1109</v>
      </c>
      <c r="O219" s="3" t="s">
        <v>1110</v>
      </c>
      <c r="P219" s="3" t="s">
        <v>1111</v>
      </c>
      <c r="Q219" s="3" t="s">
        <v>1112</v>
      </c>
      <c r="R219" s="3" t="s">
        <v>100</v>
      </c>
      <c r="S219" s="3">
        <v>38055010</v>
      </c>
      <c r="T219" s="3">
        <v>3433187792</v>
      </c>
      <c r="U219" s="3" t="s">
        <v>29</v>
      </c>
    </row>
    <row r="220" spans="1:21" ht="13.2" x14ac:dyDescent="0.25">
      <c r="A220" s="14">
        <v>31380666000146</v>
      </c>
      <c r="B220" s="15" t="str">
        <f t="shared" si="3"/>
        <v>31.380.666/0001-46</v>
      </c>
      <c r="C220" s="12"/>
      <c r="D220" s="3" t="s">
        <v>1113</v>
      </c>
      <c r="E220" s="3" t="s">
        <v>1114</v>
      </c>
      <c r="F220" s="3" t="s">
        <v>20</v>
      </c>
      <c r="G220" s="4">
        <v>43342</v>
      </c>
      <c r="H220" s="3" t="s">
        <v>21</v>
      </c>
      <c r="I220" s="3" t="s">
        <v>22</v>
      </c>
      <c r="J220" s="5">
        <v>200000</v>
      </c>
      <c r="K220" s="3">
        <v>7111100</v>
      </c>
      <c r="L220" s="3" t="s">
        <v>1115</v>
      </c>
      <c r="M220" s="3" t="s">
        <v>1116</v>
      </c>
      <c r="N220" s="3">
        <v>254</v>
      </c>
      <c r="O220" s="3" t="s">
        <v>1117</v>
      </c>
      <c r="P220" s="3" t="s">
        <v>1118</v>
      </c>
      <c r="Q220" s="3" t="s">
        <v>617</v>
      </c>
      <c r="R220" s="3" t="s">
        <v>28</v>
      </c>
      <c r="S220" s="3">
        <v>6404326</v>
      </c>
      <c r="T220" s="3">
        <v>1141636032</v>
      </c>
      <c r="U220" s="3" t="s">
        <v>29</v>
      </c>
    </row>
    <row r="221" spans="1:21" ht="13.2" x14ac:dyDescent="0.25">
      <c r="A221" s="14">
        <v>802002000102</v>
      </c>
      <c r="B221" s="15" t="str">
        <f t="shared" si="3"/>
        <v>00.802.002/0001-02</v>
      </c>
      <c r="C221" s="12" t="str">
        <f>VLOOKUP(B221,[1]Planilha1!$A:$B,2,0)</f>
        <v>Malu Montesino</v>
      </c>
      <c r="D221" s="3" t="s">
        <v>1119</v>
      </c>
      <c r="E221" s="3" t="s">
        <v>1120</v>
      </c>
      <c r="F221" s="3" t="s">
        <v>20</v>
      </c>
      <c r="G221" s="4">
        <v>34953</v>
      </c>
      <c r="H221" s="3" t="s">
        <v>21</v>
      </c>
      <c r="I221" s="3" t="s">
        <v>33</v>
      </c>
      <c r="J221" s="5">
        <v>10000000</v>
      </c>
      <c r="K221" s="3">
        <v>4645101</v>
      </c>
      <c r="L221" s="3" t="s">
        <v>135</v>
      </c>
      <c r="M221" s="3" t="s">
        <v>1121</v>
      </c>
      <c r="N221" s="3">
        <v>2320</v>
      </c>
      <c r="P221" s="3" t="s">
        <v>1122</v>
      </c>
      <c r="Q221" s="3" t="s">
        <v>1123</v>
      </c>
      <c r="R221" s="3" t="s">
        <v>91</v>
      </c>
      <c r="S221" s="3">
        <v>89163554</v>
      </c>
      <c r="T221" s="3">
        <v>4735209000</v>
      </c>
      <c r="U221" s="3" t="s">
        <v>29</v>
      </c>
    </row>
    <row r="222" spans="1:21" ht="13.2" x14ac:dyDescent="0.25">
      <c r="A222" s="14">
        <v>7660272000167</v>
      </c>
      <c r="B222" s="15" t="str">
        <f t="shared" si="3"/>
        <v>07.660.272/0001-67</v>
      </c>
      <c r="C222" s="12"/>
      <c r="D222" s="3" t="s">
        <v>1124</v>
      </c>
      <c r="E222" s="3" t="s">
        <v>1124</v>
      </c>
      <c r="F222" s="3" t="s">
        <v>20</v>
      </c>
      <c r="G222" s="4">
        <v>38636</v>
      </c>
      <c r="H222" s="3" t="s">
        <v>21</v>
      </c>
      <c r="I222" s="3" t="s">
        <v>33</v>
      </c>
      <c r="J222" s="5">
        <v>2510000</v>
      </c>
      <c r="K222" s="3">
        <v>4321500</v>
      </c>
      <c r="L222" s="3" t="s">
        <v>964</v>
      </c>
      <c r="M222" s="3" t="s">
        <v>1125</v>
      </c>
      <c r="N222" s="3">
        <v>5445</v>
      </c>
      <c r="O222" s="3" t="s">
        <v>1126</v>
      </c>
      <c r="P222" s="3" t="s">
        <v>1127</v>
      </c>
      <c r="Q222" s="3" t="s">
        <v>1128</v>
      </c>
      <c r="R222" s="3" t="s">
        <v>100</v>
      </c>
      <c r="S222" s="3">
        <v>36503380</v>
      </c>
      <c r="T222" s="3">
        <v>3232132000</v>
      </c>
      <c r="U222" s="3" t="s">
        <v>29</v>
      </c>
    </row>
    <row r="223" spans="1:21" ht="13.2" x14ac:dyDescent="0.25">
      <c r="A223" s="14">
        <v>13698265000157</v>
      </c>
      <c r="B223" s="15" t="str">
        <f t="shared" si="3"/>
        <v>13.698.265/0001-57</v>
      </c>
      <c r="C223" s="12"/>
      <c r="D223" s="3" t="s">
        <v>1129</v>
      </c>
      <c r="E223" s="3" t="s">
        <v>1129</v>
      </c>
      <c r="F223" s="3" t="s">
        <v>20</v>
      </c>
      <c r="G223" s="4">
        <v>40680</v>
      </c>
      <c r="H223" s="3" t="s">
        <v>21</v>
      </c>
      <c r="I223" s="3" t="s">
        <v>47</v>
      </c>
      <c r="J223" s="5">
        <v>50000</v>
      </c>
      <c r="K223" s="3">
        <v>2930101</v>
      </c>
      <c r="L223" s="3" t="s">
        <v>856</v>
      </c>
      <c r="M223" s="3" t="s">
        <v>1130</v>
      </c>
      <c r="N223" s="3">
        <v>170</v>
      </c>
      <c r="P223" s="3" t="s">
        <v>1131</v>
      </c>
      <c r="Q223" s="3" t="s">
        <v>1132</v>
      </c>
      <c r="R223" s="3" t="s">
        <v>28</v>
      </c>
      <c r="S223" s="3">
        <v>8539200</v>
      </c>
      <c r="T223" s="3">
        <v>1170905158</v>
      </c>
      <c r="U223" s="3" t="s">
        <v>29</v>
      </c>
    </row>
    <row r="224" spans="1:21" ht="13.2" x14ac:dyDescent="0.25">
      <c r="A224" s="14">
        <v>36402646000142</v>
      </c>
      <c r="B224" s="15" t="str">
        <f t="shared" si="3"/>
        <v>36.402.646/0001-42</v>
      </c>
      <c r="C224" s="12"/>
      <c r="D224" s="3" t="s">
        <v>1133</v>
      </c>
      <c r="E224" s="3" t="s">
        <v>1133</v>
      </c>
      <c r="F224" s="3" t="s">
        <v>20</v>
      </c>
      <c r="G224" s="4">
        <v>43878</v>
      </c>
      <c r="H224" s="3" t="s">
        <v>21</v>
      </c>
      <c r="I224" s="3" t="s">
        <v>22</v>
      </c>
      <c r="J224" s="5">
        <v>200000</v>
      </c>
      <c r="K224" s="3">
        <v>4645101</v>
      </c>
      <c r="L224" s="3" t="s">
        <v>135</v>
      </c>
      <c r="M224" s="3" t="s">
        <v>1134</v>
      </c>
      <c r="N224" s="3">
        <v>65</v>
      </c>
      <c r="O224" s="3" t="s">
        <v>1135</v>
      </c>
      <c r="P224" s="3" t="s">
        <v>1136</v>
      </c>
      <c r="Q224" s="3" t="s">
        <v>253</v>
      </c>
      <c r="R224" s="3" t="s">
        <v>78</v>
      </c>
      <c r="S224" s="3">
        <v>22775028</v>
      </c>
      <c r="T224" s="3">
        <v>2180510000</v>
      </c>
      <c r="U224" s="3" t="s">
        <v>29</v>
      </c>
    </row>
    <row r="225" spans="1:21" ht="13.2" x14ac:dyDescent="0.25">
      <c r="A225" s="14">
        <v>11456144000173</v>
      </c>
      <c r="B225" s="15" t="str">
        <f t="shared" si="3"/>
        <v>11.456.144/0001-73</v>
      </c>
      <c r="C225" s="12"/>
      <c r="D225" s="3" t="s">
        <v>1137</v>
      </c>
      <c r="E225" s="3" t="s">
        <v>1138</v>
      </c>
      <c r="F225" s="3" t="s">
        <v>20</v>
      </c>
      <c r="G225" s="4">
        <v>40190</v>
      </c>
      <c r="H225" s="3" t="s">
        <v>21</v>
      </c>
      <c r="I225" s="3" t="s">
        <v>22</v>
      </c>
      <c r="J225" s="5">
        <v>40000</v>
      </c>
      <c r="K225" s="3">
        <v>4642702</v>
      </c>
      <c r="L225" s="3" t="s">
        <v>1139</v>
      </c>
      <c r="M225" s="3" t="s">
        <v>1140</v>
      </c>
      <c r="N225" s="3">
        <v>675</v>
      </c>
      <c r="P225" s="3" t="s">
        <v>919</v>
      </c>
      <c r="Q225" s="3" t="s">
        <v>1141</v>
      </c>
      <c r="R225" s="3" t="s">
        <v>1142</v>
      </c>
      <c r="S225" s="3">
        <v>79102070</v>
      </c>
      <c r="T225" s="3">
        <v>6733266820</v>
      </c>
      <c r="U225" s="3" t="s">
        <v>29</v>
      </c>
    </row>
    <row r="226" spans="1:21" ht="13.2" x14ac:dyDescent="0.25">
      <c r="A226" s="14">
        <v>3324310000150</v>
      </c>
      <c r="B226" s="15" t="str">
        <f t="shared" si="3"/>
        <v>03.324.310/0001-50</v>
      </c>
      <c r="C226" s="12"/>
      <c r="D226" s="3" t="s">
        <v>1143</v>
      </c>
      <c r="E226" s="3" t="s">
        <v>1143</v>
      </c>
      <c r="F226" s="3" t="s">
        <v>20</v>
      </c>
      <c r="G226" s="4">
        <v>36377</v>
      </c>
      <c r="H226" s="3" t="s">
        <v>21</v>
      </c>
      <c r="I226" s="3" t="s">
        <v>33</v>
      </c>
      <c r="J226" s="5">
        <v>23870400</v>
      </c>
      <c r="K226" s="3">
        <v>2599399</v>
      </c>
      <c r="L226" s="3" t="s">
        <v>1144</v>
      </c>
      <c r="M226" s="3" t="s">
        <v>1145</v>
      </c>
      <c r="N226" s="3">
        <v>2970</v>
      </c>
      <c r="P226" s="3" t="s">
        <v>1146</v>
      </c>
      <c r="Q226" s="3" t="s">
        <v>688</v>
      </c>
      <c r="R226" s="3" t="s">
        <v>28</v>
      </c>
      <c r="S226" s="3">
        <v>6711250</v>
      </c>
      <c r="T226" s="3">
        <v>1146156300</v>
      </c>
      <c r="U226" s="3" t="s">
        <v>29</v>
      </c>
    </row>
    <row r="227" spans="1:21" ht="13.2" x14ac:dyDescent="0.25">
      <c r="A227" s="14">
        <v>92859974000143</v>
      </c>
      <c r="B227" s="15" t="str">
        <f t="shared" si="3"/>
        <v>92.859.974/0001-43</v>
      </c>
      <c r="C227" s="12"/>
      <c r="D227" s="3" t="s">
        <v>1147</v>
      </c>
      <c r="E227" s="3" t="s">
        <v>1147</v>
      </c>
      <c r="F227" s="3" t="s">
        <v>20</v>
      </c>
      <c r="G227" s="4">
        <v>32665</v>
      </c>
      <c r="H227" s="3" t="s">
        <v>94</v>
      </c>
      <c r="I227" s="3" t="s">
        <v>33</v>
      </c>
      <c r="J227" s="5">
        <v>4370144</v>
      </c>
      <c r="K227" s="3">
        <v>2651500</v>
      </c>
      <c r="L227" s="3" t="s">
        <v>600</v>
      </c>
      <c r="M227" s="3" t="s">
        <v>1148</v>
      </c>
      <c r="N227" s="3">
        <v>3101</v>
      </c>
      <c r="O227" s="3" t="s">
        <v>1149</v>
      </c>
      <c r="P227" s="3" t="s">
        <v>597</v>
      </c>
      <c r="Q227" s="3" t="s">
        <v>875</v>
      </c>
      <c r="R227" s="3" t="s">
        <v>53</v>
      </c>
      <c r="S227" s="3">
        <v>93022715</v>
      </c>
      <c r="T227" s="3">
        <v>5135899530</v>
      </c>
      <c r="U227" s="3" t="s">
        <v>29</v>
      </c>
    </row>
    <row r="228" spans="1:21" ht="13.2" x14ac:dyDescent="0.25">
      <c r="A228" s="14">
        <v>12965396000190</v>
      </c>
      <c r="B228" s="15" t="str">
        <f t="shared" si="3"/>
        <v>12.965.396/0001-90</v>
      </c>
      <c r="C228" s="12" t="str">
        <f>VLOOKUP(B228,[1]Planilha1!$A:$B,2,0)</f>
        <v>Malu Montesino</v>
      </c>
      <c r="D228" s="3" t="s">
        <v>1150</v>
      </c>
      <c r="E228" s="3" t="s">
        <v>1151</v>
      </c>
      <c r="F228" s="3" t="s">
        <v>20</v>
      </c>
      <c r="G228" s="4">
        <v>40505</v>
      </c>
      <c r="H228" s="3" t="s">
        <v>21</v>
      </c>
      <c r="I228" s="3" t="s">
        <v>33</v>
      </c>
      <c r="J228" s="5">
        <v>100000</v>
      </c>
      <c r="K228" s="3">
        <v>4742300</v>
      </c>
      <c r="L228" s="3" t="s">
        <v>1152</v>
      </c>
      <c r="M228" s="3" t="s">
        <v>1153</v>
      </c>
      <c r="N228" s="3">
        <v>261</v>
      </c>
      <c r="P228" s="3" t="s">
        <v>1154</v>
      </c>
      <c r="Q228" s="3" t="s">
        <v>367</v>
      </c>
      <c r="R228" s="3" t="s">
        <v>28</v>
      </c>
      <c r="S228" s="3">
        <v>13413042</v>
      </c>
      <c r="T228" s="3">
        <v>1934292929</v>
      </c>
      <c r="U228" s="3" t="s">
        <v>29</v>
      </c>
    </row>
    <row r="229" spans="1:21" ht="13.2" x14ac:dyDescent="0.25">
      <c r="A229" s="14">
        <v>50220417000138</v>
      </c>
      <c r="B229" s="15" t="str">
        <f t="shared" si="3"/>
        <v>50.220.417/0001-38</v>
      </c>
      <c r="C229" s="12"/>
      <c r="D229" s="3" t="s">
        <v>1155</v>
      </c>
      <c r="E229" s="3" t="s">
        <v>1155</v>
      </c>
      <c r="F229" s="3" t="s">
        <v>20</v>
      </c>
      <c r="G229" s="4">
        <v>23000</v>
      </c>
      <c r="H229" s="3" t="s">
        <v>94</v>
      </c>
      <c r="I229" s="3" t="s">
        <v>33</v>
      </c>
      <c r="J229" s="5">
        <v>16000000</v>
      </c>
      <c r="K229" s="3">
        <v>2511000</v>
      </c>
      <c r="L229" s="3" t="s">
        <v>1156</v>
      </c>
      <c r="M229" s="3" t="s">
        <v>1157</v>
      </c>
      <c r="N229" s="3">
        <v>684</v>
      </c>
      <c r="O229" s="3" t="s">
        <v>1158</v>
      </c>
      <c r="P229" s="3" t="s">
        <v>1159</v>
      </c>
      <c r="Q229" s="3" t="s">
        <v>27</v>
      </c>
      <c r="R229" s="3" t="s">
        <v>28</v>
      </c>
      <c r="S229" s="3">
        <v>5465070</v>
      </c>
      <c r="T229" s="3">
        <v>1140248100</v>
      </c>
      <c r="U229" s="3" t="s">
        <v>29</v>
      </c>
    </row>
    <row r="230" spans="1:21" ht="13.2" x14ac:dyDescent="0.25">
      <c r="A230" s="14">
        <v>59114777000120</v>
      </c>
      <c r="B230" s="15" t="str">
        <f t="shared" si="3"/>
        <v>59.114.777/0001-20</v>
      </c>
      <c r="C230" s="12"/>
      <c r="D230" s="3" t="s">
        <v>1160</v>
      </c>
      <c r="E230" s="3" t="s">
        <v>1161</v>
      </c>
      <c r="F230" s="3" t="s">
        <v>20</v>
      </c>
      <c r="G230" s="4">
        <v>24316</v>
      </c>
      <c r="H230" s="3" t="s">
        <v>21</v>
      </c>
      <c r="I230" s="3" t="s">
        <v>33</v>
      </c>
      <c r="J230" s="5">
        <v>16225560</v>
      </c>
      <c r="K230" s="3">
        <v>2732500</v>
      </c>
      <c r="L230" s="3" t="s">
        <v>1162</v>
      </c>
      <c r="M230" s="3" t="s">
        <v>1163</v>
      </c>
      <c r="N230" s="3">
        <v>450</v>
      </c>
      <c r="P230" s="3" t="s">
        <v>1164</v>
      </c>
      <c r="Q230" s="3" t="s">
        <v>217</v>
      </c>
      <c r="R230" s="3" t="s">
        <v>28</v>
      </c>
      <c r="S230" s="3">
        <v>9851380</v>
      </c>
      <c r="U230" s="3" t="s">
        <v>29</v>
      </c>
    </row>
    <row r="231" spans="1:21" ht="13.2" x14ac:dyDescent="0.25">
      <c r="A231" s="14">
        <v>47941098000145</v>
      </c>
      <c r="B231" s="15" t="str">
        <f t="shared" si="3"/>
        <v>47.941.098/0001-45</v>
      </c>
      <c r="C231" s="12"/>
      <c r="D231" s="3" t="s">
        <v>1165</v>
      </c>
      <c r="E231" s="3" t="s">
        <v>1165</v>
      </c>
      <c r="F231" s="3" t="s">
        <v>20</v>
      </c>
      <c r="G231" s="4">
        <v>44818</v>
      </c>
      <c r="H231" s="3" t="s">
        <v>21</v>
      </c>
      <c r="I231" s="3" t="s">
        <v>47</v>
      </c>
      <c r="J231" s="5">
        <v>25000</v>
      </c>
      <c r="K231" s="3">
        <v>161099</v>
      </c>
      <c r="L231" s="3" t="s">
        <v>1166</v>
      </c>
      <c r="M231" s="3" t="s">
        <v>1167</v>
      </c>
      <c r="N231" s="3">
        <v>10</v>
      </c>
      <c r="P231" s="3" t="s">
        <v>1168</v>
      </c>
      <c r="Q231" s="3" t="s">
        <v>809</v>
      </c>
      <c r="R231" s="3" t="s">
        <v>78</v>
      </c>
      <c r="S231" s="3">
        <v>28030100</v>
      </c>
      <c r="T231" s="3">
        <v>2130900463</v>
      </c>
      <c r="U231" s="3" t="s">
        <v>29</v>
      </c>
    </row>
    <row r="232" spans="1:21" ht="13.2" x14ac:dyDescent="0.25">
      <c r="A232" s="14">
        <v>59273714000116</v>
      </c>
      <c r="B232" s="15" t="str">
        <f t="shared" si="3"/>
        <v>59.273.714/0001-16</v>
      </c>
      <c r="C232" s="12" t="str">
        <f>VLOOKUP(B232,[1]Planilha1!$A:$B,2,0)</f>
        <v>Malu Montesino</v>
      </c>
      <c r="D232" s="3" t="s">
        <v>1169</v>
      </c>
      <c r="E232" s="3" t="s">
        <v>1169</v>
      </c>
      <c r="F232" s="3" t="s">
        <v>20</v>
      </c>
      <c r="G232" s="4">
        <v>24308</v>
      </c>
      <c r="H232" s="3" t="s">
        <v>21</v>
      </c>
      <c r="I232" s="3" t="s">
        <v>33</v>
      </c>
      <c r="J232" s="5">
        <v>22000000</v>
      </c>
      <c r="K232" s="3">
        <v>2431800</v>
      </c>
      <c r="L232" s="3" t="s">
        <v>1170</v>
      </c>
      <c r="M232" s="3" t="s">
        <v>1171</v>
      </c>
      <c r="N232" s="3">
        <v>293</v>
      </c>
      <c r="O232" s="3">
        <v>487</v>
      </c>
      <c r="P232" s="3" t="s">
        <v>1172</v>
      </c>
      <c r="Q232" s="3" t="s">
        <v>688</v>
      </c>
      <c r="R232" s="3" t="s">
        <v>28</v>
      </c>
      <c r="S232" s="3">
        <v>6705490</v>
      </c>
      <c r="T232" s="3">
        <v>1146136266</v>
      </c>
      <c r="U232" s="3" t="s">
        <v>29</v>
      </c>
    </row>
    <row r="233" spans="1:21" ht="13.2" x14ac:dyDescent="0.25">
      <c r="A233" s="14">
        <v>9165559000146</v>
      </c>
      <c r="B233" s="15" t="str">
        <f t="shared" si="3"/>
        <v>09.165.559/0001-46</v>
      </c>
      <c r="C233" s="12"/>
      <c r="D233" s="3" t="s">
        <v>1173</v>
      </c>
      <c r="E233" s="3" t="s">
        <v>1173</v>
      </c>
      <c r="F233" s="3" t="s">
        <v>31</v>
      </c>
      <c r="G233" s="4">
        <v>39374</v>
      </c>
      <c r="H233" s="3" t="s">
        <v>21</v>
      </c>
      <c r="I233" s="3" t="s">
        <v>22</v>
      </c>
      <c r="J233" s="5">
        <v>20000</v>
      </c>
      <c r="K233" s="3">
        <v>4642701</v>
      </c>
      <c r="L233" s="3" t="s">
        <v>1174</v>
      </c>
      <c r="M233" s="3" t="s">
        <v>1175</v>
      </c>
      <c r="N233" s="3">
        <v>316</v>
      </c>
      <c r="P233" s="3" t="s">
        <v>1176</v>
      </c>
      <c r="Q233" s="3" t="s">
        <v>1177</v>
      </c>
      <c r="R233" s="3" t="s">
        <v>28</v>
      </c>
      <c r="S233" s="3">
        <v>13455415</v>
      </c>
      <c r="T233" s="3">
        <v>1934759200</v>
      </c>
      <c r="U233" s="3" t="s">
        <v>29</v>
      </c>
    </row>
    <row r="234" spans="1:21" ht="13.2" x14ac:dyDescent="0.25">
      <c r="A234" s="14">
        <v>31475255000134</v>
      </c>
      <c r="B234" s="15" t="str">
        <f t="shared" si="3"/>
        <v>31.475.255/0001-34</v>
      </c>
      <c r="C234" s="12"/>
      <c r="D234" s="3" t="s">
        <v>1178</v>
      </c>
      <c r="E234" s="3" t="s">
        <v>1179</v>
      </c>
      <c r="F234" s="3" t="s">
        <v>20</v>
      </c>
      <c r="G234" s="4">
        <v>43354</v>
      </c>
      <c r="H234" s="3" t="s">
        <v>21</v>
      </c>
      <c r="I234" s="3" t="s">
        <v>22</v>
      </c>
      <c r="J234" s="5">
        <v>2000000</v>
      </c>
      <c r="K234" s="3">
        <v>4399199</v>
      </c>
      <c r="L234" s="3" t="s">
        <v>1180</v>
      </c>
      <c r="M234" s="3" t="s">
        <v>1181</v>
      </c>
      <c r="N234" s="3">
        <v>1619</v>
      </c>
      <c r="O234" s="3" t="s">
        <v>1182</v>
      </c>
      <c r="P234" s="3" t="s">
        <v>1183</v>
      </c>
      <c r="Q234" s="3" t="s">
        <v>27</v>
      </c>
      <c r="R234" s="3" t="s">
        <v>28</v>
      </c>
      <c r="S234" s="3">
        <v>1139003</v>
      </c>
      <c r="T234" s="3">
        <v>1184126852</v>
      </c>
      <c r="U234" s="3" t="s">
        <v>29</v>
      </c>
    </row>
    <row r="235" spans="1:21" ht="13.2" x14ac:dyDescent="0.25">
      <c r="A235" s="14">
        <v>33412792000160</v>
      </c>
      <c r="B235" s="15" t="str">
        <f t="shared" si="3"/>
        <v>33.412.792/0001-60</v>
      </c>
      <c r="C235" s="12"/>
      <c r="D235" s="3" t="s">
        <v>1184</v>
      </c>
      <c r="E235" s="3" t="s">
        <v>1184</v>
      </c>
      <c r="F235" s="3" t="s">
        <v>20</v>
      </c>
      <c r="G235" s="4">
        <v>24267</v>
      </c>
      <c r="H235" s="3" t="s">
        <v>94</v>
      </c>
      <c r="I235" s="3" t="s">
        <v>33</v>
      </c>
      <c r="J235" s="5">
        <v>2517925600</v>
      </c>
      <c r="K235" s="3">
        <v>4299599</v>
      </c>
      <c r="L235" s="3" t="s">
        <v>1185</v>
      </c>
      <c r="M235" s="3" t="s">
        <v>388</v>
      </c>
      <c r="N235" s="3">
        <v>651</v>
      </c>
      <c r="O235" s="3" t="s">
        <v>1186</v>
      </c>
      <c r="P235" s="3" t="s">
        <v>70</v>
      </c>
      <c r="Q235" s="3" t="s">
        <v>253</v>
      </c>
      <c r="R235" s="3" t="s">
        <v>78</v>
      </c>
      <c r="S235" s="3">
        <v>20030041</v>
      </c>
      <c r="T235" s="3">
        <v>2121317161</v>
      </c>
      <c r="U235" s="3" t="s">
        <v>29</v>
      </c>
    </row>
    <row r="236" spans="1:21" ht="13.2" x14ac:dyDescent="0.25">
      <c r="A236" s="14">
        <v>6209557000113</v>
      </c>
      <c r="B236" s="15" t="str">
        <f t="shared" si="3"/>
        <v>06.209.557/0001-13</v>
      </c>
      <c r="C236" s="12"/>
      <c r="D236" s="3" t="s">
        <v>1187</v>
      </c>
      <c r="E236" s="3" t="s">
        <v>1188</v>
      </c>
      <c r="F236" s="3" t="s">
        <v>20</v>
      </c>
      <c r="G236" s="4">
        <v>38091</v>
      </c>
      <c r="H236" s="3" t="s">
        <v>21</v>
      </c>
      <c r="I236" s="3" t="s">
        <v>33</v>
      </c>
      <c r="J236" s="5">
        <v>5000000</v>
      </c>
      <c r="K236" s="3">
        <v>4644301</v>
      </c>
      <c r="L236" s="3" t="s">
        <v>326</v>
      </c>
      <c r="M236" s="3" t="s">
        <v>1189</v>
      </c>
      <c r="N236" s="3">
        <v>381</v>
      </c>
      <c r="O236" s="3" t="s">
        <v>1190</v>
      </c>
      <c r="P236" s="3" t="s">
        <v>924</v>
      </c>
      <c r="Q236" s="3" t="s">
        <v>448</v>
      </c>
      <c r="R236" s="3" t="s">
        <v>449</v>
      </c>
      <c r="S236" s="3">
        <v>69036600</v>
      </c>
      <c r="T236" s="3">
        <v>9281165173</v>
      </c>
      <c r="U236" s="3" t="s">
        <v>29</v>
      </c>
    </row>
    <row r="237" spans="1:21" ht="13.2" x14ac:dyDescent="0.25">
      <c r="A237" s="14">
        <v>16587133000146</v>
      </c>
      <c r="B237" s="15" t="str">
        <f t="shared" si="3"/>
        <v>16.587.133/0001-46</v>
      </c>
      <c r="C237" s="12" t="str">
        <f>VLOOKUP(B237,[1]Planilha1!$A:$B,2,0)</f>
        <v>Malu Montesino</v>
      </c>
      <c r="D237" s="3" t="s">
        <v>1191</v>
      </c>
      <c r="E237" s="3" t="s">
        <v>1191</v>
      </c>
      <c r="F237" s="3" t="s">
        <v>20</v>
      </c>
      <c r="G237" s="4">
        <v>41088</v>
      </c>
      <c r="H237" s="3" t="s">
        <v>21</v>
      </c>
      <c r="I237" s="3" t="s">
        <v>33</v>
      </c>
      <c r="J237" s="5">
        <v>10000000</v>
      </c>
      <c r="K237" s="3">
        <v>3513100</v>
      </c>
      <c r="L237" s="3" t="s">
        <v>1192</v>
      </c>
      <c r="M237" s="3" t="s">
        <v>1193</v>
      </c>
      <c r="N237" s="3">
        <v>303</v>
      </c>
      <c r="O237" s="3" t="s">
        <v>1194</v>
      </c>
      <c r="P237" s="3" t="s">
        <v>1195</v>
      </c>
      <c r="Q237" s="3" t="s">
        <v>224</v>
      </c>
      <c r="R237" s="3" t="s">
        <v>225</v>
      </c>
      <c r="S237" s="3">
        <v>78049080</v>
      </c>
      <c r="T237" s="3">
        <v>6536455000</v>
      </c>
      <c r="U237" s="3" t="s">
        <v>29</v>
      </c>
    </row>
    <row r="238" spans="1:21" ht="13.2" x14ac:dyDescent="0.25">
      <c r="A238" s="14">
        <v>27783909000110</v>
      </c>
      <c r="B238" s="15" t="str">
        <f t="shared" si="3"/>
        <v>27.783.909/0001-10</v>
      </c>
      <c r="C238" s="12"/>
      <c r="D238" s="3" t="s">
        <v>1196</v>
      </c>
      <c r="E238" s="3" t="s">
        <v>1197</v>
      </c>
      <c r="F238" s="3" t="s">
        <v>20</v>
      </c>
      <c r="G238" s="4">
        <v>42877</v>
      </c>
      <c r="H238" s="3" t="s">
        <v>21</v>
      </c>
      <c r="I238" s="3" t="s">
        <v>22</v>
      </c>
      <c r="J238" s="5">
        <v>2000000</v>
      </c>
      <c r="K238" s="3">
        <v>6810201</v>
      </c>
      <c r="L238" s="3" t="s">
        <v>1198</v>
      </c>
      <c r="M238" s="3" t="s">
        <v>470</v>
      </c>
      <c r="N238" s="3" t="s">
        <v>82</v>
      </c>
      <c r="O238" s="3" t="s">
        <v>1199</v>
      </c>
      <c r="P238" s="3" t="s">
        <v>1200</v>
      </c>
      <c r="Q238" s="3" t="s">
        <v>1201</v>
      </c>
      <c r="R238" s="3" t="s">
        <v>281</v>
      </c>
      <c r="S238" s="3">
        <v>47827000</v>
      </c>
      <c r="T238" s="3">
        <v>7736139650</v>
      </c>
      <c r="U238" s="3" t="s">
        <v>29</v>
      </c>
    </row>
    <row r="239" spans="1:21" ht="13.2" x14ac:dyDescent="0.25">
      <c r="A239" s="14">
        <v>7228424000157</v>
      </c>
      <c r="B239" s="15" t="str">
        <f t="shared" si="3"/>
        <v>07.228.424/0001-57</v>
      </c>
      <c r="C239" s="12"/>
      <c r="D239" s="3" t="s">
        <v>1202</v>
      </c>
      <c r="E239" s="3" t="s">
        <v>1202</v>
      </c>
      <c r="F239" s="3" t="s">
        <v>20</v>
      </c>
      <c r="G239" s="4">
        <v>38406</v>
      </c>
      <c r="H239" s="3" t="s">
        <v>21</v>
      </c>
      <c r="I239" s="3" t="s">
        <v>33</v>
      </c>
      <c r="J239" s="5" t="s">
        <v>1203</v>
      </c>
      <c r="K239" s="3">
        <v>4663000</v>
      </c>
      <c r="L239" s="3" t="s">
        <v>128</v>
      </c>
      <c r="M239" s="3" t="s">
        <v>1204</v>
      </c>
      <c r="N239" s="3">
        <v>2650</v>
      </c>
      <c r="P239" s="3" t="s">
        <v>1204</v>
      </c>
      <c r="Q239" s="3" t="s">
        <v>367</v>
      </c>
      <c r="R239" s="3" t="s">
        <v>28</v>
      </c>
      <c r="S239" s="3">
        <v>13420835</v>
      </c>
      <c r="T239" s="3">
        <v>1934290050</v>
      </c>
      <c r="U239" s="3" t="s">
        <v>29</v>
      </c>
    </row>
    <row r="240" spans="1:21" ht="13.2" x14ac:dyDescent="0.25">
      <c r="A240" s="14">
        <v>4718633000190</v>
      </c>
      <c r="B240" s="15" t="str">
        <f t="shared" si="3"/>
        <v>04.718.633/0001-90</v>
      </c>
      <c r="C240" s="12"/>
      <c r="D240" s="3" t="s">
        <v>1205</v>
      </c>
      <c r="E240" s="3" t="s">
        <v>1206</v>
      </c>
      <c r="F240" s="3" t="s">
        <v>20</v>
      </c>
      <c r="G240" s="4">
        <v>37182</v>
      </c>
      <c r="H240" s="3" t="s">
        <v>21</v>
      </c>
      <c r="I240" s="3" t="s">
        <v>33</v>
      </c>
      <c r="J240" s="5">
        <v>10074000</v>
      </c>
      <c r="K240" s="3">
        <v>8011101</v>
      </c>
      <c r="L240" s="3" t="s">
        <v>943</v>
      </c>
      <c r="M240" s="3" t="s">
        <v>1207</v>
      </c>
      <c r="N240" s="3">
        <v>118</v>
      </c>
      <c r="O240" s="3" t="s">
        <v>1208</v>
      </c>
      <c r="P240" s="3" t="s">
        <v>1209</v>
      </c>
      <c r="Q240" s="3" t="s">
        <v>448</v>
      </c>
      <c r="R240" s="3" t="s">
        <v>449</v>
      </c>
      <c r="S240" s="3">
        <v>69054238</v>
      </c>
      <c r="T240" s="3">
        <v>9284228816</v>
      </c>
      <c r="U240" s="3" t="s">
        <v>29</v>
      </c>
    </row>
    <row r="241" spans="1:21" ht="13.2" x14ac:dyDescent="0.25">
      <c r="A241" s="14">
        <v>10683199000153</v>
      </c>
      <c r="B241" s="15" t="str">
        <f t="shared" si="3"/>
        <v>10.683.199/0001-53</v>
      </c>
      <c r="C241" s="12"/>
      <c r="D241" s="3" t="s">
        <v>1210</v>
      </c>
      <c r="E241" s="3" t="s">
        <v>1211</v>
      </c>
      <c r="F241" s="3" t="s">
        <v>45</v>
      </c>
      <c r="G241" s="4">
        <v>39883</v>
      </c>
      <c r="H241" s="3" t="s">
        <v>21</v>
      </c>
      <c r="I241" s="3" t="s">
        <v>22</v>
      </c>
      <c r="J241" s="5">
        <v>300000</v>
      </c>
      <c r="K241" s="3">
        <v>4751201</v>
      </c>
      <c r="L241" s="3" t="s">
        <v>23</v>
      </c>
      <c r="M241" s="3" t="s">
        <v>1212</v>
      </c>
      <c r="N241" s="7">
        <v>2955</v>
      </c>
      <c r="O241" s="3" t="s">
        <v>1213</v>
      </c>
      <c r="P241" s="3" t="s">
        <v>1212</v>
      </c>
      <c r="Q241" s="3" t="s">
        <v>448</v>
      </c>
      <c r="R241" s="3" t="s">
        <v>449</v>
      </c>
      <c r="S241" s="3">
        <v>69030680</v>
      </c>
      <c r="T241" s="3">
        <v>9236719628</v>
      </c>
      <c r="U241" s="3" t="s">
        <v>29</v>
      </c>
    </row>
    <row r="242" spans="1:21" ht="13.2" x14ac:dyDescent="0.25">
      <c r="A242" s="14">
        <v>47959697000196</v>
      </c>
      <c r="B242" s="15" t="str">
        <f t="shared" si="3"/>
        <v>47.959.697/0001-96</v>
      </c>
      <c r="C242" s="12"/>
      <c r="D242" s="3" t="s">
        <v>1214</v>
      </c>
      <c r="E242" s="3" t="s">
        <v>470</v>
      </c>
      <c r="F242" s="3" t="s">
        <v>20</v>
      </c>
      <c r="G242" s="4">
        <v>24196</v>
      </c>
      <c r="H242" s="3" t="s">
        <v>21</v>
      </c>
      <c r="I242" s="3" t="s">
        <v>33</v>
      </c>
      <c r="J242" s="5">
        <v>145526350</v>
      </c>
      <c r="K242" s="3">
        <v>2219600</v>
      </c>
      <c r="L242" s="3" t="s">
        <v>613</v>
      </c>
      <c r="M242" s="3" t="s">
        <v>1215</v>
      </c>
      <c r="N242" s="3">
        <v>745</v>
      </c>
      <c r="P242" s="3" t="s">
        <v>1216</v>
      </c>
      <c r="Q242" s="3" t="s">
        <v>1217</v>
      </c>
      <c r="R242" s="3" t="s">
        <v>28</v>
      </c>
      <c r="S242" s="3">
        <v>14405901</v>
      </c>
      <c r="T242" s="3">
        <v>1631111600</v>
      </c>
      <c r="U242" s="3" t="s">
        <v>29</v>
      </c>
    </row>
    <row r="243" spans="1:21" ht="13.2" x14ac:dyDescent="0.25">
      <c r="A243" s="14">
        <v>4957650000180</v>
      </c>
      <c r="B243" s="15" t="str">
        <f t="shared" si="3"/>
        <v>04.957.650/0001-80</v>
      </c>
      <c r="C243" s="12"/>
      <c r="D243" s="3" t="s">
        <v>1218</v>
      </c>
      <c r="E243" s="3" t="s">
        <v>1218</v>
      </c>
      <c r="F243" s="3" t="s">
        <v>20</v>
      </c>
      <c r="G243" s="4">
        <v>31302</v>
      </c>
      <c r="H243" s="3" t="s">
        <v>21</v>
      </c>
      <c r="I243" s="3" t="s">
        <v>33</v>
      </c>
      <c r="J243" s="5">
        <v>100875576</v>
      </c>
      <c r="K243" s="3">
        <v>4682600</v>
      </c>
      <c r="L243" s="3" t="s">
        <v>1219</v>
      </c>
      <c r="M243" s="3" t="s">
        <v>1220</v>
      </c>
      <c r="N243" s="3">
        <v>1223</v>
      </c>
      <c r="P243" s="3" t="s">
        <v>153</v>
      </c>
      <c r="Q243" s="3" t="s">
        <v>448</v>
      </c>
      <c r="R243" s="3" t="s">
        <v>449</v>
      </c>
      <c r="S243" s="3">
        <v>69075831</v>
      </c>
      <c r="T243" s="3">
        <v>926172000</v>
      </c>
      <c r="U243" s="3" t="s">
        <v>29</v>
      </c>
    </row>
    <row r="244" spans="1:21" ht="13.2" x14ac:dyDescent="0.25">
      <c r="A244" s="14">
        <v>7735705000104</v>
      </c>
      <c r="B244" s="15" t="str">
        <f t="shared" si="3"/>
        <v>07.735.705/0001-04</v>
      </c>
      <c r="C244" s="12"/>
      <c r="D244" s="3" t="s">
        <v>1221</v>
      </c>
      <c r="E244" s="3" t="s">
        <v>1222</v>
      </c>
      <c r="F244" s="3" t="s">
        <v>45</v>
      </c>
      <c r="G244" s="4">
        <v>38645</v>
      </c>
      <c r="H244" s="3" t="s">
        <v>21</v>
      </c>
      <c r="I244" s="3" t="s">
        <v>33</v>
      </c>
      <c r="J244" s="5">
        <v>150000</v>
      </c>
      <c r="K244" s="3">
        <v>9521500</v>
      </c>
      <c r="L244" s="3" t="s">
        <v>1223</v>
      </c>
      <c r="M244" s="3" t="s">
        <v>1224</v>
      </c>
      <c r="N244" s="3">
        <v>295</v>
      </c>
      <c r="O244" s="3" t="s">
        <v>1225</v>
      </c>
      <c r="P244" s="3" t="s">
        <v>70</v>
      </c>
      <c r="Q244" s="3" t="s">
        <v>65</v>
      </c>
      <c r="R244" s="3" t="s">
        <v>28</v>
      </c>
      <c r="S244" s="3">
        <v>13013160</v>
      </c>
      <c r="T244" s="3">
        <v>1136832755</v>
      </c>
      <c r="U244" s="3" t="s">
        <v>29</v>
      </c>
    </row>
    <row r="245" spans="1:21" ht="13.2" x14ac:dyDescent="0.25">
      <c r="A245" s="14">
        <v>7526557000100</v>
      </c>
      <c r="B245" s="15" t="str">
        <f t="shared" si="3"/>
        <v>07.526.557/0001-00</v>
      </c>
      <c r="C245" s="12"/>
      <c r="D245" s="3" t="s">
        <v>1226</v>
      </c>
      <c r="E245" s="3" t="s">
        <v>1226</v>
      </c>
      <c r="F245" s="3" t="s">
        <v>20</v>
      </c>
      <c r="G245" s="4">
        <v>38552</v>
      </c>
      <c r="H245" s="3" t="s">
        <v>377</v>
      </c>
      <c r="I245" s="3" t="s">
        <v>33</v>
      </c>
      <c r="J245" s="5">
        <v>58275086000</v>
      </c>
      <c r="K245" s="3">
        <v>1113502</v>
      </c>
      <c r="L245" s="3" t="s">
        <v>1227</v>
      </c>
      <c r="M245" s="3" t="s">
        <v>1228</v>
      </c>
      <c r="N245" s="3">
        <v>1017</v>
      </c>
      <c r="O245" s="3" t="s">
        <v>1229</v>
      </c>
      <c r="P245" s="3" t="s">
        <v>1230</v>
      </c>
      <c r="Q245" s="3" t="s">
        <v>27</v>
      </c>
      <c r="R245" s="3" t="s">
        <v>28</v>
      </c>
      <c r="S245" s="3">
        <v>4530001</v>
      </c>
      <c r="T245" s="3">
        <v>1933135680</v>
      </c>
      <c r="U245" s="3" t="s">
        <v>29</v>
      </c>
    </row>
    <row r="246" spans="1:21" ht="13.2" x14ac:dyDescent="0.25">
      <c r="A246" s="14">
        <v>4027245000163</v>
      </c>
      <c r="B246" s="15" t="str">
        <f t="shared" si="3"/>
        <v>04.027.245/0001-63</v>
      </c>
      <c r="C246" s="12"/>
      <c r="D246" s="3" t="s">
        <v>1231</v>
      </c>
      <c r="E246" s="3" t="s">
        <v>1231</v>
      </c>
      <c r="F246" s="3" t="s">
        <v>20</v>
      </c>
      <c r="G246" s="4">
        <v>36767</v>
      </c>
      <c r="H246" s="3" t="s">
        <v>21</v>
      </c>
      <c r="I246" s="3" t="s">
        <v>33</v>
      </c>
      <c r="J246" s="5">
        <v>803500</v>
      </c>
      <c r="K246" s="3">
        <v>7490199</v>
      </c>
      <c r="L246" s="3" t="s">
        <v>1091</v>
      </c>
      <c r="M246" s="3" t="s">
        <v>1232</v>
      </c>
      <c r="N246" s="3">
        <v>262</v>
      </c>
      <c r="O246" s="3" t="s">
        <v>1233</v>
      </c>
      <c r="P246" s="3" t="s">
        <v>1234</v>
      </c>
      <c r="Q246" s="3" t="s">
        <v>1235</v>
      </c>
      <c r="R246" s="3" t="s">
        <v>28</v>
      </c>
      <c r="S246" s="3">
        <v>13347633</v>
      </c>
      <c r="T246" s="3">
        <v>1938163400</v>
      </c>
      <c r="U246" s="3" t="s">
        <v>29</v>
      </c>
    </row>
    <row r="247" spans="1:21" ht="13.2" x14ac:dyDescent="0.25">
      <c r="A247" s="14">
        <v>1679569000198</v>
      </c>
      <c r="B247" s="15" t="str">
        <f t="shared" si="3"/>
        <v>01.679.569/0001-98</v>
      </c>
      <c r="C247" s="12" t="str">
        <f>VLOOKUP(B247,[1]Planilha1!$A:$B,2,0)</f>
        <v>Malu Montesino</v>
      </c>
      <c r="D247" s="3" t="s">
        <v>1236</v>
      </c>
      <c r="E247" s="3" t="s">
        <v>1237</v>
      </c>
      <c r="F247" s="3" t="s">
        <v>20</v>
      </c>
      <c r="G247" s="4">
        <v>35480</v>
      </c>
      <c r="H247" s="3" t="s">
        <v>21</v>
      </c>
      <c r="I247" s="3" t="s">
        <v>33</v>
      </c>
      <c r="J247" s="5">
        <v>1000000</v>
      </c>
      <c r="K247" s="3">
        <v>3900500</v>
      </c>
      <c r="L247" s="3" t="s">
        <v>900</v>
      </c>
      <c r="M247" s="3" t="s">
        <v>1238</v>
      </c>
      <c r="N247" s="3">
        <v>70</v>
      </c>
      <c r="O247" s="3" t="s">
        <v>1239</v>
      </c>
      <c r="P247" s="3" t="s">
        <v>1240</v>
      </c>
      <c r="Q247" s="3" t="s">
        <v>204</v>
      </c>
      <c r="R247" s="3" t="s">
        <v>187</v>
      </c>
      <c r="S247" s="3">
        <v>80530000</v>
      </c>
      <c r="T247" s="3">
        <v>4130838300</v>
      </c>
      <c r="U247" s="3" t="s">
        <v>29</v>
      </c>
    </row>
    <row r="248" spans="1:21" ht="13.2" x14ac:dyDescent="0.25">
      <c r="A248" s="14">
        <v>12073525000136</v>
      </c>
      <c r="B248" s="15" t="str">
        <f t="shared" si="3"/>
        <v>12.073.525/0001-36</v>
      </c>
      <c r="C248" s="12"/>
      <c r="D248" s="3" t="s">
        <v>1241</v>
      </c>
      <c r="E248" s="3" t="s">
        <v>1242</v>
      </c>
      <c r="F248" s="3" t="s">
        <v>20</v>
      </c>
      <c r="G248" s="4">
        <v>40319</v>
      </c>
      <c r="H248" s="3" t="s">
        <v>21</v>
      </c>
      <c r="I248" s="3" t="s">
        <v>33</v>
      </c>
      <c r="J248" s="5">
        <v>550000</v>
      </c>
      <c r="K248" s="3">
        <v>3811400</v>
      </c>
      <c r="L248" s="3" t="s">
        <v>1243</v>
      </c>
      <c r="M248" s="3" t="s">
        <v>1244</v>
      </c>
      <c r="N248" s="3">
        <v>200</v>
      </c>
      <c r="O248" s="3" t="s">
        <v>1245</v>
      </c>
      <c r="P248" s="3" t="s">
        <v>645</v>
      </c>
      <c r="Q248" s="3" t="s">
        <v>1246</v>
      </c>
      <c r="R248" s="3" t="s">
        <v>765</v>
      </c>
      <c r="S248" s="3">
        <v>29147600</v>
      </c>
      <c r="T248" s="3">
        <v>2733366765</v>
      </c>
      <c r="U248" s="3" t="s">
        <v>29</v>
      </c>
    </row>
    <row r="249" spans="1:21" ht="13.2" x14ac:dyDescent="0.25">
      <c r="A249" s="14">
        <v>12648266000124</v>
      </c>
      <c r="B249" s="15" t="str">
        <f t="shared" si="3"/>
        <v>12.648.266/0001-24</v>
      </c>
      <c r="C249" s="12" t="str">
        <f>VLOOKUP(B249,[1]Planilha1!$A:$B,2,0)</f>
        <v>Malu Montesino</v>
      </c>
      <c r="D249" s="3" t="s">
        <v>1247</v>
      </c>
      <c r="E249" s="3" t="s">
        <v>1247</v>
      </c>
      <c r="F249" s="3" t="s">
        <v>20</v>
      </c>
      <c r="G249" s="4">
        <v>40444</v>
      </c>
      <c r="H249" s="3" t="s">
        <v>377</v>
      </c>
      <c r="I249" s="3" t="s">
        <v>33</v>
      </c>
      <c r="J249" s="5">
        <v>1868510500</v>
      </c>
      <c r="K249" s="3">
        <v>6462000</v>
      </c>
      <c r="L249" s="3" t="s">
        <v>250</v>
      </c>
      <c r="M249" s="3" t="s">
        <v>589</v>
      </c>
      <c r="N249" s="3">
        <v>1088</v>
      </c>
      <c r="O249" s="3" t="s">
        <v>1248</v>
      </c>
      <c r="P249" s="3" t="s">
        <v>589</v>
      </c>
      <c r="Q249" s="3" t="s">
        <v>27</v>
      </c>
      <c r="R249" s="3" t="s">
        <v>28</v>
      </c>
      <c r="S249" s="3">
        <v>1234000</v>
      </c>
      <c r="T249" s="3">
        <v>1934674800</v>
      </c>
      <c r="U249" s="3" t="s">
        <v>29</v>
      </c>
    </row>
    <row r="250" spans="1:21" ht="13.2" x14ac:dyDescent="0.25">
      <c r="A250" s="14">
        <v>24792315000187</v>
      </c>
      <c r="B250" s="15" t="str">
        <f t="shared" si="3"/>
        <v>24.792.315/0001-87</v>
      </c>
      <c r="C250" s="12" t="str">
        <f>VLOOKUP(B250,[1]Planilha1!$A:$B,2,0)</f>
        <v>Malu Montesino</v>
      </c>
      <c r="D250" s="3" t="s">
        <v>1249</v>
      </c>
      <c r="E250" s="3" t="s">
        <v>1249</v>
      </c>
      <c r="F250" s="3" t="s">
        <v>45</v>
      </c>
      <c r="G250" s="4">
        <v>42502</v>
      </c>
      <c r="H250" s="3" t="s">
        <v>21</v>
      </c>
      <c r="I250" s="3" t="s">
        <v>33</v>
      </c>
      <c r="J250" s="5">
        <v>2644514</v>
      </c>
      <c r="K250" s="3">
        <v>7820500</v>
      </c>
      <c r="L250" s="3" t="s">
        <v>481</v>
      </c>
      <c r="M250" s="3" t="s">
        <v>1250</v>
      </c>
      <c r="N250" s="3">
        <v>60</v>
      </c>
      <c r="O250" s="3" t="s">
        <v>1251</v>
      </c>
      <c r="P250" s="3" t="s">
        <v>1252</v>
      </c>
      <c r="Q250" s="3" t="s">
        <v>1253</v>
      </c>
      <c r="R250" s="3" t="s">
        <v>765</v>
      </c>
      <c r="S250" s="3">
        <v>29050400</v>
      </c>
      <c r="T250" s="3">
        <v>2731345361</v>
      </c>
      <c r="U250" s="3" t="s">
        <v>29</v>
      </c>
    </row>
    <row r="251" spans="1:21" ht="13.2" x14ac:dyDescent="0.25">
      <c r="A251" s="14">
        <v>7067001000100</v>
      </c>
      <c r="B251" s="15" t="str">
        <f t="shared" si="3"/>
        <v>07.067.001/0001-00</v>
      </c>
      <c r="C251" s="12"/>
      <c r="D251" s="3" t="s">
        <v>1254</v>
      </c>
      <c r="E251" s="3" t="s">
        <v>1254</v>
      </c>
      <c r="F251" s="3" t="s">
        <v>20</v>
      </c>
      <c r="G251" s="4">
        <v>38282</v>
      </c>
      <c r="H251" s="3" t="s">
        <v>21</v>
      </c>
      <c r="I251" s="3" t="s">
        <v>33</v>
      </c>
      <c r="J251" s="5">
        <v>15162176</v>
      </c>
      <c r="K251" s="3">
        <v>3812200</v>
      </c>
      <c r="L251" s="3" t="s">
        <v>1255</v>
      </c>
      <c r="M251" s="3" t="s">
        <v>1256</v>
      </c>
      <c r="N251" s="3">
        <v>337</v>
      </c>
      <c r="P251" s="3" t="s">
        <v>1257</v>
      </c>
      <c r="Q251" s="3" t="s">
        <v>186</v>
      </c>
      <c r="R251" s="3" t="s">
        <v>187</v>
      </c>
      <c r="S251" s="3">
        <v>83015148</v>
      </c>
      <c r="T251" s="3">
        <v>1130469000</v>
      </c>
      <c r="U251" s="3" t="s">
        <v>29</v>
      </c>
    </row>
    <row r="252" spans="1:21" ht="13.2" x14ac:dyDescent="0.25">
      <c r="A252" s="14">
        <v>43235795000120</v>
      </c>
      <c r="B252" s="15" t="str">
        <f t="shared" si="3"/>
        <v>43.235.795/0001-20</v>
      </c>
      <c r="C252" s="12" t="str">
        <f>VLOOKUP(B252,[1]Planilha1!$A:$B,2,0)</f>
        <v>Malu Montesino</v>
      </c>
      <c r="D252" s="3" t="s">
        <v>1258</v>
      </c>
      <c r="E252" s="3" t="s">
        <v>1258</v>
      </c>
      <c r="F252" s="3" t="s">
        <v>20</v>
      </c>
      <c r="G252" s="4">
        <v>26365</v>
      </c>
      <c r="H252" s="3" t="s">
        <v>21</v>
      </c>
      <c r="I252" s="3" t="s">
        <v>33</v>
      </c>
      <c r="J252" s="5">
        <v>422866980</v>
      </c>
      <c r="K252" s="3">
        <v>2222600</v>
      </c>
      <c r="L252" s="3" t="s">
        <v>183</v>
      </c>
      <c r="M252" s="3" t="s">
        <v>1259</v>
      </c>
      <c r="N252" s="3">
        <v>2010</v>
      </c>
      <c r="P252" s="3" t="s">
        <v>1260</v>
      </c>
      <c r="Q252" s="3" t="s">
        <v>823</v>
      </c>
      <c r="R252" s="3" t="s">
        <v>28</v>
      </c>
      <c r="S252" s="3">
        <v>13290000</v>
      </c>
      <c r="T252" s="3">
        <v>1145893000</v>
      </c>
      <c r="U252" s="3" t="s">
        <v>29</v>
      </c>
    </row>
    <row r="253" spans="1:21" ht="13.2" x14ac:dyDescent="0.25">
      <c r="A253" s="14">
        <v>8853108000139</v>
      </c>
      <c r="B253" s="15" t="str">
        <f t="shared" si="3"/>
        <v>08.853.108/0001-39</v>
      </c>
      <c r="C253" s="12"/>
      <c r="D253" s="3" t="s">
        <v>1261</v>
      </c>
      <c r="E253" s="3" t="s">
        <v>1262</v>
      </c>
      <c r="F253" s="3" t="s">
        <v>20</v>
      </c>
      <c r="G253" s="4">
        <v>39090</v>
      </c>
      <c r="H253" s="3" t="s">
        <v>21</v>
      </c>
      <c r="I253" s="3" t="s">
        <v>22</v>
      </c>
      <c r="J253" s="5">
        <v>1350000</v>
      </c>
      <c r="K253" s="3">
        <v>4752100</v>
      </c>
      <c r="L253" s="3" t="s">
        <v>1263</v>
      </c>
      <c r="M253" s="3" t="s">
        <v>1264</v>
      </c>
      <c r="N253" s="3">
        <v>107</v>
      </c>
      <c r="O253" s="3" t="s">
        <v>1265</v>
      </c>
      <c r="P253" s="3" t="s">
        <v>1266</v>
      </c>
      <c r="Q253" s="3" t="s">
        <v>27</v>
      </c>
      <c r="R253" s="3" t="s">
        <v>28</v>
      </c>
      <c r="S253" s="3">
        <v>4610060</v>
      </c>
      <c r="T253" s="3">
        <v>1137964331</v>
      </c>
      <c r="U253" s="3" t="s">
        <v>29</v>
      </c>
    </row>
    <row r="254" spans="1:21" ht="13.2" x14ac:dyDescent="0.25">
      <c r="A254" s="14">
        <v>5976905000115</v>
      </c>
      <c r="B254" s="15" t="str">
        <f t="shared" si="3"/>
        <v>05.976.905/0001-15</v>
      </c>
      <c r="C254" s="12"/>
      <c r="D254" s="3" t="s">
        <v>1267</v>
      </c>
      <c r="E254" s="3" t="s">
        <v>1268</v>
      </c>
      <c r="F254" s="3" t="s">
        <v>20</v>
      </c>
      <c r="G254" s="4">
        <v>37930</v>
      </c>
      <c r="H254" s="3" t="s">
        <v>21</v>
      </c>
      <c r="I254" s="3" t="s">
        <v>33</v>
      </c>
      <c r="J254" s="5">
        <v>1000000</v>
      </c>
      <c r="K254" s="3">
        <v>230600</v>
      </c>
      <c r="L254" s="3" t="s">
        <v>1269</v>
      </c>
      <c r="M254" s="3" t="s">
        <v>1270</v>
      </c>
      <c r="N254" s="3">
        <v>14</v>
      </c>
      <c r="O254" s="3" t="s">
        <v>1271</v>
      </c>
      <c r="P254" s="3" t="s">
        <v>70</v>
      </c>
      <c r="Q254" s="3" t="s">
        <v>1272</v>
      </c>
      <c r="R254" s="3" t="s">
        <v>274</v>
      </c>
      <c r="S254" s="3">
        <v>73801430</v>
      </c>
      <c r="T254" s="3">
        <v>6136313418</v>
      </c>
      <c r="U254" s="3" t="s">
        <v>29</v>
      </c>
    </row>
    <row r="255" spans="1:21" ht="13.2" x14ac:dyDescent="0.25">
      <c r="A255" s="14">
        <v>17707430000140</v>
      </c>
      <c r="B255" s="15" t="str">
        <f t="shared" si="3"/>
        <v>17.707.430/0001-40</v>
      </c>
      <c r="C255" s="12"/>
      <c r="D255" s="3" t="s">
        <v>1273</v>
      </c>
      <c r="E255" s="3" t="s">
        <v>1274</v>
      </c>
      <c r="F255" s="3" t="s">
        <v>20</v>
      </c>
      <c r="G255" s="4">
        <v>41331</v>
      </c>
      <c r="H255" s="3" t="s">
        <v>46</v>
      </c>
      <c r="I255" s="3" t="s">
        <v>47</v>
      </c>
      <c r="J255" s="5">
        <v>45000</v>
      </c>
      <c r="K255" s="3">
        <v>4742300</v>
      </c>
      <c r="L255" s="3" t="s">
        <v>1152</v>
      </c>
      <c r="M255" s="3" t="s">
        <v>1275</v>
      </c>
      <c r="N255" s="3">
        <v>34</v>
      </c>
      <c r="P255" s="3" t="s">
        <v>1276</v>
      </c>
      <c r="Q255" s="3" t="s">
        <v>27</v>
      </c>
      <c r="R255" s="3" t="s">
        <v>28</v>
      </c>
      <c r="S255" s="3">
        <v>4256280</v>
      </c>
      <c r="T255" s="3">
        <v>1535271991</v>
      </c>
      <c r="U255" s="3" t="s">
        <v>29</v>
      </c>
    </row>
    <row r="256" spans="1:21" ht="13.2" x14ac:dyDescent="0.25">
      <c r="A256" s="14">
        <v>3222955000181</v>
      </c>
      <c r="B256" s="15" t="str">
        <f t="shared" si="3"/>
        <v>03.222.955/0001-81</v>
      </c>
      <c r="C256" s="12"/>
      <c r="D256" s="3" t="s">
        <v>1277</v>
      </c>
      <c r="E256" s="3" t="s">
        <v>1277</v>
      </c>
      <c r="F256" s="3" t="s">
        <v>20</v>
      </c>
      <c r="G256" s="4">
        <v>36326</v>
      </c>
      <c r="H256" s="3" t="s">
        <v>21</v>
      </c>
      <c r="I256" s="3" t="s">
        <v>33</v>
      </c>
      <c r="J256" s="5">
        <v>4549960</v>
      </c>
      <c r="K256" s="3">
        <v>4663000</v>
      </c>
      <c r="L256" s="3" t="s">
        <v>128</v>
      </c>
      <c r="M256" s="3" t="s">
        <v>1278</v>
      </c>
      <c r="N256" s="3">
        <v>570</v>
      </c>
      <c r="O256" s="3" t="s">
        <v>1279</v>
      </c>
      <c r="P256" s="3" t="s">
        <v>1280</v>
      </c>
      <c r="Q256" s="3" t="s">
        <v>65</v>
      </c>
      <c r="R256" s="3" t="s">
        <v>28</v>
      </c>
      <c r="S256" s="3">
        <v>13049900</v>
      </c>
      <c r="T256" s="3">
        <v>1921074100</v>
      </c>
      <c r="U256" s="3" t="s">
        <v>29</v>
      </c>
    </row>
    <row r="257" spans="1:21" ht="13.2" x14ac:dyDescent="0.25">
      <c r="A257" s="14">
        <v>18774815000193</v>
      </c>
      <c r="B257" s="15" t="str">
        <f t="shared" si="3"/>
        <v>18.774.815/0001-93</v>
      </c>
      <c r="C257" s="12"/>
      <c r="D257" s="3" t="s">
        <v>1281</v>
      </c>
      <c r="E257" s="3" t="s">
        <v>1281</v>
      </c>
      <c r="F257" s="3" t="s">
        <v>20</v>
      </c>
      <c r="G257" s="4">
        <v>41515</v>
      </c>
      <c r="H257" s="3" t="s">
        <v>21</v>
      </c>
      <c r="I257" s="3" t="s">
        <v>33</v>
      </c>
      <c r="J257" s="5">
        <v>104464580</v>
      </c>
      <c r="K257" s="3">
        <v>4644301</v>
      </c>
      <c r="L257" s="3" t="s">
        <v>326</v>
      </c>
      <c r="M257" s="3" t="s">
        <v>1282</v>
      </c>
      <c r="N257" s="3">
        <v>146</v>
      </c>
      <c r="P257" s="3" t="s">
        <v>1283</v>
      </c>
      <c r="Q257" s="3" t="s">
        <v>1284</v>
      </c>
      <c r="R257" s="3" t="s">
        <v>28</v>
      </c>
      <c r="S257" s="3">
        <v>6765317</v>
      </c>
      <c r="T257" s="3">
        <v>1151718500</v>
      </c>
      <c r="U257" s="3" t="s">
        <v>29</v>
      </c>
    </row>
    <row r="258" spans="1:21" ht="13.2" x14ac:dyDescent="0.25">
      <c r="A258" s="14">
        <v>7192480000189</v>
      </c>
      <c r="B258" s="15" t="str">
        <f t="shared" si="3"/>
        <v>07.192.480/0001-89</v>
      </c>
      <c r="C258" s="12"/>
      <c r="D258" s="3" t="s">
        <v>1285</v>
      </c>
      <c r="E258" s="3" t="s">
        <v>1285</v>
      </c>
      <c r="F258" s="3" t="s">
        <v>20</v>
      </c>
      <c r="G258" s="4">
        <v>38380</v>
      </c>
      <c r="H258" s="3" t="s">
        <v>21</v>
      </c>
      <c r="I258" s="3" t="s">
        <v>33</v>
      </c>
      <c r="J258" s="5">
        <v>400000</v>
      </c>
      <c r="K258" s="3">
        <v>6202300</v>
      </c>
      <c r="L258" s="3" t="s">
        <v>103</v>
      </c>
      <c r="M258" s="3" t="s">
        <v>1286</v>
      </c>
      <c r="N258" s="3">
        <v>5570</v>
      </c>
      <c r="O258" s="3" t="s">
        <v>1287</v>
      </c>
      <c r="P258" s="3" t="s">
        <v>1288</v>
      </c>
      <c r="Q258" s="3" t="s">
        <v>1289</v>
      </c>
      <c r="R258" s="3" t="s">
        <v>187</v>
      </c>
      <c r="S258" s="3">
        <v>87020035</v>
      </c>
      <c r="T258" s="3">
        <v>4430261122</v>
      </c>
      <c r="U258" s="3" t="s">
        <v>29</v>
      </c>
    </row>
    <row r="259" spans="1:21" ht="13.2" x14ac:dyDescent="0.25">
      <c r="A259" s="14">
        <v>15195374000187</v>
      </c>
      <c r="B259" s="15" t="str">
        <f t="shared" ref="B259:B322" si="4">TEXT(A259,"00\.000\.000\/0000\-00")</f>
        <v>15.195.374/0001-87</v>
      </c>
      <c r="C259" s="12"/>
      <c r="D259" s="3" t="s">
        <v>1290</v>
      </c>
      <c r="E259" s="3" t="s">
        <v>1291</v>
      </c>
      <c r="F259" s="3" t="s">
        <v>20</v>
      </c>
      <c r="G259" s="4">
        <v>40963</v>
      </c>
      <c r="H259" s="3" t="s">
        <v>21</v>
      </c>
      <c r="I259" s="3" t="s">
        <v>22</v>
      </c>
      <c r="J259" s="5">
        <v>300000</v>
      </c>
      <c r="K259" s="3">
        <v>8630503</v>
      </c>
      <c r="L259" s="3" t="s">
        <v>1292</v>
      </c>
      <c r="M259" s="3" t="s">
        <v>1293</v>
      </c>
      <c r="N259" s="3">
        <v>1254</v>
      </c>
      <c r="P259" s="3" t="s">
        <v>1294</v>
      </c>
      <c r="Q259" s="3" t="s">
        <v>881</v>
      </c>
      <c r="R259" s="3" t="s">
        <v>28</v>
      </c>
      <c r="S259" s="3">
        <v>9370670</v>
      </c>
      <c r="T259" s="3">
        <v>1145125252</v>
      </c>
      <c r="U259" s="3" t="s">
        <v>29</v>
      </c>
    </row>
    <row r="260" spans="1:21" ht="13.2" x14ac:dyDescent="0.25">
      <c r="A260" s="14">
        <v>2473233000137</v>
      </c>
      <c r="B260" s="15" t="str">
        <f t="shared" si="4"/>
        <v>02.473.233/0001-37</v>
      </c>
      <c r="C260" s="12"/>
      <c r="D260" s="3" t="s">
        <v>1295</v>
      </c>
      <c r="E260" s="3" t="s">
        <v>1295</v>
      </c>
      <c r="F260" s="3" t="s">
        <v>20</v>
      </c>
      <c r="G260" s="4">
        <v>35846</v>
      </c>
      <c r="H260" s="3" t="s">
        <v>21</v>
      </c>
      <c r="I260" s="3" t="s">
        <v>33</v>
      </c>
      <c r="J260" s="5">
        <v>20965000</v>
      </c>
      <c r="K260" s="3">
        <v>7020400</v>
      </c>
      <c r="L260" s="3" t="s">
        <v>170</v>
      </c>
      <c r="M260" s="3" t="s">
        <v>1296</v>
      </c>
      <c r="N260" s="3">
        <v>1758</v>
      </c>
      <c r="O260" s="3" t="s">
        <v>1297</v>
      </c>
      <c r="P260" s="3" t="s">
        <v>1019</v>
      </c>
      <c r="Q260" s="3" t="s">
        <v>27</v>
      </c>
      <c r="R260" s="3" t="s">
        <v>28</v>
      </c>
      <c r="S260" s="3">
        <v>4565912</v>
      </c>
      <c r="T260" s="3">
        <v>1131385292</v>
      </c>
      <c r="U260" s="3" t="s">
        <v>29</v>
      </c>
    </row>
    <row r="261" spans="1:21" ht="13.2" x14ac:dyDescent="0.25">
      <c r="A261" s="14">
        <v>35945347000191</v>
      </c>
      <c r="B261" s="15" t="str">
        <f t="shared" si="4"/>
        <v>35.945.347/0001-91</v>
      </c>
      <c r="C261" s="12"/>
      <c r="D261" s="3" t="s">
        <v>1298</v>
      </c>
      <c r="E261" s="3" t="s">
        <v>1299</v>
      </c>
      <c r="F261" s="3" t="s">
        <v>45</v>
      </c>
      <c r="G261" s="4">
        <v>43839</v>
      </c>
      <c r="H261" s="3" t="s">
        <v>46</v>
      </c>
      <c r="I261" s="3" t="s">
        <v>47</v>
      </c>
      <c r="J261" s="5">
        <v>300</v>
      </c>
      <c r="K261" s="3">
        <v>7911200</v>
      </c>
      <c r="L261" s="3" t="s">
        <v>269</v>
      </c>
      <c r="M261" s="3" t="s">
        <v>1300</v>
      </c>
      <c r="N261" s="3">
        <v>272</v>
      </c>
      <c r="O261" s="3" t="s">
        <v>1301</v>
      </c>
      <c r="P261" s="3" t="s">
        <v>1302</v>
      </c>
      <c r="Q261" s="3" t="s">
        <v>1303</v>
      </c>
      <c r="R261" s="3" t="s">
        <v>100</v>
      </c>
      <c r="S261" s="3">
        <v>35740000</v>
      </c>
      <c r="T261" s="3">
        <v>3198758142</v>
      </c>
      <c r="U261" s="3" t="s">
        <v>29</v>
      </c>
    </row>
    <row r="262" spans="1:21" ht="13.2" x14ac:dyDescent="0.25">
      <c r="A262" s="14">
        <v>8072145000100</v>
      </c>
      <c r="B262" s="15" t="str">
        <f t="shared" si="4"/>
        <v>08.072.145/0001-00</v>
      </c>
      <c r="C262" s="12"/>
      <c r="D262" s="3" t="s">
        <v>1304</v>
      </c>
      <c r="E262" s="3" t="s">
        <v>1305</v>
      </c>
      <c r="F262" s="3" t="s">
        <v>20</v>
      </c>
      <c r="G262" s="4">
        <v>38880</v>
      </c>
      <c r="H262" s="3" t="s">
        <v>21</v>
      </c>
      <c r="I262" s="3" t="s">
        <v>22</v>
      </c>
      <c r="J262" s="5">
        <v>720000</v>
      </c>
      <c r="K262" s="3">
        <v>4684299</v>
      </c>
      <c r="L262" s="3" t="s">
        <v>419</v>
      </c>
      <c r="M262" s="3" t="s">
        <v>1306</v>
      </c>
      <c r="N262" s="3">
        <v>540</v>
      </c>
      <c r="P262" s="3" t="s">
        <v>1307</v>
      </c>
      <c r="Q262" s="3" t="s">
        <v>1306</v>
      </c>
      <c r="R262" s="3" t="s">
        <v>100</v>
      </c>
      <c r="S262" s="3">
        <v>38180305</v>
      </c>
      <c r="T262" s="3">
        <v>3432549520</v>
      </c>
      <c r="U262" s="3" t="s">
        <v>29</v>
      </c>
    </row>
    <row r="263" spans="1:21" ht="13.2" x14ac:dyDescent="0.25">
      <c r="A263" s="14">
        <v>19201544000140</v>
      </c>
      <c r="B263" s="15" t="str">
        <f t="shared" si="4"/>
        <v>19.201.544/0001-40</v>
      </c>
      <c r="C263" s="12"/>
      <c r="D263" s="3" t="s">
        <v>1308</v>
      </c>
      <c r="E263" s="3" t="s">
        <v>1309</v>
      </c>
      <c r="F263" s="3" t="s">
        <v>20</v>
      </c>
      <c r="G263" s="4">
        <v>41583</v>
      </c>
      <c r="H263" s="3" t="s">
        <v>21</v>
      </c>
      <c r="I263" s="3" t="s">
        <v>22</v>
      </c>
      <c r="J263" s="5">
        <v>200000</v>
      </c>
      <c r="K263" s="3">
        <v>2930101</v>
      </c>
      <c r="L263" s="3" t="s">
        <v>856</v>
      </c>
      <c r="M263" s="3" t="s">
        <v>1310</v>
      </c>
      <c r="N263" s="3">
        <v>1487</v>
      </c>
      <c r="P263" s="3" t="s">
        <v>1311</v>
      </c>
      <c r="Q263" s="3" t="s">
        <v>1312</v>
      </c>
      <c r="R263" s="3" t="s">
        <v>28</v>
      </c>
      <c r="S263" s="3">
        <v>13313006</v>
      </c>
      <c r="T263" s="3">
        <v>1140224924</v>
      </c>
      <c r="U263" s="3" t="s">
        <v>29</v>
      </c>
    </row>
    <row r="264" spans="1:21" ht="13.2" x14ac:dyDescent="0.25">
      <c r="A264" s="14">
        <v>73773129000106</v>
      </c>
      <c r="B264" s="15" t="str">
        <f t="shared" si="4"/>
        <v>73.773.129/0001-06</v>
      </c>
      <c r="C264" s="12" t="str">
        <f>VLOOKUP(B264,[1]Planilha1!$A:$B,2,0)</f>
        <v>Malu Montesino</v>
      </c>
      <c r="D264" s="3" t="s">
        <v>1313</v>
      </c>
      <c r="E264" s="3" t="s">
        <v>1313</v>
      </c>
      <c r="F264" s="3" t="s">
        <v>20</v>
      </c>
      <c r="G264" s="4">
        <v>34298</v>
      </c>
      <c r="H264" s="3" t="s">
        <v>21</v>
      </c>
      <c r="I264" s="3" t="s">
        <v>33</v>
      </c>
      <c r="J264" s="5">
        <v>10443328</v>
      </c>
      <c r="K264" s="3">
        <v>4644301</v>
      </c>
      <c r="L264" s="3" t="s">
        <v>326</v>
      </c>
      <c r="M264" s="3" t="s">
        <v>1314</v>
      </c>
      <c r="N264" s="3">
        <v>520</v>
      </c>
      <c r="O264" s="3" t="s">
        <v>1315</v>
      </c>
      <c r="P264" s="3" t="s">
        <v>1316</v>
      </c>
      <c r="Q264" s="3" t="s">
        <v>1317</v>
      </c>
      <c r="R264" s="3" t="s">
        <v>187</v>
      </c>
      <c r="S264" s="3">
        <v>83326070</v>
      </c>
      <c r="T264" s="3">
        <v>4130728120</v>
      </c>
      <c r="U264" s="3" t="s">
        <v>29</v>
      </c>
    </row>
    <row r="265" spans="1:21" ht="13.2" x14ac:dyDescent="0.25">
      <c r="A265" s="14">
        <v>11260846000187</v>
      </c>
      <c r="B265" s="15" t="str">
        <f t="shared" si="4"/>
        <v>11.260.846/0001-87</v>
      </c>
      <c r="C265" s="12"/>
      <c r="D265" s="3" t="s">
        <v>1318</v>
      </c>
      <c r="E265" s="3" t="s">
        <v>1319</v>
      </c>
      <c r="F265" s="3" t="s">
        <v>20</v>
      </c>
      <c r="G265" s="4">
        <v>40107</v>
      </c>
      <c r="H265" s="3" t="s">
        <v>21</v>
      </c>
      <c r="I265" s="3" t="s">
        <v>33</v>
      </c>
      <c r="J265" s="5">
        <v>43102900</v>
      </c>
      <c r="K265" s="3">
        <v>4644301</v>
      </c>
      <c r="L265" s="3" t="s">
        <v>326</v>
      </c>
      <c r="M265" s="3" t="s">
        <v>1320</v>
      </c>
      <c r="N265" s="3">
        <v>410</v>
      </c>
      <c r="O265" s="3" t="s">
        <v>1321</v>
      </c>
      <c r="P265" s="3" t="s">
        <v>1322</v>
      </c>
      <c r="Q265" s="3" t="s">
        <v>85</v>
      </c>
      <c r="R265" s="3" t="s">
        <v>28</v>
      </c>
      <c r="S265" s="3">
        <v>13178561</v>
      </c>
      <c r="T265" s="3">
        <v>8321062433</v>
      </c>
      <c r="U265" s="3" t="s">
        <v>29</v>
      </c>
    </row>
    <row r="266" spans="1:21" ht="13.2" x14ac:dyDescent="0.25">
      <c r="A266" s="14">
        <v>11647890000144</v>
      </c>
      <c r="B266" s="15" t="str">
        <f t="shared" si="4"/>
        <v>11.647.890/0001-44</v>
      </c>
      <c r="C266" s="12"/>
      <c r="D266" s="3" t="s">
        <v>1323</v>
      </c>
      <c r="E266" s="3" t="s">
        <v>1323</v>
      </c>
      <c r="F266" s="3" t="s">
        <v>20</v>
      </c>
      <c r="G266" s="4">
        <v>40231</v>
      </c>
      <c r="H266" s="3" t="s">
        <v>21</v>
      </c>
      <c r="I266" s="3" t="s">
        <v>47</v>
      </c>
      <c r="J266" s="5">
        <v>100000</v>
      </c>
      <c r="K266" s="3">
        <v>6622300</v>
      </c>
      <c r="L266" s="3" t="s">
        <v>1324</v>
      </c>
      <c r="M266" s="3" t="s">
        <v>1325</v>
      </c>
      <c r="N266" s="3">
        <v>720</v>
      </c>
      <c r="O266" s="3" t="s">
        <v>1326</v>
      </c>
      <c r="P266" s="3" t="s">
        <v>1327</v>
      </c>
      <c r="Q266" s="3" t="s">
        <v>27</v>
      </c>
      <c r="R266" s="3" t="s">
        <v>28</v>
      </c>
      <c r="S266" s="3">
        <v>5687001</v>
      </c>
      <c r="T266" s="3">
        <v>1185555344</v>
      </c>
      <c r="U266" s="3" t="s">
        <v>29</v>
      </c>
    </row>
    <row r="267" spans="1:21" ht="13.2" x14ac:dyDescent="0.25">
      <c r="A267" s="14">
        <v>21943327000177</v>
      </c>
      <c r="B267" s="15" t="str">
        <f t="shared" si="4"/>
        <v>21.943.327/0001-77</v>
      </c>
      <c r="C267" s="12"/>
      <c r="D267" s="3" t="s">
        <v>1328</v>
      </c>
      <c r="E267" s="3" t="s">
        <v>1328</v>
      </c>
      <c r="F267" s="3" t="s">
        <v>45</v>
      </c>
      <c r="G267" s="4">
        <v>42061</v>
      </c>
      <c r="H267" s="3" t="s">
        <v>1329</v>
      </c>
      <c r="I267" s="3" t="s">
        <v>22</v>
      </c>
      <c r="J267" s="5">
        <v>104500</v>
      </c>
      <c r="K267" s="3">
        <v>1531901</v>
      </c>
      <c r="L267" s="3" t="s">
        <v>1330</v>
      </c>
      <c r="M267" s="3" t="s">
        <v>1331</v>
      </c>
      <c r="N267" s="3">
        <v>95</v>
      </c>
      <c r="P267" s="3" t="s">
        <v>1332</v>
      </c>
      <c r="Q267" s="3" t="s">
        <v>1333</v>
      </c>
      <c r="R267" s="3" t="s">
        <v>28</v>
      </c>
      <c r="S267" s="3">
        <v>18147000</v>
      </c>
      <c r="T267" s="3">
        <v>1141362029</v>
      </c>
      <c r="U267" s="3" t="s">
        <v>29</v>
      </c>
    </row>
    <row r="268" spans="1:21" ht="13.2" x14ac:dyDescent="0.25">
      <c r="A268" s="14">
        <v>41840668000124</v>
      </c>
      <c r="B268" s="15" t="str">
        <f t="shared" si="4"/>
        <v>41.840.668/0001-24</v>
      </c>
      <c r="C268" s="12" t="str">
        <f>VLOOKUP(B268,[1]Planilha1!$A:$B,2,0)</f>
        <v>Malu Montesino</v>
      </c>
      <c r="D268" s="3" t="s">
        <v>1334</v>
      </c>
      <c r="E268" s="3" t="s">
        <v>1335</v>
      </c>
      <c r="F268" s="3" t="s">
        <v>20</v>
      </c>
      <c r="G268" s="4">
        <v>44322</v>
      </c>
      <c r="H268" s="3" t="s">
        <v>21</v>
      </c>
      <c r="I268" s="3" t="s">
        <v>22</v>
      </c>
      <c r="J268" s="5">
        <v>40000</v>
      </c>
      <c r="K268" s="3">
        <v>4645101</v>
      </c>
      <c r="L268" s="3" t="s">
        <v>135</v>
      </c>
      <c r="M268" s="3" t="s">
        <v>1336</v>
      </c>
      <c r="N268" s="3">
        <v>334</v>
      </c>
      <c r="O268" s="3" t="s">
        <v>1337</v>
      </c>
      <c r="P268" s="3" t="s">
        <v>1338</v>
      </c>
      <c r="Q268" s="3" t="s">
        <v>1339</v>
      </c>
      <c r="R268" s="3" t="s">
        <v>456</v>
      </c>
      <c r="S268" s="3">
        <v>50070415</v>
      </c>
      <c r="T268" s="3">
        <v>8130340385</v>
      </c>
      <c r="U268" s="3" t="s">
        <v>29</v>
      </c>
    </row>
    <row r="269" spans="1:21" ht="13.2" x14ac:dyDescent="0.25">
      <c r="A269" s="14">
        <v>17262213000194</v>
      </c>
      <c r="B269" s="15" t="str">
        <f t="shared" si="4"/>
        <v>17.262.213/0001-94</v>
      </c>
      <c r="C269" s="12" t="str">
        <f>VLOOKUP(B269,[1]Planilha1!$A:$B,2,0)</f>
        <v>Malu Montesino</v>
      </c>
      <c r="D269" s="3" t="s">
        <v>1340</v>
      </c>
      <c r="E269" s="3" t="s">
        <v>1340</v>
      </c>
      <c r="F269" s="3" t="s">
        <v>20</v>
      </c>
      <c r="G269" s="4">
        <v>24372</v>
      </c>
      <c r="H269" s="3" t="s">
        <v>94</v>
      </c>
      <c r="I269" s="3" t="s">
        <v>33</v>
      </c>
      <c r="J269" s="5">
        <v>1836966100</v>
      </c>
      <c r="K269" s="3">
        <v>4211101</v>
      </c>
      <c r="L269" s="3" t="s">
        <v>313</v>
      </c>
      <c r="M269" s="3" t="s">
        <v>1341</v>
      </c>
      <c r="N269" s="3">
        <v>8123</v>
      </c>
      <c r="P269" s="3" t="s">
        <v>185</v>
      </c>
      <c r="Q269" s="3" t="s">
        <v>476</v>
      </c>
      <c r="R269" s="3" t="s">
        <v>100</v>
      </c>
      <c r="S269" s="3">
        <v>30110937</v>
      </c>
      <c r="T269" s="3">
        <v>3132906700</v>
      </c>
      <c r="U269" s="3" t="s">
        <v>29</v>
      </c>
    </row>
    <row r="270" spans="1:21" ht="13.2" x14ac:dyDescent="0.25">
      <c r="A270" s="14">
        <v>4422908000144</v>
      </c>
      <c r="B270" s="15" t="str">
        <f t="shared" si="4"/>
        <v>04.422.908/0001-44</v>
      </c>
      <c r="C270" s="12"/>
      <c r="D270" s="3" t="s">
        <v>1342</v>
      </c>
      <c r="E270" s="3" t="s">
        <v>1343</v>
      </c>
      <c r="F270" s="3" t="s">
        <v>20</v>
      </c>
      <c r="G270" s="4">
        <v>37014</v>
      </c>
      <c r="H270" s="3" t="s">
        <v>21</v>
      </c>
      <c r="I270" s="3" t="s">
        <v>22</v>
      </c>
      <c r="J270" s="5">
        <v>80000</v>
      </c>
      <c r="K270" s="3">
        <v>2330305</v>
      </c>
      <c r="L270" s="3" t="s">
        <v>1344</v>
      </c>
      <c r="M270" s="3" t="s">
        <v>1345</v>
      </c>
      <c r="N270" s="3">
        <v>45</v>
      </c>
      <c r="P270" s="3" t="s">
        <v>153</v>
      </c>
      <c r="Q270" s="3" t="s">
        <v>1346</v>
      </c>
      <c r="R270" s="3" t="s">
        <v>28</v>
      </c>
      <c r="S270" s="3">
        <v>16902155</v>
      </c>
      <c r="U270" s="3" t="s">
        <v>29</v>
      </c>
    </row>
    <row r="271" spans="1:21" ht="13.2" x14ac:dyDescent="0.25">
      <c r="A271" s="14">
        <v>21338022000136</v>
      </c>
      <c r="B271" s="15" t="str">
        <f t="shared" si="4"/>
        <v>21.338.022/0001-36</v>
      </c>
      <c r="C271" s="12"/>
      <c r="D271" s="3" t="s">
        <v>1347</v>
      </c>
      <c r="E271" s="3" t="s">
        <v>1348</v>
      </c>
      <c r="F271" s="3" t="s">
        <v>20</v>
      </c>
      <c r="G271" s="4">
        <v>41947</v>
      </c>
      <c r="H271" s="3" t="s">
        <v>21</v>
      </c>
      <c r="I271" s="3" t="s">
        <v>47</v>
      </c>
      <c r="J271" s="5">
        <v>100000</v>
      </c>
      <c r="K271" s="3">
        <v>1813001</v>
      </c>
      <c r="L271" s="3" t="s">
        <v>177</v>
      </c>
      <c r="M271" s="3" t="s">
        <v>1349</v>
      </c>
      <c r="N271" s="3">
        <v>170</v>
      </c>
      <c r="O271" s="3" t="s">
        <v>1350</v>
      </c>
      <c r="P271" s="3" t="s">
        <v>1351</v>
      </c>
      <c r="Q271" s="3" t="s">
        <v>27</v>
      </c>
      <c r="R271" s="3" t="s">
        <v>28</v>
      </c>
      <c r="S271" s="3">
        <v>4728010</v>
      </c>
      <c r="T271" s="3">
        <v>1191367733</v>
      </c>
      <c r="U271" s="3" t="s">
        <v>29</v>
      </c>
    </row>
    <row r="272" spans="1:21" ht="13.2" x14ac:dyDescent="0.25">
      <c r="A272" s="14">
        <v>11402383000140</v>
      </c>
      <c r="B272" s="15" t="str">
        <f t="shared" si="4"/>
        <v>11.402.383/0001-40</v>
      </c>
      <c r="C272" s="12"/>
      <c r="D272" s="3" t="s">
        <v>1352</v>
      </c>
      <c r="E272" s="3" t="s">
        <v>1352</v>
      </c>
      <c r="F272" s="3" t="s">
        <v>20</v>
      </c>
      <c r="G272" s="4">
        <v>40136</v>
      </c>
      <c r="H272" s="3" t="s">
        <v>46</v>
      </c>
      <c r="I272" s="3" t="s">
        <v>47</v>
      </c>
      <c r="J272" s="5">
        <v>15000</v>
      </c>
      <c r="K272" s="3">
        <v>1412601</v>
      </c>
      <c r="L272" s="3" t="s">
        <v>1353</v>
      </c>
      <c r="M272" s="3" t="s">
        <v>1354</v>
      </c>
      <c r="N272" s="3">
        <v>391</v>
      </c>
      <c r="P272" s="3" t="s">
        <v>1355</v>
      </c>
      <c r="Q272" s="3" t="s">
        <v>893</v>
      </c>
      <c r="R272" s="3" t="s">
        <v>28</v>
      </c>
      <c r="S272" s="3">
        <v>17245186</v>
      </c>
      <c r="T272" s="3">
        <v>1436663343</v>
      </c>
      <c r="U272" s="3" t="s">
        <v>29</v>
      </c>
    </row>
    <row r="273" spans="1:21" ht="13.2" x14ac:dyDescent="0.25">
      <c r="A273" s="14">
        <v>62420534000124</v>
      </c>
      <c r="B273" s="15" t="str">
        <f t="shared" si="4"/>
        <v>62.420.534/0001-24</v>
      </c>
      <c r="C273" s="12"/>
      <c r="D273" s="3" t="s">
        <v>1356</v>
      </c>
      <c r="E273" s="3" t="s">
        <v>1356</v>
      </c>
      <c r="F273" s="3" t="s">
        <v>20</v>
      </c>
      <c r="G273" s="4">
        <v>32927</v>
      </c>
      <c r="H273" s="3" t="s">
        <v>21</v>
      </c>
      <c r="I273" s="3" t="s">
        <v>33</v>
      </c>
      <c r="J273" s="5">
        <v>88916840</v>
      </c>
      <c r="K273" s="3">
        <v>4663000</v>
      </c>
      <c r="L273" s="3" t="s">
        <v>128</v>
      </c>
      <c r="M273" s="3" t="s">
        <v>1357</v>
      </c>
      <c r="N273" s="3">
        <v>590</v>
      </c>
      <c r="O273" s="3" t="s">
        <v>1358</v>
      </c>
      <c r="P273" s="3" t="s">
        <v>1359</v>
      </c>
      <c r="Q273" s="3" t="s">
        <v>204</v>
      </c>
      <c r="R273" s="3" t="s">
        <v>187</v>
      </c>
      <c r="S273" s="3">
        <v>80710570</v>
      </c>
      <c r="T273" s="3">
        <v>4121037665</v>
      </c>
      <c r="U273" s="3" t="s">
        <v>29</v>
      </c>
    </row>
    <row r="274" spans="1:21" ht="13.2" x14ac:dyDescent="0.25">
      <c r="A274" s="14">
        <v>2216876000103</v>
      </c>
      <c r="B274" s="15" t="str">
        <f t="shared" si="4"/>
        <v>02.216.876/0001-03</v>
      </c>
      <c r="C274" s="12" t="str">
        <f>VLOOKUP(B274,[1]Planilha1!$A:$B,2,0)</f>
        <v>Malu Montesino</v>
      </c>
      <c r="D274" s="3" t="s">
        <v>1360</v>
      </c>
      <c r="E274" s="3" t="s">
        <v>1361</v>
      </c>
      <c r="F274" s="3" t="s">
        <v>20</v>
      </c>
      <c r="G274" s="4">
        <v>35712</v>
      </c>
      <c r="H274" s="3" t="s">
        <v>21</v>
      </c>
      <c r="I274" s="3" t="s">
        <v>33</v>
      </c>
      <c r="J274" s="5">
        <v>237791000</v>
      </c>
      <c r="K274" s="3">
        <v>2811900</v>
      </c>
      <c r="L274" s="3" t="s">
        <v>1362</v>
      </c>
      <c r="M274" s="3" t="s">
        <v>1363</v>
      </c>
      <c r="N274" s="3">
        <v>350</v>
      </c>
      <c r="O274" s="3" t="s">
        <v>1364</v>
      </c>
      <c r="P274" s="3" t="s">
        <v>940</v>
      </c>
      <c r="Q274" s="3" t="s">
        <v>617</v>
      </c>
      <c r="R274" s="3" t="s">
        <v>28</v>
      </c>
      <c r="S274" s="3">
        <v>6455020</v>
      </c>
      <c r="T274" s="3">
        <v>1141961955</v>
      </c>
      <c r="U274" s="3" t="s">
        <v>29</v>
      </c>
    </row>
    <row r="275" spans="1:21" ht="13.2" x14ac:dyDescent="0.25">
      <c r="A275" s="14">
        <v>10824074000104</v>
      </c>
      <c r="B275" s="15" t="str">
        <f t="shared" si="4"/>
        <v>10.824.074/0001-04</v>
      </c>
      <c r="C275" s="12" t="str">
        <f>VLOOKUP(B275,[1]Planilha1!$A:$B,2,0)</f>
        <v>Mariane Nascimento</v>
      </c>
      <c r="D275" s="3" t="s">
        <v>1365</v>
      </c>
      <c r="E275" s="3" t="s">
        <v>1366</v>
      </c>
      <c r="F275" s="3" t="s">
        <v>20</v>
      </c>
      <c r="G275" s="4">
        <v>39947</v>
      </c>
      <c r="H275" s="3" t="s">
        <v>21</v>
      </c>
      <c r="I275" s="3" t="s">
        <v>33</v>
      </c>
      <c r="J275" s="5">
        <v>400000</v>
      </c>
      <c r="K275" s="3">
        <v>4773300</v>
      </c>
      <c r="L275" s="3" t="s">
        <v>706</v>
      </c>
      <c r="M275" s="3" t="s">
        <v>1367</v>
      </c>
      <c r="N275" s="3">
        <v>181</v>
      </c>
      <c r="P275" s="3" t="s">
        <v>436</v>
      </c>
      <c r="Q275" s="3" t="s">
        <v>437</v>
      </c>
      <c r="R275" s="3" t="s">
        <v>53</v>
      </c>
      <c r="S275" s="3">
        <v>90240581</v>
      </c>
      <c r="T275" s="3">
        <v>5130199200</v>
      </c>
      <c r="U275" s="3" t="s">
        <v>29</v>
      </c>
    </row>
    <row r="276" spans="1:21" ht="13.2" x14ac:dyDescent="0.25">
      <c r="A276" s="14">
        <v>11282223000105</v>
      </c>
      <c r="B276" s="15" t="str">
        <f t="shared" si="4"/>
        <v>11.282.223/0001-05</v>
      </c>
      <c r="C276" s="12" t="str">
        <f>VLOOKUP(B276,[1]Planilha1!$A:$B,2,0)</f>
        <v>Malu Montesino</v>
      </c>
      <c r="D276" s="3" t="s">
        <v>1368</v>
      </c>
      <c r="E276" s="3" t="s">
        <v>1368</v>
      </c>
      <c r="F276" s="3" t="s">
        <v>20</v>
      </c>
      <c r="G276" s="4">
        <v>40108</v>
      </c>
      <c r="H276" s="3" t="s">
        <v>21</v>
      </c>
      <c r="I276" s="3" t="s">
        <v>33</v>
      </c>
      <c r="J276" s="5">
        <v>17900000</v>
      </c>
      <c r="K276" s="3">
        <v>5620101</v>
      </c>
      <c r="L276" s="3" t="s">
        <v>1369</v>
      </c>
      <c r="M276" s="3" t="s">
        <v>1370</v>
      </c>
      <c r="N276" s="3">
        <v>274</v>
      </c>
      <c r="P276" s="3" t="s">
        <v>70</v>
      </c>
      <c r="Q276" s="3" t="s">
        <v>1371</v>
      </c>
      <c r="R276" s="3" t="s">
        <v>28</v>
      </c>
      <c r="S276" s="3">
        <v>18130070</v>
      </c>
      <c r="T276" s="3">
        <v>1141181818</v>
      </c>
      <c r="U276" s="3" t="s">
        <v>29</v>
      </c>
    </row>
    <row r="277" spans="1:21" ht="13.2" x14ac:dyDescent="0.25">
      <c r="A277" s="14">
        <v>2607956000181</v>
      </c>
      <c r="B277" s="15" t="str">
        <f t="shared" si="4"/>
        <v>02.607.956/0001-81</v>
      </c>
      <c r="C277" s="12"/>
      <c r="D277" s="3" t="s">
        <v>1372</v>
      </c>
      <c r="E277" s="3" t="s">
        <v>1373</v>
      </c>
      <c r="F277" s="3" t="s">
        <v>20</v>
      </c>
      <c r="G277" s="4">
        <v>35972</v>
      </c>
      <c r="H277" s="3" t="s">
        <v>21</v>
      </c>
      <c r="I277" s="3" t="s">
        <v>22</v>
      </c>
      <c r="J277" s="5">
        <v>1000000</v>
      </c>
      <c r="K277" s="3">
        <v>4644301</v>
      </c>
      <c r="L277" s="3" t="s">
        <v>326</v>
      </c>
      <c r="M277" s="3" t="s">
        <v>1374</v>
      </c>
      <c r="N277" s="3">
        <v>1132</v>
      </c>
      <c r="P277" s="3" t="s">
        <v>70</v>
      </c>
      <c r="Q277" s="3" t="s">
        <v>1375</v>
      </c>
      <c r="R277" s="3" t="s">
        <v>187</v>
      </c>
      <c r="S277" s="3">
        <v>85601030</v>
      </c>
      <c r="T277" s="3">
        <v>465235454</v>
      </c>
      <c r="U277" s="3" t="s">
        <v>29</v>
      </c>
    </row>
    <row r="278" spans="1:21" ht="13.2" x14ac:dyDescent="0.25">
      <c r="A278" s="14">
        <v>68599869000138</v>
      </c>
      <c r="B278" s="15" t="str">
        <f t="shared" si="4"/>
        <v>68.599.869/0001-38</v>
      </c>
      <c r="C278" s="12"/>
      <c r="D278" s="3" t="s">
        <v>1376</v>
      </c>
      <c r="E278" s="3" t="s">
        <v>1377</v>
      </c>
      <c r="F278" s="3" t="s">
        <v>45</v>
      </c>
      <c r="G278" s="4">
        <v>33823</v>
      </c>
      <c r="H278" s="3" t="s">
        <v>21</v>
      </c>
      <c r="I278" s="3" t="s">
        <v>47</v>
      </c>
      <c r="J278" s="5">
        <v>350000</v>
      </c>
      <c r="K278" s="3">
        <v>4773300</v>
      </c>
      <c r="L278" s="3" t="s">
        <v>706</v>
      </c>
      <c r="M278" s="3" t="s">
        <v>1378</v>
      </c>
      <c r="N278" s="3">
        <v>702</v>
      </c>
      <c r="O278" s="3" t="s">
        <v>1379</v>
      </c>
      <c r="P278" s="3" t="s">
        <v>1380</v>
      </c>
      <c r="Q278" s="3" t="s">
        <v>253</v>
      </c>
      <c r="R278" s="3" t="s">
        <v>78</v>
      </c>
      <c r="S278" s="3">
        <v>20770002</v>
      </c>
      <c r="T278" s="3">
        <v>2125977315</v>
      </c>
      <c r="U278" s="3" t="s">
        <v>29</v>
      </c>
    </row>
    <row r="279" spans="1:21" ht="13.2" x14ac:dyDescent="0.25">
      <c r="A279" s="14">
        <v>44829653000153</v>
      </c>
      <c r="B279" s="15" t="str">
        <f t="shared" si="4"/>
        <v>44.829.653/0001-53</v>
      </c>
      <c r="C279" s="12" t="str">
        <f>VLOOKUP(B279,[1]Planilha1!$A:$B,2,0)</f>
        <v>Malu Montesino</v>
      </c>
      <c r="D279" s="3" t="s">
        <v>1381</v>
      </c>
      <c r="E279" s="3" t="s">
        <v>1382</v>
      </c>
      <c r="F279" s="3" t="s">
        <v>20</v>
      </c>
      <c r="G279" s="4">
        <v>26933</v>
      </c>
      <c r="H279" s="3" t="s">
        <v>21</v>
      </c>
      <c r="I279" s="3" t="s">
        <v>33</v>
      </c>
      <c r="J279" s="5">
        <v>3960000</v>
      </c>
      <c r="K279" s="3">
        <v>2813500</v>
      </c>
      <c r="L279" s="3" t="s">
        <v>1383</v>
      </c>
      <c r="M279" s="3" t="s">
        <v>1384</v>
      </c>
      <c r="N279" s="3" t="s">
        <v>82</v>
      </c>
      <c r="O279" s="3" t="s">
        <v>1385</v>
      </c>
      <c r="P279" s="3" t="s">
        <v>1386</v>
      </c>
      <c r="Q279" s="3" t="s">
        <v>1177</v>
      </c>
      <c r="R279" s="3" t="s">
        <v>28</v>
      </c>
      <c r="S279" s="3">
        <v>13459505</v>
      </c>
      <c r="T279" s="3">
        <v>1934552533</v>
      </c>
      <c r="U279" s="3" t="s">
        <v>29</v>
      </c>
    </row>
    <row r="280" spans="1:21" ht="13.2" x14ac:dyDescent="0.25">
      <c r="A280" s="14">
        <v>565813000129</v>
      </c>
      <c r="B280" s="15" t="str">
        <f t="shared" si="4"/>
        <v>00.565.813/0001-29</v>
      </c>
      <c r="C280" s="12" t="str">
        <f>VLOOKUP(B280,[1]Planilha1!$A:$B,2,0)</f>
        <v>Malu Montesino</v>
      </c>
      <c r="D280" s="3" t="s">
        <v>1387</v>
      </c>
      <c r="E280" s="3" t="s">
        <v>1388</v>
      </c>
      <c r="F280" s="3" t="s">
        <v>20</v>
      </c>
      <c r="G280" s="4">
        <v>34807</v>
      </c>
      <c r="H280" s="3" t="s">
        <v>21</v>
      </c>
      <c r="I280" s="3" t="s">
        <v>33</v>
      </c>
      <c r="J280" s="5">
        <v>4072100</v>
      </c>
      <c r="K280" s="3">
        <v>4672900</v>
      </c>
      <c r="L280" s="3" t="s">
        <v>1389</v>
      </c>
      <c r="M280" s="3" t="s">
        <v>1390</v>
      </c>
      <c r="N280" s="3">
        <v>375</v>
      </c>
      <c r="P280" s="3" t="s">
        <v>1391</v>
      </c>
      <c r="Q280" s="3" t="s">
        <v>65</v>
      </c>
      <c r="R280" s="3" t="s">
        <v>28</v>
      </c>
      <c r="S280" s="3">
        <v>13069472</v>
      </c>
      <c r="T280" s="3">
        <v>1931164000</v>
      </c>
      <c r="U280" s="3" t="s">
        <v>29</v>
      </c>
    </row>
    <row r="281" spans="1:21" ht="13.2" x14ac:dyDescent="0.25">
      <c r="A281" s="14">
        <v>5059358000103</v>
      </c>
      <c r="B281" s="15" t="str">
        <f t="shared" si="4"/>
        <v>05.059.358/0001-03</v>
      </c>
      <c r="C281" s="12" t="str">
        <f>VLOOKUP(B281,[1]Planilha1!$A:$B,2,0)</f>
        <v>Mariane Nascimento</v>
      </c>
      <c r="D281" s="3" t="s">
        <v>1392</v>
      </c>
      <c r="E281" s="3" t="s">
        <v>1393</v>
      </c>
      <c r="F281" s="3" t="s">
        <v>20</v>
      </c>
      <c r="G281" s="4">
        <v>37382</v>
      </c>
      <c r="H281" s="3" t="s">
        <v>21</v>
      </c>
      <c r="I281" s="3" t="s">
        <v>33</v>
      </c>
      <c r="J281" s="5">
        <v>104807096</v>
      </c>
      <c r="K281" s="3">
        <v>3319800</v>
      </c>
      <c r="L281" s="3" t="s">
        <v>1394</v>
      </c>
      <c r="M281" s="3" t="s">
        <v>1395</v>
      </c>
      <c r="N281" s="3">
        <v>1909</v>
      </c>
      <c r="O281" s="3" t="s">
        <v>1396</v>
      </c>
      <c r="P281" s="3" t="s">
        <v>1397</v>
      </c>
      <c r="Q281" s="3" t="s">
        <v>27</v>
      </c>
      <c r="R281" s="3" t="s">
        <v>28</v>
      </c>
      <c r="S281" s="3">
        <v>4561004</v>
      </c>
      <c r="T281" s="3">
        <v>1127890400</v>
      </c>
      <c r="U281" s="3" t="s">
        <v>29</v>
      </c>
    </row>
    <row r="282" spans="1:21" ht="13.2" x14ac:dyDescent="0.25">
      <c r="A282" s="14">
        <v>39285002000100</v>
      </c>
      <c r="B282" s="15" t="str">
        <f t="shared" si="4"/>
        <v>39.285.002/0001-00</v>
      </c>
      <c r="C282" s="12"/>
      <c r="D282" s="3" t="s">
        <v>1398</v>
      </c>
      <c r="E282" s="3" t="s">
        <v>1398</v>
      </c>
      <c r="F282" s="3" t="s">
        <v>20</v>
      </c>
      <c r="G282" s="4">
        <v>33975</v>
      </c>
      <c r="H282" s="3" t="s">
        <v>21</v>
      </c>
      <c r="I282" s="3" t="s">
        <v>33</v>
      </c>
      <c r="J282" s="5">
        <v>25000000</v>
      </c>
      <c r="K282" s="3">
        <v>1749400</v>
      </c>
      <c r="L282" s="3" t="s">
        <v>1399</v>
      </c>
      <c r="M282" s="3" t="s">
        <v>1400</v>
      </c>
      <c r="N282" s="3">
        <v>208</v>
      </c>
      <c r="P282" s="3" t="s">
        <v>1401</v>
      </c>
      <c r="Q282" s="3" t="s">
        <v>357</v>
      </c>
      <c r="R282" s="3" t="s">
        <v>28</v>
      </c>
      <c r="S282" s="3">
        <v>7220020</v>
      </c>
      <c r="T282" s="3">
        <v>1120855140</v>
      </c>
      <c r="U282" s="3" t="s">
        <v>29</v>
      </c>
    </row>
    <row r="283" spans="1:21" ht="13.2" x14ac:dyDescent="0.25">
      <c r="A283" s="14">
        <v>13578869000160</v>
      </c>
      <c r="B283" s="15" t="str">
        <f t="shared" si="4"/>
        <v>13.578.869/0001-60</v>
      </c>
      <c r="C283" s="12" t="str">
        <f>VLOOKUP(B283,[1]Planilha1!$A:$B,2,0)</f>
        <v>Mariane Nascimento</v>
      </c>
      <c r="D283" s="3" t="s">
        <v>1402</v>
      </c>
      <c r="E283" s="3" t="s">
        <v>1402</v>
      </c>
      <c r="F283" s="3" t="s">
        <v>20</v>
      </c>
      <c r="G283" s="4">
        <v>27094</v>
      </c>
      <c r="H283" s="3" t="s">
        <v>21</v>
      </c>
      <c r="I283" s="3" t="s">
        <v>33</v>
      </c>
      <c r="J283" s="5">
        <v>80000000</v>
      </c>
      <c r="K283" s="3">
        <v>4120400</v>
      </c>
      <c r="L283" s="3" t="s">
        <v>87</v>
      </c>
      <c r="M283" s="3" t="s">
        <v>1403</v>
      </c>
      <c r="N283" s="3">
        <v>3691</v>
      </c>
      <c r="O283" s="3" t="s">
        <v>1404</v>
      </c>
      <c r="P283" s="3" t="s">
        <v>1405</v>
      </c>
      <c r="Q283" s="3" t="s">
        <v>280</v>
      </c>
      <c r="R283" s="3" t="s">
        <v>281</v>
      </c>
      <c r="S283" s="3">
        <v>40290350</v>
      </c>
      <c r="T283" s="3">
        <v>7121098000</v>
      </c>
      <c r="U283" s="3" t="s">
        <v>29</v>
      </c>
    </row>
    <row r="284" spans="1:21" ht="13.2" x14ac:dyDescent="0.25">
      <c r="A284" s="14">
        <v>3496778000121</v>
      </c>
      <c r="B284" s="15" t="str">
        <f t="shared" si="4"/>
        <v>03.496.778/0001-21</v>
      </c>
      <c r="C284" s="12" t="str">
        <f>VLOOKUP(B284,[1]Planilha1!$A:$B,2,0)</f>
        <v>Malu Montesino</v>
      </c>
      <c r="D284" s="3" t="s">
        <v>1406</v>
      </c>
      <c r="E284" s="3" t="s">
        <v>1406</v>
      </c>
      <c r="F284" s="3" t="s">
        <v>20</v>
      </c>
      <c r="G284" s="4">
        <v>36468</v>
      </c>
      <c r="H284" s="3" t="s">
        <v>21</v>
      </c>
      <c r="I284" s="3" t="s">
        <v>33</v>
      </c>
      <c r="J284" s="5">
        <v>70171800</v>
      </c>
      <c r="K284" s="3">
        <v>4642702</v>
      </c>
      <c r="L284" s="3" t="s">
        <v>1139</v>
      </c>
      <c r="M284" s="3" t="s">
        <v>1407</v>
      </c>
      <c r="N284" s="3">
        <v>474</v>
      </c>
      <c r="O284" s="3" t="s">
        <v>1408</v>
      </c>
      <c r="P284" s="3" t="s">
        <v>1409</v>
      </c>
      <c r="Q284" s="3" t="s">
        <v>1410</v>
      </c>
      <c r="R284" s="3" t="s">
        <v>28</v>
      </c>
      <c r="S284" s="3">
        <v>9080300</v>
      </c>
      <c r="T284" s="3">
        <v>1133563100</v>
      </c>
      <c r="U284" s="3" t="s">
        <v>29</v>
      </c>
    </row>
    <row r="285" spans="1:21" ht="13.2" x14ac:dyDescent="0.25">
      <c r="A285" s="14">
        <v>1915523000120</v>
      </c>
      <c r="B285" s="15" t="str">
        <f t="shared" si="4"/>
        <v>01.915.523/0001-20</v>
      </c>
      <c r="C285" s="12"/>
      <c r="D285" s="3" t="s">
        <v>1411</v>
      </c>
      <c r="E285" s="3" t="s">
        <v>1411</v>
      </c>
      <c r="F285" s="3" t="s">
        <v>20</v>
      </c>
      <c r="G285" s="4">
        <v>35545</v>
      </c>
      <c r="H285" s="3" t="s">
        <v>21</v>
      </c>
      <c r="I285" s="3" t="s">
        <v>33</v>
      </c>
      <c r="J285" s="5">
        <v>6000000</v>
      </c>
      <c r="K285" s="3">
        <v>2815102</v>
      </c>
      <c r="L285" s="3" t="s">
        <v>1412</v>
      </c>
      <c r="M285" s="3" t="s">
        <v>1413</v>
      </c>
      <c r="N285" s="3">
        <v>3300</v>
      </c>
      <c r="P285" s="3" t="s">
        <v>416</v>
      </c>
      <c r="Q285" s="3" t="s">
        <v>417</v>
      </c>
      <c r="R285" s="3" t="s">
        <v>53</v>
      </c>
      <c r="S285" s="3">
        <v>95175800</v>
      </c>
      <c r="T285" s="3">
        <v>5432186800</v>
      </c>
      <c r="U285" s="3" t="s">
        <v>29</v>
      </c>
    </row>
    <row r="286" spans="1:21" ht="13.2" x14ac:dyDescent="0.25">
      <c r="A286" s="14">
        <v>19503353000132</v>
      </c>
      <c r="B286" s="15" t="str">
        <f t="shared" si="4"/>
        <v>19.503.353/0001-32</v>
      </c>
      <c r="C286" s="12" t="str">
        <f>VLOOKUP(B286,[1]Planilha1!$A:$B,2,0)</f>
        <v>Malu Montesino</v>
      </c>
      <c r="D286" s="3" t="s">
        <v>1414</v>
      </c>
      <c r="E286" s="3" t="s">
        <v>1415</v>
      </c>
      <c r="F286" s="3" t="s">
        <v>20</v>
      </c>
      <c r="G286" s="4">
        <v>41649</v>
      </c>
      <c r="H286" s="3" t="s">
        <v>21</v>
      </c>
      <c r="I286" s="3" t="s">
        <v>33</v>
      </c>
      <c r="J286" s="5">
        <v>35693504</v>
      </c>
      <c r="K286" s="3">
        <v>2869100</v>
      </c>
      <c r="L286" s="3" t="s">
        <v>1416</v>
      </c>
      <c r="M286" s="3" t="s">
        <v>308</v>
      </c>
      <c r="N286" s="3">
        <v>21476</v>
      </c>
      <c r="O286" s="3" t="s">
        <v>1417</v>
      </c>
      <c r="P286" s="3" t="s">
        <v>1418</v>
      </c>
      <c r="Q286" s="3" t="s">
        <v>27</v>
      </c>
      <c r="R286" s="3" t="s">
        <v>28</v>
      </c>
      <c r="S286" s="3">
        <v>4795000</v>
      </c>
      <c r="T286" s="3">
        <v>1134884600</v>
      </c>
      <c r="U286" s="3" t="s">
        <v>29</v>
      </c>
    </row>
    <row r="287" spans="1:21" ht="13.2" x14ac:dyDescent="0.25">
      <c r="A287" s="14">
        <v>26825573000148</v>
      </c>
      <c r="B287" s="15" t="str">
        <f t="shared" si="4"/>
        <v>26.825.573/0001-48</v>
      </c>
      <c r="C287" s="12"/>
      <c r="D287" s="3" t="s">
        <v>1419</v>
      </c>
      <c r="E287" s="3" t="s">
        <v>1420</v>
      </c>
      <c r="F287" s="3" t="s">
        <v>20</v>
      </c>
      <c r="G287" s="4">
        <v>42744</v>
      </c>
      <c r="H287" s="3" t="s">
        <v>21</v>
      </c>
      <c r="I287" s="3" t="s">
        <v>33</v>
      </c>
      <c r="J287" s="5">
        <v>200000</v>
      </c>
      <c r="K287" s="3">
        <v>6491300</v>
      </c>
      <c r="L287" s="3" t="s">
        <v>1421</v>
      </c>
      <c r="M287" s="3" t="s">
        <v>1422</v>
      </c>
      <c r="N287" s="3">
        <v>12</v>
      </c>
      <c r="O287" s="3" t="s">
        <v>1423</v>
      </c>
      <c r="P287" s="3" t="s">
        <v>817</v>
      </c>
      <c r="Q287" s="3" t="s">
        <v>217</v>
      </c>
      <c r="R287" s="3" t="s">
        <v>28</v>
      </c>
      <c r="S287" s="3">
        <v>9750340</v>
      </c>
      <c r="T287" s="3">
        <v>1141264222</v>
      </c>
      <c r="U287" s="3" t="s">
        <v>29</v>
      </c>
    </row>
    <row r="288" spans="1:21" ht="13.2" x14ac:dyDescent="0.25">
      <c r="A288" s="14">
        <v>5439635000103</v>
      </c>
      <c r="B288" s="15" t="str">
        <f t="shared" si="4"/>
        <v>05.439.635/0001-03</v>
      </c>
      <c r="C288" s="12" t="str">
        <f>VLOOKUP(B288,[1]Planilha1!$A:$B,2,0)</f>
        <v>Mariane Nascimento</v>
      </c>
      <c r="D288" s="3" t="s">
        <v>1424</v>
      </c>
      <c r="E288" s="3" t="s">
        <v>1424</v>
      </c>
      <c r="F288" s="3" t="s">
        <v>20</v>
      </c>
      <c r="G288" s="4">
        <v>37596</v>
      </c>
      <c r="H288" s="3" t="s">
        <v>21</v>
      </c>
      <c r="I288" s="3" t="s">
        <v>33</v>
      </c>
      <c r="J288" s="5">
        <v>90994520</v>
      </c>
      <c r="K288" s="3">
        <v>2110600</v>
      </c>
      <c r="L288" s="3" t="s">
        <v>1425</v>
      </c>
      <c r="M288" s="3" t="s">
        <v>1426</v>
      </c>
      <c r="N288" s="3" t="s">
        <v>1427</v>
      </c>
      <c r="P288" s="3" t="s">
        <v>1428</v>
      </c>
      <c r="Q288" s="3" t="s">
        <v>1429</v>
      </c>
      <c r="R288" s="3" t="s">
        <v>28</v>
      </c>
      <c r="S288" s="3">
        <v>13151350</v>
      </c>
      <c r="T288" s="3">
        <v>1938729302</v>
      </c>
      <c r="U288" s="3" t="s">
        <v>29</v>
      </c>
    </row>
    <row r="289" spans="1:21" ht="13.2" x14ac:dyDescent="0.25">
      <c r="A289" s="14">
        <v>4718687000156</v>
      </c>
      <c r="B289" s="15" t="str">
        <f t="shared" si="4"/>
        <v>04.718.687/0001-56</v>
      </c>
      <c r="C289" s="12"/>
      <c r="D289" s="3" t="s">
        <v>1430</v>
      </c>
      <c r="E289" s="3" t="s">
        <v>1431</v>
      </c>
      <c r="F289" s="3" t="s">
        <v>20</v>
      </c>
      <c r="G289" s="4">
        <v>37172</v>
      </c>
      <c r="H289" s="3" t="s">
        <v>21</v>
      </c>
      <c r="I289" s="3" t="s">
        <v>33</v>
      </c>
      <c r="J289" s="5">
        <v>43000000</v>
      </c>
      <c r="K289" s="3">
        <v>4291000</v>
      </c>
      <c r="L289" s="3" t="s">
        <v>1432</v>
      </c>
      <c r="M289" s="3" t="s">
        <v>1433</v>
      </c>
      <c r="N289" s="3">
        <v>25</v>
      </c>
      <c r="O289" s="3" t="s">
        <v>1434</v>
      </c>
      <c r="P289" s="3" t="s">
        <v>1209</v>
      </c>
      <c r="Q289" s="3" t="s">
        <v>448</v>
      </c>
      <c r="R289" s="3" t="s">
        <v>449</v>
      </c>
      <c r="S289" s="3">
        <v>69054738</v>
      </c>
      <c r="T289" s="3">
        <v>9232363572</v>
      </c>
      <c r="U289" s="3" t="s">
        <v>29</v>
      </c>
    </row>
    <row r="290" spans="1:21" ht="13.2" x14ac:dyDescent="0.25">
      <c r="A290" s="14">
        <v>39023809000255</v>
      </c>
      <c r="B290" s="15" t="str">
        <f t="shared" si="4"/>
        <v>39.023.809/0002-55</v>
      </c>
      <c r="C290" s="12"/>
      <c r="D290" s="3" t="s">
        <v>1435</v>
      </c>
      <c r="E290" s="3" t="s">
        <v>1436</v>
      </c>
      <c r="F290" s="3" t="s">
        <v>20</v>
      </c>
      <c r="G290" s="4">
        <v>39170</v>
      </c>
      <c r="H290" s="3" t="s">
        <v>46</v>
      </c>
      <c r="I290" s="3" t="s">
        <v>47</v>
      </c>
      <c r="J290" s="5">
        <v>0</v>
      </c>
      <c r="K290" s="3">
        <v>1529700</v>
      </c>
      <c r="L290" s="3" t="s">
        <v>1437</v>
      </c>
      <c r="M290" s="3" t="s">
        <v>1438</v>
      </c>
      <c r="N290" s="3">
        <v>105</v>
      </c>
      <c r="P290" s="3" t="s">
        <v>892</v>
      </c>
      <c r="Q290" s="3" t="s">
        <v>893</v>
      </c>
      <c r="R290" s="3" t="s">
        <v>28</v>
      </c>
      <c r="S290" s="3">
        <v>17240000</v>
      </c>
      <c r="T290" s="3">
        <v>1436625775</v>
      </c>
      <c r="U290" s="3" t="s">
        <v>29</v>
      </c>
    </row>
    <row r="291" spans="1:21" ht="13.2" x14ac:dyDescent="0.25">
      <c r="A291" s="14">
        <v>1974675000102</v>
      </c>
      <c r="B291" s="15" t="str">
        <f t="shared" si="4"/>
        <v>01.974.675/0001-02</v>
      </c>
      <c r="C291" s="12"/>
      <c r="D291" s="3" t="s">
        <v>1439</v>
      </c>
      <c r="E291" s="3" t="s">
        <v>1440</v>
      </c>
      <c r="F291" s="3" t="s">
        <v>20</v>
      </c>
      <c r="G291" s="4">
        <v>35628</v>
      </c>
      <c r="H291" s="3" t="s">
        <v>21</v>
      </c>
      <c r="I291" s="3" t="s">
        <v>33</v>
      </c>
      <c r="J291" s="5">
        <v>9000000</v>
      </c>
      <c r="K291" s="3">
        <v>2833000</v>
      </c>
      <c r="L291" s="3" t="s">
        <v>151</v>
      </c>
      <c r="M291" s="3" t="s">
        <v>1441</v>
      </c>
      <c r="N291" s="3">
        <v>200</v>
      </c>
      <c r="P291" s="3" t="s">
        <v>1442</v>
      </c>
      <c r="Q291" s="3" t="s">
        <v>1443</v>
      </c>
      <c r="R291" s="3" t="s">
        <v>28</v>
      </c>
      <c r="S291" s="3">
        <v>15991326</v>
      </c>
      <c r="T291" s="3">
        <v>1633848000</v>
      </c>
      <c r="U291" s="3" t="s">
        <v>29</v>
      </c>
    </row>
    <row r="292" spans="1:21" ht="13.2" x14ac:dyDescent="0.25">
      <c r="A292" s="14">
        <v>42283387000180</v>
      </c>
      <c r="B292" s="15" t="str">
        <f t="shared" si="4"/>
        <v>42.283.387/0001-80</v>
      </c>
      <c r="C292" s="12"/>
      <c r="D292" s="3" t="s">
        <v>1444</v>
      </c>
      <c r="E292" s="8" t="s">
        <v>1445</v>
      </c>
      <c r="F292" s="3" t="s">
        <v>20</v>
      </c>
      <c r="G292" s="4">
        <v>44357</v>
      </c>
      <c r="H292" s="3" t="s">
        <v>94</v>
      </c>
      <c r="I292" s="3" t="s">
        <v>33</v>
      </c>
      <c r="J292" s="5">
        <v>40000</v>
      </c>
      <c r="K292" s="3">
        <v>7020400</v>
      </c>
      <c r="L292" s="3" t="s">
        <v>170</v>
      </c>
      <c r="M292" s="3" t="s">
        <v>304</v>
      </c>
      <c r="N292" s="3">
        <v>515</v>
      </c>
      <c r="P292" s="3" t="s">
        <v>306</v>
      </c>
      <c r="Q292" s="3" t="s">
        <v>27</v>
      </c>
      <c r="R292" s="3" t="s">
        <v>28</v>
      </c>
      <c r="S292" s="3">
        <v>4717000</v>
      </c>
      <c r="T292" s="3">
        <v>1184438329</v>
      </c>
      <c r="U292" s="3" t="s">
        <v>29</v>
      </c>
    </row>
    <row r="293" spans="1:21" ht="13.2" x14ac:dyDescent="0.25">
      <c r="A293" s="14">
        <v>52999341000116</v>
      </c>
      <c r="B293" s="15" t="str">
        <f t="shared" si="4"/>
        <v>52.999.341/0001-16</v>
      </c>
      <c r="C293" s="12"/>
      <c r="D293" s="3" t="s">
        <v>1446</v>
      </c>
      <c r="E293" s="3" t="s">
        <v>1447</v>
      </c>
      <c r="F293" s="3" t="s">
        <v>20</v>
      </c>
      <c r="G293" s="4">
        <v>45254</v>
      </c>
      <c r="H293" s="3" t="s">
        <v>21</v>
      </c>
      <c r="I293" s="3" t="s">
        <v>33</v>
      </c>
      <c r="J293" s="5">
        <v>500000</v>
      </c>
      <c r="K293" s="3">
        <v>8630503</v>
      </c>
      <c r="L293" s="3" t="s">
        <v>1292</v>
      </c>
      <c r="M293" s="3" t="s">
        <v>1448</v>
      </c>
      <c r="N293" s="3">
        <v>691</v>
      </c>
      <c r="O293" s="3" t="s">
        <v>1449</v>
      </c>
      <c r="P293" s="3" t="s">
        <v>1450</v>
      </c>
      <c r="Q293" s="3" t="s">
        <v>27</v>
      </c>
      <c r="R293" s="3" t="s">
        <v>28</v>
      </c>
      <c r="S293" s="3">
        <v>4730903</v>
      </c>
      <c r="T293" s="3">
        <v>1147004700</v>
      </c>
      <c r="U293" s="3" t="s">
        <v>29</v>
      </c>
    </row>
    <row r="294" spans="1:21" ht="13.2" x14ac:dyDescent="0.25">
      <c r="A294" s="14">
        <v>44390474000162</v>
      </c>
      <c r="B294" s="15" t="str">
        <f t="shared" si="4"/>
        <v>44.390.474/0001-62</v>
      </c>
      <c r="C294" s="12"/>
      <c r="D294" s="3" t="s">
        <v>1451</v>
      </c>
      <c r="E294" s="3" t="s">
        <v>1451</v>
      </c>
      <c r="F294" s="3" t="s">
        <v>20</v>
      </c>
      <c r="G294" s="4">
        <v>26548</v>
      </c>
      <c r="H294" s="3" t="s">
        <v>244</v>
      </c>
      <c r="I294" s="3" t="s">
        <v>33</v>
      </c>
      <c r="J294" s="5">
        <v>0</v>
      </c>
      <c r="K294" s="3">
        <v>9430800</v>
      </c>
      <c r="L294" s="3" t="s">
        <v>626</v>
      </c>
      <c r="M294" s="3" t="s">
        <v>938</v>
      </c>
      <c r="N294" s="3">
        <v>175</v>
      </c>
      <c r="P294" s="3" t="s">
        <v>748</v>
      </c>
      <c r="Q294" s="3" t="s">
        <v>471</v>
      </c>
      <c r="R294" s="3" t="s">
        <v>28</v>
      </c>
      <c r="S294" s="3">
        <v>9560550</v>
      </c>
      <c r="U294" s="3" t="s">
        <v>29</v>
      </c>
    </row>
    <row r="295" spans="1:21" ht="13.2" x14ac:dyDescent="0.25">
      <c r="A295" s="14">
        <v>87163000153</v>
      </c>
      <c r="B295" s="15" t="str">
        <f t="shared" si="4"/>
        <v>00.087.163/0001-53</v>
      </c>
      <c r="C295" s="12"/>
      <c r="D295" s="3" t="s">
        <v>1452</v>
      </c>
      <c r="E295" s="3" t="s">
        <v>1453</v>
      </c>
      <c r="F295" s="3" t="s">
        <v>20</v>
      </c>
      <c r="G295" s="4">
        <v>25519</v>
      </c>
      <c r="H295" s="3" t="s">
        <v>21</v>
      </c>
      <c r="I295" s="3" t="s">
        <v>33</v>
      </c>
      <c r="J295" s="5">
        <v>15200000</v>
      </c>
      <c r="K295" s="3">
        <v>7830200</v>
      </c>
      <c r="L295" s="3" t="s">
        <v>473</v>
      </c>
      <c r="M295" s="3" t="s">
        <v>1454</v>
      </c>
      <c r="N295" s="3" t="s">
        <v>82</v>
      </c>
      <c r="O295" s="3" t="s">
        <v>1455</v>
      </c>
      <c r="P295" s="3" t="s">
        <v>1456</v>
      </c>
      <c r="Q295" s="3" t="s">
        <v>631</v>
      </c>
      <c r="R295" s="3" t="s">
        <v>632</v>
      </c>
      <c r="S295" s="3">
        <v>71250200</v>
      </c>
      <c r="T295" s="3">
        <v>6133638717</v>
      </c>
      <c r="U295" s="3" t="s">
        <v>29</v>
      </c>
    </row>
    <row r="296" spans="1:21" ht="13.2" x14ac:dyDescent="0.25">
      <c r="A296" s="14">
        <v>33390170000189</v>
      </c>
      <c r="B296" s="15" t="str">
        <f t="shared" si="4"/>
        <v>33.390.170/0001-89</v>
      </c>
      <c r="C296" s="12"/>
      <c r="D296" s="3" t="s">
        <v>1457</v>
      </c>
      <c r="E296" s="3" t="s">
        <v>1458</v>
      </c>
      <c r="F296" s="3" t="s">
        <v>20</v>
      </c>
      <c r="G296" s="4">
        <v>26220</v>
      </c>
      <c r="H296" s="3" t="s">
        <v>94</v>
      </c>
      <c r="I296" s="3" t="s">
        <v>33</v>
      </c>
      <c r="J296" s="5">
        <v>1961584900</v>
      </c>
      <c r="K296" s="3">
        <v>2422902</v>
      </c>
      <c r="L296" s="3" t="s">
        <v>1459</v>
      </c>
      <c r="M296" s="3" t="s">
        <v>1460</v>
      </c>
      <c r="N296" s="3">
        <v>1115</v>
      </c>
      <c r="O296" s="3" t="s">
        <v>1461</v>
      </c>
      <c r="P296" s="3" t="s">
        <v>1462</v>
      </c>
      <c r="Q296" s="3" t="s">
        <v>476</v>
      </c>
      <c r="R296" s="3" t="s">
        <v>100</v>
      </c>
      <c r="S296" s="3">
        <v>30130915</v>
      </c>
      <c r="T296" s="3">
        <v>3138497000</v>
      </c>
      <c r="U296" s="3" t="s">
        <v>29</v>
      </c>
    </row>
    <row r="297" spans="1:21" ht="13.2" x14ac:dyDescent="0.25">
      <c r="A297" s="14">
        <v>9167445000135</v>
      </c>
      <c r="B297" s="15" t="str">
        <f t="shared" si="4"/>
        <v>09.167.445/0001-35</v>
      </c>
      <c r="C297" s="12"/>
      <c r="D297" s="3" t="s">
        <v>1463</v>
      </c>
      <c r="E297" s="3" t="s">
        <v>1463</v>
      </c>
      <c r="F297" s="3" t="s">
        <v>20</v>
      </c>
      <c r="G297" s="4">
        <v>39370</v>
      </c>
      <c r="H297" s="3" t="s">
        <v>21</v>
      </c>
      <c r="I297" s="3" t="s">
        <v>33</v>
      </c>
      <c r="J297" s="5">
        <v>776000</v>
      </c>
      <c r="K297" s="3">
        <v>8011101</v>
      </c>
      <c r="L297" s="3" t="s">
        <v>943</v>
      </c>
      <c r="M297" s="3" t="s">
        <v>1464</v>
      </c>
      <c r="N297" s="3">
        <v>616</v>
      </c>
      <c r="P297" s="3" t="s">
        <v>1465</v>
      </c>
      <c r="Q297" s="3" t="s">
        <v>476</v>
      </c>
      <c r="R297" s="3" t="s">
        <v>100</v>
      </c>
      <c r="S297" s="3">
        <v>31720100</v>
      </c>
      <c r="T297" s="3">
        <v>3136468848</v>
      </c>
      <c r="U297" s="3" t="s">
        <v>29</v>
      </c>
    </row>
    <row r="298" spans="1:21" ht="13.2" x14ac:dyDescent="0.25">
      <c r="A298" s="14">
        <v>60166832000104</v>
      </c>
      <c r="B298" s="15" t="str">
        <f t="shared" si="4"/>
        <v>60.166.832/0001-04</v>
      </c>
      <c r="C298" s="12" t="str">
        <f>VLOOKUP(B298,[1]Planilha1!$A:$B,2,0)</f>
        <v>Malu Montesino</v>
      </c>
      <c r="D298" s="3" t="s">
        <v>1466</v>
      </c>
      <c r="E298" s="3" t="s">
        <v>1466</v>
      </c>
      <c r="F298" s="3" t="s">
        <v>20</v>
      </c>
      <c r="G298" s="4">
        <v>32563</v>
      </c>
      <c r="H298" s="3" t="s">
        <v>94</v>
      </c>
      <c r="I298" s="3" t="s">
        <v>33</v>
      </c>
      <c r="J298" s="5">
        <v>51389000</v>
      </c>
      <c r="K298" s="3">
        <v>5620101</v>
      </c>
      <c r="L298" s="3" t="s">
        <v>1369</v>
      </c>
      <c r="M298" s="3" t="s">
        <v>1467</v>
      </c>
      <c r="N298" s="3">
        <v>4297</v>
      </c>
      <c r="O298" s="3" t="s">
        <v>496</v>
      </c>
      <c r="P298" s="3" t="s">
        <v>881</v>
      </c>
      <c r="Q298" s="3" t="s">
        <v>471</v>
      </c>
      <c r="R298" s="3" t="s">
        <v>28</v>
      </c>
      <c r="S298" s="3">
        <v>9580400</v>
      </c>
      <c r="T298" s="3">
        <v>1142339300</v>
      </c>
      <c r="U298" s="3" t="s">
        <v>29</v>
      </c>
    </row>
    <row r="299" spans="1:21" ht="13.2" x14ac:dyDescent="0.25">
      <c r="A299" s="14">
        <v>43408590000107</v>
      </c>
      <c r="B299" s="15" t="str">
        <f t="shared" si="4"/>
        <v>43.408.590/0001-07</v>
      </c>
      <c r="C299" s="12"/>
      <c r="D299" s="3" t="s">
        <v>1468</v>
      </c>
      <c r="E299" s="3" t="s">
        <v>1468</v>
      </c>
      <c r="F299" s="3" t="s">
        <v>20</v>
      </c>
      <c r="G299" s="4">
        <v>26494</v>
      </c>
      <c r="H299" s="3" t="s">
        <v>21</v>
      </c>
      <c r="I299" s="3" t="s">
        <v>33</v>
      </c>
      <c r="J299" s="5">
        <v>34645190</v>
      </c>
      <c r="K299" s="3">
        <v>2543800</v>
      </c>
      <c r="L299" s="3" t="s">
        <v>1469</v>
      </c>
      <c r="M299" s="3" t="s">
        <v>1470</v>
      </c>
      <c r="N299" s="3">
        <v>4055</v>
      </c>
      <c r="P299" s="3" t="s">
        <v>230</v>
      </c>
      <c r="Q299" s="3" t="s">
        <v>231</v>
      </c>
      <c r="R299" s="3" t="s">
        <v>28</v>
      </c>
      <c r="S299" s="3">
        <v>18087170</v>
      </c>
      <c r="U299" s="3" t="s">
        <v>29</v>
      </c>
    </row>
    <row r="300" spans="1:21" ht="13.2" x14ac:dyDescent="0.25">
      <c r="A300" s="14">
        <v>30794410000112</v>
      </c>
      <c r="B300" s="15" t="str">
        <f t="shared" si="4"/>
        <v>30.794.410/0001-12</v>
      </c>
      <c r="C300" s="12"/>
      <c r="D300" s="3" t="s">
        <v>1471</v>
      </c>
      <c r="E300" s="3" t="s">
        <v>1472</v>
      </c>
      <c r="F300" s="3" t="s">
        <v>20</v>
      </c>
      <c r="G300" s="4">
        <v>43277</v>
      </c>
      <c r="H300" s="3" t="s">
        <v>21</v>
      </c>
      <c r="I300" s="3" t="s">
        <v>47</v>
      </c>
      <c r="J300" s="5">
        <v>99000</v>
      </c>
      <c r="K300" s="3">
        <v>4774100</v>
      </c>
      <c r="L300" s="3" t="s">
        <v>1473</v>
      </c>
      <c r="M300" s="3" t="s">
        <v>1474</v>
      </c>
      <c r="N300" s="3">
        <v>1588</v>
      </c>
      <c r="P300" s="3" t="s">
        <v>1475</v>
      </c>
      <c r="Q300" s="3" t="s">
        <v>1476</v>
      </c>
      <c r="R300" s="3" t="s">
        <v>187</v>
      </c>
      <c r="S300" s="3">
        <v>85853010</v>
      </c>
      <c r="T300" s="3">
        <v>4584154294</v>
      </c>
      <c r="U300" s="3" t="s">
        <v>29</v>
      </c>
    </row>
    <row r="301" spans="1:21" ht="13.2" x14ac:dyDescent="0.25">
      <c r="A301" s="14">
        <v>90251042000198</v>
      </c>
      <c r="B301" s="15" t="str">
        <f t="shared" si="4"/>
        <v>90.251.042/0001-98</v>
      </c>
      <c r="C301" s="12"/>
      <c r="D301" s="3" t="s">
        <v>1477</v>
      </c>
      <c r="E301" s="3" t="s">
        <v>1477</v>
      </c>
      <c r="F301" s="3" t="s">
        <v>20</v>
      </c>
      <c r="G301" s="4">
        <v>31188</v>
      </c>
      <c r="H301" s="3" t="s">
        <v>21</v>
      </c>
      <c r="I301" s="3" t="s">
        <v>33</v>
      </c>
      <c r="J301" s="5">
        <v>4357000</v>
      </c>
      <c r="K301" s="3">
        <v>6622300</v>
      </c>
      <c r="L301" s="3" t="s">
        <v>1324</v>
      </c>
      <c r="M301" s="3" t="s">
        <v>1478</v>
      </c>
      <c r="N301" s="3">
        <v>347</v>
      </c>
      <c r="O301" s="3" t="s">
        <v>1479</v>
      </c>
      <c r="P301" s="3" t="s">
        <v>1480</v>
      </c>
      <c r="Q301" s="3" t="s">
        <v>437</v>
      </c>
      <c r="R301" s="3" t="s">
        <v>53</v>
      </c>
      <c r="S301" s="3">
        <v>90240520</v>
      </c>
      <c r="T301" s="3">
        <v>5121219000</v>
      </c>
      <c r="U301" s="3" t="s">
        <v>29</v>
      </c>
    </row>
    <row r="302" spans="1:21" ht="13.2" x14ac:dyDescent="0.25">
      <c r="A302" s="14">
        <v>80734288000167</v>
      </c>
      <c r="B302" s="15" t="str">
        <f t="shared" si="4"/>
        <v>80.734.288/0001-67</v>
      </c>
      <c r="C302" s="12"/>
      <c r="D302" s="3" t="s">
        <v>1481</v>
      </c>
      <c r="E302" s="3" t="s">
        <v>1482</v>
      </c>
      <c r="F302" s="3" t="s">
        <v>20</v>
      </c>
      <c r="G302" s="4">
        <v>32350</v>
      </c>
      <c r="H302" s="3" t="s">
        <v>21</v>
      </c>
      <c r="I302" s="3" t="s">
        <v>22</v>
      </c>
      <c r="J302" s="5">
        <v>300000</v>
      </c>
      <c r="K302" s="3">
        <v>4744005</v>
      </c>
      <c r="L302" s="3" t="s">
        <v>1483</v>
      </c>
      <c r="M302" s="3" t="s">
        <v>1484</v>
      </c>
      <c r="N302" s="3">
        <v>3243</v>
      </c>
      <c r="P302" s="3" t="s">
        <v>1485</v>
      </c>
      <c r="Q302" s="3" t="s">
        <v>423</v>
      </c>
      <c r="R302" s="3" t="s">
        <v>91</v>
      </c>
      <c r="S302" s="3">
        <v>89210505</v>
      </c>
      <c r="T302" s="3">
        <v>4734660304</v>
      </c>
      <c r="U302" s="3" t="s">
        <v>29</v>
      </c>
    </row>
    <row r="303" spans="1:21" ht="13.2" x14ac:dyDescent="0.25">
      <c r="A303" s="14">
        <v>14717231000125</v>
      </c>
      <c r="B303" s="15" t="str">
        <f t="shared" si="4"/>
        <v>14.717.231/0001-25</v>
      </c>
      <c r="C303" s="12"/>
      <c r="D303" s="3" t="s">
        <v>1486</v>
      </c>
      <c r="E303" s="3" t="s">
        <v>1487</v>
      </c>
      <c r="F303" s="3" t="s">
        <v>20</v>
      </c>
      <c r="G303" s="4">
        <v>40814</v>
      </c>
      <c r="H303" s="3" t="s">
        <v>21</v>
      </c>
      <c r="I303" s="3" t="s">
        <v>33</v>
      </c>
      <c r="J303" s="5">
        <v>789800</v>
      </c>
      <c r="K303" s="3">
        <v>4530705</v>
      </c>
      <c r="L303" s="3" t="s">
        <v>1488</v>
      </c>
      <c r="M303" s="3" t="s">
        <v>294</v>
      </c>
      <c r="N303" s="3">
        <v>211</v>
      </c>
      <c r="O303" s="3" t="s">
        <v>1489</v>
      </c>
      <c r="P303" s="3" t="s">
        <v>296</v>
      </c>
      <c r="Q303" s="3" t="s">
        <v>27</v>
      </c>
      <c r="R303" s="3" t="s">
        <v>28</v>
      </c>
      <c r="S303" s="3">
        <v>1419000</v>
      </c>
      <c r="T303" s="3">
        <v>1132849898</v>
      </c>
      <c r="U303" s="3" t="s">
        <v>29</v>
      </c>
    </row>
    <row r="304" spans="1:21" ht="13.2" x14ac:dyDescent="0.25">
      <c r="A304" s="14">
        <v>14483111000100</v>
      </c>
      <c r="B304" s="15" t="str">
        <f t="shared" si="4"/>
        <v>14.483.111/0001-00</v>
      </c>
      <c r="C304" s="12"/>
      <c r="D304" s="3" t="s">
        <v>1490</v>
      </c>
      <c r="E304" s="3" t="s">
        <v>1490</v>
      </c>
      <c r="F304" s="3" t="s">
        <v>31</v>
      </c>
      <c r="G304" s="4">
        <v>40784</v>
      </c>
      <c r="H304" s="3" t="s">
        <v>21</v>
      </c>
      <c r="I304" s="3" t="s">
        <v>22</v>
      </c>
      <c r="J304" s="5">
        <v>4000000</v>
      </c>
      <c r="K304" s="3">
        <v>8011101</v>
      </c>
      <c r="L304" s="3" t="s">
        <v>943</v>
      </c>
      <c r="M304" s="3" t="s">
        <v>1491</v>
      </c>
      <c r="N304" s="3">
        <v>54</v>
      </c>
      <c r="P304" s="3" t="s">
        <v>1492</v>
      </c>
      <c r="Q304" s="3" t="s">
        <v>27</v>
      </c>
      <c r="R304" s="3" t="s">
        <v>28</v>
      </c>
      <c r="S304" s="3">
        <v>5068030</v>
      </c>
      <c r="T304" s="3">
        <v>1136653300</v>
      </c>
      <c r="U304" s="3" t="s">
        <v>29</v>
      </c>
    </row>
    <row r="305" spans="1:21" ht="13.2" x14ac:dyDescent="0.25">
      <c r="A305" s="14">
        <v>5969071000110</v>
      </c>
      <c r="B305" s="15" t="str">
        <f t="shared" si="4"/>
        <v>05.969.071/0001-10</v>
      </c>
      <c r="C305" s="12"/>
      <c r="D305" s="3" t="s">
        <v>1493</v>
      </c>
      <c r="E305" s="3" t="s">
        <v>1494</v>
      </c>
      <c r="F305" s="3" t="s">
        <v>20</v>
      </c>
      <c r="G305" s="4">
        <v>37923</v>
      </c>
      <c r="H305" s="3" t="s">
        <v>21</v>
      </c>
      <c r="I305" s="3" t="s">
        <v>33</v>
      </c>
      <c r="J305" s="5">
        <v>3500000</v>
      </c>
      <c r="K305" s="3">
        <v>7830200</v>
      </c>
      <c r="L305" s="3" t="s">
        <v>473</v>
      </c>
      <c r="M305" s="3" t="s">
        <v>1495</v>
      </c>
      <c r="N305" s="3">
        <v>227</v>
      </c>
      <c r="O305" s="3" t="s">
        <v>1496</v>
      </c>
      <c r="P305" s="3" t="s">
        <v>352</v>
      </c>
      <c r="Q305" s="3" t="s">
        <v>27</v>
      </c>
      <c r="R305" s="3" t="s">
        <v>28</v>
      </c>
      <c r="S305" s="3">
        <v>3310010</v>
      </c>
      <c r="T305" s="3">
        <v>1147593220</v>
      </c>
      <c r="U305" s="3" t="s">
        <v>29</v>
      </c>
    </row>
    <row r="306" spans="1:21" ht="13.2" x14ac:dyDescent="0.25">
      <c r="A306" s="14">
        <v>16599987000142</v>
      </c>
      <c r="B306" s="15" t="str">
        <f t="shared" si="4"/>
        <v>16.599.987/0001-42</v>
      </c>
      <c r="C306" s="12" t="str">
        <f>VLOOKUP(B306,[1]Planilha1!$A:$B,2,0)</f>
        <v>Mariane Nascimento</v>
      </c>
      <c r="D306" s="3" t="s">
        <v>1497</v>
      </c>
      <c r="E306" s="3" t="s">
        <v>1498</v>
      </c>
      <c r="F306" s="3" t="s">
        <v>20</v>
      </c>
      <c r="G306" s="4">
        <v>26616</v>
      </c>
      <c r="H306" s="3" t="s">
        <v>21</v>
      </c>
      <c r="I306" s="3" t="s">
        <v>33</v>
      </c>
      <c r="J306" s="5">
        <v>71375340</v>
      </c>
      <c r="K306" s="3">
        <v>7112000</v>
      </c>
      <c r="L306" s="3" t="s">
        <v>276</v>
      </c>
      <c r="M306" s="3" t="s">
        <v>27</v>
      </c>
      <c r="N306" s="3">
        <v>81</v>
      </c>
      <c r="O306" s="3" t="s">
        <v>1499</v>
      </c>
      <c r="P306" s="3" t="s">
        <v>1500</v>
      </c>
      <c r="Q306" s="3" t="s">
        <v>433</v>
      </c>
      <c r="R306" s="3" t="s">
        <v>100</v>
      </c>
      <c r="S306" s="3">
        <v>32400318</v>
      </c>
      <c r="T306" s="3">
        <v>3132881000</v>
      </c>
      <c r="U306" s="3" t="s">
        <v>29</v>
      </c>
    </row>
    <row r="307" spans="1:21" ht="13.2" x14ac:dyDescent="0.25">
      <c r="A307" s="14">
        <v>38229195000119</v>
      </c>
      <c r="B307" s="15" t="str">
        <f t="shared" si="4"/>
        <v>38.229.195/0001-19</v>
      </c>
      <c r="C307" s="12" t="str">
        <f>VLOOKUP(B307,[1]Planilha1!$A:$B,2,0)</f>
        <v>Malu Montesino</v>
      </c>
      <c r="D307" s="3" t="s">
        <v>1501</v>
      </c>
      <c r="E307" s="3" t="s">
        <v>1501</v>
      </c>
      <c r="F307" s="3" t="s">
        <v>20</v>
      </c>
      <c r="G307" s="4">
        <v>44069</v>
      </c>
      <c r="H307" s="3" t="s">
        <v>21</v>
      </c>
      <c r="I307" s="3" t="s">
        <v>47</v>
      </c>
      <c r="J307" s="5">
        <v>20000</v>
      </c>
      <c r="K307" s="3">
        <v>8291100</v>
      </c>
      <c r="L307" s="3" t="s">
        <v>1502</v>
      </c>
      <c r="M307" s="3" t="s">
        <v>1407</v>
      </c>
      <c r="N307" s="3">
        <v>133</v>
      </c>
      <c r="P307" s="3" t="s">
        <v>1503</v>
      </c>
      <c r="Q307" s="3" t="s">
        <v>1410</v>
      </c>
      <c r="R307" s="3" t="s">
        <v>28</v>
      </c>
      <c r="S307" s="3">
        <v>9080370</v>
      </c>
      <c r="T307" s="3">
        <v>1128662442</v>
      </c>
      <c r="U307" s="3" t="s">
        <v>29</v>
      </c>
    </row>
    <row r="308" spans="1:21" ht="13.2" x14ac:dyDescent="0.25">
      <c r="A308" s="14">
        <v>62462015000129</v>
      </c>
      <c r="B308" s="15" t="str">
        <f t="shared" si="4"/>
        <v>62.462.015/0001-29</v>
      </c>
      <c r="C308" s="12"/>
      <c r="D308" s="3" t="s">
        <v>1504</v>
      </c>
      <c r="E308" s="3" t="s">
        <v>1504</v>
      </c>
      <c r="F308" s="3" t="s">
        <v>20</v>
      </c>
      <c r="G308" s="4">
        <v>25365</v>
      </c>
      <c r="H308" s="3" t="s">
        <v>94</v>
      </c>
      <c r="I308" s="3" t="s">
        <v>33</v>
      </c>
      <c r="J308" s="5">
        <v>646690940</v>
      </c>
      <c r="K308" s="3">
        <v>2121101</v>
      </c>
      <c r="L308" s="3" t="s">
        <v>233</v>
      </c>
      <c r="M308" s="3" t="s">
        <v>1505</v>
      </c>
      <c r="N308" s="3">
        <v>37</v>
      </c>
      <c r="O308" s="3">
        <v>67</v>
      </c>
      <c r="P308" s="3" t="s">
        <v>241</v>
      </c>
      <c r="Q308" s="3" t="s">
        <v>27</v>
      </c>
      <c r="R308" s="3" t="s">
        <v>28</v>
      </c>
      <c r="S308" s="3">
        <v>4755020</v>
      </c>
      <c r="T308" s="3">
        <v>1156455011</v>
      </c>
      <c r="U308" s="3" t="s">
        <v>29</v>
      </c>
    </row>
    <row r="309" spans="1:21" ht="13.2" x14ac:dyDescent="0.25">
      <c r="A309" s="14">
        <v>26690262000119</v>
      </c>
      <c r="B309" s="15" t="str">
        <f t="shared" si="4"/>
        <v>26.690.262/0001-19</v>
      </c>
      <c r="C309" s="12"/>
      <c r="D309" s="3" t="s">
        <v>1506</v>
      </c>
      <c r="E309" s="3" t="s">
        <v>1506</v>
      </c>
      <c r="F309" s="3" t="s">
        <v>20</v>
      </c>
      <c r="G309" s="4">
        <v>42713</v>
      </c>
      <c r="H309" s="3" t="s">
        <v>21</v>
      </c>
      <c r="I309" s="3" t="s">
        <v>47</v>
      </c>
      <c r="J309" s="5">
        <v>100000</v>
      </c>
      <c r="K309" s="3">
        <v>6920601</v>
      </c>
      <c r="L309" s="3" t="s">
        <v>1507</v>
      </c>
      <c r="M309" s="3" t="s">
        <v>1508</v>
      </c>
      <c r="N309" s="3">
        <v>1850</v>
      </c>
      <c r="O309" s="3" t="s">
        <v>1509</v>
      </c>
      <c r="P309" s="3" t="s">
        <v>1510</v>
      </c>
      <c r="Q309" s="3" t="s">
        <v>1511</v>
      </c>
      <c r="R309" s="3" t="s">
        <v>28</v>
      </c>
      <c r="S309" s="3">
        <v>18110650</v>
      </c>
      <c r="T309" s="3">
        <v>1530198050</v>
      </c>
      <c r="U309" s="3" t="s">
        <v>29</v>
      </c>
    </row>
    <row r="310" spans="1:21" ht="13.2" x14ac:dyDescent="0.25">
      <c r="A310" s="14">
        <v>7573497000186</v>
      </c>
      <c r="B310" s="15" t="str">
        <f t="shared" si="4"/>
        <v>07.573.497/0001-86</v>
      </c>
      <c r="C310" s="12" t="str">
        <f>VLOOKUP(B310,[1]Planilha1!$A:$B,2,0)</f>
        <v>Malu Montesino</v>
      </c>
      <c r="D310" s="3" t="s">
        <v>1512</v>
      </c>
      <c r="E310" s="3" t="s">
        <v>1513</v>
      </c>
      <c r="F310" s="3" t="s">
        <v>20</v>
      </c>
      <c r="G310" s="4">
        <v>38526</v>
      </c>
      <c r="H310" s="3" t="s">
        <v>21</v>
      </c>
      <c r="I310" s="3" t="s">
        <v>33</v>
      </c>
      <c r="J310" s="5">
        <v>7633161</v>
      </c>
      <c r="K310" s="3">
        <v>2829199</v>
      </c>
      <c r="L310" s="3" t="s">
        <v>1514</v>
      </c>
      <c r="M310" s="3" t="s">
        <v>1515</v>
      </c>
      <c r="N310" s="3">
        <v>1195</v>
      </c>
      <c r="O310" s="3" t="s">
        <v>1516</v>
      </c>
      <c r="P310" s="3" t="s">
        <v>1517</v>
      </c>
      <c r="Q310" s="3" t="s">
        <v>217</v>
      </c>
      <c r="R310" s="3" t="s">
        <v>28</v>
      </c>
      <c r="S310" s="3">
        <v>9655000</v>
      </c>
      <c r="T310" s="3">
        <v>1143415777</v>
      </c>
      <c r="U310" s="3" t="s">
        <v>29</v>
      </c>
    </row>
    <row r="311" spans="1:21" ht="13.2" x14ac:dyDescent="0.25">
      <c r="A311" s="14">
        <v>33044909000109</v>
      </c>
      <c r="B311" s="15" t="str">
        <f t="shared" si="4"/>
        <v>33.044.909/0001-09</v>
      </c>
      <c r="C311" s="12" t="str">
        <f>VLOOKUP(B311,[1]Planilha1!$A:$B,2,0)</f>
        <v>Malu Montesino</v>
      </c>
      <c r="D311" s="3" t="s">
        <v>1518</v>
      </c>
      <c r="E311" s="3" t="s">
        <v>1519</v>
      </c>
      <c r="F311" s="3" t="s">
        <v>20</v>
      </c>
      <c r="G311" s="4">
        <v>43539</v>
      </c>
      <c r="H311" s="3" t="s">
        <v>21</v>
      </c>
      <c r="I311" s="3" t="s">
        <v>33</v>
      </c>
      <c r="J311" s="5">
        <v>6500000</v>
      </c>
      <c r="K311" s="3">
        <v>4661300</v>
      </c>
      <c r="L311" s="3" t="s">
        <v>595</v>
      </c>
      <c r="M311" s="3" t="s">
        <v>1520</v>
      </c>
      <c r="N311" s="3">
        <v>400</v>
      </c>
      <c r="O311" s="3" t="s">
        <v>1521</v>
      </c>
      <c r="P311" s="3" t="s">
        <v>1522</v>
      </c>
      <c r="Q311" s="3" t="s">
        <v>27</v>
      </c>
      <c r="R311" s="3" t="s">
        <v>28</v>
      </c>
      <c r="S311" s="3">
        <v>8295015</v>
      </c>
      <c r="T311" s="3">
        <v>1131330051</v>
      </c>
      <c r="U311" s="3" t="s">
        <v>29</v>
      </c>
    </row>
    <row r="312" spans="1:21" ht="13.2" x14ac:dyDescent="0.25">
      <c r="A312" s="14">
        <v>5654916000189</v>
      </c>
      <c r="B312" s="15" t="str">
        <f t="shared" si="4"/>
        <v>05.654.916/0001-89</v>
      </c>
      <c r="C312" s="12"/>
      <c r="D312" s="3" t="s">
        <v>1523</v>
      </c>
      <c r="E312" s="3" t="s">
        <v>1523</v>
      </c>
      <c r="F312" s="3" t="s">
        <v>20</v>
      </c>
      <c r="G312" s="4">
        <v>37741</v>
      </c>
      <c r="H312" s="3" t="s">
        <v>21</v>
      </c>
      <c r="I312" s="3" t="s">
        <v>33</v>
      </c>
      <c r="J312" s="5">
        <v>51400000</v>
      </c>
      <c r="K312" s="3">
        <v>9601701</v>
      </c>
      <c r="L312" s="3" t="s">
        <v>1524</v>
      </c>
      <c r="M312" s="3" t="s">
        <v>1525</v>
      </c>
      <c r="N312" s="3">
        <v>200</v>
      </c>
      <c r="P312" s="3" t="s">
        <v>1526</v>
      </c>
      <c r="Q312" s="3" t="s">
        <v>1527</v>
      </c>
      <c r="R312" s="3" t="s">
        <v>28</v>
      </c>
      <c r="S312" s="3">
        <v>8560590</v>
      </c>
      <c r="T312" s="3">
        <v>1144281490</v>
      </c>
      <c r="U312" s="3" t="s">
        <v>29</v>
      </c>
    </row>
    <row r="313" spans="1:21" ht="13.2" x14ac:dyDescent="0.25">
      <c r="A313" s="14">
        <v>21998472000155</v>
      </c>
      <c r="B313" s="15" t="str">
        <f t="shared" si="4"/>
        <v>21.998.472/0001-55</v>
      </c>
      <c r="C313" s="12" t="str">
        <f>VLOOKUP(B313,[1]Planilha1!$A:$B,2,0)</f>
        <v>Malu Montesino</v>
      </c>
      <c r="D313" s="3" t="s">
        <v>1528</v>
      </c>
      <c r="E313" s="3" t="s">
        <v>1528</v>
      </c>
      <c r="F313" s="3" t="s">
        <v>20</v>
      </c>
      <c r="G313" s="4">
        <v>42069</v>
      </c>
      <c r="H313" s="3" t="s">
        <v>94</v>
      </c>
      <c r="I313" s="3" t="s">
        <v>33</v>
      </c>
      <c r="J313" s="5">
        <v>38500000</v>
      </c>
      <c r="K313" s="3">
        <v>2825900</v>
      </c>
      <c r="L313" s="3" t="s">
        <v>345</v>
      </c>
      <c r="M313" s="3" t="s">
        <v>780</v>
      </c>
      <c r="N313" s="7">
        <v>2620</v>
      </c>
      <c r="P313" s="3" t="s">
        <v>1529</v>
      </c>
      <c r="Q313" s="3" t="s">
        <v>1312</v>
      </c>
      <c r="R313" s="3" t="s">
        <v>28</v>
      </c>
      <c r="S313" s="3">
        <v>13309640</v>
      </c>
      <c r="T313" s="3">
        <v>1130313327</v>
      </c>
      <c r="U313" s="3" t="s">
        <v>29</v>
      </c>
    </row>
    <row r="314" spans="1:21" ht="13.2" x14ac:dyDescent="0.25">
      <c r="A314" s="14">
        <v>10593151000154</v>
      </c>
      <c r="B314" s="15" t="str">
        <f t="shared" si="4"/>
        <v>10.593.151/0001-54</v>
      </c>
      <c r="C314" s="12"/>
      <c r="D314" s="3" t="s">
        <v>1530</v>
      </c>
      <c r="E314" s="3" t="s">
        <v>1530</v>
      </c>
      <c r="F314" s="3" t="s">
        <v>20</v>
      </c>
      <c r="G314" s="4">
        <v>39836</v>
      </c>
      <c r="H314" s="3" t="s">
        <v>21</v>
      </c>
      <c r="I314" s="3" t="s">
        <v>33</v>
      </c>
      <c r="J314" s="5">
        <v>13740000</v>
      </c>
      <c r="K314" s="3">
        <v>6462000</v>
      </c>
      <c r="L314" s="3" t="s">
        <v>250</v>
      </c>
      <c r="M314" s="3" t="s">
        <v>294</v>
      </c>
      <c r="N314" s="3">
        <v>1000</v>
      </c>
      <c r="O314" s="3" t="s">
        <v>1531</v>
      </c>
      <c r="P314" s="3" t="s">
        <v>296</v>
      </c>
      <c r="Q314" s="3" t="s">
        <v>27</v>
      </c>
      <c r="R314" s="3" t="s">
        <v>28</v>
      </c>
      <c r="S314" s="3">
        <v>1418902</v>
      </c>
      <c r="T314" s="3">
        <v>1145291500</v>
      </c>
      <c r="U314" s="3" t="s">
        <v>29</v>
      </c>
    </row>
    <row r="315" spans="1:21" ht="13.2" x14ac:dyDescent="0.25">
      <c r="A315" s="14">
        <v>27542591000185</v>
      </c>
      <c r="B315" s="15" t="str">
        <f t="shared" si="4"/>
        <v>27.542.591/0001-85</v>
      </c>
      <c r="C315" s="12" t="str">
        <f>VLOOKUP(B315,[1]Planilha1!$A:$B,2,0)</f>
        <v>Malu Montesino</v>
      </c>
      <c r="D315" s="3" t="s">
        <v>1532</v>
      </c>
      <c r="E315" s="3" t="s">
        <v>1533</v>
      </c>
      <c r="F315" s="3" t="s">
        <v>20</v>
      </c>
      <c r="G315" s="4">
        <v>42842</v>
      </c>
      <c r="H315" s="3" t="s">
        <v>21</v>
      </c>
      <c r="I315" s="3" t="s">
        <v>22</v>
      </c>
      <c r="J315" s="5">
        <v>300000</v>
      </c>
      <c r="K315" s="3">
        <v>2812700</v>
      </c>
      <c r="L315" s="3" t="s">
        <v>1534</v>
      </c>
      <c r="M315" s="3" t="s">
        <v>1535</v>
      </c>
      <c r="N315" s="3">
        <v>1455</v>
      </c>
      <c r="O315" s="3" t="s">
        <v>1536</v>
      </c>
      <c r="P315" s="3" t="s">
        <v>1537</v>
      </c>
      <c r="Q315" s="3" t="s">
        <v>1538</v>
      </c>
      <c r="R315" s="3" t="s">
        <v>187</v>
      </c>
      <c r="S315" s="3">
        <v>83608000</v>
      </c>
      <c r="T315" s="3">
        <v>4132925653</v>
      </c>
      <c r="U315" s="3" t="s">
        <v>29</v>
      </c>
    </row>
    <row r="316" spans="1:21" ht="13.2" x14ac:dyDescent="0.25">
      <c r="A316" s="14">
        <v>14262733000109</v>
      </c>
      <c r="B316" s="15" t="str">
        <f t="shared" si="4"/>
        <v>14.262.733/0001-09</v>
      </c>
      <c r="C316" s="12"/>
      <c r="D316" s="3" t="s">
        <v>1539</v>
      </c>
      <c r="E316" s="3" t="s">
        <v>1539</v>
      </c>
      <c r="F316" s="3" t="s">
        <v>20</v>
      </c>
      <c r="G316" s="4">
        <v>40764</v>
      </c>
      <c r="H316" s="3" t="s">
        <v>21</v>
      </c>
      <c r="I316" s="3" t="s">
        <v>33</v>
      </c>
      <c r="J316" s="5">
        <v>12627607</v>
      </c>
      <c r="K316" s="3">
        <v>2813500</v>
      </c>
      <c r="L316" s="3" t="s">
        <v>1383</v>
      </c>
      <c r="M316" s="3" t="s">
        <v>1540</v>
      </c>
      <c r="N316" s="3">
        <v>280</v>
      </c>
      <c r="P316" s="3" t="s">
        <v>1541</v>
      </c>
      <c r="Q316" s="3" t="s">
        <v>688</v>
      </c>
      <c r="R316" s="3" t="s">
        <v>28</v>
      </c>
      <c r="S316" s="3">
        <v>6707065</v>
      </c>
      <c r="T316" s="3">
        <v>1137820255</v>
      </c>
      <c r="U316" s="3" t="s">
        <v>29</v>
      </c>
    </row>
    <row r="317" spans="1:21" ht="13.2" x14ac:dyDescent="0.25">
      <c r="A317" s="14">
        <v>62029426000125</v>
      </c>
      <c r="B317" s="15" t="str">
        <f t="shared" si="4"/>
        <v>62.029.426/0001-25</v>
      </c>
      <c r="C317" s="12"/>
      <c r="D317" s="3" t="s">
        <v>1542</v>
      </c>
      <c r="E317" s="3" t="s">
        <v>1542</v>
      </c>
      <c r="F317" s="3" t="s">
        <v>20</v>
      </c>
      <c r="G317" s="4">
        <v>32961</v>
      </c>
      <c r="H317" s="3" t="s">
        <v>21</v>
      </c>
      <c r="I317" s="3" t="s">
        <v>33</v>
      </c>
      <c r="J317" s="5">
        <v>1000000</v>
      </c>
      <c r="K317" s="3">
        <v>4669901</v>
      </c>
      <c r="L317" s="3" t="s">
        <v>1543</v>
      </c>
      <c r="M317" s="3" t="s">
        <v>1544</v>
      </c>
      <c r="N317" s="3">
        <v>555</v>
      </c>
      <c r="P317" s="3" t="s">
        <v>1545</v>
      </c>
      <c r="Q317" s="3" t="s">
        <v>617</v>
      </c>
      <c r="R317" s="3" t="s">
        <v>28</v>
      </c>
      <c r="S317" s="3">
        <v>6409060</v>
      </c>
      <c r="T317" s="3">
        <v>3132223831</v>
      </c>
      <c r="U317" s="3" t="s">
        <v>29</v>
      </c>
    </row>
    <row r="318" spans="1:21" ht="13.2" x14ac:dyDescent="0.25">
      <c r="A318" s="14">
        <v>10869890000126</v>
      </c>
      <c r="B318" s="15" t="str">
        <f t="shared" si="4"/>
        <v>10.869.890/0001-26</v>
      </c>
      <c r="C318" s="12"/>
      <c r="D318" s="3" t="s">
        <v>1546</v>
      </c>
      <c r="E318" s="3" t="s">
        <v>1546</v>
      </c>
      <c r="F318" s="3" t="s">
        <v>20</v>
      </c>
      <c r="G318" s="4">
        <v>39966</v>
      </c>
      <c r="H318" s="3" t="s">
        <v>21</v>
      </c>
      <c r="I318" s="3" t="s">
        <v>33</v>
      </c>
      <c r="J318" s="5">
        <v>100000</v>
      </c>
      <c r="K318" s="3">
        <v>4644301</v>
      </c>
      <c r="L318" s="3" t="s">
        <v>326</v>
      </c>
      <c r="M318" s="3" t="s">
        <v>1547</v>
      </c>
      <c r="N318" s="3">
        <v>143</v>
      </c>
      <c r="O318" s="3" t="s">
        <v>1548</v>
      </c>
      <c r="P318" s="3" t="s">
        <v>597</v>
      </c>
      <c r="Q318" s="3" t="s">
        <v>1375</v>
      </c>
      <c r="R318" s="3" t="s">
        <v>187</v>
      </c>
      <c r="S318" s="3">
        <v>85602510</v>
      </c>
      <c r="T318" s="3">
        <v>4635243136</v>
      </c>
      <c r="U318" s="3" t="s">
        <v>29</v>
      </c>
    </row>
    <row r="319" spans="1:21" ht="13.2" x14ac:dyDescent="0.25">
      <c r="A319" s="14">
        <v>7827213000130</v>
      </c>
      <c r="B319" s="15" t="str">
        <f t="shared" si="4"/>
        <v>07.827.213/0001-30</v>
      </c>
      <c r="C319" s="12"/>
      <c r="D319" s="3" t="s">
        <v>1549</v>
      </c>
      <c r="E319" s="3" t="s">
        <v>1549</v>
      </c>
      <c r="F319" s="3" t="s">
        <v>20</v>
      </c>
      <c r="G319" s="4">
        <v>38728</v>
      </c>
      <c r="H319" s="3" t="s">
        <v>1550</v>
      </c>
      <c r="I319" s="3" t="s">
        <v>33</v>
      </c>
      <c r="J319" s="5">
        <v>300000</v>
      </c>
      <c r="K319" s="3">
        <v>6911701</v>
      </c>
      <c r="L319" s="3" t="s">
        <v>1551</v>
      </c>
      <c r="M319" s="3" t="s">
        <v>308</v>
      </c>
      <c r="N319" s="3">
        <v>14401</v>
      </c>
      <c r="O319" s="3" t="s">
        <v>1552</v>
      </c>
      <c r="P319" s="3" t="s">
        <v>310</v>
      </c>
      <c r="Q319" s="3" t="s">
        <v>27</v>
      </c>
      <c r="R319" s="3" t="s">
        <v>28</v>
      </c>
      <c r="S319" s="3">
        <v>4794000</v>
      </c>
      <c r="T319" s="3">
        <v>1138812121</v>
      </c>
      <c r="U319" s="3" t="s">
        <v>29</v>
      </c>
    </row>
    <row r="320" spans="1:21" ht="13.2" x14ac:dyDescent="0.25">
      <c r="A320" s="14">
        <v>19207592000145</v>
      </c>
      <c r="B320" s="15" t="str">
        <f t="shared" si="4"/>
        <v>19.207.592/0001-45</v>
      </c>
      <c r="C320" s="12"/>
      <c r="D320" s="3" t="s">
        <v>1553</v>
      </c>
      <c r="E320" s="3" t="s">
        <v>1554</v>
      </c>
      <c r="F320" s="3" t="s">
        <v>20</v>
      </c>
      <c r="G320" s="4">
        <v>41584</v>
      </c>
      <c r="H320" s="3" t="s">
        <v>21</v>
      </c>
      <c r="I320" s="3" t="s">
        <v>47</v>
      </c>
      <c r="J320" s="5">
        <v>205000</v>
      </c>
      <c r="K320" s="3">
        <v>3240099</v>
      </c>
      <c r="L320" s="3" t="s">
        <v>1555</v>
      </c>
      <c r="M320" s="3" t="s">
        <v>701</v>
      </c>
      <c r="N320" s="3">
        <v>1700</v>
      </c>
      <c r="O320" s="3" t="s">
        <v>1556</v>
      </c>
      <c r="P320" s="3" t="s">
        <v>703</v>
      </c>
      <c r="Q320" s="3" t="s">
        <v>27</v>
      </c>
      <c r="R320" s="3" t="s">
        <v>28</v>
      </c>
      <c r="S320" s="3">
        <v>5319000</v>
      </c>
      <c r="T320" s="3">
        <v>1136449424</v>
      </c>
      <c r="U320" s="3" t="s">
        <v>29</v>
      </c>
    </row>
    <row r="321" spans="1:21" ht="13.2" x14ac:dyDescent="0.25">
      <c r="A321" s="14">
        <v>10484227000103</v>
      </c>
      <c r="B321" s="15" t="str">
        <f t="shared" si="4"/>
        <v>10.484.227/0001-03</v>
      </c>
      <c r="C321" s="12" t="str">
        <f>VLOOKUP(B321,[1]Planilha1!$A:$B,2,0)</f>
        <v>Malu Montesino</v>
      </c>
      <c r="D321" s="3" t="s">
        <v>1557</v>
      </c>
      <c r="E321" s="3" t="s">
        <v>1558</v>
      </c>
      <c r="F321" s="3" t="s">
        <v>20</v>
      </c>
      <c r="G321" s="4">
        <v>39618</v>
      </c>
      <c r="H321" s="3" t="s">
        <v>21</v>
      </c>
      <c r="I321" s="3" t="s">
        <v>33</v>
      </c>
      <c r="J321" s="5">
        <v>850000</v>
      </c>
      <c r="K321" s="3">
        <v>7112000</v>
      </c>
      <c r="L321" s="3" t="s">
        <v>276</v>
      </c>
      <c r="M321" s="3" t="s">
        <v>1559</v>
      </c>
      <c r="N321" s="3">
        <v>380</v>
      </c>
      <c r="P321" s="3" t="s">
        <v>1560</v>
      </c>
      <c r="Q321" s="3" t="s">
        <v>1561</v>
      </c>
      <c r="R321" s="3" t="s">
        <v>187</v>
      </c>
      <c r="S321" s="3">
        <v>87164000</v>
      </c>
      <c r="T321" s="3">
        <v>4432451222</v>
      </c>
      <c r="U321" s="3" t="s">
        <v>29</v>
      </c>
    </row>
    <row r="322" spans="1:21" ht="13.2" x14ac:dyDescent="0.25">
      <c r="A322" s="14">
        <v>33373325000179</v>
      </c>
      <c r="B322" s="15" t="str">
        <f t="shared" si="4"/>
        <v>33.373.325/0001-79</v>
      </c>
      <c r="C322" s="12" t="str">
        <f>VLOOKUP(B322,[1]Planilha1!$A:$B,2,0)</f>
        <v>Mariane Nascimento</v>
      </c>
      <c r="D322" s="3" t="s">
        <v>1562</v>
      </c>
      <c r="E322" s="3" t="s">
        <v>1562</v>
      </c>
      <c r="F322" s="3" t="s">
        <v>20</v>
      </c>
      <c r="G322" s="4">
        <v>26735</v>
      </c>
      <c r="H322" s="3" t="s">
        <v>21</v>
      </c>
      <c r="I322" s="3" t="s">
        <v>33</v>
      </c>
      <c r="J322" s="5">
        <v>22000000</v>
      </c>
      <c r="K322" s="3">
        <v>4322301</v>
      </c>
      <c r="L322" s="3" t="s">
        <v>1563</v>
      </c>
      <c r="M322" s="3" t="s">
        <v>1564</v>
      </c>
      <c r="N322" s="3">
        <v>1713</v>
      </c>
      <c r="P322" s="3" t="s">
        <v>1565</v>
      </c>
      <c r="Q322" s="3" t="s">
        <v>253</v>
      </c>
      <c r="R322" s="3" t="s">
        <v>78</v>
      </c>
      <c r="S322" s="3">
        <v>21061771</v>
      </c>
      <c r="T322" s="3">
        <v>2138652500</v>
      </c>
      <c r="U322" s="3" t="s">
        <v>29</v>
      </c>
    </row>
    <row r="323" spans="1:21" ht="13.2" x14ac:dyDescent="0.25">
      <c r="A323" s="14">
        <v>2411193000107</v>
      </c>
      <c r="B323" s="15" t="str">
        <f t="shared" ref="B323:B386" si="5">TEXT(A323,"00\.000\.000\/0000\-00")</f>
        <v>02.411.193/0001-07</v>
      </c>
      <c r="C323" s="12" t="str">
        <f>VLOOKUP(B323,[1]Planilha1!$A:$B,2,0)</f>
        <v>Malu Montesino</v>
      </c>
      <c r="D323" s="3" t="s">
        <v>1566</v>
      </c>
      <c r="E323" s="3" t="s">
        <v>1567</v>
      </c>
      <c r="F323" s="3" t="s">
        <v>20</v>
      </c>
      <c r="G323" s="4">
        <v>35823</v>
      </c>
      <c r="H323" s="3" t="s">
        <v>21</v>
      </c>
      <c r="I323" s="3" t="s">
        <v>33</v>
      </c>
      <c r="J323" s="5">
        <v>250000</v>
      </c>
      <c r="K323" s="3">
        <v>4645103</v>
      </c>
      <c r="L323" s="3" t="s">
        <v>1568</v>
      </c>
      <c r="M323" s="3" t="s">
        <v>1569</v>
      </c>
      <c r="N323" s="3">
        <v>635</v>
      </c>
      <c r="O323" s="3" t="s">
        <v>1570</v>
      </c>
      <c r="P323" s="3" t="s">
        <v>1571</v>
      </c>
      <c r="Q323" s="3" t="s">
        <v>1572</v>
      </c>
      <c r="R323" s="3" t="s">
        <v>91</v>
      </c>
      <c r="S323" s="3">
        <v>88137315</v>
      </c>
      <c r="T323" s="3">
        <v>4833743555</v>
      </c>
      <c r="U323" s="3" t="s">
        <v>29</v>
      </c>
    </row>
    <row r="324" spans="1:21" ht="13.2" x14ac:dyDescent="0.25">
      <c r="A324" s="14">
        <v>14752126000127</v>
      </c>
      <c r="B324" s="15" t="str">
        <f t="shared" si="5"/>
        <v>14.752.126/0001-27</v>
      </c>
      <c r="C324" s="12" t="str">
        <f>VLOOKUP(B324,[1]Planilha1!$A:$B,2,0)</f>
        <v>Malu Montesino</v>
      </c>
      <c r="D324" s="3" t="s">
        <v>1573</v>
      </c>
      <c r="E324" s="3" t="s">
        <v>1306</v>
      </c>
      <c r="F324" s="3" t="s">
        <v>20</v>
      </c>
      <c r="G324" s="4">
        <v>40885</v>
      </c>
      <c r="H324" s="3" t="s">
        <v>94</v>
      </c>
      <c r="I324" s="3" t="s">
        <v>33</v>
      </c>
      <c r="J324" s="5" t="s">
        <v>1574</v>
      </c>
      <c r="K324" s="3">
        <v>7112000</v>
      </c>
      <c r="L324" s="3" t="s">
        <v>276</v>
      </c>
      <c r="M324" s="3" t="s">
        <v>1575</v>
      </c>
      <c r="N324" s="3">
        <v>74</v>
      </c>
      <c r="O324" s="3" t="s">
        <v>1576</v>
      </c>
      <c r="P324" s="3" t="s">
        <v>70</v>
      </c>
      <c r="Q324" s="3" t="s">
        <v>107</v>
      </c>
      <c r="R324" s="3" t="s">
        <v>91</v>
      </c>
      <c r="S324" s="3">
        <v>88020700</v>
      </c>
      <c r="T324" s="3">
        <v>4833735010</v>
      </c>
      <c r="U324" s="3" t="s">
        <v>29</v>
      </c>
    </row>
    <row r="325" spans="1:21" ht="13.2" x14ac:dyDescent="0.25">
      <c r="A325" s="14">
        <v>2940424000161</v>
      </c>
      <c r="B325" s="15" t="str">
        <f t="shared" si="5"/>
        <v>02.940.424/0001-61</v>
      </c>
      <c r="C325" s="12" t="str">
        <f>VLOOKUP(B325,[1]Planilha1!$A:$B,2,0)</f>
        <v>Malu Montesino</v>
      </c>
      <c r="D325" s="3" t="s">
        <v>1577</v>
      </c>
      <c r="E325" s="3" t="s">
        <v>1577</v>
      </c>
      <c r="F325" s="3" t="s">
        <v>20</v>
      </c>
      <c r="G325" s="4">
        <v>36174</v>
      </c>
      <c r="H325" s="3" t="s">
        <v>21</v>
      </c>
      <c r="I325" s="3" t="s">
        <v>33</v>
      </c>
      <c r="J325" s="5">
        <v>2500000</v>
      </c>
      <c r="K325" s="3">
        <v>2229399</v>
      </c>
      <c r="L325" s="3" t="s">
        <v>414</v>
      </c>
      <c r="M325" s="3" t="s">
        <v>1578</v>
      </c>
      <c r="N325" s="3">
        <v>2680</v>
      </c>
      <c r="O325" s="3" t="s">
        <v>1579</v>
      </c>
      <c r="P325" s="3" t="s">
        <v>1580</v>
      </c>
      <c r="Q325" s="3" t="s">
        <v>1581</v>
      </c>
      <c r="R325" s="3" t="s">
        <v>187</v>
      </c>
      <c r="S325" s="3">
        <v>83433380</v>
      </c>
      <c r="T325" s="3">
        <v>4136792449</v>
      </c>
      <c r="U325" s="3" t="s">
        <v>29</v>
      </c>
    </row>
    <row r="326" spans="1:21" ht="13.2" x14ac:dyDescent="0.25">
      <c r="A326" s="14">
        <v>61371852000180</v>
      </c>
      <c r="B326" s="15" t="str">
        <f t="shared" si="5"/>
        <v>61.371.852/0001-80</v>
      </c>
      <c r="C326" s="12" t="str">
        <f>VLOOKUP(B326,[1]Planilha1!$A:$B,2,0)</f>
        <v>Malu Montesino</v>
      </c>
      <c r="D326" s="3" t="s">
        <v>1582</v>
      </c>
      <c r="E326" s="3" t="s">
        <v>1582</v>
      </c>
      <c r="F326" s="3" t="s">
        <v>45</v>
      </c>
      <c r="G326" s="4">
        <v>32800</v>
      </c>
      <c r="H326" s="3" t="s">
        <v>94</v>
      </c>
      <c r="I326" s="3" t="s">
        <v>33</v>
      </c>
      <c r="J326" s="5">
        <v>12000000</v>
      </c>
      <c r="K326" s="3">
        <v>7112000</v>
      </c>
      <c r="L326" s="3" t="s">
        <v>276</v>
      </c>
      <c r="M326" s="3" t="s">
        <v>1583</v>
      </c>
      <c r="N326" s="3">
        <v>5966</v>
      </c>
      <c r="O326" s="3" t="s">
        <v>1584</v>
      </c>
      <c r="P326" s="3" t="s">
        <v>1585</v>
      </c>
      <c r="Q326" s="3" t="s">
        <v>27</v>
      </c>
      <c r="R326" s="3" t="s">
        <v>28</v>
      </c>
      <c r="S326" s="3">
        <v>1406200</v>
      </c>
      <c r="T326" s="3">
        <v>1131885912</v>
      </c>
      <c r="U326" s="3" t="s">
        <v>29</v>
      </c>
    </row>
    <row r="327" spans="1:21" ht="13.2" x14ac:dyDescent="0.25">
      <c r="A327" s="14">
        <v>17469701000177</v>
      </c>
      <c r="B327" s="15" t="str">
        <f t="shared" si="5"/>
        <v>17.469.701/0001-77</v>
      </c>
      <c r="C327" s="12"/>
      <c r="D327" s="3" t="s">
        <v>1586</v>
      </c>
      <c r="E327" s="3" t="s">
        <v>1586</v>
      </c>
      <c r="F327" s="3" t="s">
        <v>20</v>
      </c>
      <c r="G327" s="4">
        <v>25835</v>
      </c>
      <c r="H327" s="3" t="s">
        <v>94</v>
      </c>
      <c r="I327" s="3" t="s">
        <v>33</v>
      </c>
      <c r="J327" s="5">
        <v>18374881000</v>
      </c>
      <c r="K327" s="3">
        <v>2423702</v>
      </c>
      <c r="L327" s="3" t="s">
        <v>1587</v>
      </c>
      <c r="M327" s="3" t="s">
        <v>1460</v>
      </c>
      <c r="N327" s="3">
        <v>1115</v>
      </c>
      <c r="O327" s="3" t="s">
        <v>1588</v>
      </c>
      <c r="P327" s="3" t="s">
        <v>1462</v>
      </c>
      <c r="Q327" s="3" t="s">
        <v>476</v>
      </c>
      <c r="R327" s="3" t="s">
        <v>100</v>
      </c>
      <c r="S327" s="3">
        <v>30130915</v>
      </c>
      <c r="T327" s="3">
        <v>3132191485</v>
      </c>
      <c r="U327" s="3" t="s">
        <v>29</v>
      </c>
    </row>
    <row r="328" spans="1:21" ht="13.2" x14ac:dyDescent="0.25">
      <c r="A328" s="14">
        <v>16673829000195</v>
      </c>
      <c r="B328" s="15" t="str">
        <f t="shared" si="5"/>
        <v>16.673.829/0001-95</v>
      </c>
      <c r="C328" s="12"/>
      <c r="D328" s="3" t="s">
        <v>1589</v>
      </c>
      <c r="E328" s="3" t="s">
        <v>1590</v>
      </c>
      <c r="F328" s="3" t="s">
        <v>31</v>
      </c>
      <c r="G328" s="4">
        <v>41129</v>
      </c>
      <c r="H328" s="3" t="s">
        <v>21</v>
      </c>
      <c r="I328" s="3" t="s">
        <v>47</v>
      </c>
      <c r="J328" s="5">
        <v>300000</v>
      </c>
      <c r="K328" s="3">
        <v>4644301</v>
      </c>
      <c r="L328" s="3" t="s">
        <v>326</v>
      </c>
      <c r="M328" s="3" t="s">
        <v>1591</v>
      </c>
      <c r="N328" s="3">
        <v>1450</v>
      </c>
      <c r="P328" s="3" t="s">
        <v>1592</v>
      </c>
      <c r="Q328" s="3" t="s">
        <v>667</v>
      </c>
      <c r="R328" s="3" t="s">
        <v>301</v>
      </c>
      <c r="S328" s="3">
        <v>60822160</v>
      </c>
      <c r="T328" s="3">
        <v>8530825262</v>
      </c>
      <c r="U328" s="3" t="s">
        <v>29</v>
      </c>
    </row>
    <row r="329" spans="1:21" ht="13.2" x14ac:dyDescent="0.25">
      <c r="A329" s="14">
        <v>42591651000143</v>
      </c>
      <c r="B329" s="15" t="str">
        <f t="shared" si="5"/>
        <v>42.591.651/0001-43</v>
      </c>
      <c r="C329" s="12" t="str">
        <f>VLOOKUP(B329,[1]Planilha1!$A:$B,2,0)</f>
        <v>Malu Montesino</v>
      </c>
      <c r="D329" s="3" t="s">
        <v>1593</v>
      </c>
      <c r="E329" s="3" t="s">
        <v>1593</v>
      </c>
      <c r="F329" s="3" t="s">
        <v>20</v>
      </c>
      <c r="G329" s="4">
        <v>28142</v>
      </c>
      <c r="H329" s="3" t="s">
        <v>94</v>
      </c>
      <c r="I329" s="3" t="s">
        <v>33</v>
      </c>
      <c r="J329" s="5">
        <v>442788930</v>
      </c>
      <c r="K329" s="3">
        <v>5611203</v>
      </c>
      <c r="L329" s="3" t="s">
        <v>1594</v>
      </c>
      <c r="M329" s="3" t="s">
        <v>470</v>
      </c>
      <c r="N329" s="3">
        <v>253</v>
      </c>
      <c r="P329" s="3" t="s">
        <v>681</v>
      </c>
      <c r="Q329" s="3" t="s">
        <v>617</v>
      </c>
      <c r="R329" s="3" t="s">
        <v>28</v>
      </c>
      <c r="S329" s="3">
        <v>6454070</v>
      </c>
      <c r="T329" s="3">
        <v>1141969800</v>
      </c>
      <c r="U329" s="3" t="s">
        <v>29</v>
      </c>
    </row>
    <row r="330" spans="1:21" ht="13.2" x14ac:dyDescent="0.25">
      <c r="A330" s="14">
        <v>24004243000166</v>
      </c>
      <c r="B330" s="15" t="str">
        <f t="shared" si="5"/>
        <v>24.004.243/0001-66</v>
      </c>
      <c r="C330" s="12"/>
      <c r="D330" s="3" t="s">
        <v>1595</v>
      </c>
      <c r="E330" s="3" t="s">
        <v>1596</v>
      </c>
      <c r="F330" s="3" t="s">
        <v>20</v>
      </c>
      <c r="G330" s="4">
        <v>42388</v>
      </c>
      <c r="H330" s="3" t="s">
        <v>21</v>
      </c>
      <c r="I330" s="3" t="s">
        <v>33</v>
      </c>
      <c r="J330" s="5">
        <v>1000</v>
      </c>
      <c r="K330" s="3">
        <v>7490104</v>
      </c>
      <c r="L330" s="3" t="s">
        <v>1597</v>
      </c>
      <c r="M330" s="3" t="s">
        <v>1598</v>
      </c>
      <c r="N330" s="3">
        <v>121</v>
      </c>
      <c r="O330" s="3" t="s">
        <v>1599</v>
      </c>
      <c r="P330" s="3" t="s">
        <v>1600</v>
      </c>
      <c r="Q330" s="3" t="s">
        <v>27</v>
      </c>
      <c r="R330" s="3" t="s">
        <v>28</v>
      </c>
      <c r="S330" s="3">
        <v>4296090</v>
      </c>
      <c r="T330" s="3">
        <v>1128977350</v>
      </c>
      <c r="U330" s="3" t="s">
        <v>29</v>
      </c>
    </row>
    <row r="331" spans="1:21" ht="13.2" x14ac:dyDescent="0.25">
      <c r="A331" s="14">
        <v>5836297000143</v>
      </c>
      <c r="B331" s="15" t="str">
        <f t="shared" si="5"/>
        <v>05.836.297/0001-43</v>
      </c>
      <c r="C331" s="12"/>
      <c r="D331" s="3" t="s">
        <v>1601</v>
      </c>
      <c r="E331" s="3" t="s">
        <v>1602</v>
      </c>
      <c r="F331" s="3" t="s">
        <v>20</v>
      </c>
      <c r="G331" s="4">
        <v>37859</v>
      </c>
      <c r="H331" s="3" t="s">
        <v>21</v>
      </c>
      <c r="I331" s="3" t="s">
        <v>33</v>
      </c>
      <c r="J331" s="5">
        <v>1500000</v>
      </c>
      <c r="K331" s="3">
        <v>5620101</v>
      </c>
      <c r="L331" s="3" t="s">
        <v>1369</v>
      </c>
      <c r="M331" s="3" t="s">
        <v>253</v>
      </c>
      <c r="N331" s="3">
        <v>635</v>
      </c>
      <c r="P331" s="3" t="s">
        <v>790</v>
      </c>
      <c r="Q331" s="3" t="s">
        <v>1603</v>
      </c>
      <c r="R331" s="3" t="s">
        <v>1604</v>
      </c>
      <c r="S331" s="3">
        <v>76962035</v>
      </c>
      <c r="T331" s="3">
        <v>6934436356</v>
      </c>
      <c r="U331" s="3" t="s">
        <v>29</v>
      </c>
    </row>
    <row r="332" spans="1:21" ht="13.2" x14ac:dyDescent="0.25">
      <c r="A332" s="14">
        <v>72804057000235</v>
      </c>
      <c r="B332" s="15" t="str">
        <f t="shared" si="5"/>
        <v>72.804.057/0002-35</v>
      </c>
      <c r="C332" s="12"/>
      <c r="D332" s="3" t="s">
        <v>1605</v>
      </c>
      <c r="E332" s="3" t="s">
        <v>1605</v>
      </c>
      <c r="F332" s="3" t="s">
        <v>20</v>
      </c>
      <c r="G332" s="4">
        <v>41053</v>
      </c>
      <c r="H332" s="3" t="s">
        <v>21</v>
      </c>
      <c r="I332" s="3" t="s">
        <v>33</v>
      </c>
      <c r="J332" s="5">
        <v>75000</v>
      </c>
      <c r="K332" s="3">
        <v>4642702</v>
      </c>
      <c r="L332" s="3" t="s">
        <v>1139</v>
      </c>
      <c r="M332" s="3" t="s">
        <v>1606</v>
      </c>
      <c r="N332" s="3">
        <v>1483</v>
      </c>
      <c r="P332" s="3" t="s">
        <v>1401</v>
      </c>
      <c r="Q332" s="3" t="s">
        <v>357</v>
      </c>
      <c r="R332" s="3" t="s">
        <v>28</v>
      </c>
      <c r="S332" s="3">
        <v>7220000</v>
      </c>
      <c r="T332" s="3">
        <v>1127329300</v>
      </c>
      <c r="U332" s="3" t="s">
        <v>29</v>
      </c>
    </row>
    <row r="333" spans="1:21" ht="13.2" x14ac:dyDescent="0.25">
      <c r="A333" s="14">
        <v>58581406000195</v>
      </c>
      <c r="B333" s="15" t="str">
        <f t="shared" si="5"/>
        <v>58.581.406/0001-95</v>
      </c>
      <c r="C333" s="12"/>
      <c r="D333" s="3" t="s">
        <v>1607</v>
      </c>
      <c r="E333" s="3" t="s">
        <v>1607</v>
      </c>
      <c r="F333" s="3" t="s">
        <v>20</v>
      </c>
      <c r="G333" s="4">
        <v>32170</v>
      </c>
      <c r="H333" s="3" t="s">
        <v>94</v>
      </c>
      <c r="I333" s="3" t="s">
        <v>33</v>
      </c>
      <c r="J333" s="5">
        <v>2300000</v>
      </c>
      <c r="K333" s="3">
        <v>2813500</v>
      </c>
      <c r="L333" s="3" t="s">
        <v>1383</v>
      </c>
      <c r="M333" s="3" t="s">
        <v>1608</v>
      </c>
      <c r="N333" s="3">
        <v>783</v>
      </c>
      <c r="P333" s="3" t="s">
        <v>1609</v>
      </c>
      <c r="Q333" s="3" t="s">
        <v>929</v>
      </c>
      <c r="R333" s="3" t="s">
        <v>28</v>
      </c>
      <c r="S333" s="3">
        <v>6528551</v>
      </c>
      <c r="T333" s="3">
        <v>1128088834</v>
      </c>
      <c r="U333" s="3" t="s">
        <v>29</v>
      </c>
    </row>
    <row r="334" spans="1:21" ht="13.2" x14ac:dyDescent="0.25">
      <c r="A334" s="14">
        <v>28997632000190</v>
      </c>
      <c r="B334" s="15" t="str">
        <f t="shared" si="5"/>
        <v>28.997.632/0001-90</v>
      </c>
      <c r="C334" s="12" t="str">
        <f>VLOOKUP(B334,[1]Planilha1!$A:$B,2,0)</f>
        <v>Malu Montesino</v>
      </c>
      <c r="D334" s="3" t="s">
        <v>1610</v>
      </c>
      <c r="E334" s="3" t="s">
        <v>1610</v>
      </c>
      <c r="F334" s="3" t="s">
        <v>20</v>
      </c>
      <c r="G334" s="4">
        <v>43045</v>
      </c>
      <c r="H334" s="3" t="s">
        <v>21</v>
      </c>
      <c r="I334" s="3" t="s">
        <v>33</v>
      </c>
      <c r="J334" s="5">
        <v>26945870</v>
      </c>
      <c r="K334" s="3">
        <v>4664800</v>
      </c>
      <c r="L334" s="3" t="s">
        <v>691</v>
      </c>
      <c r="M334" s="3" t="s">
        <v>1611</v>
      </c>
      <c r="N334" s="3">
        <v>352</v>
      </c>
      <c r="O334" s="3" t="s">
        <v>1612</v>
      </c>
      <c r="P334" s="3" t="s">
        <v>1613</v>
      </c>
      <c r="Q334" s="3" t="s">
        <v>617</v>
      </c>
      <c r="R334" s="3" t="s">
        <v>28</v>
      </c>
      <c r="S334" s="3">
        <v>6460121</v>
      </c>
      <c r="T334" s="3">
        <v>1159903139</v>
      </c>
      <c r="U334" s="3" t="s">
        <v>29</v>
      </c>
    </row>
    <row r="335" spans="1:21" ht="13.2" x14ac:dyDescent="0.25">
      <c r="A335" s="14">
        <v>22168141000150</v>
      </c>
      <c r="B335" s="15" t="str">
        <f t="shared" si="5"/>
        <v>22.168.141/0001-50</v>
      </c>
      <c r="C335" s="12" t="str">
        <f>VLOOKUP(B335,[1]Planilha1!$A:$B,2,0)</f>
        <v>Malu Montesino</v>
      </c>
      <c r="D335" s="3" t="s">
        <v>1614</v>
      </c>
      <c r="E335" s="3" t="s">
        <v>1615</v>
      </c>
      <c r="F335" s="3" t="s">
        <v>20</v>
      </c>
      <c r="G335" s="4">
        <v>42095</v>
      </c>
      <c r="H335" s="3" t="s">
        <v>21</v>
      </c>
      <c r="I335" s="3" t="s">
        <v>22</v>
      </c>
      <c r="J335" s="5">
        <v>330000</v>
      </c>
      <c r="K335" s="3">
        <v>2651500</v>
      </c>
      <c r="L335" s="3" t="s">
        <v>600</v>
      </c>
      <c r="M335" s="3" t="s">
        <v>1616</v>
      </c>
      <c r="N335" s="3">
        <v>45</v>
      </c>
      <c r="O335" s="3" t="s">
        <v>1617</v>
      </c>
      <c r="P335" s="3" t="s">
        <v>1618</v>
      </c>
      <c r="Q335" s="3" t="s">
        <v>476</v>
      </c>
      <c r="R335" s="3" t="s">
        <v>100</v>
      </c>
      <c r="S335" s="3">
        <v>31310260</v>
      </c>
      <c r="T335" s="3">
        <v>3140404244</v>
      </c>
      <c r="U335" s="3" t="s">
        <v>29</v>
      </c>
    </row>
    <row r="336" spans="1:21" ht="13.2" x14ac:dyDescent="0.25">
      <c r="A336" s="14">
        <v>242184000104</v>
      </c>
      <c r="B336" s="15" t="str">
        <f t="shared" si="5"/>
        <v>00.242.184/0001-04</v>
      </c>
      <c r="C336" s="12"/>
      <c r="D336" s="3" t="s">
        <v>1619</v>
      </c>
      <c r="E336" s="3" t="s">
        <v>1619</v>
      </c>
      <c r="F336" s="3" t="s">
        <v>20</v>
      </c>
      <c r="G336" s="4">
        <v>34612</v>
      </c>
      <c r="H336" s="3" t="s">
        <v>377</v>
      </c>
      <c r="I336" s="3" t="s">
        <v>33</v>
      </c>
      <c r="J336" s="5">
        <v>1134339500</v>
      </c>
      <c r="K336" s="3">
        <v>7732201</v>
      </c>
      <c r="L336" s="3" t="s">
        <v>1620</v>
      </c>
      <c r="M336" s="3" t="s">
        <v>906</v>
      </c>
      <c r="N336" s="3">
        <v>939</v>
      </c>
      <c r="O336" s="3" t="s">
        <v>1621</v>
      </c>
      <c r="P336" s="3" t="s">
        <v>616</v>
      </c>
      <c r="Q336" s="3" t="s">
        <v>617</v>
      </c>
      <c r="R336" s="3" t="s">
        <v>28</v>
      </c>
      <c r="S336" s="3">
        <v>6460040</v>
      </c>
      <c r="T336" s="3">
        <v>1134683703</v>
      </c>
      <c r="U336" s="3" t="s">
        <v>29</v>
      </c>
    </row>
    <row r="337" spans="1:21" ht="13.2" x14ac:dyDescent="0.25">
      <c r="A337" s="14">
        <v>9267620000166</v>
      </c>
      <c r="B337" s="15" t="str">
        <f t="shared" si="5"/>
        <v>09.267.620/0001-66</v>
      </c>
      <c r="C337" s="12" t="str">
        <f>VLOOKUP(B337,[1]Planilha1!$A:$B,2,0)</f>
        <v>Malu Montesino</v>
      </c>
      <c r="D337" s="3" t="s">
        <v>1622</v>
      </c>
      <c r="E337" s="3" t="s">
        <v>1622</v>
      </c>
      <c r="F337" s="3" t="s">
        <v>20</v>
      </c>
      <c r="G337" s="4">
        <v>39419</v>
      </c>
      <c r="H337" s="3" t="s">
        <v>94</v>
      </c>
      <c r="I337" s="3" t="s">
        <v>33</v>
      </c>
      <c r="J337" s="5">
        <v>60000</v>
      </c>
      <c r="K337" s="3">
        <v>5211701</v>
      </c>
      <c r="L337" s="3" t="s">
        <v>1623</v>
      </c>
      <c r="M337" s="3" t="s">
        <v>1624</v>
      </c>
      <c r="N337" s="3">
        <v>309</v>
      </c>
      <c r="P337" s="3" t="s">
        <v>1625</v>
      </c>
      <c r="Q337" s="3" t="s">
        <v>357</v>
      </c>
      <c r="R337" s="3" t="s">
        <v>28</v>
      </c>
      <c r="S337" s="3">
        <v>7140000</v>
      </c>
      <c r="T337" s="3">
        <v>1120884658</v>
      </c>
      <c r="U337" s="3" t="s">
        <v>29</v>
      </c>
    </row>
    <row r="338" spans="1:21" ht="13.2" x14ac:dyDescent="0.25">
      <c r="A338" s="14">
        <v>29834025000172</v>
      </c>
      <c r="B338" s="15" t="str">
        <f t="shared" si="5"/>
        <v>29.834.025/0001-72</v>
      </c>
      <c r="C338" s="12"/>
      <c r="D338" s="3" t="s">
        <v>1626</v>
      </c>
      <c r="E338" s="3" t="s">
        <v>1627</v>
      </c>
      <c r="F338" s="3" t="s">
        <v>20</v>
      </c>
      <c r="G338" s="4">
        <v>31356</v>
      </c>
      <c r="H338" s="3" t="s">
        <v>21</v>
      </c>
      <c r="I338" s="3" t="s">
        <v>33</v>
      </c>
      <c r="J338" s="5">
        <v>7360000</v>
      </c>
      <c r="K338" s="3">
        <v>5211701</v>
      </c>
      <c r="L338" s="3" t="s">
        <v>1623</v>
      </c>
      <c r="M338" s="3" t="s">
        <v>720</v>
      </c>
      <c r="N338" s="3">
        <v>345</v>
      </c>
      <c r="P338" s="3" t="s">
        <v>722</v>
      </c>
      <c r="Q338" s="3" t="s">
        <v>253</v>
      </c>
      <c r="R338" s="3" t="s">
        <v>78</v>
      </c>
      <c r="S338" s="3">
        <v>21535490</v>
      </c>
      <c r="T338" s="3">
        <v>2121076050</v>
      </c>
      <c r="U338" s="3" t="s">
        <v>29</v>
      </c>
    </row>
    <row r="339" spans="1:21" ht="13.2" x14ac:dyDescent="0.25">
      <c r="A339" s="14">
        <v>29834025000253</v>
      </c>
      <c r="B339" s="15" t="str">
        <f t="shared" si="5"/>
        <v>29.834.025/0002-53</v>
      </c>
      <c r="C339" s="12"/>
      <c r="D339" s="3" t="s">
        <v>1626</v>
      </c>
      <c r="E339" s="3" t="s">
        <v>1626</v>
      </c>
      <c r="F339" s="3" t="s">
        <v>20</v>
      </c>
      <c r="G339" s="4">
        <v>31812</v>
      </c>
      <c r="H339" s="3" t="s">
        <v>21</v>
      </c>
      <c r="I339" s="3" t="s">
        <v>33</v>
      </c>
      <c r="J339" s="5">
        <v>7360000</v>
      </c>
      <c r="K339" s="3">
        <v>5211701</v>
      </c>
      <c r="L339" s="3" t="s">
        <v>1623</v>
      </c>
      <c r="M339" s="3" t="s">
        <v>1628</v>
      </c>
      <c r="N339" s="3">
        <v>345</v>
      </c>
      <c r="P339" s="3" t="s">
        <v>722</v>
      </c>
      <c r="Q339" s="3" t="s">
        <v>253</v>
      </c>
      <c r="R339" s="3" t="s">
        <v>78</v>
      </c>
      <c r="S339" s="3">
        <v>21535490</v>
      </c>
      <c r="U339" s="3" t="s">
        <v>29</v>
      </c>
    </row>
    <row r="340" spans="1:21" ht="13.2" x14ac:dyDescent="0.25">
      <c r="A340" s="14">
        <v>61075552000153</v>
      </c>
      <c r="B340" s="15" t="str">
        <f t="shared" si="5"/>
        <v>61.075.552/0001-53</v>
      </c>
      <c r="C340" s="12"/>
      <c r="D340" s="3" t="s">
        <v>1629</v>
      </c>
      <c r="E340" s="3" t="s">
        <v>1630</v>
      </c>
      <c r="F340" s="3" t="s">
        <v>20</v>
      </c>
      <c r="G340" s="4">
        <v>24296</v>
      </c>
      <c r="H340" s="3" t="s">
        <v>21</v>
      </c>
      <c r="I340" s="3" t="s">
        <v>33</v>
      </c>
      <c r="J340" s="5">
        <v>22555200</v>
      </c>
      <c r="K340" s="3">
        <v>2591800</v>
      </c>
      <c r="L340" s="3" t="s">
        <v>1631</v>
      </c>
      <c r="M340" s="3" t="s">
        <v>1632</v>
      </c>
      <c r="N340" s="3">
        <v>63</v>
      </c>
      <c r="P340" s="3" t="s">
        <v>406</v>
      </c>
      <c r="Q340" s="3" t="s">
        <v>357</v>
      </c>
      <c r="R340" s="3" t="s">
        <v>28</v>
      </c>
      <c r="S340" s="3">
        <v>7224160</v>
      </c>
      <c r="T340" s="3">
        <v>1124621727</v>
      </c>
      <c r="U340" s="3" t="s">
        <v>29</v>
      </c>
    </row>
    <row r="341" spans="1:21" ht="13.2" x14ac:dyDescent="0.25">
      <c r="A341" s="14">
        <v>18384930000151</v>
      </c>
      <c r="B341" s="15" t="str">
        <f t="shared" si="5"/>
        <v>18.384.930/0001-51</v>
      </c>
      <c r="C341" s="12"/>
      <c r="D341" s="3" t="s">
        <v>1633</v>
      </c>
      <c r="E341" s="3" t="s">
        <v>1634</v>
      </c>
      <c r="F341" s="3" t="s">
        <v>20</v>
      </c>
      <c r="G341" s="4">
        <v>41453</v>
      </c>
      <c r="H341" s="3" t="s">
        <v>94</v>
      </c>
      <c r="I341" s="3" t="s">
        <v>33</v>
      </c>
      <c r="J341" s="5">
        <v>28690336</v>
      </c>
      <c r="K341" s="3">
        <v>6120599</v>
      </c>
      <c r="L341" s="3" t="s">
        <v>1635</v>
      </c>
      <c r="M341" s="3" t="s">
        <v>1636</v>
      </c>
      <c r="N341" s="3">
        <v>119</v>
      </c>
      <c r="O341" s="3" t="s">
        <v>1637</v>
      </c>
      <c r="P341" s="3" t="s">
        <v>98</v>
      </c>
      <c r="Q341" s="3" t="s">
        <v>99</v>
      </c>
      <c r="R341" s="3" t="s">
        <v>100</v>
      </c>
      <c r="S341" s="3">
        <v>34006056</v>
      </c>
      <c r="T341" s="3">
        <v>1131648143</v>
      </c>
      <c r="U341" s="3" t="s">
        <v>29</v>
      </c>
    </row>
    <row r="342" spans="1:21" ht="13.2" x14ac:dyDescent="0.25">
      <c r="A342" s="14">
        <v>10533299000101</v>
      </c>
      <c r="B342" s="15" t="str">
        <f t="shared" si="5"/>
        <v>10.533.299/0001-01</v>
      </c>
      <c r="C342" s="12"/>
      <c r="D342" s="3" t="s">
        <v>1638</v>
      </c>
      <c r="E342" s="3" t="s">
        <v>1638</v>
      </c>
      <c r="F342" s="3" t="s">
        <v>20</v>
      </c>
      <c r="G342" s="4">
        <v>39793</v>
      </c>
      <c r="H342" s="3" t="s">
        <v>21</v>
      </c>
      <c r="I342" s="3" t="s">
        <v>33</v>
      </c>
      <c r="J342" s="5">
        <v>1200000</v>
      </c>
      <c r="K342" s="3">
        <v>8011101</v>
      </c>
      <c r="L342" s="3" t="s">
        <v>943</v>
      </c>
      <c r="M342" s="3" t="s">
        <v>1639</v>
      </c>
      <c r="N342" s="3">
        <v>238</v>
      </c>
      <c r="P342" s="3" t="s">
        <v>1640</v>
      </c>
      <c r="Q342" s="3" t="s">
        <v>611</v>
      </c>
      <c r="R342" s="3" t="s">
        <v>53</v>
      </c>
      <c r="S342" s="3">
        <v>92120100</v>
      </c>
      <c r="T342" s="3">
        <v>5134713777</v>
      </c>
      <c r="U342" s="3" t="s">
        <v>29</v>
      </c>
    </row>
    <row r="343" spans="1:21" ht="13.2" x14ac:dyDescent="0.25">
      <c r="A343" s="14">
        <v>13186075000150</v>
      </c>
      <c r="B343" s="15" t="str">
        <f t="shared" si="5"/>
        <v>13.186.075/0001-50</v>
      </c>
      <c r="C343" s="12"/>
      <c r="D343" s="3" t="s">
        <v>1641</v>
      </c>
      <c r="E343" s="3" t="s">
        <v>1642</v>
      </c>
      <c r="F343" s="3" t="s">
        <v>20</v>
      </c>
      <c r="G343" s="4">
        <v>40231</v>
      </c>
      <c r="H343" s="3" t="s">
        <v>21</v>
      </c>
      <c r="I343" s="3" t="s">
        <v>22</v>
      </c>
      <c r="J343" s="5">
        <v>94000</v>
      </c>
      <c r="K343" s="3">
        <v>8211300</v>
      </c>
      <c r="L343" s="3" t="s">
        <v>166</v>
      </c>
      <c r="M343" s="3" t="s">
        <v>1643</v>
      </c>
      <c r="N343" s="3">
        <v>407</v>
      </c>
      <c r="P343" s="3" t="s">
        <v>1644</v>
      </c>
      <c r="Q343" s="3" t="s">
        <v>1645</v>
      </c>
      <c r="R343" s="3" t="s">
        <v>28</v>
      </c>
      <c r="S343" s="3">
        <v>13845284</v>
      </c>
      <c r="T343" s="3">
        <v>1938514000</v>
      </c>
      <c r="U343" s="3" t="s">
        <v>29</v>
      </c>
    </row>
    <row r="344" spans="1:21" ht="13.2" x14ac:dyDescent="0.25">
      <c r="A344" s="14">
        <v>4562213000168</v>
      </c>
      <c r="B344" s="15" t="str">
        <f t="shared" si="5"/>
        <v>04.562.213/0001-68</v>
      </c>
      <c r="C344" s="12"/>
      <c r="D344" s="3" t="s">
        <v>1646</v>
      </c>
      <c r="E344" s="3" t="s">
        <v>1647</v>
      </c>
      <c r="F344" s="3" t="s">
        <v>20</v>
      </c>
      <c r="G344" s="4">
        <v>37091</v>
      </c>
      <c r="H344" s="3" t="s">
        <v>21</v>
      </c>
      <c r="I344" s="3" t="s">
        <v>22</v>
      </c>
      <c r="J344" s="5">
        <v>2100000</v>
      </c>
      <c r="K344" s="3">
        <v>4120400</v>
      </c>
      <c r="L344" s="3" t="s">
        <v>87</v>
      </c>
      <c r="M344" s="3" t="s">
        <v>1648</v>
      </c>
      <c r="N344" s="3">
        <v>268</v>
      </c>
      <c r="P344" s="3" t="s">
        <v>1649</v>
      </c>
      <c r="Q344" s="3" t="s">
        <v>1650</v>
      </c>
      <c r="R344" s="3" t="s">
        <v>1651</v>
      </c>
      <c r="S344" s="3">
        <v>68903617</v>
      </c>
      <c r="T344" s="3">
        <v>9674008220</v>
      </c>
      <c r="U344" s="3" t="s">
        <v>29</v>
      </c>
    </row>
    <row r="345" spans="1:21" ht="13.2" x14ac:dyDescent="0.25">
      <c r="A345" s="14">
        <v>21900349000150</v>
      </c>
      <c r="B345" s="15" t="str">
        <f t="shared" si="5"/>
        <v>21.900.349/0001-50</v>
      </c>
      <c r="C345" s="12"/>
      <c r="D345" s="3" t="s">
        <v>1652</v>
      </c>
      <c r="E345" s="3" t="s">
        <v>1653</v>
      </c>
      <c r="F345" s="3" t="s">
        <v>20</v>
      </c>
      <c r="G345" s="4">
        <v>42048</v>
      </c>
      <c r="H345" s="3" t="s">
        <v>21</v>
      </c>
      <c r="I345" s="3" t="s">
        <v>22</v>
      </c>
      <c r="J345" s="5">
        <v>100000</v>
      </c>
      <c r="K345" s="3">
        <v>3292202</v>
      </c>
      <c r="L345" s="3" t="s">
        <v>1654</v>
      </c>
      <c r="M345" s="3" t="s">
        <v>1655</v>
      </c>
      <c r="N345" s="3">
        <v>2225</v>
      </c>
      <c r="P345" s="3" t="s">
        <v>1656</v>
      </c>
      <c r="Q345" s="3" t="s">
        <v>1657</v>
      </c>
      <c r="R345" s="3" t="s">
        <v>28</v>
      </c>
      <c r="S345" s="3">
        <v>6311001</v>
      </c>
      <c r="T345" s="3">
        <v>1143869149</v>
      </c>
      <c r="U345" s="3" t="s">
        <v>29</v>
      </c>
    </row>
    <row r="346" spans="1:21" ht="13.2" x14ac:dyDescent="0.25">
      <c r="A346" s="14">
        <v>21590882000162</v>
      </c>
      <c r="B346" s="15" t="str">
        <f t="shared" si="5"/>
        <v>21.590.882/0001-62</v>
      </c>
      <c r="C346" s="12"/>
      <c r="D346" s="3" t="s">
        <v>1658</v>
      </c>
      <c r="E346" s="3" t="s">
        <v>1658</v>
      </c>
      <c r="F346" s="3" t="s">
        <v>20</v>
      </c>
      <c r="G346" s="4">
        <v>41992</v>
      </c>
      <c r="H346" s="3" t="s">
        <v>21</v>
      </c>
      <c r="I346" s="3" t="s">
        <v>22</v>
      </c>
      <c r="J346" s="5">
        <v>40000</v>
      </c>
      <c r="K346" s="3">
        <v>4754703</v>
      </c>
      <c r="L346" s="3" t="s">
        <v>1659</v>
      </c>
      <c r="M346" s="3" t="s">
        <v>1660</v>
      </c>
      <c r="N346" s="3">
        <v>1960</v>
      </c>
      <c r="P346" s="3" t="s">
        <v>1661</v>
      </c>
      <c r="Q346" s="3" t="s">
        <v>367</v>
      </c>
      <c r="R346" s="3" t="s">
        <v>28</v>
      </c>
      <c r="S346" s="3">
        <v>13424295</v>
      </c>
      <c r="T346" s="3">
        <v>1988777787</v>
      </c>
      <c r="U346" s="3" t="s">
        <v>29</v>
      </c>
    </row>
    <row r="347" spans="1:21" ht="13.2" x14ac:dyDescent="0.25">
      <c r="A347" s="14">
        <v>3718604000166</v>
      </c>
      <c r="B347" s="15" t="str">
        <f t="shared" si="5"/>
        <v>03.718.604/0001-66</v>
      </c>
      <c r="C347" s="12"/>
      <c r="D347" s="3" t="s">
        <v>1662</v>
      </c>
      <c r="E347" s="3" t="s">
        <v>1662</v>
      </c>
      <c r="F347" s="3" t="s">
        <v>20</v>
      </c>
      <c r="G347" s="4">
        <v>36608</v>
      </c>
      <c r="H347" s="3" t="s">
        <v>21</v>
      </c>
      <c r="I347" s="3" t="s">
        <v>47</v>
      </c>
      <c r="J347" s="5">
        <v>0</v>
      </c>
      <c r="K347" s="3">
        <v>8219901</v>
      </c>
      <c r="L347" s="3" t="s">
        <v>503</v>
      </c>
      <c r="M347" s="3" t="s">
        <v>1663</v>
      </c>
      <c r="N347" s="3">
        <v>198</v>
      </c>
      <c r="O347" s="3" t="s">
        <v>198</v>
      </c>
      <c r="P347" s="3" t="s">
        <v>1664</v>
      </c>
      <c r="Q347" s="3" t="s">
        <v>617</v>
      </c>
      <c r="R347" s="3" t="s">
        <v>28</v>
      </c>
      <c r="S347" s="3">
        <v>6453002</v>
      </c>
      <c r="T347" s="3">
        <v>1146881334</v>
      </c>
      <c r="U347" s="3" t="s">
        <v>29</v>
      </c>
    </row>
    <row r="348" spans="1:21" ht="13.2" x14ac:dyDescent="0.25">
      <c r="A348" s="14">
        <v>12164782000183</v>
      </c>
      <c r="B348" s="15" t="str">
        <f t="shared" si="5"/>
        <v>12.164.782/0001-83</v>
      </c>
      <c r="C348" s="12"/>
      <c r="D348" s="3" t="s">
        <v>1665</v>
      </c>
      <c r="E348" s="3" t="s">
        <v>1666</v>
      </c>
      <c r="F348" s="3" t="s">
        <v>20</v>
      </c>
      <c r="G348" s="4">
        <v>40228</v>
      </c>
      <c r="H348" s="3" t="s">
        <v>21</v>
      </c>
      <c r="I348" s="3" t="s">
        <v>22</v>
      </c>
      <c r="J348" s="5">
        <v>60000</v>
      </c>
      <c r="K348" s="3">
        <v>2823200</v>
      </c>
      <c r="L348" s="3" t="s">
        <v>1667</v>
      </c>
      <c r="M348" s="3" t="s">
        <v>437</v>
      </c>
      <c r="N348" s="3">
        <v>118</v>
      </c>
      <c r="P348" s="3" t="s">
        <v>885</v>
      </c>
      <c r="Q348" s="3" t="s">
        <v>27</v>
      </c>
      <c r="R348" s="3" t="s">
        <v>28</v>
      </c>
      <c r="S348" s="3">
        <v>3185020</v>
      </c>
      <c r="T348" s="3">
        <v>1126062006</v>
      </c>
      <c r="U348" s="3" t="s">
        <v>29</v>
      </c>
    </row>
    <row r="349" spans="1:21" ht="13.2" x14ac:dyDescent="0.25">
      <c r="A349" s="14">
        <v>26931598000126</v>
      </c>
      <c r="B349" s="15" t="str">
        <f t="shared" si="5"/>
        <v>26.931.598/0001-26</v>
      </c>
      <c r="C349" s="12"/>
      <c r="D349" s="3" t="s">
        <v>1668</v>
      </c>
      <c r="E349" s="3" t="s">
        <v>1669</v>
      </c>
      <c r="F349" s="3" t="s">
        <v>20</v>
      </c>
      <c r="G349" s="4">
        <v>42758</v>
      </c>
      <c r="H349" s="3" t="s">
        <v>94</v>
      </c>
      <c r="I349" s="3" t="s">
        <v>33</v>
      </c>
      <c r="J349" s="5">
        <v>93700</v>
      </c>
      <c r="K349" s="3">
        <v>3313999</v>
      </c>
      <c r="L349" s="3" t="s">
        <v>1670</v>
      </c>
      <c r="M349" s="3" t="s">
        <v>1671</v>
      </c>
      <c r="N349" s="3">
        <v>11777</v>
      </c>
      <c r="O349" s="3" t="s">
        <v>1672</v>
      </c>
      <c r="P349" s="3" t="s">
        <v>1673</v>
      </c>
      <c r="Q349" s="3" t="s">
        <v>231</v>
      </c>
      <c r="R349" s="3" t="s">
        <v>28</v>
      </c>
      <c r="S349" s="3">
        <v>18078005</v>
      </c>
      <c r="T349" s="3">
        <v>1598533471</v>
      </c>
      <c r="U349" s="3" t="s">
        <v>29</v>
      </c>
    </row>
    <row r="350" spans="1:21" ht="13.2" x14ac:dyDescent="0.25">
      <c r="A350" s="14">
        <v>58508748000341</v>
      </c>
      <c r="B350" s="15" t="str">
        <f t="shared" si="5"/>
        <v>58.508.748/0003-41</v>
      </c>
      <c r="C350" s="12"/>
      <c r="D350" s="3" t="s">
        <v>1674</v>
      </c>
      <c r="E350" s="3" t="s">
        <v>1674</v>
      </c>
      <c r="F350" s="3" t="s">
        <v>20</v>
      </c>
      <c r="G350" s="4">
        <v>39427</v>
      </c>
      <c r="H350" s="3" t="s">
        <v>21</v>
      </c>
      <c r="I350" s="3" t="s">
        <v>33</v>
      </c>
      <c r="J350" s="5">
        <v>26000000</v>
      </c>
      <c r="K350" s="3">
        <v>2593400</v>
      </c>
      <c r="L350" s="3" t="s">
        <v>1675</v>
      </c>
      <c r="M350" s="3" t="s">
        <v>1676</v>
      </c>
      <c r="N350" s="3">
        <v>795</v>
      </c>
      <c r="P350" s="3" t="s">
        <v>1677</v>
      </c>
      <c r="Q350" s="3" t="s">
        <v>1678</v>
      </c>
      <c r="R350" s="3" t="s">
        <v>28</v>
      </c>
      <c r="S350" s="3">
        <v>12958502</v>
      </c>
      <c r="T350" s="3">
        <v>1140121300</v>
      </c>
      <c r="U350" s="3" t="s">
        <v>29</v>
      </c>
    </row>
    <row r="351" spans="1:21" ht="13.2" x14ac:dyDescent="0.25">
      <c r="A351" s="14">
        <v>8207154000160</v>
      </c>
      <c r="B351" s="15" t="str">
        <f t="shared" si="5"/>
        <v>08.207.154/0001-60</v>
      </c>
      <c r="C351" s="12"/>
      <c r="D351" s="3" t="s">
        <v>1679</v>
      </c>
      <c r="E351" s="3" t="s">
        <v>1680</v>
      </c>
      <c r="F351" s="3" t="s">
        <v>20</v>
      </c>
      <c r="G351" s="4">
        <v>38933</v>
      </c>
      <c r="H351" s="3" t="s">
        <v>21</v>
      </c>
      <c r="I351" s="3" t="s">
        <v>33</v>
      </c>
      <c r="J351" s="5">
        <v>3000000</v>
      </c>
      <c r="K351" s="3">
        <v>4299599</v>
      </c>
      <c r="L351" s="3" t="s">
        <v>1185</v>
      </c>
      <c r="M351" s="3" t="s">
        <v>1681</v>
      </c>
      <c r="N351" s="3">
        <v>359</v>
      </c>
      <c r="O351" s="3" t="s">
        <v>1682</v>
      </c>
      <c r="P351" s="3" t="s">
        <v>1683</v>
      </c>
      <c r="Q351" s="3" t="s">
        <v>476</v>
      </c>
      <c r="R351" s="3" t="s">
        <v>100</v>
      </c>
      <c r="S351" s="3">
        <v>31070080</v>
      </c>
      <c r="T351" s="3">
        <v>3132747997</v>
      </c>
      <c r="U351" s="3" t="s">
        <v>29</v>
      </c>
    </row>
    <row r="352" spans="1:21" ht="13.2" x14ac:dyDescent="0.25">
      <c r="A352" s="14">
        <v>10474692000163</v>
      </c>
      <c r="B352" s="15" t="str">
        <f t="shared" si="5"/>
        <v>10.474.692/0001-63</v>
      </c>
      <c r="C352" s="12"/>
      <c r="D352" s="3" t="s">
        <v>1684</v>
      </c>
      <c r="E352" s="3" t="s">
        <v>1685</v>
      </c>
      <c r="F352" s="3" t="s">
        <v>20</v>
      </c>
      <c r="G352" s="4">
        <v>39749</v>
      </c>
      <c r="H352" s="3" t="s">
        <v>21</v>
      </c>
      <c r="I352" s="3" t="s">
        <v>47</v>
      </c>
      <c r="J352" s="5">
        <v>20000</v>
      </c>
      <c r="K352" s="3">
        <v>7420001</v>
      </c>
      <c r="L352" s="3" t="s">
        <v>1686</v>
      </c>
      <c r="M352" s="3" t="s">
        <v>1687</v>
      </c>
      <c r="N352" s="3">
        <v>1021</v>
      </c>
      <c r="P352" s="3" t="s">
        <v>1688</v>
      </c>
      <c r="Q352" s="3" t="s">
        <v>27</v>
      </c>
      <c r="R352" s="3" t="s">
        <v>28</v>
      </c>
      <c r="S352" s="3">
        <v>5458001</v>
      </c>
      <c r="T352" s="3">
        <v>1129944219</v>
      </c>
      <c r="U352" s="3" t="s">
        <v>29</v>
      </c>
    </row>
    <row r="353" spans="1:21" ht="13.2" x14ac:dyDescent="0.25">
      <c r="A353" s="14">
        <v>28363368000133</v>
      </c>
      <c r="B353" s="15" t="str">
        <f t="shared" si="5"/>
        <v>28.363.368/0001-33</v>
      </c>
      <c r="C353" s="12" t="str">
        <f>VLOOKUP(B353,[1]Planilha1!$A:$B,2,0)</f>
        <v>Malu Montesino</v>
      </c>
      <c r="D353" s="3" t="s">
        <v>1689</v>
      </c>
      <c r="E353" s="3" t="s">
        <v>1690</v>
      </c>
      <c r="F353" s="3" t="s">
        <v>20</v>
      </c>
      <c r="G353" s="4">
        <v>42955</v>
      </c>
      <c r="H353" s="3" t="s">
        <v>21</v>
      </c>
      <c r="I353" s="3" t="s">
        <v>22</v>
      </c>
      <c r="J353" s="5">
        <v>100000</v>
      </c>
      <c r="K353" s="3">
        <v>6201501</v>
      </c>
      <c r="L353" s="3" t="s">
        <v>298</v>
      </c>
      <c r="M353" s="3" t="s">
        <v>960</v>
      </c>
      <c r="N353" s="3">
        <v>101</v>
      </c>
      <c r="O353" s="3" t="s">
        <v>1691</v>
      </c>
      <c r="P353" s="3" t="s">
        <v>70</v>
      </c>
      <c r="Q353" s="3" t="s">
        <v>217</v>
      </c>
      <c r="R353" s="3" t="s">
        <v>28</v>
      </c>
      <c r="S353" s="3">
        <v>9750730</v>
      </c>
      <c r="T353" s="3">
        <v>1141093217</v>
      </c>
      <c r="U353" s="3" t="s">
        <v>29</v>
      </c>
    </row>
    <row r="354" spans="1:21" ht="13.2" x14ac:dyDescent="0.25">
      <c r="A354" s="14">
        <v>7017295000158</v>
      </c>
      <c r="B354" s="15" t="str">
        <f t="shared" si="5"/>
        <v>07.017.295/0001-58</v>
      </c>
      <c r="C354" s="12"/>
      <c r="D354" s="3" t="s">
        <v>1692</v>
      </c>
      <c r="E354" s="3" t="s">
        <v>1693</v>
      </c>
      <c r="F354" s="3" t="s">
        <v>20</v>
      </c>
      <c r="G354" s="4">
        <v>38215</v>
      </c>
      <c r="H354" s="3" t="s">
        <v>94</v>
      </c>
      <c r="I354" s="3" t="s">
        <v>33</v>
      </c>
      <c r="J354" s="5">
        <v>25210000</v>
      </c>
      <c r="K354" s="3">
        <v>6511101</v>
      </c>
      <c r="L354" s="3" t="s">
        <v>1694</v>
      </c>
      <c r="M354" s="3" t="s">
        <v>1695</v>
      </c>
      <c r="N354" s="3">
        <v>3</v>
      </c>
      <c r="O354" s="3" t="s">
        <v>1696</v>
      </c>
      <c r="P354" s="3" t="s">
        <v>70</v>
      </c>
      <c r="Q354" s="3" t="s">
        <v>253</v>
      </c>
      <c r="R354" s="3" t="s">
        <v>78</v>
      </c>
      <c r="S354" s="3">
        <v>20031144</v>
      </c>
      <c r="T354" s="3">
        <v>2135905901</v>
      </c>
      <c r="U354" s="3" t="s">
        <v>29</v>
      </c>
    </row>
    <row r="355" spans="1:21" ht="13.2" x14ac:dyDescent="0.25">
      <c r="A355" s="14">
        <v>3945627000103</v>
      </c>
      <c r="B355" s="15" t="str">
        <f t="shared" si="5"/>
        <v>03.945.627/0001-03</v>
      </c>
      <c r="C355" s="12"/>
      <c r="D355" s="3" t="s">
        <v>1697</v>
      </c>
      <c r="E355" s="3" t="s">
        <v>1697</v>
      </c>
      <c r="F355" s="3" t="s">
        <v>20</v>
      </c>
      <c r="G355" s="4">
        <v>36726</v>
      </c>
      <c r="H355" s="3" t="s">
        <v>21</v>
      </c>
      <c r="I355" s="3" t="s">
        <v>22</v>
      </c>
      <c r="J355" s="5">
        <v>90000</v>
      </c>
      <c r="K355" s="3">
        <v>7911200</v>
      </c>
      <c r="L355" s="3" t="s">
        <v>269</v>
      </c>
      <c r="M355" s="3" t="s">
        <v>1698</v>
      </c>
      <c r="N355" s="3">
        <v>2185</v>
      </c>
      <c r="P355" s="3" t="s">
        <v>1288</v>
      </c>
      <c r="Q355" s="3" t="s">
        <v>1289</v>
      </c>
      <c r="R355" s="3" t="s">
        <v>187</v>
      </c>
      <c r="S355" s="3">
        <v>87013060</v>
      </c>
      <c r="T355" s="3">
        <v>4432272007</v>
      </c>
      <c r="U355" s="3" t="s">
        <v>29</v>
      </c>
    </row>
    <row r="356" spans="1:21" ht="13.2" x14ac:dyDescent="0.25">
      <c r="A356" s="14">
        <v>20716823000125</v>
      </c>
      <c r="B356" s="15" t="str">
        <f t="shared" si="5"/>
        <v>20.716.823/0001-25</v>
      </c>
      <c r="C356" s="12"/>
      <c r="D356" s="3" t="s">
        <v>1699</v>
      </c>
      <c r="E356" s="3" t="s">
        <v>1700</v>
      </c>
      <c r="F356" s="3" t="s">
        <v>20</v>
      </c>
      <c r="G356" s="4">
        <v>41848</v>
      </c>
      <c r="H356" s="3" t="s">
        <v>21</v>
      </c>
      <c r="I356" s="3" t="s">
        <v>33</v>
      </c>
      <c r="J356" s="5">
        <v>2000000</v>
      </c>
      <c r="K356" s="3">
        <v>4661300</v>
      </c>
      <c r="L356" s="3" t="s">
        <v>595</v>
      </c>
      <c r="M356" s="3" t="s">
        <v>448</v>
      </c>
      <c r="N356" s="3">
        <v>116</v>
      </c>
      <c r="P356" s="3" t="s">
        <v>470</v>
      </c>
      <c r="Q356" s="3" t="s">
        <v>1701</v>
      </c>
      <c r="R356" s="3" t="s">
        <v>100</v>
      </c>
      <c r="S356" s="3">
        <v>32240080</v>
      </c>
      <c r="T356" s="3">
        <v>3134869292</v>
      </c>
      <c r="U356" s="3" t="s">
        <v>29</v>
      </c>
    </row>
    <row r="357" spans="1:21" ht="13.2" x14ac:dyDescent="0.25">
      <c r="A357" s="14">
        <v>53666681000198</v>
      </c>
      <c r="B357" s="15" t="str">
        <f t="shared" si="5"/>
        <v>53.666.681/0001-98</v>
      </c>
      <c r="C357" s="12"/>
      <c r="D357" s="3" t="s">
        <v>1702</v>
      </c>
      <c r="E357" s="3" t="s">
        <v>1702</v>
      </c>
      <c r="F357" s="3" t="s">
        <v>20</v>
      </c>
      <c r="G357" s="4">
        <v>30891</v>
      </c>
      <c r="H357" s="3" t="s">
        <v>21</v>
      </c>
      <c r="I357" s="3" t="s">
        <v>33</v>
      </c>
      <c r="J357" s="5">
        <v>500000</v>
      </c>
      <c r="K357" s="3">
        <v>2790202</v>
      </c>
      <c r="L357" s="3" t="s">
        <v>1703</v>
      </c>
      <c r="M357" s="3" t="s">
        <v>1704</v>
      </c>
      <c r="N357" s="3">
        <v>210</v>
      </c>
      <c r="O357" s="3">
        <v>216</v>
      </c>
      <c r="P357" s="3" t="s">
        <v>1705</v>
      </c>
      <c r="Q357" s="3" t="s">
        <v>217</v>
      </c>
      <c r="R357" s="3" t="s">
        <v>28</v>
      </c>
      <c r="S357" s="3">
        <v>9667000</v>
      </c>
      <c r="T357" s="3">
        <v>1141767600</v>
      </c>
      <c r="U357" s="3" t="s">
        <v>29</v>
      </c>
    </row>
    <row r="358" spans="1:21" ht="13.2" x14ac:dyDescent="0.25">
      <c r="A358" s="14">
        <v>21014118000149</v>
      </c>
      <c r="B358" s="15" t="str">
        <f t="shared" si="5"/>
        <v>21.014.118/0001-49</v>
      </c>
      <c r="C358" s="12"/>
      <c r="D358" s="3" t="s">
        <v>1706</v>
      </c>
      <c r="E358" s="3" t="s">
        <v>1706</v>
      </c>
      <c r="F358" s="3" t="s">
        <v>20</v>
      </c>
      <c r="G358" s="4">
        <v>41892</v>
      </c>
      <c r="H358" s="3" t="s">
        <v>21</v>
      </c>
      <c r="I358" s="3" t="s">
        <v>33</v>
      </c>
      <c r="J358" s="5">
        <v>74324560</v>
      </c>
      <c r="K358" s="3">
        <v>2093200</v>
      </c>
      <c r="L358" s="3" t="s">
        <v>913</v>
      </c>
      <c r="M358" s="3" t="s">
        <v>1707</v>
      </c>
      <c r="N358" s="3">
        <v>3864</v>
      </c>
      <c r="P358" s="3" t="s">
        <v>1708</v>
      </c>
      <c r="Q358" s="3" t="s">
        <v>1709</v>
      </c>
      <c r="R358" s="3" t="s">
        <v>28</v>
      </c>
      <c r="S358" s="3">
        <v>13317212</v>
      </c>
      <c r="T358" s="3">
        <v>1136490462</v>
      </c>
      <c r="U358" s="3" t="s">
        <v>29</v>
      </c>
    </row>
    <row r="359" spans="1:21" ht="13.2" x14ac:dyDescent="0.25">
      <c r="A359" s="14">
        <v>24801471000167</v>
      </c>
      <c r="B359" s="15" t="str">
        <f t="shared" si="5"/>
        <v>24.801.471/0001-67</v>
      </c>
      <c r="C359" s="12" t="str">
        <f>VLOOKUP(B359,[1]Planilha1!$A:$B,2,0)</f>
        <v>Malu Montesino</v>
      </c>
      <c r="D359" s="3" t="s">
        <v>1710</v>
      </c>
      <c r="E359" s="3" t="s">
        <v>1711</v>
      </c>
      <c r="F359" s="3" t="s">
        <v>20</v>
      </c>
      <c r="G359" s="4">
        <v>42505</v>
      </c>
      <c r="H359" s="3" t="s">
        <v>21</v>
      </c>
      <c r="I359" s="3" t="s">
        <v>22</v>
      </c>
      <c r="J359" s="5">
        <v>200000</v>
      </c>
      <c r="K359" s="3">
        <v>4789099</v>
      </c>
      <c r="L359" s="3" t="s">
        <v>774</v>
      </c>
      <c r="M359" s="3" t="s">
        <v>1712</v>
      </c>
      <c r="N359" s="3">
        <v>146</v>
      </c>
      <c r="O359" s="3" t="s">
        <v>1713</v>
      </c>
      <c r="P359" s="3" t="s">
        <v>1714</v>
      </c>
      <c r="Q359" s="3" t="s">
        <v>280</v>
      </c>
      <c r="R359" s="3" t="s">
        <v>281</v>
      </c>
      <c r="S359" s="3">
        <v>40285885</v>
      </c>
      <c r="T359" s="3">
        <v>2292919870</v>
      </c>
      <c r="U359" s="3" t="s">
        <v>29</v>
      </c>
    </row>
    <row r="360" spans="1:21" ht="13.2" x14ac:dyDescent="0.25">
      <c r="A360" s="14">
        <v>1117710000169</v>
      </c>
      <c r="B360" s="15" t="str">
        <f t="shared" si="5"/>
        <v>01.117.710/0001-69</v>
      </c>
      <c r="C360" s="12" t="str">
        <f>VLOOKUP(B360,[1]Planilha1!$A:$B,2,0)</f>
        <v>Malu Montesino</v>
      </c>
      <c r="D360" s="3" t="s">
        <v>1715</v>
      </c>
      <c r="E360" s="3" t="s">
        <v>1715</v>
      </c>
      <c r="F360" s="3" t="s">
        <v>20</v>
      </c>
      <c r="G360" s="4">
        <v>35142</v>
      </c>
      <c r="H360" s="3" t="s">
        <v>21</v>
      </c>
      <c r="I360" s="3" t="s">
        <v>33</v>
      </c>
      <c r="J360" s="5">
        <v>1000000</v>
      </c>
      <c r="K360" s="3">
        <v>4330402</v>
      </c>
      <c r="L360" s="3" t="s">
        <v>1716</v>
      </c>
      <c r="M360" s="3" t="s">
        <v>1717</v>
      </c>
      <c r="N360" s="3">
        <v>92</v>
      </c>
      <c r="P360" s="3" t="s">
        <v>1718</v>
      </c>
      <c r="Q360" s="3" t="s">
        <v>488</v>
      </c>
      <c r="R360" s="3" t="s">
        <v>28</v>
      </c>
      <c r="S360" s="3">
        <v>13284070</v>
      </c>
      <c r="T360" s="3">
        <v>1938469482</v>
      </c>
      <c r="U360" s="3" t="s">
        <v>29</v>
      </c>
    </row>
    <row r="361" spans="1:21" ht="13.2" x14ac:dyDescent="0.25">
      <c r="A361" s="14">
        <v>2271201000159</v>
      </c>
      <c r="B361" s="15" t="str">
        <f t="shared" si="5"/>
        <v>02.271.201/0001-59</v>
      </c>
      <c r="C361" s="12" t="str">
        <f>VLOOKUP(B361,[1]Planilha1!$A:$B,2,0)</f>
        <v>Malu Montesino</v>
      </c>
      <c r="D361" s="3" t="s">
        <v>1719</v>
      </c>
      <c r="E361" s="3" t="s">
        <v>1720</v>
      </c>
      <c r="F361" s="3" t="s">
        <v>20</v>
      </c>
      <c r="G361" s="4">
        <v>35768</v>
      </c>
      <c r="H361" s="3" t="s">
        <v>21</v>
      </c>
      <c r="I361" s="3" t="s">
        <v>33</v>
      </c>
      <c r="J361" s="5">
        <v>124483710</v>
      </c>
      <c r="K361" s="3">
        <v>2223400</v>
      </c>
      <c r="L361" s="3" t="s">
        <v>868</v>
      </c>
      <c r="M361" s="3" t="s">
        <v>1721</v>
      </c>
      <c r="N361" s="3" t="s">
        <v>82</v>
      </c>
      <c r="O361" s="3" t="s">
        <v>1722</v>
      </c>
      <c r="P361" s="3" t="s">
        <v>1723</v>
      </c>
      <c r="Q361" s="3" t="s">
        <v>1724</v>
      </c>
      <c r="R361" s="3" t="s">
        <v>1725</v>
      </c>
      <c r="S361" s="3">
        <v>59282137</v>
      </c>
      <c r="T361" s="3">
        <v>1111111111</v>
      </c>
      <c r="U361" s="3" t="s">
        <v>29</v>
      </c>
    </row>
    <row r="362" spans="1:21" ht="13.2" x14ac:dyDescent="0.25">
      <c r="A362" s="14">
        <v>2214604000166</v>
      </c>
      <c r="B362" s="15" t="str">
        <f t="shared" si="5"/>
        <v>02.214.604/0001-66</v>
      </c>
      <c r="C362" s="12" t="str">
        <f>VLOOKUP(B362,[1]Planilha1!$A:$B,2,0)</f>
        <v>Malu Montesino</v>
      </c>
      <c r="D362" s="3" t="s">
        <v>1726</v>
      </c>
      <c r="E362" s="3" t="s">
        <v>1726</v>
      </c>
      <c r="F362" s="3" t="s">
        <v>20</v>
      </c>
      <c r="G362" s="4">
        <v>35737</v>
      </c>
      <c r="H362" s="3" t="s">
        <v>21</v>
      </c>
      <c r="I362" s="3" t="s">
        <v>33</v>
      </c>
      <c r="J362" s="5">
        <v>1702526800</v>
      </c>
      <c r="K362" s="3">
        <v>4693100</v>
      </c>
      <c r="L362" s="3" t="s">
        <v>238</v>
      </c>
      <c r="M362" s="3" t="s">
        <v>1727</v>
      </c>
      <c r="N362" s="3">
        <v>510</v>
      </c>
      <c r="O362" s="3" t="s">
        <v>1728</v>
      </c>
      <c r="P362" s="3" t="s">
        <v>1729</v>
      </c>
      <c r="Q362" s="3" t="s">
        <v>280</v>
      </c>
      <c r="R362" s="3" t="s">
        <v>281</v>
      </c>
      <c r="S362" s="3">
        <v>41290000</v>
      </c>
      <c r="T362" s="3">
        <v>1140935100</v>
      </c>
      <c r="U362" s="3" t="s">
        <v>29</v>
      </c>
    </row>
    <row r="363" spans="1:21" ht="13.2" x14ac:dyDescent="0.25">
      <c r="A363" s="14">
        <v>10743549000120</v>
      </c>
      <c r="B363" s="15" t="str">
        <f t="shared" si="5"/>
        <v>10.743.549/0001-20</v>
      </c>
      <c r="C363" s="12"/>
      <c r="D363" s="3" t="s">
        <v>1730</v>
      </c>
      <c r="E363" s="3" t="s">
        <v>1731</v>
      </c>
      <c r="F363" s="3" t="s">
        <v>20</v>
      </c>
      <c r="G363" s="4">
        <v>39903</v>
      </c>
      <c r="H363" s="3" t="s">
        <v>21</v>
      </c>
      <c r="I363" s="3" t="s">
        <v>22</v>
      </c>
      <c r="J363" s="5">
        <v>300000</v>
      </c>
      <c r="K363" s="3">
        <v>3314799</v>
      </c>
      <c r="L363" s="3" t="s">
        <v>1732</v>
      </c>
      <c r="M363" s="3" t="s">
        <v>1733</v>
      </c>
      <c r="N363" s="3">
        <v>731</v>
      </c>
      <c r="O363" s="3" t="s">
        <v>1734</v>
      </c>
      <c r="P363" s="3" t="s">
        <v>1735</v>
      </c>
      <c r="Q363" s="3" t="s">
        <v>1177</v>
      </c>
      <c r="R363" s="3" t="s">
        <v>28</v>
      </c>
      <c r="S363" s="3">
        <v>13456430</v>
      </c>
      <c r="T363" s="3">
        <v>1991436745</v>
      </c>
      <c r="U363" s="3" t="s">
        <v>29</v>
      </c>
    </row>
    <row r="364" spans="1:21" ht="13.2" x14ac:dyDescent="0.25">
      <c r="A364" s="14">
        <v>25983227000125</v>
      </c>
      <c r="B364" s="15" t="str">
        <f t="shared" si="5"/>
        <v>25.983.227/0001-25</v>
      </c>
      <c r="C364" s="12"/>
      <c r="D364" s="3" t="s">
        <v>1736</v>
      </c>
      <c r="E364" s="3" t="s">
        <v>1736</v>
      </c>
      <c r="F364" s="3" t="s">
        <v>20</v>
      </c>
      <c r="G364" s="4">
        <v>42585</v>
      </c>
      <c r="H364" s="3" t="s">
        <v>244</v>
      </c>
      <c r="I364" s="3" t="s">
        <v>33</v>
      </c>
      <c r="J364" s="5">
        <v>0</v>
      </c>
      <c r="K364" s="3">
        <v>9411100</v>
      </c>
      <c r="L364" s="3" t="s">
        <v>1737</v>
      </c>
      <c r="M364" s="3" t="s">
        <v>1738</v>
      </c>
      <c r="N364" s="3">
        <v>72</v>
      </c>
      <c r="O364" s="3" t="s">
        <v>1739</v>
      </c>
      <c r="P364" s="3" t="s">
        <v>1740</v>
      </c>
      <c r="Q364" s="3" t="s">
        <v>27</v>
      </c>
      <c r="R364" s="3" t="s">
        <v>28</v>
      </c>
      <c r="S364" s="3">
        <v>5422030</v>
      </c>
      <c r="T364" s="3">
        <v>1130964500</v>
      </c>
      <c r="U364" s="3" t="s">
        <v>29</v>
      </c>
    </row>
    <row r="365" spans="1:21" ht="13.2" x14ac:dyDescent="0.25">
      <c r="A365" s="14">
        <v>26990358000100</v>
      </c>
      <c r="B365" s="15" t="str">
        <f t="shared" si="5"/>
        <v>26.990.358/0001-00</v>
      </c>
      <c r="C365" s="12"/>
      <c r="D365" s="3" t="s">
        <v>1741</v>
      </c>
      <c r="E365" s="3" t="s">
        <v>1742</v>
      </c>
      <c r="F365" s="3" t="s">
        <v>20</v>
      </c>
      <c r="G365" s="4">
        <v>33389</v>
      </c>
      <c r="H365" s="3" t="s">
        <v>244</v>
      </c>
      <c r="I365" s="3" t="s">
        <v>33</v>
      </c>
      <c r="J365" s="5">
        <v>0</v>
      </c>
      <c r="K365" s="3">
        <v>9411100</v>
      </c>
      <c r="L365" s="3" t="s">
        <v>1737</v>
      </c>
      <c r="M365" s="3" t="s">
        <v>1743</v>
      </c>
      <c r="N365" s="3" t="s">
        <v>111</v>
      </c>
      <c r="O365" s="3" t="s">
        <v>1744</v>
      </c>
      <c r="P365" s="3" t="s">
        <v>1745</v>
      </c>
      <c r="Q365" s="3" t="s">
        <v>631</v>
      </c>
      <c r="R365" s="3" t="s">
        <v>632</v>
      </c>
      <c r="S365" s="3">
        <v>70390025</v>
      </c>
      <c r="T365" s="3">
        <v>6130229600</v>
      </c>
      <c r="U365" s="3" t="s">
        <v>29</v>
      </c>
    </row>
    <row r="366" spans="1:21" ht="13.2" x14ac:dyDescent="0.25">
      <c r="A366" s="14">
        <v>7565018000180</v>
      </c>
      <c r="B366" s="15" t="str">
        <f t="shared" si="5"/>
        <v>07.565.018/0001-80</v>
      </c>
      <c r="C366" s="12"/>
      <c r="D366" s="3" t="s">
        <v>1746</v>
      </c>
      <c r="E366" s="3" t="s">
        <v>1747</v>
      </c>
      <c r="F366" s="3" t="s">
        <v>20</v>
      </c>
      <c r="G366" s="4">
        <v>38575</v>
      </c>
      <c r="H366" s="3" t="s">
        <v>244</v>
      </c>
      <c r="I366" s="3" t="s">
        <v>33</v>
      </c>
      <c r="J366" s="5">
        <v>0</v>
      </c>
      <c r="K366" s="3">
        <v>9430800</v>
      </c>
      <c r="L366" s="3" t="s">
        <v>626</v>
      </c>
      <c r="M366" s="3" t="s">
        <v>1748</v>
      </c>
      <c r="N366" s="3">
        <v>1464</v>
      </c>
      <c r="P366" s="3" t="s">
        <v>1749</v>
      </c>
      <c r="Q366" s="3" t="s">
        <v>934</v>
      </c>
      <c r="R366" s="3" t="s">
        <v>28</v>
      </c>
      <c r="S366" s="3">
        <v>13326110</v>
      </c>
      <c r="T366" s="3">
        <v>1141199559</v>
      </c>
      <c r="U366" s="3" t="s">
        <v>29</v>
      </c>
    </row>
    <row r="367" spans="1:21" ht="13.2" x14ac:dyDescent="0.25">
      <c r="A367" s="14">
        <v>33402892001188</v>
      </c>
      <c r="B367" s="15" t="str">
        <f t="shared" si="5"/>
        <v>33.402.892/0011-88</v>
      </c>
      <c r="C367" s="12"/>
      <c r="D367" s="3" t="s">
        <v>1750</v>
      </c>
      <c r="E367" s="3" t="s">
        <v>1750</v>
      </c>
      <c r="F367" s="3" t="s">
        <v>20</v>
      </c>
      <c r="G367" s="4">
        <v>42265</v>
      </c>
      <c r="H367" s="3" t="s">
        <v>244</v>
      </c>
      <c r="I367" s="3" t="s">
        <v>33</v>
      </c>
      <c r="J367" s="5">
        <v>0</v>
      </c>
      <c r="K367" s="3">
        <v>9499500</v>
      </c>
      <c r="L367" s="3" t="s">
        <v>245</v>
      </c>
      <c r="M367" s="3" t="s">
        <v>1751</v>
      </c>
      <c r="N367" s="3">
        <v>1131</v>
      </c>
      <c r="P367" s="3" t="s">
        <v>1752</v>
      </c>
      <c r="Q367" s="3" t="s">
        <v>27</v>
      </c>
      <c r="R367" s="3" t="s">
        <v>28</v>
      </c>
      <c r="S367" s="3">
        <v>1203002</v>
      </c>
      <c r="T367" s="3">
        <v>1130173600</v>
      </c>
      <c r="U367" s="3" t="s">
        <v>29</v>
      </c>
    </row>
    <row r="368" spans="1:21" ht="13.2" x14ac:dyDescent="0.25">
      <c r="A368" s="14">
        <v>7133823000134</v>
      </c>
      <c r="B368" s="15" t="str">
        <f t="shared" si="5"/>
        <v>07.133.823/0001-34</v>
      </c>
      <c r="C368" s="12"/>
      <c r="D368" s="3" t="s">
        <v>1753</v>
      </c>
      <c r="E368" s="3" t="s">
        <v>1754</v>
      </c>
      <c r="F368" s="3" t="s">
        <v>31</v>
      </c>
      <c r="G368" s="4">
        <v>38328</v>
      </c>
      <c r="H368" s="3" t="s">
        <v>244</v>
      </c>
      <c r="I368" s="3" t="s">
        <v>33</v>
      </c>
      <c r="J368" s="5">
        <v>0</v>
      </c>
      <c r="K368" s="3">
        <v>9430800</v>
      </c>
      <c r="L368" s="3" t="s">
        <v>626</v>
      </c>
      <c r="M368" s="3" t="s">
        <v>645</v>
      </c>
      <c r="N368" s="3">
        <v>99</v>
      </c>
      <c r="O368" s="3" t="s">
        <v>1755</v>
      </c>
      <c r="P368" s="3" t="s">
        <v>70</v>
      </c>
      <c r="Q368" s="3" t="s">
        <v>253</v>
      </c>
      <c r="R368" s="3" t="s">
        <v>78</v>
      </c>
      <c r="S368" s="3">
        <v>20040004</v>
      </c>
      <c r="U368" s="3" t="s">
        <v>29</v>
      </c>
    </row>
    <row r="369" spans="1:21" ht="13.2" x14ac:dyDescent="0.25">
      <c r="A369" s="14">
        <v>60524550000131</v>
      </c>
      <c r="B369" s="15" t="str">
        <f t="shared" si="5"/>
        <v>60.524.550/0001-31</v>
      </c>
      <c r="C369" s="12"/>
      <c r="D369" s="3" t="s">
        <v>1756</v>
      </c>
      <c r="E369" s="3" t="s">
        <v>1756</v>
      </c>
      <c r="F369" s="3" t="s">
        <v>20</v>
      </c>
      <c r="G369" s="4">
        <v>25695</v>
      </c>
      <c r="H369" s="3" t="s">
        <v>244</v>
      </c>
      <c r="I369" s="3" t="s">
        <v>33</v>
      </c>
      <c r="J369" s="5">
        <v>0</v>
      </c>
      <c r="K369" s="3">
        <v>9411100</v>
      </c>
      <c r="L369" s="3" t="s">
        <v>1737</v>
      </c>
      <c r="M369" s="3" t="s">
        <v>370</v>
      </c>
      <c r="N369" s="3" t="s">
        <v>1757</v>
      </c>
      <c r="O369" s="3">
        <v>57</v>
      </c>
      <c r="P369" s="3" t="s">
        <v>70</v>
      </c>
      <c r="Q369" s="3" t="s">
        <v>27</v>
      </c>
      <c r="R369" s="3" t="s">
        <v>28</v>
      </c>
      <c r="S369" s="3">
        <v>1014911</v>
      </c>
      <c r="T369" s="3">
        <v>1131803244</v>
      </c>
      <c r="U369" s="3" t="s">
        <v>29</v>
      </c>
    </row>
    <row r="370" spans="1:21" ht="13.2" x14ac:dyDescent="0.25">
      <c r="A370" s="14">
        <v>73074098000103</v>
      </c>
      <c r="B370" s="15" t="str">
        <f t="shared" si="5"/>
        <v>73.074.098/0001-03</v>
      </c>
      <c r="C370" s="12"/>
      <c r="D370" s="3" t="s">
        <v>1758</v>
      </c>
      <c r="E370" s="3" t="s">
        <v>1758</v>
      </c>
      <c r="F370" s="3" t="s">
        <v>20</v>
      </c>
      <c r="G370" s="4">
        <v>28491</v>
      </c>
      <c r="H370" s="3" t="s">
        <v>244</v>
      </c>
      <c r="I370" s="3" t="s">
        <v>33</v>
      </c>
      <c r="J370" s="5">
        <v>0</v>
      </c>
      <c r="K370" s="3">
        <v>9411100</v>
      </c>
      <c r="L370" s="3" t="s">
        <v>1737</v>
      </c>
      <c r="M370" s="3" t="s">
        <v>1759</v>
      </c>
      <c r="N370" s="3">
        <v>701</v>
      </c>
      <c r="P370" s="3" t="s">
        <v>1760</v>
      </c>
      <c r="Q370" s="3" t="s">
        <v>262</v>
      </c>
      <c r="R370" s="3" t="s">
        <v>28</v>
      </c>
      <c r="S370" s="3">
        <v>6086055</v>
      </c>
      <c r="T370" s="3">
        <v>1136517755</v>
      </c>
      <c r="U370" s="3" t="s">
        <v>29</v>
      </c>
    </row>
    <row r="371" spans="1:21" ht="13.2" x14ac:dyDescent="0.25">
      <c r="A371" s="14">
        <v>43310149000180</v>
      </c>
      <c r="B371" s="15" t="str">
        <f t="shared" si="5"/>
        <v>43.310.149/0001-80</v>
      </c>
      <c r="C371" s="12"/>
      <c r="D371" s="3" t="s">
        <v>1761</v>
      </c>
      <c r="E371" s="3" t="s">
        <v>1762</v>
      </c>
      <c r="F371" s="3" t="s">
        <v>20</v>
      </c>
      <c r="G371" s="4">
        <v>44427</v>
      </c>
      <c r="H371" s="3" t="s">
        <v>244</v>
      </c>
      <c r="I371" s="3" t="s">
        <v>33</v>
      </c>
      <c r="J371" s="5">
        <v>0</v>
      </c>
      <c r="K371" s="3">
        <v>9499500</v>
      </c>
      <c r="L371" s="3" t="s">
        <v>245</v>
      </c>
      <c r="M371" s="3" t="s">
        <v>1763</v>
      </c>
      <c r="N371" s="3">
        <v>960</v>
      </c>
      <c r="O371" s="3" t="s">
        <v>1764</v>
      </c>
      <c r="P371" s="3" t="s">
        <v>1765</v>
      </c>
      <c r="Q371" s="3" t="s">
        <v>273</v>
      </c>
      <c r="R371" s="3" t="s">
        <v>274</v>
      </c>
      <c r="S371" s="3">
        <v>74884120</v>
      </c>
      <c r="T371" s="3">
        <v>6292002676</v>
      </c>
      <c r="U371" s="3" t="s">
        <v>29</v>
      </c>
    </row>
    <row r="372" spans="1:21" ht="13.2" x14ac:dyDescent="0.25">
      <c r="A372" s="14">
        <v>14489263000110</v>
      </c>
      <c r="B372" s="15" t="str">
        <f t="shared" si="5"/>
        <v>14.489.263/0001-10</v>
      </c>
      <c r="C372" s="12"/>
      <c r="D372" s="3" t="s">
        <v>1766</v>
      </c>
      <c r="E372" s="3" t="s">
        <v>1766</v>
      </c>
      <c r="F372" s="3" t="s">
        <v>31</v>
      </c>
      <c r="G372" s="4">
        <v>40826</v>
      </c>
      <c r="H372" s="3" t="s">
        <v>244</v>
      </c>
      <c r="I372" s="3" t="s">
        <v>33</v>
      </c>
      <c r="J372" s="5">
        <v>0</v>
      </c>
      <c r="K372" s="3">
        <v>9499500</v>
      </c>
      <c r="L372" s="3" t="s">
        <v>245</v>
      </c>
      <c r="M372" s="3" t="s">
        <v>1767</v>
      </c>
      <c r="N372" s="3">
        <v>3073</v>
      </c>
      <c r="O372" s="3" t="s">
        <v>496</v>
      </c>
      <c r="P372" s="3" t="s">
        <v>1740</v>
      </c>
      <c r="Q372" s="3" t="s">
        <v>27</v>
      </c>
      <c r="R372" s="3" t="s">
        <v>28</v>
      </c>
      <c r="S372" s="3">
        <v>5401400</v>
      </c>
      <c r="T372" s="3">
        <v>1138396000</v>
      </c>
      <c r="U372" s="3" t="s">
        <v>29</v>
      </c>
    </row>
    <row r="373" spans="1:21" ht="13.2" x14ac:dyDescent="0.25">
      <c r="A373" s="14">
        <v>56765472000190</v>
      </c>
      <c r="B373" s="15" t="str">
        <f t="shared" si="5"/>
        <v>56.765.472/0001-90</v>
      </c>
      <c r="C373" s="12"/>
      <c r="D373" s="3" t="s">
        <v>1768</v>
      </c>
      <c r="E373" s="3" t="s">
        <v>1769</v>
      </c>
      <c r="F373" s="3" t="s">
        <v>20</v>
      </c>
      <c r="G373" s="4">
        <v>31734</v>
      </c>
      <c r="H373" s="3" t="s">
        <v>244</v>
      </c>
      <c r="I373" s="3" t="s">
        <v>33</v>
      </c>
      <c r="J373" s="5">
        <v>0</v>
      </c>
      <c r="K373" s="3">
        <v>9412099</v>
      </c>
      <c r="L373" s="3" t="s">
        <v>1770</v>
      </c>
      <c r="M373" s="3" t="s">
        <v>1771</v>
      </c>
      <c r="N373" s="3">
        <v>1642</v>
      </c>
      <c r="O373" s="3" t="s">
        <v>1772</v>
      </c>
      <c r="P373" s="3" t="s">
        <v>248</v>
      </c>
      <c r="Q373" s="3" t="s">
        <v>27</v>
      </c>
      <c r="R373" s="3" t="s">
        <v>28</v>
      </c>
      <c r="S373" s="3">
        <v>1327002</v>
      </c>
      <c r="T373" s="3">
        <v>1132630484</v>
      </c>
      <c r="U373" s="3" t="s">
        <v>29</v>
      </c>
    </row>
    <row r="374" spans="1:21" ht="13.2" x14ac:dyDescent="0.25">
      <c r="A374" s="14">
        <v>28151592000161</v>
      </c>
      <c r="B374" s="15" t="str">
        <f t="shared" si="5"/>
        <v>28.151.592/0001-61</v>
      </c>
      <c r="C374" s="12"/>
      <c r="D374" s="3" t="s">
        <v>1773</v>
      </c>
      <c r="E374" s="3" t="s">
        <v>1774</v>
      </c>
      <c r="F374" s="3" t="s">
        <v>20</v>
      </c>
      <c r="G374" s="4">
        <v>42914</v>
      </c>
      <c r="H374" s="3" t="s">
        <v>244</v>
      </c>
      <c r="I374" s="3" t="s">
        <v>33</v>
      </c>
      <c r="J374" s="5">
        <v>0</v>
      </c>
      <c r="K374" s="3">
        <v>9499500</v>
      </c>
      <c r="L374" s="3" t="s">
        <v>245</v>
      </c>
      <c r="M374" s="3" t="s">
        <v>246</v>
      </c>
      <c r="N374" s="3">
        <v>1636</v>
      </c>
      <c r="O374" s="3" t="s">
        <v>1775</v>
      </c>
      <c r="P374" s="3" t="s">
        <v>248</v>
      </c>
      <c r="Q374" s="3" t="s">
        <v>27</v>
      </c>
      <c r="R374" s="3" t="s">
        <v>28</v>
      </c>
      <c r="S374" s="3">
        <v>1310200</v>
      </c>
      <c r="T374" s="3">
        <v>1133110888</v>
      </c>
      <c r="U374" s="3" t="s">
        <v>29</v>
      </c>
    </row>
    <row r="375" spans="1:21" ht="13.2" x14ac:dyDescent="0.25">
      <c r="A375" s="14">
        <v>3722285000162</v>
      </c>
      <c r="B375" s="15" t="str">
        <f t="shared" si="5"/>
        <v>03.722.285/0001-62</v>
      </c>
      <c r="C375" s="12"/>
      <c r="D375" s="3" t="s">
        <v>1776</v>
      </c>
      <c r="E375" s="3" t="s">
        <v>1776</v>
      </c>
      <c r="F375" s="3" t="s">
        <v>20</v>
      </c>
      <c r="G375" s="4">
        <v>36609</v>
      </c>
      <c r="H375" s="3" t="s">
        <v>244</v>
      </c>
      <c r="I375" s="3" t="s">
        <v>33</v>
      </c>
      <c r="J375" s="5">
        <v>0</v>
      </c>
      <c r="K375" s="3">
        <v>9430800</v>
      </c>
      <c r="L375" s="3" t="s">
        <v>626</v>
      </c>
      <c r="M375" s="3" t="s">
        <v>1777</v>
      </c>
      <c r="N375" s="3">
        <v>546</v>
      </c>
      <c r="P375" s="3" t="s">
        <v>70</v>
      </c>
      <c r="Q375" s="3" t="s">
        <v>1778</v>
      </c>
      <c r="R375" s="3" t="s">
        <v>28</v>
      </c>
      <c r="S375" s="3">
        <v>13670000</v>
      </c>
      <c r="T375" s="3">
        <v>1935825680</v>
      </c>
      <c r="U375" s="3" t="s">
        <v>29</v>
      </c>
    </row>
    <row r="376" spans="1:21" ht="13.2" x14ac:dyDescent="0.25">
      <c r="A376" s="14">
        <v>43374768000138</v>
      </c>
      <c r="B376" s="15" t="str">
        <f t="shared" si="5"/>
        <v>43.374.768/0001-38</v>
      </c>
      <c r="C376" s="12"/>
      <c r="D376" s="3" t="s">
        <v>1779</v>
      </c>
      <c r="E376" s="3" t="s">
        <v>1780</v>
      </c>
      <c r="F376" s="3" t="s">
        <v>20</v>
      </c>
      <c r="G376" s="4">
        <v>26430</v>
      </c>
      <c r="H376" s="3" t="s">
        <v>244</v>
      </c>
      <c r="I376" s="3" t="s">
        <v>33</v>
      </c>
      <c r="J376" s="5">
        <v>0</v>
      </c>
      <c r="K376" s="3">
        <v>8533300</v>
      </c>
      <c r="L376" s="3" t="s">
        <v>1781</v>
      </c>
      <c r="M376" s="3" t="s">
        <v>1782</v>
      </c>
      <c r="N376" s="3">
        <v>302</v>
      </c>
      <c r="P376" s="3" t="s">
        <v>1783</v>
      </c>
      <c r="Q376" s="3" t="s">
        <v>27</v>
      </c>
      <c r="R376" s="3" t="s">
        <v>28</v>
      </c>
      <c r="S376" s="3">
        <v>2117010</v>
      </c>
      <c r="T376" s="3">
        <v>1133859032</v>
      </c>
      <c r="U376" s="3" t="s">
        <v>29</v>
      </c>
    </row>
    <row r="377" spans="1:21" ht="13.2" x14ac:dyDescent="0.25">
      <c r="A377" s="14">
        <v>61825675000164</v>
      </c>
      <c r="B377" s="15" t="str">
        <f t="shared" si="5"/>
        <v>61.825.675/0001-64</v>
      </c>
      <c r="C377" s="12" t="str">
        <f>VLOOKUP(B377,[1]Planilha1!$A:$B,2,0)</f>
        <v>Malu Montesino</v>
      </c>
      <c r="D377" s="3" t="s">
        <v>1784</v>
      </c>
      <c r="E377" s="3" t="s">
        <v>1784</v>
      </c>
      <c r="F377" s="3" t="s">
        <v>20</v>
      </c>
      <c r="G377" s="4">
        <v>24799</v>
      </c>
      <c r="H377" s="3" t="s">
        <v>244</v>
      </c>
      <c r="I377" s="3" t="s">
        <v>33</v>
      </c>
      <c r="J377" s="5">
        <v>0</v>
      </c>
      <c r="K377" s="3">
        <v>8532500</v>
      </c>
      <c r="L377" s="3" t="s">
        <v>1785</v>
      </c>
      <c r="M377" s="3" t="s">
        <v>1786</v>
      </c>
      <c r="N377" s="3">
        <v>123</v>
      </c>
      <c r="O377" s="3" t="s">
        <v>198</v>
      </c>
      <c r="P377" s="3" t="s">
        <v>1064</v>
      </c>
      <c r="Q377" s="3" t="s">
        <v>27</v>
      </c>
      <c r="R377" s="3" t="s">
        <v>28</v>
      </c>
      <c r="S377" s="3">
        <v>4018010</v>
      </c>
      <c r="T377" s="3">
        <v>1150854600</v>
      </c>
      <c r="U377" s="3" t="s">
        <v>29</v>
      </c>
    </row>
    <row r="378" spans="1:21" ht="13.2" x14ac:dyDescent="0.25">
      <c r="A378" s="14">
        <v>47673793000416</v>
      </c>
      <c r="B378" s="15" t="str">
        <f t="shared" si="5"/>
        <v>47.673.793/0004-16</v>
      </c>
      <c r="C378" s="12"/>
      <c r="D378" s="3" t="s">
        <v>1787</v>
      </c>
      <c r="E378" s="3" t="s">
        <v>1788</v>
      </c>
      <c r="F378" s="3" t="s">
        <v>20</v>
      </c>
      <c r="G378" s="4">
        <v>36544</v>
      </c>
      <c r="H378" s="3" t="s">
        <v>244</v>
      </c>
      <c r="I378" s="3" t="s">
        <v>33</v>
      </c>
      <c r="J378" s="5">
        <v>0</v>
      </c>
      <c r="K378" s="3">
        <v>8640299</v>
      </c>
      <c r="L378" s="3" t="s">
        <v>1789</v>
      </c>
      <c r="M378" s="3" t="s">
        <v>1790</v>
      </c>
      <c r="N378" s="3">
        <v>500</v>
      </c>
      <c r="P378" s="3" t="s">
        <v>1064</v>
      </c>
      <c r="Q378" s="3" t="s">
        <v>27</v>
      </c>
      <c r="R378" s="3" t="s">
        <v>28</v>
      </c>
      <c r="S378" s="3">
        <v>4020060</v>
      </c>
      <c r="T378" s="3">
        <v>1123880888</v>
      </c>
      <c r="U378" s="3" t="s">
        <v>29</v>
      </c>
    </row>
    <row r="379" spans="1:21" ht="13.2" x14ac:dyDescent="0.25">
      <c r="A379" s="14">
        <v>2428200000175</v>
      </c>
      <c r="B379" s="15" t="str">
        <f t="shared" si="5"/>
        <v>02.428.200/0001-75</v>
      </c>
      <c r="C379" s="12"/>
      <c r="D379" s="3" t="s">
        <v>1791</v>
      </c>
      <c r="E379" s="3" t="s">
        <v>1791</v>
      </c>
      <c r="F379" s="3" t="s">
        <v>20</v>
      </c>
      <c r="G379" s="4">
        <v>35837</v>
      </c>
      <c r="H379" s="3" t="s">
        <v>21</v>
      </c>
      <c r="I379" s="3" t="s">
        <v>33</v>
      </c>
      <c r="J379" s="5">
        <v>500000</v>
      </c>
      <c r="K379" s="3">
        <v>8011101</v>
      </c>
      <c r="L379" s="3" t="s">
        <v>943</v>
      </c>
      <c r="M379" s="3" t="s">
        <v>701</v>
      </c>
      <c r="N379" s="3">
        <v>527</v>
      </c>
      <c r="P379" s="3" t="s">
        <v>703</v>
      </c>
      <c r="Q379" s="3" t="s">
        <v>27</v>
      </c>
      <c r="R379" s="3" t="s">
        <v>28</v>
      </c>
      <c r="S379" s="3">
        <v>5319000</v>
      </c>
      <c r="T379" s="3">
        <v>1132938121</v>
      </c>
      <c r="U379" s="3" t="s">
        <v>29</v>
      </c>
    </row>
    <row r="380" spans="1:21" ht="13.2" x14ac:dyDescent="0.25">
      <c r="A380" s="14">
        <v>50949528000180</v>
      </c>
      <c r="B380" s="15" t="str">
        <f t="shared" si="5"/>
        <v>50.949.528/0001-80</v>
      </c>
      <c r="C380" s="12" t="str">
        <f>VLOOKUP(B380,[1]Planilha1!$A:$B,2,0)</f>
        <v>Malu Montesino</v>
      </c>
      <c r="D380" s="3" t="s">
        <v>1792</v>
      </c>
      <c r="E380" s="3" t="s">
        <v>1792</v>
      </c>
      <c r="F380" s="3" t="s">
        <v>20</v>
      </c>
      <c r="G380" s="4">
        <v>24363</v>
      </c>
      <c r="H380" s="3" t="s">
        <v>94</v>
      </c>
      <c r="I380" s="3" t="s">
        <v>33</v>
      </c>
      <c r="J380" s="5">
        <v>27957736</v>
      </c>
      <c r="K380" s="3">
        <v>2229301</v>
      </c>
      <c r="L380" s="3" t="s">
        <v>1793</v>
      </c>
      <c r="M380" s="3" t="s">
        <v>1794</v>
      </c>
      <c r="N380" s="3">
        <v>59</v>
      </c>
      <c r="P380" s="3" t="s">
        <v>1795</v>
      </c>
      <c r="Q380" s="3" t="s">
        <v>567</v>
      </c>
      <c r="R380" s="3" t="s">
        <v>28</v>
      </c>
      <c r="S380" s="3">
        <v>13209700</v>
      </c>
      <c r="T380" s="3">
        <v>1145837777</v>
      </c>
      <c r="U380" s="3" t="s">
        <v>29</v>
      </c>
    </row>
    <row r="381" spans="1:21" ht="13.2" x14ac:dyDescent="0.25">
      <c r="A381" s="14">
        <v>60318797000100</v>
      </c>
      <c r="B381" s="15" t="str">
        <f t="shared" si="5"/>
        <v>60.318.797/0001-00</v>
      </c>
      <c r="C381" s="12" t="str">
        <f>VLOOKUP(B381,[1]Planilha1!$A:$B,2,0)</f>
        <v>Malu Montesino</v>
      </c>
      <c r="D381" s="3" t="s">
        <v>1796</v>
      </c>
      <c r="E381" s="3" t="s">
        <v>1796</v>
      </c>
      <c r="F381" s="3" t="s">
        <v>20</v>
      </c>
      <c r="G381" s="4">
        <v>32601</v>
      </c>
      <c r="H381" s="3" t="s">
        <v>21</v>
      </c>
      <c r="I381" s="3" t="s">
        <v>33</v>
      </c>
      <c r="J381" s="5">
        <v>24030312</v>
      </c>
      <c r="K381" s="3">
        <v>2121101</v>
      </c>
      <c r="L381" s="3" t="s">
        <v>233</v>
      </c>
      <c r="M381" s="3" t="s">
        <v>1797</v>
      </c>
      <c r="N381" s="3" t="s">
        <v>111</v>
      </c>
      <c r="O381" s="3" t="s">
        <v>1798</v>
      </c>
      <c r="P381" s="3" t="s">
        <v>1799</v>
      </c>
      <c r="Q381" s="3" t="s">
        <v>688</v>
      </c>
      <c r="R381" s="3" t="s">
        <v>28</v>
      </c>
      <c r="S381" s="3">
        <v>6707000</v>
      </c>
      <c r="T381" s="3">
        <v>1137371200</v>
      </c>
      <c r="U381" s="3" t="s">
        <v>29</v>
      </c>
    </row>
    <row r="382" spans="1:21" ht="13.2" x14ac:dyDescent="0.25">
      <c r="A382" s="14">
        <v>56995681000120</v>
      </c>
      <c r="B382" s="15" t="str">
        <f t="shared" si="5"/>
        <v>56.995.681/0001-20</v>
      </c>
      <c r="C382" s="12" t="str">
        <f>VLOOKUP(B382,[1]Planilha1!$A:$B,2,0)</f>
        <v>Malu Montesino</v>
      </c>
      <c r="D382" s="3" t="s">
        <v>1800</v>
      </c>
      <c r="E382" s="3" t="s">
        <v>1800</v>
      </c>
      <c r="F382" s="3" t="s">
        <v>20</v>
      </c>
      <c r="G382" s="4">
        <v>24107</v>
      </c>
      <c r="H382" s="3" t="s">
        <v>21</v>
      </c>
      <c r="I382" s="3" t="s">
        <v>33</v>
      </c>
      <c r="J382" s="5">
        <v>16317272</v>
      </c>
      <c r="K382" s="3">
        <v>2869100</v>
      </c>
      <c r="L382" s="3" t="s">
        <v>1416</v>
      </c>
      <c r="M382" s="3" t="s">
        <v>1801</v>
      </c>
      <c r="N382" s="3" t="s">
        <v>1802</v>
      </c>
      <c r="O382" s="3" t="s">
        <v>1803</v>
      </c>
      <c r="P382" s="3" t="s">
        <v>1804</v>
      </c>
      <c r="Q382" s="3" t="s">
        <v>1805</v>
      </c>
      <c r="R382" s="3" t="s">
        <v>28</v>
      </c>
      <c r="S382" s="3">
        <v>13193580</v>
      </c>
      <c r="T382" s="3">
        <v>1938798725</v>
      </c>
      <c r="U382" s="3" t="s">
        <v>29</v>
      </c>
    </row>
    <row r="383" spans="1:21" ht="13.2" x14ac:dyDescent="0.25">
      <c r="A383" s="14">
        <v>75315333000109</v>
      </c>
      <c r="B383" s="15" t="str">
        <f t="shared" si="5"/>
        <v>75.315.333/0001-09</v>
      </c>
      <c r="C383" s="12"/>
      <c r="D383" s="3" t="s">
        <v>1806</v>
      </c>
      <c r="E383" s="3" t="s">
        <v>1807</v>
      </c>
      <c r="F383" s="3" t="s">
        <v>20</v>
      </c>
      <c r="G383" s="4">
        <v>26904</v>
      </c>
      <c r="H383" s="3" t="s">
        <v>377</v>
      </c>
      <c r="I383" s="3" t="s">
        <v>33</v>
      </c>
      <c r="J383" s="5">
        <v>17304242000</v>
      </c>
      <c r="K383" s="3">
        <v>4711301</v>
      </c>
      <c r="L383" s="3" t="s">
        <v>517</v>
      </c>
      <c r="M383" s="3" t="s">
        <v>1808</v>
      </c>
      <c r="N383" s="3">
        <v>6169</v>
      </c>
      <c r="P383" s="3" t="s">
        <v>1809</v>
      </c>
      <c r="Q383" s="3" t="s">
        <v>27</v>
      </c>
      <c r="R383" s="3" t="s">
        <v>28</v>
      </c>
      <c r="S383" s="3">
        <v>2170901</v>
      </c>
      <c r="T383" s="3">
        <v>1129678261</v>
      </c>
      <c r="U383" s="3" t="s">
        <v>29</v>
      </c>
    </row>
    <row r="384" spans="1:21" ht="13.2" x14ac:dyDescent="0.25">
      <c r="A384" s="14">
        <v>24563240000162</v>
      </c>
      <c r="B384" s="15" t="str">
        <f t="shared" si="5"/>
        <v>24.563.240/0001-62</v>
      </c>
      <c r="C384" s="12"/>
      <c r="D384" s="3" t="s">
        <v>1810</v>
      </c>
      <c r="E384" s="3" t="s">
        <v>1811</v>
      </c>
      <c r="F384" s="3" t="s">
        <v>45</v>
      </c>
      <c r="G384" s="4">
        <v>42471</v>
      </c>
      <c r="H384" s="3" t="s">
        <v>21</v>
      </c>
      <c r="I384" s="3" t="s">
        <v>22</v>
      </c>
      <c r="J384" s="5">
        <v>100000</v>
      </c>
      <c r="K384" s="3">
        <v>4649408</v>
      </c>
      <c r="L384" s="3" t="s">
        <v>464</v>
      </c>
      <c r="M384" s="3" t="s">
        <v>1812</v>
      </c>
      <c r="N384" s="3">
        <v>155</v>
      </c>
      <c r="P384" s="3" t="s">
        <v>1813</v>
      </c>
      <c r="Q384" s="3" t="s">
        <v>27</v>
      </c>
      <c r="R384" s="3" t="s">
        <v>28</v>
      </c>
      <c r="S384" s="3">
        <v>8160540</v>
      </c>
      <c r="T384" s="3">
        <v>1139950806</v>
      </c>
      <c r="U384" s="3" t="s">
        <v>29</v>
      </c>
    </row>
    <row r="385" spans="1:21" ht="13.2" x14ac:dyDescent="0.25">
      <c r="A385" s="14">
        <v>385650000100</v>
      </c>
      <c r="B385" s="15" t="str">
        <f t="shared" si="5"/>
        <v>00.385.650/0001-00</v>
      </c>
      <c r="C385" s="12" t="str">
        <f>VLOOKUP(B385,[1]Planilha1!$A:$B,2,0)</f>
        <v>Malu Montesino</v>
      </c>
      <c r="D385" s="3" t="s">
        <v>1814</v>
      </c>
      <c r="E385" s="3" t="s">
        <v>1815</v>
      </c>
      <c r="F385" s="3" t="s">
        <v>20</v>
      </c>
      <c r="G385" s="4">
        <v>34687</v>
      </c>
      <c r="H385" s="3" t="s">
        <v>21</v>
      </c>
      <c r="I385" s="3" t="s">
        <v>33</v>
      </c>
      <c r="J385" s="5">
        <v>1650000</v>
      </c>
      <c r="K385" s="3">
        <v>2222600</v>
      </c>
      <c r="L385" s="3" t="s">
        <v>183</v>
      </c>
      <c r="M385" s="3" t="s">
        <v>486</v>
      </c>
      <c r="N385" s="3">
        <v>895</v>
      </c>
      <c r="P385" s="3" t="s">
        <v>487</v>
      </c>
      <c r="Q385" s="3" t="s">
        <v>488</v>
      </c>
      <c r="R385" s="3" t="s">
        <v>28</v>
      </c>
      <c r="S385" s="3">
        <v>13288166</v>
      </c>
      <c r="T385" s="3">
        <v>1938268500</v>
      </c>
      <c r="U385" s="3" t="s">
        <v>29</v>
      </c>
    </row>
    <row r="386" spans="1:21" ht="13.2" x14ac:dyDescent="0.25">
      <c r="A386" s="14">
        <v>9019150000111</v>
      </c>
      <c r="B386" s="15" t="str">
        <f t="shared" si="5"/>
        <v>09.019.150/0001-11</v>
      </c>
      <c r="C386" s="12"/>
      <c r="D386" s="3" t="s">
        <v>1816</v>
      </c>
      <c r="E386" s="3" t="s">
        <v>1817</v>
      </c>
      <c r="F386" s="3" t="s">
        <v>20</v>
      </c>
      <c r="G386" s="4">
        <v>39318</v>
      </c>
      <c r="H386" s="3" t="s">
        <v>21</v>
      </c>
      <c r="I386" s="3" t="s">
        <v>33</v>
      </c>
      <c r="J386" s="5">
        <v>500000</v>
      </c>
      <c r="K386" s="3">
        <v>7830200</v>
      </c>
      <c r="L386" s="3" t="s">
        <v>473</v>
      </c>
      <c r="M386" s="3" t="s">
        <v>1606</v>
      </c>
      <c r="N386" s="3">
        <v>1267</v>
      </c>
      <c r="O386" s="3">
        <v>104</v>
      </c>
      <c r="P386" s="3" t="s">
        <v>1818</v>
      </c>
      <c r="Q386" s="3" t="s">
        <v>667</v>
      </c>
      <c r="R386" s="3" t="s">
        <v>301</v>
      </c>
      <c r="S386" s="3">
        <v>60150161</v>
      </c>
      <c r="T386" s="3">
        <v>8532573473</v>
      </c>
      <c r="U386" s="3" t="s">
        <v>29</v>
      </c>
    </row>
    <row r="387" spans="1:21" ht="13.2" x14ac:dyDescent="0.25">
      <c r="A387" s="14">
        <v>17330163000135</v>
      </c>
      <c r="B387" s="15" t="str">
        <f t="shared" ref="B387:B450" si="6">TEXT(A387,"00\.000\.000\/0000\-00")</f>
        <v>17.330.163/0001-35</v>
      </c>
      <c r="C387" s="12"/>
      <c r="D387" s="3" t="s">
        <v>1819</v>
      </c>
      <c r="E387" s="3" t="s">
        <v>1819</v>
      </c>
      <c r="F387" s="3" t="s">
        <v>20</v>
      </c>
      <c r="G387" s="4">
        <v>41254</v>
      </c>
      <c r="H387" s="3" t="s">
        <v>94</v>
      </c>
      <c r="I387" s="3" t="s">
        <v>33</v>
      </c>
      <c r="J387" s="5">
        <v>1467000000</v>
      </c>
      <c r="K387" s="3">
        <v>3512300</v>
      </c>
      <c r="L387" s="3" t="s">
        <v>1820</v>
      </c>
      <c r="M387" s="3" t="s">
        <v>251</v>
      </c>
      <c r="N387" s="3">
        <v>80</v>
      </c>
      <c r="P387" s="3" t="s">
        <v>252</v>
      </c>
      <c r="Q387" s="3" t="s">
        <v>253</v>
      </c>
      <c r="R387" s="3" t="s">
        <v>78</v>
      </c>
      <c r="S387" s="3">
        <v>22621270</v>
      </c>
      <c r="T387" s="3">
        <v>2132163300</v>
      </c>
      <c r="U387" s="3" t="s">
        <v>29</v>
      </c>
    </row>
    <row r="388" spans="1:21" ht="13.2" x14ac:dyDescent="0.25">
      <c r="A388" s="14">
        <v>11262624000101</v>
      </c>
      <c r="B388" s="15" t="str">
        <f t="shared" si="6"/>
        <v>11.262.624/0001-01</v>
      </c>
      <c r="C388" s="12"/>
      <c r="D388" s="3" t="s">
        <v>1821</v>
      </c>
      <c r="E388" s="3" t="s">
        <v>1821</v>
      </c>
      <c r="F388" s="3" t="s">
        <v>20</v>
      </c>
      <c r="G388" s="4">
        <v>40108</v>
      </c>
      <c r="H388" s="3" t="s">
        <v>94</v>
      </c>
      <c r="I388" s="3" t="s">
        <v>33</v>
      </c>
      <c r="J388" s="5">
        <v>108000000</v>
      </c>
      <c r="K388" s="3">
        <v>6201501</v>
      </c>
      <c r="L388" s="3" t="s">
        <v>298</v>
      </c>
      <c r="M388" s="3" t="s">
        <v>1822</v>
      </c>
      <c r="N388" s="3">
        <v>313</v>
      </c>
      <c r="O388" s="3" t="s">
        <v>1823</v>
      </c>
      <c r="P388" s="3" t="s">
        <v>316</v>
      </c>
      <c r="Q388" s="3" t="s">
        <v>27</v>
      </c>
      <c r="R388" s="3" t="s">
        <v>28</v>
      </c>
      <c r="S388" s="3">
        <v>4552904</v>
      </c>
      <c r="T388" s="3">
        <v>1131034600</v>
      </c>
      <c r="U388" s="3" t="s">
        <v>29</v>
      </c>
    </row>
    <row r="389" spans="1:21" ht="13.2" x14ac:dyDescent="0.25">
      <c r="A389" s="14">
        <v>27825984000104</v>
      </c>
      <c r="B389" s="15" t="str">
        <f t="shared" si="6"/>
        <v>27.825.984/0001-04</v>
      </c>
      <c r="C389" s="12"/>
      <c r="D389" s="3" t="s">
        <v>1824</v>
      </c>
      <c r="E389" s="3" t="s">
        <v>1825</v>
      </c>
      <c r="F389" s="3" t="s">
        <v>20</v>
      </c>
      <c r="G389" s="4">
        <v>42880</v>
      </c>
      <c r="H389" s="3" t="s">
        <v>21</v>
      </c>
      <c r="I389" s="3" t="s">
        <v>33</v>
      </c>
      <c r="J389" s="5">
        <v>500000</v>
      </c>
      <c r="K389" s="3">
        <v>6110803</v>
      </c>
      <c r="L389" s="3" t="s">
        <v>339</v>
      </c>
      <c r="M389" s="3" t="s">
        <v>1826</v>
      </c>
      <c r="N389" s="3">
        <v>780</v>
      </c>
      <c r="P389" s="3" t="s">
        <v>70</v>
      </c>
      <c r="Q389" s="3" t="s">
        <v>1827</v>
      </c>
      <c r="R389" s="3" t="s">
        <v>456</v>
      </c>
      <c r="S389" s="3">
        <v>56440000</v>
      </c>
      <c r="T389" s="3">
        <v>8738761798</v>
      </c>
      <c r="U389" s="3" t="s">
        <v>29</v>
      </c>
    </row>
    <row r="390" spans="1:21" ht="13.2" x14ac:dyDescent="0.25">
      <c r="A390" s="14">
        <v>7330369000101</v>
      </c>
      <c r="B390" s="15" t="str">
        <f t="shared" si="6"/>
        <v>07.330.369/0001-01</v>
      </c>
      <c r="C390" s="12"/>
      <c r="D390" s="3" t="s">
        <v>1828</v>
      </c>
      <c r="E390" s="3" t="s">
        <v>1829</v>
      </c>
      <c r="F390" s="3" t="s">
        <v>20</v>
      </c>
      <c r="G390" s="4">
        <v>38401</v>
      </c>
      <c r="H390" s="3" t="s">
        <v>21</v>
      </c>
      <c r="I390" s="3" t="s">
        <v>33</v>
      </c>
      <c r="J390" s="5">
        <v>143000</v>
      </c>
      <c r="K390" s="3">
        <v>3292202</v>
      </c>
      <c r="L390" s="3" t="s">
        <v>1654</v>
      </c>
      <c r="M390" s="3" t="s">
        <v>1830</v>
      </c>
      <c r="N390" s="3">
        <v>821</v>
      </c>
      <c r="P390" s="3" t="s">
        <v>1831</v>
      </c>
      <c r="Q390" s="3" t="s">
        <v>27</v>
      </c>
      <c r="R390" s="3" t="s">
        <v>28</v>
      </c>
      <c r="S390" s="3">
        <v>2710001</v>
      </c>
      <c r="T390" s="3">
        <v>1139327818</v>
      </c>
      <c r="U390" s="3" t="s">
        <v>29</v>
      </c>
    </row>
    <row r="391" spans="1:21" ht="13.2" x14ac:dyDescent="0.25">
      <c r="A391" s="14">
        <v>11864624000173</v>
      </c>
      <c r="B391" s="15" t="str">
        <f t="shared" si="6"/>
        <v>11.864.624/0001-73</v>
      </c>
      <c r="C391" s="12"/>
      <c r="D391" s="3" t="s">
        <v>1832</v>
      </c>
      <c r="E391" s="3" t="s">
        <v>1832</v>
      </c>
      <c r="F391" s="3" t="s">
        <v>20</v>
      </c>
      <c r="G391" s="4">
        <v>40287</v>
      </c>
      <c r="H391" s="3" t="s">
        <v>21</v>
      </c>
      <c r="I391" s="3" t="s">
        <v>22</v>
      </c>
      <c r="J391" s="5">
        <v>800000</v>
      </c>
      <c r="K391" s="3">
        <v>4757100</v>
      </c>
      <c r="L391" s="3" t="s">
        <v>1833</v>
      </c>
      <c r="M391" s="3" t="s">
        <v>1834</v>
      </c>
      <c r="N391" s="3" t="s">
        <v>111</v>
      </c>
      <c r="O391" s="3" t="s">
        <v>1835</v>
      </c>
      <c r="P391" s="3" t="s">
        <v>1836</v>
      </c>
      <c r="Q391" s="3" t="s">
        <v>1837</v>
      </c>
      <c r="R391" s="3" t="s">
        <v>28</v>
      </c>
      <c r="S391" s="3">
        <v>11750000</v>
      </c>
      <c r="T391" s="3">
        <v>1334569100</v>
      </c>
      <c r="U391" s="3" t="s">
        <v>29</v>
      </c>
    </row>
    <row r="392" spans="1:21" ht="13.2" x14ac:dyDescent="0.25">
      <c r="A392" s="14">
        <v>4274988000138</v>
      </c>
      <c r="B392" s="15" t="str">
        <f t="shared" si="6"/>
        <v>04.274.988/0001-38</v>
      </c>
      <c r="C392" s="12"/>
      <c r="D392" s="3" t="s">
        <v>1838</v>
      </c>
      <c r="E392" s="3" t="s">
        <v>1838</v>
      </c>
      <c r="F392" s="3" t="s">
        <v>20</v>
      </c>
      <c r="G392" s="4">
        <v>36927</v>
      </c>
      <c r="H392" s="3" t="s">
        <v>21</v>
      </c>
      <c r="I392" s="3" t="s">
        <v>33</v>
      </c>
      <c r="J392" s="5">
        <v>400000</v>
      </c>
      <c r="K392" s="3">
        <v>4644301</v>
      </c>
      <c r="L392" s="3" t="s">
        <v>326</v>
      </c>
      <c r="M392" s="3" t="s">
        <v>1839</v>
      </c>
      <c r="N392" s="3">
        <v>290</v>
      </c>
      <c r="P392" s="3" t="s">
        <v>1840</v>
      </c>
      <c r="Q392" s="3" t="s">
        <v>524</v>
      </c>
      <c r="R392" s="3" t="s">
        <v>28</v>
      </c>
      <c r="S392" s="3">
        <v>14020680</v>
      </c>
      <c r="T392" s="3">
        <v>1639939100</v>
      </c>
      <c r="U392" s="3" t="s">
        <v>29</v>
      </c>
    </row>
    <row r="393" spans="1:21" ht="13.2" x14ac:dyDescent="0.25">
      <c r="A393" s="14">
        <v>40911117000141</v>
      </c>
      <c r="B393" s="15" t="str">
        <f t="shared" si="6"/>
        <v>40.911.117/0001-41</v>
      </c>
      <c r="C393" s="12"/>
      <c r="D393" s="3" t="s">
        <v>1841</v>
      </c>
      <c r="E393" s="3" t="s">
        <v>1842</v>
      </c>
      <c r="F393" s="3" t="s">
        <v>20</v>
      </c>
      <c r="G393" s="4">
        <v>33449</v>
      </c>
      <c r="H393" s="3" t="s">
        <v>21</v>
      </c>
      <c r="I393" s="3" t="s">
        <v>33</v>
      </c>
      <c r="J393" s="5">
        <v>1500000</v>
      </c>
      <c r="K393" s="3">
        <v>7830200</v>
      </c>
      <c r="L393" s="3" t="s">
        <v>473</v>
      </c>
      <c r="M393" s="3" t="s">
        <v>1843</v>
      </c>
      <c r="N393" s="3">
        <v>69</v>
      </c>
      <c r="O393" s="3" t="s">
        <v>1844</v>
      </c>
      <c r="P393" s="3" t="s">
        <v>1845</v>
      </c>
      <c r="Q393" s="3" t="s">
        <v>1846</v>
      </c>
      <c r="R393" s="3" t="s">
        <v>1847</v>
      </c>
      <c r="S393" s="3">
        <v>57052895</v>
      </c>
      <c r="T393" s="3">
        <v>8231981350</v>
      </c>
      <c r="U393" s="3" t="s">
        <v>29</v>
      </c>
    </row>
    <row r="394" spans="1:21" ht="13.2" x14ac:dyDescent="0.25">
      <c r="A394" s="14">
        <v>8917306000119</v>
      </c>
      <c r="B394" s="15" t="str">
        <f t="shared" si="6"/>
        <v>08.917.306/0001-19</v>
      </c>
      <c r="C394" s="12"/>
      <c r="D394" s="3" t="s">
        <v>1848</v>
      </c>
      <c r="E394" s="3" t="s">
        <v>1849</v>
      </c>
      <c r="F394" s="3" t="s">
        <v>20</v>
      </c>
      <c r="G394" s="4">
        <v>39223</v>
      </c>
      <c r="H394" s="3" t="s">
        <v>21</v>
      </c>
      <c r="I394" s="3" t="s">
        <v>47</v>
      </c>
      <c r="J394" s="5">
        <v>88000</v>
      </c>
      <c r="K394" s="3">
        <v>4691500</v>
      </c>
      <c r="L394" s="3" t="s">
        <v>1850</v>
      </c>
      <c r="M394" s="3" t="s">
        <v>1851</v>
      </c>
      <c r="N394" s="3" t="s">
        <v>82</v>
      </c>
      <c r="O394" s="3" t="s">
        <v>1852</v>
      </c>
      <c r="P394" s="3" t="s">
        <v>1853</v>
      </c>
      <c r="Q394" s="3" t="s">
        <v>631</v>
      </c>
      <c r="R394" s="3" t="s">
        <v>632</v>
      </c>
      <c r="S394" s="3">
        <v>72265710</v>
      </c>
      <c r="T394" s="3">
        <v>6140421996</v>
      </c>
      <c r="U394" s="3" t="s">
        <v>29</v>
      </c>
    </row>
    <row r="395" spans="1:21" ht="13.2" x14ac:dyDescent="0.25">
      <c r="A395" s="14">
        <v>6880857000120</v>
      </c>
      <c r="B395" s="15" t="str">
        <f t="shared" si="6"/>
        <v>06.880.857/0001-20</v>
      </c>
      <c r="C395" s="12"/>
      <c r="D395" s="3" t="s">
        <v>1854</v>
      </c>
      <c r="E395" s="3" t="s">
        <v>1855</v>
      </c>
      <c r="F395" s="3" t="s">
        <v>20</v>
      </c>
      <c r="G395" s="4">
        <v>38176</v>
      </c>
      <c r="H395" s="3" t="s">
        <v>21</v>
      </c>
      <c r="I395" s="3" t="s">
        <v>33</v>
      </c>
      <c r="J395" s="5">
        <v>200000</v>
      </c>
      <c r="K395" s="3">
        <v>2812700</v>
      </c>
      <c r="L395" s="3" t="s">
        <v>1534</v>
      </c>
      <c r="M395" s="3" t="s">
        <v>1856</v>
      </c>
      <c r="N395" s="3" t="s">
        <v>82</v>
      </c>
      <c r="O395" s="3" t="s">
        <v>1857</v>
      </c>
      <c r="P395" s="3" t="s">
        <v>1529</v>
      </c>
      <c r="Q395" s="3" t="s">
        <v>1858</v>
      </c>
      <c r="R395" s="3" t="s">
        <v>281</v>
      </c>
      <c r="S395" s="3">
        <v>44380000</v>
      </c>
      <c r="T395" s="3">
        <v>7536218658</v>
      </c>
      <c r="U395" s="3" t="s">
        <v>29</v>
      </c>
    </row>
    <row r="396" spans="1:21" ht="13.2" x14ac:dyDescent="0.25">
      <c r="A396" s="14">
        <v>796042000261</v>
      </c>
      <c r="B396" s="15" t="str">
        <f t="shared" si="6"/>
        <v>00.796.042/0002-61</v>
      </c>
      <c r="C396" s="12"/>
      <c r="D396" s="3" t="s">
        <v>1859</v>
      </c>
      <c r="E396" s="3" t="s">
        <v>1860</v>
      </c>
      <c r="F396" s="3" t="s">
        <v>20</v>
      </c>
      <c r="G396" s="4">
        <v>42782</v>
      </c>
      <c r="H396" s="3" t="s">
        <v>21</v>
      </c>
      <c r="I396" s="3" t="s">
        <v>33</v>
      </c>
      <c r="J396" s="5">
        <v>9053900</v>
      </c>
      <c r="K396" s="3">
        <v>7112000</v>
      </c>
      <c r="L396" s="3" t="s">
        <v>276</v>
      </c>
      <c r="M396" s="3" t="s">
        <v>1777</v>
      </c>
      <c r="N396" s="3">
        <v>765</v>
      </c>
      <c r="P396" s="3" t="s">
        <v>70</v>
      </c>
      <c r="Q396" s="3" t="s">
        <v>654</v>
      </c>
      <c r="R396" s="3" t="s">
        <v>91</v>
      </c>
      <c r="S396" s="3">
        <v>88701010</v>
      </c>
      <c r="T396" s="3">
        <v>4830532565</v>
      </c>
      <c r="U396" s="3" t="s">
        <v>29</v>
      </c>
    </row>
    <row r="397" spans="1:21" ht="13.2" x14ac:dyDescent="0.25">
      <c r="A397" s="14">
        <v>35254924000107</v>
      </c>
      <c r="B397" s="15" t="str">
        <f t="shared" si="6"/>
        <v>35.254.924/0001-07</v>
      </c>
      <c r="C397" s="12" t="str">
        <f>VLOOKUP(B397,[1]Planilha1!$A:$B,2,0)</f>
        <v>Malu Montesino</v>
      </c>
      <c r="D397" s="3" t="s">
        <v>1861</v>
      </c>
      <c r="E397" s="3" t="s">
        <v>1861</v>
      </c>
      <c r="F397" s="3" t="s">
        <v>20</v>
      </c>
      <c r="G397" s="4">
        <v>43759</v>
      </c>
      <c r="H397" s="3" t="s">
        <v>21</v>
      </c>
      <c r="I397" s="3" t="s">
        <v>33</v>
      </c>
      <c r="J397" s="5">
        <v>3000000</v>
      </c>
      <c r="K397" s="3">
        <v>2814301</v>
      </c>
      <c r="L397" s="3" t="s">
        <v>563</v>
      </c>
      <c r="M397" s="3" t="s">
        <v>679</v>
      </c>
      <c r="N397" s="3">
        <v>2700</v>
      </c>
      <c r="O397" s="3" t="s">
        <v>1862</v>
      </c>
      <c r="P397" s="3" t="s">
        <v>681</v>
      </c>
      <c r="Q397" s="3" t="s">
        <v>617</v>
      </c>
      <c r="R397" s="3" t="s">
        <v>28</v>
      </c>
      <c r="S397" s="3">
        <v>6455000</v>
      </c>
      <c r="T397" s="3">
        <v>1134788558</v>
      </c>
      <c r="U397" s="3" t="s">
        <v>29</v>
      </c>
    </row>
    <row r="398" spans="1:21" ht="13.2" x14ac:dyDescent="0.25">
      <c r="A398" s="14">
        <v>89723837000172</v>
      </c>
      <c r="B398" s="15" t="str">
        <f t="shared" si="6"/>
        <v>89.723.837/0001-72</v>
      </c>
      <c r="C398" s="12" t="str">
        <f>VLOOKUP(B398,[1]Planilha1!$A:$B,2,0)</f>
        <v>Malu Montesino</v>
      </c>
      <c r="D398" s="3" t="s">
        <v>1863</v>
      </c>
      <c r="E398" s="3" t="s">
        <v>1863</v>
      </c>
      <c r="F398" s="3" t="s">
        <v>20</v>
      </c>
      <c r="G398" s="4">
        <v>24329</v>
      </c>
      <c r="H398" s="3" t="s">
        <v>94</v>
      </c>
      <c r="I398" s="3" t="s">
        <v>33</v>
      </c>
      <c r="J398" s="5">
        <v>250000000</v>
      </c>
      <c r="K398" s="3">
        <v>3291400</v>
      </c>
      <c r="L398" s="3" t="s">
        <v>1864</v>
      </c>
      <c r="M398" s="3" t="s">
        <v>1865</v>
      </c>
      <c r="N398" s="3">
        <v>8885</v>
      </c>
      <c r="O398" s="3" t="s">
        <v>1866</v>
      </c>
      <c r="P398" s="3" t="s">
        <v>1867</v>
      </c>
      <c r="Q398" s="3" t="s">
        <v>1868</v>
      </c>
      <c r="R398" s="3" t="s">
        <v>53</v>
      </c>
      <c r="S398" s="3">
        <v>93270010</v>
      </c>
      <c r="T398" s="3">
        <v>5134739536</v>
      </c>
      <c r="U398" s="3" t="s">
        <v>29</v>
      </c>
    </row>
    <row r="399" spans="1:21" ht="13.2" x14ac:dyDescent="0.25">
      <c r="A399" s="14">
        <v>5312946000107</v>
      </c>
      <c r="B399" s="15" t="str">
        <f t="shared" si="6"/>
        <v>05.312.946/0001-07</v>
      </c>
      <c r="C399" s="12" t="str">
        <f>VLOOKUP(B399,[1]Planilha1!$A:$B,2,0)</f>
        <v>Malu Montesino</v>
      </c>
      <c r="D399" s="3" t="s">
        <v>1869</v>
      </c>
      <c r="E399" s="3" t="s">
        <v>1869</v>
      </c>
      <c r="F399" s="3" t="s">
        <v>20</v>
      </c>
      <c r="G399" s="4">
        <v>37529</v>
      </c>
      <c r="H399" s="3" t="s">
        <v>21</v>
      </c>
      <c r="I399" s="3" t="s">
        <v>33</v>
      </c>
      <c r="J399" s="5">
        <v>2500000</v>
      </c>
      <c r="K399" s="3">
        <v>4511101</v>
      </c>
      <c r="L399" s="3" t="s">
        <v>1870</v>
      </c>
      <c r="M399" s="3" t="s">
        <v>1871</v>
      </c>
      <c r="N399" s="3">
        <v>3100</v>
      </c>
      <c r="P399" s="3" t="s">
        <v>1872</v>
      </c>
      <c r="Q399" s="3" t="s">
        <v>1873</v>
      </c>
      <c r="R399" s="3" t="s">
        <v>28</v>
      </c>
      <c r="S399" s="3">
        <v>14871700</v>
      </c>
      <c r="T399" s="3">
        <v>1632093333</v>
      </c>
      <c r="U399" s="3" t="s">
        <v>29</v>
      </c>
    </row>
    <row r="400" spans="1:21" ht="13.2" x14ac:dyDescent="0.25">
      <c r="A400" s="14">
        <v>13134213000158</v>
      </c>
      <c r="B400" s="15" t="str">
        <f t="shared" si="6"/>
        <v>13.134.213/0001-58</v>
      </c>
      <c r="C400" s="12"/>
      <c r="D400" s="3" t="s">
        <v>1874</v>
      </c>
      <c r="E400" s="3" t="s">
        <v>1875</v>
      </c>
      <c r="F400" s="3" t="s">
        <v>20</v>
      </c>
      <c r="G400" s="4">
        <v>40557</v>
      </c>
      <c r="H400" s="3" t="s">
        <v>21</v>
      </c>
      <c r="I400" s="3" t="s">
        <v>33</v>
      </c>
      <c r="J400" s="5">
        <v>250000</v>
      </c>
      <c r="K400" s="3">
        <v>4644301</v>
      </c>
      <c r="L400" s="3" t="s">
        <v>326</v>
      </c>
      <c r="M400" s="3" t="s">
        <v>1876</v>
      </c>
      <c r="N400" s="3">
        <v>171</v>
      </c>
      <c r="P400" s="3" t="s">
        <v>1877</v>
      </c>
      <c r="Q400" s="3" t="s">
        <v>1878</v>
      </c>
      <c r="R400" s="3" t="s">
        <v>28</v>
      </c>
      <c r="S400" s="3">
        <v>6833020</v>
      </c>
      <c r="T400" s="3">
        <v>1147856645</v>
      </c>
      <c r="U400" s="3" t="s">
        <v>29</v>
      </c>
    </row>
    <row r="401" spans="1:21" ht="13.2" x14ac:dyDescent="0.25">
      <c r="A401" s="14">
        <v>29736089000130</v>
      </c>
      <c r="B401" s="15" t="str">
        <f t="shared" si="6"/>
        <v>29.736.089/0001-30</v>
      </c>
      <c r="C401" s="12" t="str">
        <f>VLOOKUP(B401,[1]Planilha1!$A:$B,2,0)</f>
        <v>Malu Montesino</v>
      </c>
      <c r="D401" s="3" t="s">
        <v>1879</v>
      </c>
      <c r="E401" s="3" t="s">
        <v>1879</v>
      </c>
      <c r="F401" s="3" t="s">
        <v>20</v>
      </c>
      <c r="G401" s="4">
        <v>28360</v>
      </c>
      <c r="H401" s="3" t="s">
        <v>21</v>
      </c>
      <c r="I401" s="3" t="s">
        <v>33</v>
      </c>
      <c r="J401" s="5">
        <v>42311890</v>
      </c>
      <c r="K401" s="3">
        <v>9601703</v>
      </c>
      <c r="L401" s="3" t="s">
        <v>1099</v>
      </c>
      <c r="M401" s="3" t="s">
        <v>1880</v>
      </c>
      <c r="N401" s="3">
        <v>15827</v>
      </c>
      <c r="P401" s="3" t="s">
        <v>693</v>
      </c>
      <c r="Q401" s="3" t="s">
        <v>186</v>
      </c>
      <c r="R401" s="3" t="s">
        <v>187</v>
      </c>
      <c r="S401" s="3">
        <v>83015820</v>
      </c>
      <c r="T401" s="3">
        <v>4130622072</v>
      </c>
      <c r="U401" s="3" t="s">
        <v>29</v>
      </c>
    </row>
    <row r="402" spans="1:21" ht="13.2" x14ac:dyDescent="0.25">
      <c r="A402" s="14">
        <v>9192829000108</v>
      </c>
      <c r="B402" s="15" t="str">
        <f t="shared" si="6"/>
        <v>09.192.829/0001-08</v>
      </c>
      <c r="C402" s="12"/>
      <c r="D402" s="3" t="s">
        <v>1881</v>
      </c>
      <c r="E402" s="3" t="s">
        <v>1882</v>
      </c>
      <c r="F402" s="3" t="s">
        <v>20</v>
      </c>
      <c r="G402" s="4">
        <v>39395</v>
      </c>
      <c r="H402" s="3" t="s">
        <v>21</v>
      </c>
      <c r="I402" s="3" t="s">
        <v>33</v>
      </c>
      <c r="J402" s="5">
        <v>1300000</v>
      </c>
      <c r="K402" s="3">
        <v>4644301</v>
      </c>
      <c r="L402" s="3" t="s">
        <v>326</v>
      </c>
      <c r="M402" s="3" t="s">
        <v>1883</v>
      </c>
      <c r="N402" s="3" t="s">
        <v>82</v>
      </c>
      <c r="O402" s="3" t="s">
        <v>1884</v>
      </c>
      <c r="P402" s="3" t="s">
        <v>1885</v>
      </c>
      <c r="Q402" s="3" t="s">
        <v>1886</v>
      </c>
      <c r="R402" s="3" t="s">
        <v>1887</v>
      </c>
      <c r="S402" s="3">
        <v>77023122</v>
      </c>
      <c r="T402" s="3">
        <v>6332171223</v>
      </c>
      <c r="U402" s="3" t="s">
        <v>29</v>
      </c>
    </row>
    <row r="403" spans="1:21" ht="13.2" x14ac:dyDescent="0.25">
      <c r="A403" s="14">
        <v>16482201000102</v>
      </c>
      <c r="B403" s="15" t="str">
        <f t="shared" si="6"/>
        <v>16.482.201/0001-02</v>
      </c>
      <c r="C403" s="12" t="str">
        <f>VLOOKUP(B403,[1]Planilha1!$A:$B,2,0)</f>
        <v>Malu Montesino</v>
      </c>
      <c r="D403" s="3" t="s">
        <v>1888</v>
      </c>
      <c r="E403" s="3" t="s">
        <v>1888</v>
      </c>
      <c r="F403" s="3" t="s">
        <v>45</v>
      </c>
      <c r="G403" s="4">
        <v>41101</v>
      </c>
      <c r="H403" s="3" t="s">
        <v>21</v>
      </c>
      <c r="I403" s="3" t="s">
        <v>33</v>
      </c>
      <c r="J403" s="5">
        <v>9187179</v>
      </c>
      <c r="K403" s="3">
        <v>4645101</v>
      </c>
      <c r="L403" s="3" t="s">
        <v>135</v>
      </c>
      <c r="M403" s="3" t="s">
        <v>1889</v>
      </c>
      <c r="N403" s="3">
        <v>47</v>
      </c>
      <c r="O403" s="3" t="s">
        <v>1297</v>
      </c>
      <c r="P403" s="3" t="s">
        <v>235</v>
      </c>
      <c r="Q403" s="3" t="s">
        <v>27</v>
      </c>
      <c r="R403" s="3" t="s">
        <v>28</v>
      </c>
      <c r="S403" s="3">
        <v>4621000</v>
      </c>
      <c r="T403" s="3">
        <v>1123052022</v>
      </c>
      <c r="U403" s="3" t="s">
        <v>29</v>
      </c>
    </row>
    <row r="404" spans="1:21" ht="13.2" x14ac:dyDescent="0.25">
      <c r="A404" s="14">
        <v>19522075000160</v>
      </c>
      <c r="B404" s="15" t="str">
        <f t="shared" si="6"/>
        <v>19.522.075/0001-60</v>
      </c>
      <c r="C404" s="12" t="str">
        <f>VLOOKUP(B404,[1]Planilha1!$A:$B,2,0)</f>
        <v>Malu Montesino</v>
      </c>
      <c r="D404" s="3" t="s">
        <v>1890</v>
      </c>
      <c r="E404" s="3" t="s">
        <v>1890</v>
      </c>
      <c r="F404" s="3" t="s">
        <v>20</v>
      </c>
      <c r="G404" s="4">
        <v>41653</v>
      </c>
      <c r="H404" s="3" t="s">
        <v>21</v>
      </c>
      <c r="I404" s="3" t="s">
        <v>33</v>
      </c>
      <c r="J404" s="5">
        <v>100000</v>
      </c>
      <c r="K404" s="3">
        <v>7490104</v>
      </c>
      <c r="L404" s="3" t="s">
        <v>1597</v>
      </c>
      <c r="M404" s="3" t="s">
        <v>1891</v>
      </c>
      <c r="N404" s="3">
        <v>503</v>
      </c>
      <c r="O404" s="3" t="s">
        <v>1892</v>
      </c>
      <c r="P404" s="3" t="s">
        <v>940</v>
      </c>
      <c r="Q404" s="3" t="s">
        <v>617</v>
      </c>
      <c r="R404" s="3" t="s">
        <v>28</v>
      </c>
      <c r="S404" s="3">
        <v>6454000</v>
      </c>
      <c r="T404" s="3">
        <v>1172845540</v>
      </c>
      <c r="U404" s="3" t="s">
        <v>29</v>
      </c>
    </row>
    <row r="405" spans="1:21" ht="13.2" x14ac:dyDescent="0.25">
      <c r="A405" s="14">
        <v>2163575000150</v>
      </c>
      <c r="B405" s="15" t="str">
        <f t="shared" si="6"/>
        <v>02.163.575/0001-50</v>
      </c>
      <c r="C405" s="12"/>
      <c r="D405" s="3" t="s">
        <v>1893</v>
      </c>
      <c r="E405" s="3" t="s">
        <v>1894</v>
      </c>
      <c r="F405" s="3" t="s">
        <v>20</v>
      </c>
      <c r="G405" s="4">
        <v>35710</v>
      </c>
      <c r="H405" s="3" t="s">
        <v>32</v>
      </c>
      <c r="I405" s="3" t="s">
        <v>33</v>
      </c>
      <c r="J405" s="5">
        <v>2000000</v>
      </c>
      <c r="K405" s="3">
        <v>6920602</v>
      </c>
      <c r="L405" s="3" t="s">
        <v>1022</v>
      </c>
      <c r="M405" s="3" t="s">
        <v>800</v>
      </c>
      <c r="N405" s="3">
        <v>890</v>
      </c>
      <c r="O405" s="3" t="s">
        <v>1895</v>
      </c>
      <c r="P405" s="3" t="s">
        <v>461</v>
      </c>
      <c r="Q405" s="3" t="s">
        <v>27</v>
      </c>
      <c r="R405" s="3" t="s">
        <v>28</v>
      </c>
      <c r="S405" s="3">
        <v>1304001</v>
      </c>
      <c r="T405" s="3">
        <v>1138192207</v>
      </c>
      <c r="U405" s="3" t="s">
        <v>29</v>
      </c>
    </row>
    <row r="406" spans="1:21" ht="13.2" x14ac:dyDescent="0.25">
      <c r="A406" s="14">
        <v>11254307000135</v>
      </c>
      <c r="B406" s="15" t="str">
        <f t="shared" si="6"/>
        <v>11.254.307/0001-35</v>
      </c>
      <c r="C406" s="12" t="str">
        <f>VLOOKUP(B406,[1]Planilha1!$A:$B,2,0)</f>
        <v>Malu Montesino</v>
      </c>
      <c r="D406" s="3" t="s">
        <v>1896</v>
      </c>
      <c r="E406" s="3" t="s">
        <v>1897</v>
      </c>
      <c r="F406" s="3" t="s">
        <v>20</v>
      </c>
      <c r="G406" s="4">
        <v>28128</v>
      </c>
      <c r="H406" s="3" t="s">
        <v>32</v>
      </c>
      <c r="I406" s="3" t="s">
        <v>22</v>
      </c>
      <c r="J406" s="5">
        <v>300000</v>
      </c>
      <c r="K406" s="3">
        <v>6920602</v>
      </c>
      <c r="L406" s="3" t="s">
        <v>1022</v>
      </c>
      <c r="M406" s="3" t="s">
        <v>1898</v>
      </c>
      <c r="N406" s="3">
        <v>2615</v>
      </c>
      <c r="O406" s="3" t="s">
        <v>1899</v>
      </c>
      <c r="P406" s="3" t="s">
        <v>370</v>
      </c>
      <c r="Q406" s="3" t="s">
        <v>1339</v>
      </c>
      <c r="R406" s="3" t="s">
        <v>456</v>
      </c>
      <c r="S406" s="3">
        <v>50050290</v>
      </c>
      <c r="T406" s="3">
        <v>8233383525</v>
      </c>
      <c r="U406" s="3" t="s">
        <v>29</v>
      </c>
    </row>
    <row r="407" spans="1:21" ht="13.2" x14ac:dyDescent="0.25">
      <c r="A407" s="14">
        <v>20964886000109</v>
      </c>
      <c r="B407" s="15" t="str">
        <f t="shared" si="6"/>
        <v>20.964.886/0001-09</v>
      </c>
      <c r="C407" s="12"/>
      <c r="D407" s="3" t="s">
        <v>1900</v>
      </c>
      <c r="E407" s="3" t="s">
        <v>1901</v>
      </c>
      <c r="F407" s="3" t="s">
        <v>20</v>
      </c>
      <c r="G407" s="4">
        <v>41879</v>
      </c>
      <c r="H407" s="3" t="s">
        <v>21</v>
      </c>
      <c r="I407" s="3" t="s">
        <v>22</v>
      </c>
      <c r="J407" s="5">
        <v>300000</v>
      </c>
      <c r="K407" s="3">
        <v>9001906</v>
      </c>
      <c r="L407" s="3" t="s">
        <v>1902</v>
      </c>
      <c r="M407" s="3" t="s">
        <v>1903</v>
      </c>
      <c r="N407" s="3">
        <v>126</v>
      </c>
      <c r="O407" s="3" t="s">
        <v>1904</v>
      </c>
      <c r="P407" s="3" t="s">
        <v>70</v>
      </c>
      <c r="Q407" s="3" t="s">
        <v>1253</v>
      </c>
      <c r="R407" s="3" t="s">
        <v>765</v>
      </c>
      <c r="S407" s="3">
        <v>29010002</v>
      </c>
      <c r="T407" s="3">
        <v>2733150129</v>
      </c>
      <c r="U407" s="3" t="s">
        <v>29</v>
      </c>
    </row>
    <row r="408" spans="1:21" ht="13.2" x14ac:dyDescent="0.25">
      <c r="A408" s="14">
        <v>30498387000119</v>
      </c>
      <c r="B408" s="15" t="str">
        <f t="shared" si="6"/>
        <v>30.498.387/0001-19</v>
      </c>
      <c r="C408" s="12"/>
      <c r="D408" s="3" t="s">
        <v>1905</v>
      </c>
      <c r="E408" s="3" t="s">
        <v>1905</v>
      </c>
      <c r="F408" s="3" t="s">
        <v>20</v>
      </c>
      <c r="G408" s="4">
        <v>43238</v>
      </c>
      <c r="H408" s="3" t="s">
        <v>94</v>
      </c>
      <c r="I408" s="3" t="s">
        <v>33</v>
      </c>
      <c r="J408" s="5">
        <v>4300010</v>
      </c>
      <c r="K408" s="3">
        <v>7112000</v>
      </c>
      <c r="L408" s="3" t="s">
        <v>276</v>
      </c>
      <c r="M408" s="3" t="s">
        <v>1175</v>
      </c>
      <c r="N408" s="3" t="s">
        <v>82</v>
      </c>
      <c r="O408" s="3" t="s">
        <v>1906</v>
      </c>
      <c r="P408" s="3" t="s">
        <v>1907</v>
      </c>
      <c r="Q408" s="3" t="s">
        <v>216</v>
      </c>
      <c r="R408" s="3" t="s">
        <v>53</v>
      </c>
      <c r="S408" s="3">
        <v>96203900</v>
      </c>
      <c r="T408" s="3">
        <v>5399742381</v>
      </c>
      <c r="U408" s="3" t="s">
        <v>29</v>
      </c>
    </row>
    <row r="409" spans="1:21" ht="13.2" x14ac:dyDescent="0.25">
      <c r="A409" s="14">
        <v>5522437000109</v>
      </c>
      <c r="B409" s="15" t="str">
        <f t="shared" si="6"/>
        <v>05.522.437/0001-09</v>
      </c>
      <c r="C409" s="12" t="str">
        <f>VLOOKUP(B409,[1]Planilha1!$A:$B,2,0)</f>
        <v>Malu Montesino</v>
      </c>
      <c r="D409" s="3" t="s">
        <v>1908</v>
      </c>
      <c r="E409" s="3" t="s">
        <v>1908</v>
      </c>
      <c r="F409" s="3" t="s">
        <v>45</v>
      </c>
      <c r="G409" s="4">
        <v>37659</v>
      </c>
      <c r="H409" s="3" t="s">
        <v>94</v>
      </c>
      <c r="I409" s="3" t="s">
        <v>33</v>
      </c>
      <c r="J409" s="5">
        <v>35084132</v>
      </c>
      <c r="K409" s="3">
        <v>4222701</v>
      </c>
      <c r="L409" s="3" t="s">
        <v>1909</v>
      </c>
      <c r="M409" s="3" t="s">
        <v>1910</v>
      </c>
      <c r="N409" s="3">
        <v>111</v>
      </c>
      <c r="O409" s="3" t="s">
        <v>1911</v>
      </c>
      <c r="P409" s="3" t="s">
        <v>70</v>
      </c>
      <c r="Q409" s="3" t="s">
        <v>27</v>
      </c>
      <c r="R409" s="3" t="s">
        <v>28</v>
      </c>
      <c r="S409" s="3">
        <v>1050030</v>
      </c>
      <c r="T409" s="3">
        <v>1132582155</v>
      </c>
      <c r="U409" s="3" t="s">
        <v>29</v>
      </c>
    </row>
    <row r="410" spans="1:21" ht="13.2" x14ac:dyDescent="0.25">
      <c r="A410" s="14">
        <v>11111752000146</v>
      </c>
      <c r="B410" s="15" t="str">
        <f t="shared" si="6"/>
        <v>11.111.752/0001-46</v>
      </c>
      <c r="C410" s="12"/>
      <c r="D410" s="3" t="s">
        <v>1912</v>
      </c>
      <c r="E410" s="3" t="s">
        <v>1912</v>
      </c>
      <c r="F410" s="3" t="s">
        <v>20</v>
      </c>
      <c r="G410" s="4">
        <v>40046</v>
      </c>
      <c r="H410" s="3" t="s">
        <v>21</v>
      </c>
      <c r="I410" s="3" t="s">
        <v>33</v>
      </c>
      <c r="J410" s="5">
        <v>955342000</v>
      </c>
      <c r="K410" s="3">
        <v>2943300</v>
      </c>
      <c r="L410" s="3" t="s">
        <v>1913</v>
      </c>
      <c r="M410" s="3" t="s">
        <v>332</v>
      </c>
      <c r="N410" s="3">
        <v>2422</v>
      </c>
      <c r="P410" s="3" t="s">
        <v>1914</v>
      </c>
      <c r="Q410" s="3" t="s">
        <v>1915</v>
      </c>
      <c r="R410" s="3" t="s">
        <v>28</v>
      </c>
      <c r="S410" s="3">
        <v>13223901</v>
      </c>
      <c r="T410" s="3">
        <v>1129234744</v>
      </c>
      <c r="U410" s="3" t="s">
        <v>29</v>
      </c>
    </row>
    <row r="411" spans="1:21" ht="13.2" x14ac:dyDescent="0.25">
      <c r="A411" s="14">
        <v>194724000113</v>
      </c>
      <c r="B411" s="15" t="str">
        <f t="shared" si="6"/>
        <v>00.194.724/0001-13</v>
      </c>
      <c r="C411" s="12"/>
      <c r="D411" s="3" t="s">
        <v>1916</v>
      </c>
      <c r="E411" s="3" t="s">
        <v>1916</v>
      </c>
      <c r="F411" s="3" t="s">
        <v>20</v>
      </c>
      <c r="G411" s="4">
        <v>34591</v>
      </c>
      <c r="H411" s="3" t="s">
        <v>377</v>
      </c>
      <c r="I411" s="3" t="s">
        <v>33</v>
      </c>
      <c r="J411" s="5">
        <v>2833775000</v>
      </c>
      <c r="K411" s="3">
        <v>3511501</v>
      </c>
      <c r="L411" s="3" t="s">
        <v>1917</v>
      </c>
      <c r="M411" s="3" t="s">
        <v>1918</v>
      </c>
      <c r="N411" s="3" t="s">
        <v>82</v>
      </c>
      <c r="O411" s="3" t="s">
        <v>1919</v>
      </c>
      <c r="P411" s="3" t="s">
        <v>1920</v>
      </c>
      <c r="Q411" s="3" t="s">
        <v>324</v>
      </c>
      <c r="R411" s="3" t="s">
        <v>28</v>
      </c>
      <c r="S411" s="3">
        <v>17039800</v>
      </c>
      <c r="T411" s="3">
        <v>4133885151</v>
      </c>
      <c r="U411" s="3" t="s">
        <v>29</v>
      </c>
    </row>
    <row r="412" spans="1:21" ht="13.2" x14ac:dyDescent="0.25">
      <c r="A412" s="14">
        <v>18817800000165</v>
      </c>
      <c r="B412" s="15" t="str">
        <f t="shared" si="6"/>
        <v>18.817.800/0001-65</v>
      </c>
      <c r="C412" s="12"/>
      <c r="D412" s="3" t="s">
        <v>1921</v>
      </c>
      <c r="E412" s="3" t="s">
        <v>1922</v>
      </c>
      <c r="F412" s="3" t="s">
        <v>20</v>
      </c>
      <c r="G412" s="4">
        <v>41522</v>
      </c>
      <c r="H412" s="3" t="s">
        <v>21</v>
      </c>
      <c r="I412" s="3" t="s">
        <v>33</v>
      </c>
      <c r="J412" s="5">
        <v>1000000</v>
      </c>
      <c r="K412" s="3">
        <v>2833000</v>
      </c>
      <c r="L412" s="3" t="s">
        <v>151</v>
      </c>
      <c r="M412" s="3" t="s">
        <v>1923</v>
      </c>
      <c r="N412" s="3">
        <v>226</v>
      </c>
      <c r="P412" s="3" t="s">
        <v>1783</v>
      </c>
      <c r="Q412" s="3" t="s">
        <v>1924</v>
      </c>
      <c r="R412" s="3" t="s">
        <v>28</v>
      </c>
      <c r="S412" s="3">
        <v>19053205</v>
      </c>
      <c r="T412" s="3">
        <v>1821012800</v>
      </c>
      <c r="U412" s="3" t="s">
        <v>29</v>
      </c>
    </row>
    <row r="413" spans="1:21" ht="13.2" x14ac:dyDescent="0.25">
      <c r="A413" s="14">
        <v>42317213000191</v>
      </c>
      <c r="B413" s="15" t="str">
        <f t="shared" si="6"/>
        <v>42.317.213/0001-91</v>
      </c>
      <c r="C413" s="12" t="str">
        <f>VLOOKUP(B413,[1]Planilha1!$A:$B,2,0)</f>
        <v>Malu Montesino</v>
      </c>
      <c r="D413" s="3" t="s">
        <v>1925</v>
      </c>
      <c r="E413" s="3" t="s">
        <v>1926</v>
      </c>
      <c r="F413" s="3" t="s">
        <v>20</v>
      </c>
      <c r="G413" s="4">
        <v>44361</v>
      </c>
      <c r="H413" s="3" t="s">
        <v>21</v>
      </c>
      <c r="I413" s="3" t="s">
        <v>33</v>
      </c>
      <c r="J413" s="5">
        <v>5482800</v>
      </c>
      <c r="K413" s="3">
        <v>6209100</v>
      </c>
      <c r="L413" s="3" t="s">
        <v>303</v>
      </c>
      <c r="M413" s="3" t="s">
        <v>1927</v>
      </c>
      <c r="N413" s="3">
        <v>527</v>
      </c>
      <c r="O413" s="3" t="s">
        <v>1928</v>
      </c>
      <c r="P413" s="3" t="s">
        <v>193</v>
      </c>
      <c r="Q413" s="3" t="s">
        <v>65</v>
      </c>
      <c r="R413" s="3" t="s">
        <v>28</v>
      </c>
      <c r="S413" s="3">
        <v>13092110</v>
      </c>
      <c r="T413" s="3">
        <v>9999999999</v>
      </c>
      <c r="U413" s="3" t="s">
        <v>29</v>
      </c>
    </row>
    <row r="414" spans="1:21" ht="13.2" x14ac:dyDescent="0.25">
      <c r="A414" s="14">
        <v>43967314000170</v>
      </c>
      <c r="B414" s="15" t="str">
        <f t="shared" si="6"/>
        <v>43.967.314/0001-70</v>
      </c>
      <c r="C414" s="12"/>
      <c r="D414" s="3" t="s">
        <v>1929</v>
      </c>
      <c r="E414" s="3" t="s">
        <v>1929</v>
      </c>
      <c r="F414" s="3" t="s">
        <v>20</v>
      </c>
      <c r="G414" s="4">
        <v>24840</v>
      </c>
      <c r="H414" s="3" t="s">
        <v>21</v>
      </c>
      <c r="I414" s="3" t="s">
        <v>33</v>
      </c>
      <c r="J414" s="5">
        <v>1145000</v>
      </c>
      <c r="K414" s="3">
        <v>4731800</v>
      </c>
      <c r="L414" s="3" t="s">
        <v>1930</v>
      </c>
      <c r="M414" s="3" t="s">
        <v>1931</v>
      </c>
      <c r="N414" s="3">
        <v>196</v>
      </c>
      <c r="P414" s="3" t="s">
        <v>70</v>
      </c>
      <c r="Q414" s="3" t="s">
        <v>1932</v>
      </c>
      <c r="R414" s="3" t="s">
        <v>28</v>
      </c>
      <c r="S414" s="3">
        <v>14820023</v>
      </c>
      <c r="T414" s="3">
        <v>1633013636</v>
      </c>
      <c r="U414" s="3" t="s">
        <v>29</v>
      </c>
    </row>
    <row r="415" spans="1:21" ht="13.2" x14ac:dyDescent="0.25">
      <c r="A415" s="14">
        <v>3085403000179</v>
      </c>
      <c r="B415" s="15" t="str">
        <f t="shared" si="6"/>
        <v>03.085.403/0001-79</v>
      </c>
      <c r="C415" s="12"/>
      <c r="D415" s="3" t="s">
        <v>1933</v>
      </c>
      <c r="E415" s="3" t="s">
        <v>1933</v>
      </c>
      <c r="F415" s="3" t="s">
        <v>20</v>
      </c>
      <c r="G415" s="4">
        <v>36257</v>
      </c>
      <c r="H415" s="3" t="s">
        <v>21</v>
      </c>
      <c r="I415" s="3" t="s">
        <v>33</v>
      </c>
      <c r="J415" s="5">
        <v>60000</v>
      </c>
      <c r="K415" s="3">
        <v>1741902</v>
      </c>
      <c r="L415" s="3" t="s">
        <v>321</v>
      </c>
      <c r="M415" s="3" t="s">
        <v>1934</v>
      </c>
      <c r="N415" s="3">
        <v>163</v>
      </c>
      <c r="P415" s="3" t="s">
        <v>1935</v>
      </c>
      <c r="Q415" s="3" t="s">
        <v>52</v>
      </c>
      <c r="R415" s="3" t="s">
        <v>53</v>
      </c>
      <c r="S415" s="3">
        <v>93310490</v>
      </c>
      <c r="T415" s="3">
        <v>5130663030</v>
      </c>
      <c r="U415" s="3" t="s">
        <v>29</v>
      </c>
    </row>
    <row r="416" spans="1:21" ht="13.2" x14ac:dyDescent="0.25">
      <c r="A416" s="14">
        <v>24647785000157</v>
      </c>
      <c r="B416" s="15" t="str">
        <f t="shared" si="6"/>
        <v>24.647.785/0001-57</v>
      </c>
      <c r="C416" s="12"/>
      <c r="D416" s="3" t="s">
        <v>1936</v>
      </c>
      <c r="E416" s="3" t="s">
        <v>1937</v>
      </c>
      <c r="F416" s="3" t="s">
        <v>20</v>
      </c>
      <c r="G416" s="4">
        <v>42483</v>
      </c>
      <c r="H416" s="3" t="s">
        <v>21</v>
      </c>
      <c r="I416" s="3" t="s">
        <v>22</v>
      </c>
      <c r="J416" s="5">
        <v>500000</v>
      </c>
      <c r="K416" s="3">
        <v>4742300</v>
      </c>
      <c r="L416" s="3" t="s">
        <v>1152</v>
      </c>
      <c r="M416" s="3" t="s">
        <v>1938</v>
      </c>
      <c r="N416" s="3">
        <v>1228</v>
      </c>
      <c r="P416" s="3" t="s">
        <v>70</v>
      </c>
      <c r="Q416" s="3" t="s">
        <v>1939</v>
      </c>
      <c r="R416" s="3" t="s">
        <v>187</v>
      </c>
      <c r="S416" s="3">
        <v>86170000</v>
      </c>
      <c r="T416" s="3">
        <v>4332324492</v>
      </c>
      <c r="U416" s="3" t="s">
        <v>29</v>
      </c>
    </row>
    <row r="417" spans="1:21" ht="13.2" x14ac:dyDescent="0.25">
      <c r="A417" s="14">
        <v>59104513000195</v>
      </c>
      <c r="B417" s="15" t="str">
        <f t="shared" si="6"/>
        <v>59.104.513/0001-95</v>
      </c>
      <c r="C417" s="12"/>
      <c r="D417" s="3" t="s">
        <v>1940</v>
      </c>
      <c r="E417" s="3" t="s">
        <v>1940</v>
      </c>
      <c r="F417" s="3" t="s">
        <v>20</v>
      </c>
      <c r="G417" s="4">
        <v>24833</v>
      </c>
      <c r="H417" s="3" t="s">
        <v>21</v>
      </c>
      <c r="I417" s="3" t="s">
        <v>33</v>
      </c>
      <c r="J417" s="5">
        <v>449668350</v>
      </c>
      <c r="K417" s="3">
        <v>2949299</v>
      </c>
      <c r="L417" s="3" t="s">
        <v>1083</v>
      </c>
      <c r="M417" s="3" t="s">
        <v>1941</v>
      </c>
      <c r="N417" s="3">
        <v>1650</v>
      </c>
      <c r="P417" s="3" t="s">
        <v>1942</v>
      </c>
      <c r="Q417" s="3" t="s">
        <v>1943</v>
      </c>
      <c r="R417" s="3" t="s">
        <v>28</v>
      </c>
      <c r="S417" s="3">
        <v>9950905</v>
      </c>
      <c r="T417" s="3">
        <v>1140708246</v>
      </c>
      <c r="U417" s="3" t="s">
        <v>29</v>
      </c>
    </row>
    <row r="418" spans="1:21" ht="13.2" x14ac:dyDescent="0.25">
      <c r="A418" s="14">
        <v>68976091000996</v>
      </c>
      <c r="B418" s="15" t="str">
        <f t="shared" si="6"/>
        <v>68.976.091/0009-96</v>
      </c>
      <c r="C418" s="12"/>
      <c r="D418" s="3" t="s">
        <v>1944</v>
      </c>
      <c r="E418" s="3" t="s">
        <v>1945</v>
      </c>
      <c r="F418" s="3" t="s">
        <v>45</v>
      </c>
      <c r="G418" s="4">
        <v>40052</v>
      </c>
      <c r="H418" s="3" t="s">
        <v>94</v>
      </c>
      <c r="I418" s="3" t="s">
        <v>33</v>
      </c>
      <c r="J418" s="5">
        <v>9154682</v>
      </c>
      <c r="K418" s="3">
        <v>4511101</v>
      </c>
      <c r="L418" s="3" t="s">
        <v>1870</v>
      </c>
      <c r="M418" s="3" t="s">
        <v>1946</v>
      </c>
      <c r="N418" s="3">
        <v>74</v>
      </c>
      <c r="P418" s="3" t="s">
        <v>1450</v>
      </c>
      <c r="Q418" s="3" t="s">
        <v>27</v>
      </c>
      <c r="R418" s="3" t="s">
        <v>28</v>
      </c>
      <c r="S418" s="3">
        <v>4730050</v>
      </c>
      <c r="T418" s="3">
        <v>1137551011</v>
      </c>
      <c r="U418" s="3" t="s">
        <v>29</v>
      </c>
    </row>
    <row r="419" spans="1:21" ht="13.2" x14ac:dyDescent="0.25">
      <c r="A419" s="14">
        <v>40281347000174</v>
      </c>
      <c r="B419" s="15" t="str">
        <f t="shared" si="6"/>
        <v>40.281.347/0001-74</v>
      </c>
      <c r="C419" s="12"/>
      <c r="D419" s="3" t="s">
        <v>1947</v>
      </c>
      <c r="E419" s="3" t="s">
        <v>1947</v>
      </c>
      <c r="F419" s="3" t="s">
        <v>20</v>
      </c>
      <c r="G419" s="4">
        <v>33464</v>
      </c>
      <c r="H419" s="3" t="s">
        <v>94</v>
      </c>
      <c r="I419" s="3" t="s">
        <v>33</v>
      </c>
      <c r="J419" s="5">
        <v>70000000</v>
      </c>
      <c r="K419" s="3">
        <v>6130200</v>
      </c>
      <c r="L419" s="3" t="s">
        <v>1948</v>
      </c>
      <c r="M419" s="3" t="s">
        <v>1949</v>
      </c>
      <c r="N419" s="3">
        <v>10</v>
      </c>
      <c r="O419" s="3" t="s">
        <v>1950</v>
      </c>
      <c r="P419" s="3" t="s">
        <v>1456</v>
      </c>
      <c r="Q419" s="3" t="s">
        <v>631</v>
      </c>
      <c r="R419" s="3" t="s">
        <v>632</v>
      </c>
      <c r="S419" s="3">
        <v>71250620</v>
      </c>
      <c r="T419" s="3">
        <v>6133077000</v>
      </c>
      <c r="U419" s="3" t="s">
        <v>29</v>
      </c>
    </row>
    <row r="420" spans="1:21" ht="13.2" x14ac:dyDescent="0.25">
      <c r="A420" s="14">
        <v>10426136000111</v>
      </c>
      <c r="B420" s="15" t="str">
        <f t="shared" si="6"/>
        <v>10.426.136/0001-11</v>
      </c>
      <c r="C420" s="12" t="str">
        <f>VLOOKUP(B420,[1]Planilha1!$A:$B,2,0)</f>
        <v>Malu Montesino</v>
      </c>
      <c r="D420" s="3" t="s">
        <v>1951</v>
      </c>
      <c r="E420" s="3" t="s">
        <v>1952</v>
      </c>
      <c r="F420" s="3" t="s">
        <v>20</v>
      </c>
      <c r="G420" s="4">
        <v>39744</v>
      </c>
      <c r="H420" s="3" t="s">
        <v>94</v>
      </c>
      <c r="I420" s="3" t="s">
        <v>33</v>
      </c>
      <c r="J420" s="5">
        <v>11214800</v>
      </c>
      <c r="K420" s="3">
        <v>6319400</v>
      </c>
      <c r="L420" s="3" t="s">
        <v>1953</v>
      </c>
      <c r="M420" s="3" t="s">
        <v>1954</v>
      </c>
      <c r="N420" s="3">
        <v>505</v>
      </c>
      <c r="O420" s="3" t="s">
        <v>1955</v>
      </c>
      <c r="P420" s="3" t="s">
        <v>185</v>
      </c>
      <c r="Q420" s="3" t="s">
        <v>273</v>
      </c>
      <c r="R420" s="3" t="s">
        <v>274</v>
      </c>
      <c r="S420" s="3">
        <v>74413120</v>
      </c>
      <c r="T420" s="3">
        <v>6230969799</v>
      </c>
      <c r="U420" s="3" t="s">
        <v>29</v>
      </c>
    </row>
    <row r="421" spans="1:21" ht="13.2" x14ac:dyDescent="0.25">
      <c r="A421" s="14">
        <v>80869613000107</v>
      </c>
      <c r="B421" s="15" t="str">
        <f t="shared" si="6"/>
        <v>80.869.613/0001-07</v>
      </c>
      <c r="C421" s="12"/>
      <c r="D421" s="3" t="s">
        <v>1956</v>
      </c>
      <c r="E421" s="3" t="s">
        <v>1956</v>
      </c>
      <c r="F421" s="3" t="s">
        <v>31</v>
      </c>
      <c r="G421" s="4">
        <v>32512</v>
      </c>
      <c r="H421" s="3" t="s">
        <v>32</v>
      </c>
      <c r="I421" s="3" t="s">
        <v>47</v>
      </c>
      <c r="J421" s="5">
        <v>0</v>
      </c>
      <c r="K421" s="3">
        <v>8299799</v>
      </c>
      <c r="L421" s="3" t="s">
        <v>532</v>
      </c>
      <c r="M421" s="3" t="s">
        <v>518</v>
      </c>
      <c r="N421" s="3">
        <v>1777</v>
      </c>
      <c r="P421" s="3" t="s">
        <v>70</v>
      </c>
      <c r="Q421" s="3" t="s">
        <v>211</v>
      </c>
      <c r="R421" s="3" t="s">
        <v>187</v>
      </c>
      <c r="S421" s="3">
        <v>85801000</v>
      </c>
      <c r="U421" s="3" t="s">
        <v>29</v>
      </c>
    </row>
    <row r="422" spans="1:21" ht="13.2" x14ac:dyDescent="0.25">
      <c r="A422" s="14">
        <v>49459746000157</v>
      </c>
      <c r="B422" s="15" t="str">
        <f t="shared" si="6"/>
        <v>49.459.746/0001-57</v>
      </c>
      <c r="C422" s="12"/>
      <c r="D422" s="3" t="s">
        <v>1957</v>
      </c>
      <c r="E422" s="3" t="s">
        <v>1958</v>
      </c>
      <c r="F422" s="3" t="s">
        <v>20</v>
      </c>
      <c r="G422" s="4">
        <v>28696</v>
      </c>
      <c r="H422" s="3" t="s">
        <v>21</v>
      </c>
      <c r="I422" s="3" t="s">
        <v>33</v>
      </c>
      <c r="J422" s="5">
        <v>100000</v>
      </c>
      <c r="K422" s="3">
        <v>4672900</v>
      </c>
      <c r="L422" s="3" t="s">
        <v>1389</v>
      </c>
      <c r="M422" s="3" t="s">
        <v>1661</v>
      </c>
      <c r="N422" s="3">
        <v>1009</v>
      </c>
      <c r="P422" s="3" t="s">
        <v>1959</v>
      </c>
      <c r="Q422" s="3" t="s">
        <v>1960</v>
      </c>
      <c r="R422" s="3" t="s">
        <v>28</v>
      </c>
      <c r="S422" s="3">
        <v>7744405</v>
      </c>
      <c r="T422" s="3">
        <v>1139025500</v>
      </c>
      <c r="U422" s="3" t="s">
        <v>29</v>
      </c>
    </row>
    <row r="423" spans="1:21" ht="13.2" x14ac:dyDescent="0.25">
      <c r="A423" s="14">
        <v>78668969000122</v>
      </c>
      <c r="B423" s="15" t="str">
        <f t="shared" si="6"/>
        <v>78.668.969/0001-22</v>
      </c>
      <c r="C423" s="12" t="str">
        <f>VLOOKUP(B423,[1]Planilha1!$A:$B,2,0)</f>
        <v>Malu Montesino</v>
      </c>
      <c r="D423" s="3" t="s">
        <v>1961</v>
      </c>
      <c r="E423" s="3" t="s">
        <v>1961</v>
      </c>
      <c r="F423" s="3" t="s">
        <v>20</v>
      </c>
      <c r="G423" s="4">
        <v>31135</v>
      </c>
      <c r="H423" s="3" t="s">
        <v>21</v>
      </c>
      <c r="I423" s="3" t="s">
        <v>33</v>
      </c>
      <c r="J423" s="5">
        <v>30000002</v>
      </c>
      <c r="K423" s="3">
        <v>2019399</v>
      </c>
      <c r="L423" s="3" t="s">
        <v>1962</v>
      </c>
      <c r="M423" s="3" t="s">
        <v>1963</v>
      </c>
      <c r="N423" s="3" t="s">
        <v>111</v>
      </c>
      <c r="O423" s="3" t="s">
        <v>1964</v>
      </c>
      <c r="P423" s="3" t="s">
        <v>1965</v>
      </c>
      <c r="Q423" s="3" t="s">
        <v>1966</v>
      </c>
      <c r="R423" s="3" t="s">
        <v>91</v>
      </c>
      <c r="S423" s="3">
        <v>88545000</v>
      </c>
      <c r="T423" s="3">
        <v>4932384000</v>
      </c>
      <c r="U423" s="3" t="s">
        <v>29</v>
      </c>
    </row>
    <row r="424" spans="1:21" ht="13.2" x14ac:dyDescent="0.25">
      <c r="A424" s="14">
        <v>6107666000120</v>
      </c>
      <c r="B424" s="15" t="str">
        <f t="shared" si="6"/>
        <v>06.107.666/0001-20</v>
      </c>
      <c r="C424" s="12"/>
      <c r="D424" s="3" t="s">
        <v>1967</v>
      </c>
      <c r="E424" s="3" t="s">
        <v>1968</v>
      </c>
      <c r="F424" s="3" t="s">
        <v>20</v>
      </c>
      <c r="G424" s="4">
        <v>37972</v>
      </c>
      <c r="H424" s="3" t="s">
        <v>21</v>
      </c>
      <c r="I424" s="3" t="s">
        <v>47</v>
      </c>
      <c r="J424" s="5">
        <v>100000</v>
      </c>
      <c r="K424" s="3">
        <v>5911199</v>
      </c>
      <c r="L424" s="3" t="s">
        <v>1969</v>
      </c>
      <c r="M424" s="3" t="s">
        <v>1970</v>
      </c>
      <c r="N424" s="3" t="s">
        <v>82</v>
      </c>
      <c r="O424" s="3" t="s">
        <v>1971</v>
      </c>
      <c r="P424" s="3" t="s">
        <v>1972</v>
      </c>
      <c r="Q424" s="3" t="s">
        <v>631</v>
      </c>
      <c r="R424" s="3" t="s">
        <v>632</v>
      </c>
      <c r="S424" s="3">
        <v>71681500</v>
      </c>
      <c r="T424" s="3">
        <v>6181903433</v>
      </c>
      <c r="U424" s="3" t="s">
        <v>29</v>
      </c>
    </row>
    <row r="425" spans="1:21" ht="13.2" x14ac:dyDescent="0.25">
      <c r="A425" s="14">
        <v>3681757000186</v>
      </c>
      <c r="B425" s="15" t="str">
        <f t="shared" si="6"/>
        <v>03.681.757/0001-86</v>
      </c>
      <c r="C425" s="12"/>
      <c r="D425" s="3" t="s">
        <v>1973</v>
      </c>
      <c r="E425" s="3" t="s">
        <v>1974</v>
      </c>
      <c r="F425" s="3" t="s">
        <v>20</v>
      </c>
      <c r="G425" s="4">
        <v>36593</v>
      </c>
      <c r="H425" s="3" t="s">
        <v>21</v>
      </c>
      <c r="I425" s="3" t="s">
        <v>33</v>
      </c>
      <c r="J425" s="5">
        <v>129207464</v>
      </c>
      <c r="K425" s="3">
        <v>1359600</v>
      </c>
      <c r="L425" s="3" t="s">
        <v>1975</v>
      </c>
      <c r="M425" s="3" t="s">
        <v>1976</v>
      </c>
      <c r="N425" s="3">
        <v>888</v>
      </c>
      <c r="P425" s="3" t="s">
        <v>1977</v>
      </c>
      <c r="Q425" s="3" t="s">
        <v>1978</v>
      </c>
      <c r="R425" s="3" t="s">
        <v>1142</v>
      </c>
      <c r="S425" s="3">
        <v>79613003</v>
      </c>
      <c r="T425" s="3">
        <v>1921093434</v>
      </c>
      <c r="U425" s="3" t="s">
        <v>29</v>
      </c>
    </row>
    <row r="426" spans="1:21" ht="13.2" x14ac:dyDescent="0.25">
      <c r="A426" s="14">
        <v>10328740000105</v>
      </c>
      <c r="B426" s="15" t="str">
        <f t="shared" si="6"/>
        <v>10.328.740/0001-05</v>
      </c>
      <c r="C426" s="12"/>
      <c r="D426" s="3" t="s">
        <v>1979</v>
      </c>
      <c r="E426" s="3" t="s">
        <v>1980</v>
      </c>
      <c r="F426" s="3" t="s">
        <v>20</v>
      </c>
      <c r="G426" s="4">
        <v>39699</v>
      </c>
      <c r="H426" s="3" t="s">
        <v>21</v>
      </c>
      <c r="I426" s="3" t="s">
        <v>33</v>
      </c>
      <c r="J426" s="5">
        <v>610000</v>
      </c>
      <c r="K426" s="3">
        <v>8599604</v>
      </c>
      <c r="L426" s="3" t="s">
        <v>55</v>
      </c>
      <c r="M426" s="3" t="s">
        <v>1981</v>
      </c>
      <c r="N426" s="3">
        <v>4995</v>
      </c>
      <c r="O426" s="3" t="s">
        <v>1982</v>
      </c>
      <c r="P426" s="3" t="s">
        <v>1983</v>
      </c>
      <c r="Q426" s="3" t="s">
        <v>204</v>
      </c>
      <c r="R426" s="3" t="s">
        <v>187</v>
      </c>
      <c r="S426" s="3">
        <v>80250205</v>
      </c>
      <c r="T426" s="3">
        <v>4399630838</v>
      </c>
      <c r="U426" s="3" t="s">
        <v>29</v>
      </c>
    </row>
    <row r="427" spans="1:21" ht="13.2" x14ac:dyDescent="0.25">
      <c r="A427" s="14">
        <v>13816737000129</v>
      </c>
      <c r="B427" s="15" t="str">
        <f t="shared" si="6"/>
        <v>13.816.737/0001-29</v>
      </c>
      <c r="C427" s="12" t="str">
        <f>VLOOKUP(B427,[1]Planilha1!$A:$B,2,0)</f>
        <v>Malu Montesino</v>
      </c>
      <c r="D427" s="3" t="s">
        <v>1984</v>
      </c>
      <c r="E427" s="3" t="s">
        <v>1985</v>
      </c>
      <c r="F427" s="3" t="s">
        <v>20</v>
      </c>
      <c r="G427" s="4">
        <v>40695</v>
      </c>
      <c r="H427" s="3" t="s">
        <v>94</v>
      </c>
      <c r="I427" s="3" t="s">
        <v>33</v>
      </c>
      <c r="J427" s="5">
        <v>10000000</v>
      </c>
      <c r="K427" s="3">
        <v>2099199</v>
      </c>
      <c r="L427" s="3" t="s">
        <v>80</v>
      </c>
      <c r="M427" s="3" t="s">
        <v>1986</v>
      </c>
      <c r="N427" s="3">
        <v>800</v>
      </c>
      <c r="P427" s="3" t="s">
        <v>1987</v>
      </c>
      <c r="Q427" s="3" t="s">
        <v>1988</v>
      </c>
      <c r="R427" s="3" t="s">
        <v>28</v>
      </c>
      <c r="S427" s="3">
        <v>6739020</v>
      </c>
      <c r="T427" s="3">
        <v>1131646411</v>
      </c>
      <c r="U427" s="3" t="s">
        <v>29</v>
      </c>
    </row>
    <row r="428" spans="1:21" ht="13.2" x14ac:dyDescent="0.25">
      <c r="A428" s="14">
        <v>8714102000180</v>
      </c>
      <c r="B428" s="15" t="str">
        <f t="shared" si="6"/>
        <v>08.714.102/0001-80</v>
      </c>
      <c r="C428" s="12" t="str">
        <f>VLOOKUP(B428,[1]Planilha1!$A:$B,2,0)</f>
        <v>Malu Montesino</v>
      </c>
      <c r="D428" s="3" t="s">
        <v>1989</v>
      </c>
      <c r="E428" s="3" t="s">
        <v>1990</v>
      </c>
      <c r="F428" s="3" t="s">
        <v>20</v>
      </c>
      <c r="G428" s="4">
        <v>39073</v>
      </c>
      <c r="H428" s="3" t="s">
        <v>21</v>
      </c>
      <c r="I428" s="3" t="s">
        <v>33</v>
      </c>
      <c r="J428" s="5">
        <v>41280170</v>
      </c>
      <c r="K428" s="3">
        <v>2813500</v>
      </c>
      <c r="L428" s="3" t="s">
        <v>1383</v>
      </c>
      <c r="M428" s="3" t="s">
        <v>1991</v>
      </c>
      <c r="N428" s="3">
        <v>440</v>
      </c>
      <c r="O428" s="3" t="s">
        <v>1992</v>
      </c>
      <c r="P428" s="3" t="s">
        <v>230</v>
      </c>
      <c r="Q428" s="3" t="s">
        <v>231</v>
      </c>
      <c r="R428" s="3" t="s">
        <v>28</v>
      </c>
      <c r="S428" s="3">
        <v>18087156</v>
      </c>
      <c r="T428" s="3">
        <v>1939365936</v>
      </c>
      <c r="U428" s="3" t="s">
        <v>29</v>
      </c>
    </row>
    <row r="429" spans="1:21" ht="13.2" x14ac:dyDescent="0.25">
      <c r="A429" s="14">
        <v>17605105000177</v>
      </c>
      <c r="B429" s="15" t="str">
        <f t="shared" si="6"/>
        <v>17.605.105/0001-77</v>
      </c>
      <c r="C429" s="12"/>
      <c r="D429" s="3" t="s">
        <v>1993</v>
      </c>
      <c r="E429" s="3" t="s">
        <v>1993</v>
      </c>
      <c r="F429" s="3" t="s">
        <v>20</v>
      </c>
      <c r="G429" s="4">
        <v>41298</v>
      </c>
      <c r="H429" s="3" t="s">
        <v>21</v>
      </c>
      <c r="I429" s="3" t="s">
        <v>33</v>
      </c>
      <c r="J429" s="5">
        <v>1761954</v>
      </c>
      <c r="K429" s="3">
        <v>2740602</v>
      </c>
      <c r="L429" s="3" t="s">
        <v>1994</v>
      </c>
      <c r="M429" s="3" t="s">
        <v>1995</v>
      </c>
      <c r="N429" s="3">
        <v>225</v>
      </c>
      <c r="P429" s="3" t="s">
        <v>1996</v>
      </c>
      <c r="Q429" s="3" t="s">
        <v>1235</v>
      </c>
      <c r="R429" s="3" t="s">
        <v>28</v>
      </c>
      <c r="S429" s="3">
        <v>13347662</v>
      </c>
      <c r="T429" s="3">
        <v>1931134300</v>
      </c>
      <c r="U429" s="3" t="s">
        <v>29</v>
      </c>
    </row>
    <row r="430" spans="1:21" ht="13.2" x14ac:dyDescent="0.25">
      <c r="A430" s="14">
        <v>16604830000168</v>
      </c>
      <c r="B430" s="15" t="str">
        <f t="shared" si="6"/>
        <v>16.604.830/0001-68</v>
      </c>
      <c r="C430" s="12"/>
      <c r="D430" s="3" t="s">
        <v>1997</v>
      </c>
      <c r="E430" s="3" t="s">
        <v>1998</v>
      </c>
      <c r="F430" s="3" t="s">
        <v>45</v>
      </c>
      <c r="G430" s="4">
        <v>41110</v>
      </c>
      <c r="H430" s="3" t="s">
        <v>1329</v>
      </c>
      <c r="I430" s="3" t="s">
        <v>47</v>
      </c>
      <c r="J430" s="5">
        <v>80000</v>
      </c>
      <c r="K430" s="3">
        <v>5223100</v>
      </c>
      <c r="L430" s="3" t="s">
        <v>1046</v>
      </c>
      <c r="M430" s="3" t="s">
        <v>1999</v>
      </c>
      <c r="N430" s="3">
        <v>521</v>
      </c>
      <c r="O430" s="3" t="s">
        <v>2000</v>
      </c>
      <c r="P430" s="3" t="s">
        <v>142</v>
      </c>
      <c r="Q430" s="3" t="s">
        <v>27</v>
      </c>
      <c r="R430" s="3" t="s">
        <v>28</v>
      </c>
      <c r="S430" s="3">
        <v>3050000</v>
      </c>
      <c r="T430" s="3">
        <v>1138533347</v>
      </c>
      <c r="U430" s="3" t="s">
        <v>29</v>
      </c>
    </row>
    <row r="431" spans="1:21" ht="13.2" x14ac:dyDescent="0.25">
      <c r="A431" s="14">
        <v>14396422000132</v>
      </c>
      <c r="B431" s="15" t="str">
        <f t="shared" si="6"/>
        <v>14.396.422/0001-32</v>
      </c>
      <c r="C431" s="12"/>
      <c r="D431" s="3" t="s">
        <v>2001</v>
      </c>
      <c r="E431" s="3" t="s">
        <v>2002</v>
      </c>
      <c r="F431" s="3" t="s">
        <v>20</v>
      </c>
      <c r="G431" s="4">
        <v>40809</v>
      </c>
      <c r="H431" s="3" t="s">
        <v>21</v>
      </c>
      <c r="I431" s="3" t="s">
        <v>33</v>
      </c>
      <c r="J431" s="5">
        <v>225000</v>
      </c>
      <c r="K431" s="3">
        <v>4681805</v>
      </c>
      <c r="L431" s="3" t="s">
        <v>2003</v>
      </c>
      <c r="M431" s="3" t="s">
        <v>2004</v>
      </c>
      <c r="N431" s="3">
        <v>919</v>
      </c>
      <c r="O431" s="3" t="s">
        <v>496</v>
      </c>
      <c r="P431" s="3" t="s">
        <v>70</v>
      </c>
      <c r="Q431" s="3" t="s">
        <v>2005</v>
      </c>
      <c r="R431" s="3" t="s">
        <v>187</v>
      </c>
      <c r="S431" s="3">
        <v>83702050</v>
      </c>
      <c r="T431" s="3">
        <v>4436211550</v>
      </c>
      <c r="U431" s="3" t="s">
        <v>29</v>
      </c>
    </row>
    <row r="432" spans="1:21" ht="13.2" x14ac:dyDescent="0.25">
      <c r="A432" s="14">
        <v>12587240000113</v>
      </c>
      <c r="B432" s="15" t="str">
        <f t="shared" si="6"/>
        <v>12.587.240/0001-13</v>
      </c>
      <c r="C432" s="12"/>
      <c r="D432" s="3" t="s">
        <v>2006</v>
      </c>
      <c r="E432" s="3" t="s">
        <v>2007</v>
      </c>
      <c r="F432" s="3" t="s">
        <v>45</v>
      </c>
      <c r="G432" s="4">
        <v>40448</v>
      </c>
      <c r="H432" s="3" t="s">
        <v>21</v>
      </c>
      <c r="I432" s="3" t="s">
        <v>47</v>
      </c>
      <c r="J432" s="5">
        <v>10000</v>
      </c>
      <c r="K432" s="3">
        <v>4723700</v>
      </c>
      <c r="L432" s="3" t="s">
        <v>2008</v>
      </c>
      <c r="M432" s="3" t="s">
        <v>2009</v>
      </c>
      <c r="N432" s="3">
        <v>20</v>
      </c>
      <c r="P432" s="3" t="s">
        <v>2010</v>
      </c>
      <c r="Q432" s="3" t="s">
        <v>971</v>
      </c>
      <c r="R432" s="3" t="s">
        <v>100</v>
      </c>
      <c r="S432" s="3">
        <v>37200000</v>
      </c>
      <c r="T432" s="3">
        <v>3538217744</v>
      </c>
      <c r="U432" s="3" t="s">
        <v>29</v>
      </c>
    </row>
    <row r="433" spans="1:21" ht="13.2" x14ac:dyDescent="0.25">
      <c r="A433" s="14">
        <v>12344954000109</v>
      </c>
      <c r="B433" s="15" t="str">
        <f t="shared" si="6"/>
        <v>12.344.954/0001-09</v>
      </c>
      <c r="C433" s="12" t="str">
        <f>VLOOKUP(B433,[1]Planilha1!$A:$B,2,0)</f>
        <v>Malu Montesino</v>
      </c>
      <c r="D433" s="3" t="s">
        <v>2011</v>
      </c>
      <c r="E433" s="3" t="s">
        <v>2011</v>
      </c>
      <c r="F433" s="3" t="s">
        <v>20</v>
      </c>
      <c r="G433" s="4">
        <v>40396</v>
      </c>
      <c r="H433" s="3" t="s">
        <v>21</v>
      </c>
      <c r="I433" s="3" t="s">
        <v>33</v>
      </c>
      <c r="J433" s="5">
        <v>32275790</v>
      </c>
      <c r="K433" s="3">
        <v>2093200</v>
      </c>
      <c r="L433" s="3" t="s">
        <v>913</v>
      </c>
      <c r="M433" s="3" t="s">
        <v>2012</v>
      </c>
      <c r="N433" s="3">
        <v>200</v>
      </c>
      <c r="O433" s="3" t="s">
        <v>2013</v>
      </c>
      <c r="P433" s="3" t="s">
        <v>2014</v>
      </c>
      <c r="Q433" s="3" t="s">
        <v>2015</v>
      </c>
      <c r="R433" s="3" t="s">
        <v>91</v>
      </c>
      <c r="S433" s="3">
        <v>89066300</v>
      </c>
      <c r="T433" s="3">
        <v>4733381010</v>
      </c>
      <c r="U433" s="3" t="s">
        <v>29</v>
      </c>
    </row>
    <row r="434" spans="1:21" ht="13.2" x14ac:dyDescent="0.25">
      <c r="A434" s="14">
        <v>27254140000142</v>
      </c>
      <c r="B434" s="15" t="str">
        <f t="shared" si="6"/>
        <v>27.254.140/0001-42</v>
      </c>
      <c r="C434" s="12"/>
      <c r="D434" s="3" t="s">
        <v>2016</v>
      </c>
      <c r="E434" s="3" t="s">
        <v>2017</v>
      </c>
      <c r="F434" s="3" t="s">
        <v>20</v>
      </c>
      <c r="G434" s="4">
        <v>42802</v>
      </c>
      <c r="H434" s="3" t="s">
        <v>21</v>
      </c>
      <c r="I434" s="3" t="s">
        <v>22</v>
      </c>
      <c r="J434" s="5">
        <v>174000</v>
      </c>
      <c r="K434" s="3">
        <v>6920601</v>
      </c>
      <c r="L434" s="3" t="s">
        <v>1507</v>
      </c>
      <c r="M434" s="3" t="s">
        <v>2018</v>
      </c>
      <c r="N434" s="3">
        <v>48</v>
      </c>
      <c r="O434" s="3" t="s">
        <v>2019</v>
      </c>
      <c r="P434" s="3" t="s">
        <v>2020</v>
      </c>
      <c r="Q434" s="3" t="s">
        <v>27</v>
      </c>
      <c r="R434" s="3" t="s">
        <v>28</v>
      </c>
      <c r="S434" s="3">
        <v>1154060</v>
      </c>
      <c r="T434" s="3">
        <v>1136379007</v>
      </c>
      <c r="U434" s="3" t="s">
        <v>29</v>
      </c>
    </row>
    <row r="435" spans="1:21" ht="13.2" x14ac:dyDescent="0.25">
      <c r="A435" s="14">
        <v>2674103000162</v>
      </c>
      <c r="B435" s="15" t="str">
        <f t="shared" si="6"/>
        <v>02.674.103/0001-62</v>
      </c>
      <c r="C435" s="12" t="str">
        <f>VLOOKUP(B435,[1]Planilha1!$A:$B,2,0)</f>
        <v>Malu Montesino</v>
      </c>
      <c r="D435" s="3" t="s">
        <v>2021</v>
      </c>
      <c r="E435" s="3" t="s">
        <v>2022</v>
      </c>
      <c r="F435" s="3" t="s">
        <v>20</v>
      </c>
      <c r="G435" s="4">
        <v>36014</v>
      </c>
      <c r="H435" s="3" t="s">
        <v>21</v>
      </c>
      <c r="I435" s="3" t="s">
        <v>33</v>
      </c>
      <c r="J435" s="5">
        <v>7217613</v>
      </c>
      <c r="K435" s="3">
        <v>4679699</v>
      </c>
      <c r="L435" s="3" t="s">
        <v>40</v>
      </c>
      <c r="M435" s="3" t="s">
        <v>2023</v>
      </c>
      <c r="N435" s="3">
        <v>132</v>
      </c>
      <c r="P435" s="3" t="s">
        <v>2024</v>
      </c>
      <c r="Q435" s="3" t="s">
        <v>2005</v>
      </c>
      <c r="R435" s="3" t="s">
        <v>187</v>
      </c>
      <c r="S435" s="3">
        <v>83707010</v>
      </c>
      <c r="T435" s="3">
        <v>4130750887</v>
      </c>
      <c r="U435" s="3" t="s">
        <v>29</v>
      </c>
    </row>
    <row r="436" spans="1:21" ht="13.2" x14ac:dyDescent="0.25">
      <c r="A436" s="14">
        <v>8724660000127</v>
      </c>
      <c r="B436" s="15" t="str">
        <f t="shared" si="6"/>
        <v>08.724.660/0001-27</v>
      </c>
      <c r="C436" s="12"/>
      <c r="D436" s="3" t="s">
        <v>2025</v>
      </c>
      <c r="E436" s="3" t="s">
        <v>2026</v>
      </c>
      <c r="F436" s="3" t="s">
        <v>20</v>
      </c>
      <c r="G436" s="4">
        <v>39164</v>
      </c>
      <c r="H436" s="3" t="s">
        <v>21</v>
      </c>
      <c r="I436" s="3" t="s">
        <v>47</v>
      </c>
      <c r="J436" s="5">
        <v>200000</v>
      </c>
      <c r="K436" s="3">
        <v>4686902</v>
      </c>
      <c r="L436" s="3" t="s">
        <v>2027</v>
      </c>
      <c r="M436" s="3" t="s">
        <v>2028</v>
      </c>
      <c r="N436" s="3">
        <v>3060</v>
      </c>
      <c r="O436" s="3" t="s">
        <v>2029</v>
      </c>
      <c r="P436" s="3" t="s">
        <v>2030</v>
      </c>
      <c r="Q436" s="3" t="s">
        <v>2031</v>
      </c>
      <c r="R436" s="3" t="s">
        <v>456</v>
      </c>
      <c r="S436" s="3">
        <v>56320700</v>
      </c>
      <c r="T436" s="3">
        <v>8788061095</v>
      </c>
      <c r="U436" s="3" t="s">
        <v>29</v>
      </c>
    </row>
    <row r="437" spans="1:21" ht="13.2" x14ac:dyDescent="0.25">
      <c r="A437" s="14">
        <v>2459202000121</v>
      </c>
      <c r="B437" s="15" t="str">
        <f t="shared" si="6"/>
        <v>02.459.202/0001-21</v>
      </c>
      <c r="C437" s="12"/>
      <c r="D437" s="3" t="s">
        <v>2032</v>
      </c>
      <c r="E437" s="3" t="s">
        <v>2032</v>
      </c>
      <c r="F437" s="3" t="s">
        <v>20</v>
      </c>
      <c r="G437" s="4">
        <v>35891</v>
      </c>
      <c r="H437" s="3" t="s">
        <v>21</v>
      </c>
      <c r="I437" s="3" t="s">
        <v>33</v>
      </c>
      <c r="J437" s="5">
        <v>11705865</v>
      </c>
      <c r="K437" s="3">
        <v>2221800</v>
      </c>
      <c r="L437" s="3" t="s">
        <v>2033</v>
      </c>
      <c r="M437" s="3" t="s">
        <v>2034</v>
      </c>
      <c r="N437" s="3">
        <v>620</v>
      </c>
      <c r="O437" s="3" t="s">
        <v>2035</v>
      </c>
      <c r="P437" s="3" t="s">
        <v>279</v>
      </c>
      <c r="Q437" s="3" t="s">
        <v>280</v>
      </c>
      <c r="R437" s="3" t="s">
        <v>281</v>
      </c>
      <c r="S437" s="3">
        <v>41820020</v>
      </c>
      <c r="T437" s="3">
        <v>7132118204</v>
      </c>
      <c r="U437" s="3" t="s">
        <v>29</v>
      </c>
    </row>
    <row r="438" spans="1:21" ht="13.2" x14ac:dyDescent="0.25">
      <c r="A438" s="14">
        <v>11633685000120</v>
      </c>
      <c r="B438" s="15" t="str">
        <f t="shared" si="6"/>
        <v>11.633.685/0001-20</v>
      </c>
      <c r="C438" s="12"/>
      <c r="D438" s="3" t="s">
        <v>2036</v>
      </c>
      <c r="E438" s="3" t="s">
        <v>2037</v>
      </c>
      <c r="F438" s="3" t="s">
        <v>20</v>
      </c>
      <c r="G438" s="4">
        <v>40238</v>
      </c>
      <c r="H438" s="3" t="s">
        <v>21</v>
      </c>
      <c r="I438" s="3" t="s">
        <v>22</v>
      </c>
      <c r="J438" s="5">
        <v>1200000</v>
      </c>
      <c r="K438" s="3">
        <v>4763602</v>
      </c>
      <c r="L438" s="3" t="s">
        <v>2038</v>
      </c>
      <c r="M438" s="3" t="s">
        <v>2039</v>
      </c>
      <c r="N438" s="7">
        <v>1060</v>
      </c>
      <c r="O438" s="3" t="s">
        <v>2040</v>
      </c>
      <c r="P438" s="3" t="s">
        <v>2041</v>
      </c>
      <c r="Q438" s="3" t="s">
        <v>65</v>
      </c>
      <c r="R438" s="3" t="s">
        <v>28</v>
      </c>
      <c r="S438" s="3">
        <v>13030420</v>
      </c>
      <c r="T438" s="3">
        <v>1933815550</v>
      </c>
      <c r="U438" s="3" t="s">
        <v>29</v>
      </c>
    </row>
    <row r="439" spans="1:21" ht="13.2" x14ac:dyDescent="0.25">
      <c r="A439" s="14">
        <v>35755804000185</v>
      </c>
      <c r="B439" s="15" t="str">
        <f t="shared" si="6"/>
        <v>35.755.804/0001-85</v>
      </c>
      <c r="C439" s="12" t="str">
        <f>VLOOKUP(B439,[1]Planilha1!$A:$B,2,0)</f>
        <v>Malu Montesino</v>
      </c>
      <c r="D439" s="3" t="s">
        <v>2042</v>
      </c>
      <c r="E439" s="3" t="s">
        <v>2043</v>
      </c>
      <c r="F439" s="3" t="s">
        <v>20</v>
      </c>
      <c r="G439" s="4">
        <v>43809</v>
      </c>
      <c r="H439" s="3" t="s">
        <v>21</v>
      </c>
      <c r="I439" s="3" t="s">
        <v>47</v>
      </c>
      <c r="J439" s="5">
        <v>50000</v>
      </c>
      <c r="K439" s="3">
        <v>3832700</v>
      </c>
      <c r="L439" s="3" t="s">
        <v>2044</v>
      </c>
      <c r="M439" s="3" t="s">
        <v>2045</v>
      </c>
      <c r="N439" s="3">
        <v>419</v>
      </c>
      <c r="P439" s="3" t="s">
        <v>2046</v>
      </c>
      <c r="Q439" s="3" t="s">
        <v>253</v>
      </c>
      <c r="R439" s="3" t="s">
        <v>78</v>
      </c>
      <c r="S439" s="3">
        <v>21250520</v>
      </c>
      <c r="T439" s="3">
        <v>2130053439</v>
      </c>
      <c r="U439" s="3" t="s">
        <v>29</v>
      </c>
    </row>
    <row r="440" spans="1:21" ht="13.2" x14ac:dyDescent="0.25">
      <c r="A440" s="14">
        <v>3634617000157</v>
      </c>
      <c r="B440" s="15" t="str">
        <f t="shared" si="6"/>
        <v>03.634.617/0001-57</v>
      </c>
      <c r="C440" s="12"/>
      <c r="D440" s="3" t="s">
        <v>2047</v>
      </c>
      <c r="E440" s="3" t="s">
        <v>2048</v>
      </c>
      <c r="F440" s="3" t="s">
        <v>20</v>
      </c>
      <c r="G440" s="4">
        <v>36565</v>
      </c>
      <c r="H440" s="3" t="s">
        <v>21</v>
      </c>
      <c r="I440" s="3" t="s">
        <v>22</v>
      </c>
      <c r="J440" s="5">
        <v>150000</v>
      </c>
      <c r="K440" s="3">
        <v>4644301</v>
      </c>
      <c r="L440" s="3" t="s">
        <v>326</v>
      </c>
      <c r="M440" s="3" t="s">
        <v>2049</v>
      </c>
      <c r="N440" s="3">
        <v>181</v>
      </c>
      <c r="P440" s="3" t="s">
        <v>2050</v>
      </c>
      <c r="Q440" s="3" t="s">
        <v>2051</v>
      </c>
      <c r="R440" s="3" t="s">
        <v>28</v>
      </c>
      <c r="S440" s="3">
        <v>17123056</v>
      </c>
      <c r="T440" s="3">
        <v>1432611644</v>
      </c>
      <c r="U440" s="3" t="s">
        <v>29</v>
      </c>
    </row>
    <row r="441" spans="1:21" ht="13.2" x14ac:dyDescent="0.25">
      <c r="A441" s="14">
        <v>60586450000130</v>
      </c>
      <c r="B441" s="15" t="str">
        <f t="shared" si="6"/>
        <v>60.586.450/0001-30</v>
      </c>
      <c r="C441" s="12" t="str">
        <f>VLOOKUP(B441,[1]Planilha1!$A:$B,2,0)</f>
        <v>Malu Montesino</v>
      </c>
      <c r="D441" s="3" t="s">
        <v>2052</v>
      </c>
      <c r="E441" s="3" t="s">
        <v>2052</v>
      </c>
      <c r="F441" s="3" t="s">
        <v>20</v>
      </c>
      <c r="G441" s="4">
        <v>24336</v>
      </c>
      <c r="H441" s="3" t="s">
        <v>94</v>
      </c>
      <c r="I441" s="3" t="s">
        <v>33</v>
      </c>
      <c r="J441" s="5">
        <v>116455256</v>
      </c>
      <c r="K441" s="3">
        <v>2840200</v>
      </c>
      <c r="L441" s="3" t="s">
        <v>2053</v>
      </c>
      <c r="M441" s="3" t="s">
        <v>2054</v>
      </c>
      <c r="N441" s="3">
        <v>1811</v>
      </c>
      <c r="O441" s="3" t="s">
        <v>2055</v>
      </c>
      <c r="P441" s="3" t="s">
        <v>2056</v>
      </c>
      <c r="Q441" s="3" t="s">
        <v>217</v>
      </c>
      <c r="R441" s="3" t="s">
        <v>28</v>
      </c>
      <c r="S441" s="3">
        <v>9612000</v>
      </c>
      <c r="T441" s="3">
        <v>1143679100</v>
      </c>
      <c r="U441" s="3" t="s">
        <v>29</v>
      </c>
    </row>
    <row r="442" spans="1:21" ht="13.2" x14ac:dyDescent="0.25">
      <c r="A442" s="14">
        <v>9028981000150</v>
      </c>
      <c r="B442" s="15" t="str">
        <f t="shared" si="6"/>
        <v>09.028.981/0001-50</v>
      </c>
      <c r="C442" s="12"/>
      <c r="D442" s="3" t="s">
        <v>2057</v>
      </c>
      <c r="E442" s="3" t="s">
        <v>2058</v>
      </c>
      <c r="F442" s="3" t="s">
        <v>20</v>
      </c>
      <c r="G442" s="4">
        <v>39324</v>
      </c>
      <c r="H442" s="3" t="s">
        <v>21</v>
      </c>
      <c r="I442" s="3" t="s">
        <v>33</v>
      </c>
      <c r="J442" s="5">
        <v>1000000</v>
      </c>
      <c r="K442" s="3">
        <v>8112500</v>
      </c>
      <c r="L442" s="3" t="s">
        <v>2059</v>
      </c>
      <c r="M442" s="3" t="s">
        <v>2060</v>
      </c>
      <c r="N442" s="3">
        <v>1</v>
      </c>
      <c r="O442" s="3" t="s">
        <v>2061</v>
      </c>
      <c r="P442" s="3" t="s">
        <v>2062</v>
      </c>
      <c r="Q442" s="3" t="s">
        <v>2063</v>
      </c>
      <c r="R442" s="3" t="s">
        <v>382</v>
      </c>
      <c r="S442" s="3">
        <v>65076010</v>
      </c>
      <c r="T442" s="3">
        <v>9892432010</v>
      </c>
      <c r="U442" s="3" t="s">
        <v>29</v>
      </c>
    </row>
    <row r="443" spans="1:21" ht="13.2" x14ac:dyDescent="0.25">
      <c r="A443" s="14">
        <v>3981422000183</v>
      </c>
      <c r="B443" s="15" t="str">
        <f t="shared" si="6"/>
        <v>03.981.422/0001-83</v>
      </c>
      <c r="C443" s="12"/>
      <c r="D443" s="3" t="s">
        <v>2064</v>
      </c>
      <c r="E443" s="3" t="s">
        <v>2065</v>
      </c>
      <c r="F443" s="3" t="s">
        <v>20</v>
      </c>
      <c r="G443" s="4">
        <v>36735</v>
      </c>
      <c r="H443" s="3" t="s">
        <v>21</v>
      </c>
      <c r="I443" s="3" t="s">
        <v>22</v>
      </c>
      <c r="J443" s="5">
        <v>50000</v>
      </c>
      <c r="K443" s="3">
        <v>4663000</v>
      </c>
      <c r="L443" s="3" t="s">
        <v>128</v>
      </c>
      <c r="M443" s="3" t="s">
        <v>2066</v>
      </c>
      <c r="N443" s="3">
        <v>96</v>
      </c>
      <c r="O443" s="3" t="s">
        <v>1548</v>
      </c>
      <c r="P443" s="3" t="s">
        <v>2067</v>
      </c>
      <c r="Q443" s="3" t="s">
        <v>27</v>
      </c>
      <c r="R443" s="3" t="s">
        <v>28</v>
      </c>
      <c r="S443" s="3">
        <v>4514040</v>
      </c>
      <c r="T443" s="3">
        <v>1130560900</v>
      </c>
      <c r="U443" s="3" t="s">
        <v>29</v>
      </c>
    </row>
    <row r="444" spans="1:21" ht="13.2" x14ac:dyDescent="0.25">
      <c r="A444" s="14">
        <v>73913113000151</v>
      </c>
      <c r="B444" s="15" t="str">
        <f t="shared" si="6"/>
        <v>73.913.113/0001-51</v>
      </c>
      <c r="C444" s="12"/>
      <c r="D444" s="3" t="s">
        <v>2068</v>
      </c>
      <c r="E444" s="3" t="s">
        <v>2069</v>
      </c>
      <c r="F444" s="3" t="s">
        <v>20</v>
      </c>
      <c r="G444" s="4">
        <v>14248</v>
      </c>
      <c r="H444" s="3" t="s">
        <v>377</v>
      </c>
      <c r="I444" s="3" t="s">
        <v>33</v>
      </c>
      <c r="J444" s="5">
        <v>1940419300</v>
      </c>
      <c r="K444" s="3">
        <v>6422100</v>
      </c>
      <c r="L444" s="3" t="s">
        <v>2070</v>
      </c>
      <c r="M444" s="3" t="s">
        <v>2071</v>
      </c>
      <c r="N444" s="3">
        <v>3301</v>
      </c>
      <c r="O444" s="3" t="s">
        <v>2072</v>
      </c>
      <c r="P444" s="3" t="s">
        <v>252</v>
      </c>
      <c r="Q444" s="3" t="s">
        <v>253</v>
      </c>
      <c r="R444" s="3" t="s">
        <v>78</v>
      </c>
      <c r="S444" s="3">
        <v>22631003</v>
      </c>
      <c r="T444" s="3">
        <v>2122545454</v>
      </c>
      <c r="U444" s="3" t="s">
        <v>29</v>
      </c>
    </row>
    <row r="445" spans="1:21" ht="13.2" x14ac:dyDescent="0.25">
      <c r="A445" s="14">
        <v>33838260000190</v>
      </c>
      <c r="B445" s="15" t="str">
        <f t="shared" si="6"/>
        <v>33.838.260/0001-90</v>
      </c>
      <c r="C445" s="12"/>
      <c r="D445" s="3" t="s">
        <v>2073</v>
      </c>
      <c r="E445" s="3" t="s">
        <v>2073</v>
      </c>
      <c r="F445" s="3" t="s">
        <v>20</v>
      </c>
      <c r="G445" s="4">
        <v>43621</v>
      </c>
      <c r="H445" s="3" t="s">
        <v>21</v>
      </c>
      <c r="I445" s="3" t="s">
        <v>22</v>
      </c>
      <c r="J445" s="5">
        <v>150000</v>
      </c>
      <c r="K445" s="3">
        <v>7311400</v>
      </c>
      <c r="L445" s="3" t="s">
        <v>656</v>
      </c>
      <c r="M445" s="3" t="s">
        <v>2074</v>
      </c>
      <c r="N445" s="3">
        <v>1509</v>
      </c>
      <c r="P445" s="3" t="s">
        <v>2075</v>
      </c>
      <c r="Q445" s="3" t="s">
        <v>27</v>
      </c>
      <c r="R445" s="3" t="s">
        <v>28</v>
      </c>
      <c r="S445" s="3">
        <v>2042011</v>
      </c>
      <c r="T445" s="3">
        <v>1188158699</v>
      </c>
      <c r="U445" s="3" t="s">
        <v>29</v>
      </c>
    </row>
    <row r="446" spans="1:21" ht="13.2" x14ac:dyDescent="0.25">
      <c r="A446" s="14">
        <v>57909806000114</v>
      </c>
      <c r="B446" s="15" t="str">
        <f t="shared" si="6"/>
        <v>57.909.806/0001-14</v>
      </c>
      <c r="C446" s="12" t="str">
        <f>VLOOKUP(B446,[1]Planilha1!$A:$B,2,0)</f>
        <v>Malu Montesino</v>
      </c>
      <c r="D446" s="3" t="s">
        <v>2076</v>
      </c>
      <c r="E446" s="3" t="s">
        <v>2077</v>
      </c>
      <c r="F446" s="3" t="s">
        <v>20</v>
      </c>
      <c r="G446" s="4">
        <v>32020</v>
      </c>
      <c r="H446" s="3" t="s">
        <v>94</v>
      </c>
      <c r="I446" s="3" t="s">
        <v>33</v>
      </c>
      <c r="J446" s="5">
        <v>16238502</v>
      </c>
      <c r="K446" s="3">
        <v>2869100</v>
      </c>
      <c r="L446" s="3" t="s">
        <v>1416</v>
      </c>
      <c r="M446" s="3" t="s">
        <v>2078</v>
      </c>
      <c r="N446" s="3">
        <v>3895</v>
      </c>
      <c r="P446" s="3" t="s">
        <v>487</v>
      </c>
      <c r="Q446" s="3" t="s">
        <v>488</v>
      </c>
      <c r="R446" s="3" t="s">
        <v>28</v>
      </c>
      <c r="S446" s="3">
        <v>13288130</v>
      </c>
      <c r="T446" s="3">
        <v>1938869600</v>
      </c>
      <c r="U446" s="3" t="s">
        <v>29</v>
      </c>
    </row>
    <row r="447" spans="1:21" ht="13.2" x14ac:dyDescent="0.25">
      <c r="A447" s="14">
        <v>1162636000100</v>
      </c>
      <c r="B447" s="15" t="str">
        <f t="shared" si="6"/>
        <v>01.162.636/0001-00</v>
      </c>
      <c r="C447" s="12"/>
      <c r="D447" s="3" t="s">
        <v>2079</v>
      </c>
      <c r="E447" s="3" t="s">
        <v>2080</v>
      </c>
      <c r="F447" s="3" t="s">
        <v>20</v>
      </c>
      <c r="G447" s="4">
        <v>35096</v>
      </c>
      <c r="H447" s="3" t="s">
        <v>94</v>
      </c>
      <c r="I447" s="3" t="s">
        <v>33</v>
      </c>
      <c r="J447" s="5">
        <v>8407987</v>
      </c>
      <c r="K447" s="3">
        <v>6204000</v>
      </c>
      <c r="L447" s="3" t="s">
        <v>2081</v>
      </c>
      <c r="M447" s="3" t="s">
        <v>2082</v>
      </c>
      <c r="N447" s="3">
        <v>126</v>
      </c>
      <c r="O447" s="3" t="s">
        <v>2083</v>
      </c>
      <c r="P447" s="3" t="s">
        <v>1230</v>
      </c>
      <c r="Q447" s="3" t="s">
        <v>27</v>
      </c>
      <c r="R447" s="3" t="s">
        <v>28</v>
      </c>
      <c r="S447" s="3">
        <v>4532060</v>
      </c>
      <c r="T447" s="3">
        <v>1131703199</v>
      </c>
      <c r="U447" s="3" t="s">
        <v>29</v>
      </c>
    </row>
    <row r="448" spans="1:21" ht="13.2" x14ac:dyDescent="0.25">
      <c r="A448" s="14">
        <v>24463472000149</v>
      </c>
      <c r="B448" s="15" t="str">
        <f t="shared" si="6"/>
        <v>24.463.472/0001-49</v>
      </c>
      <c r="C448" s="12"/>
      <c r="D448" s="3" t="s">
        <v>2084</v>
      </c>
      <c r="E448" s="3" t="s">
        <v>2085</v>
      </c>
      <c r="F448" s="3" t="s">
        <v>31</v>
      </c>
      <c r="G448" s="4">
        <v>42457</v>
      </c>
      <c r="H448" s="3" t="s">
        <v>21</v>
      </c>
      <c r="I448" s="3" t="s">
        <v>47</v>
      </c>
      <c r="J448" s="5">
        <v>200000</v>
      </c>
      <c r="K448" s="3">
        <v>4761003</v>
      </c>
      <c r="L448" s="3" t="s">
        <v>2086</v>
      </c>
      <c r="M448" s="3" t="s">
        <v>2087</v>
      </c>
      <c r="N448" s="3">
        <v>535</v>
      </c>
      <c r="P448" s="3" t="s">
        <v>2088</v>
      </c>
      <c r="Q448" s="3" t="s">
        <v>2089</v>
      </c>
      <c r="R448" s="3" t="s">
        <v>281</v>
      </c>
      <c r="S448" s="3">
        <v>44573190</v>
      </c>
      <c r="T448" s="3">
        <v>7588934776</v>
      </c>
      <c r="U448" s="3" t="s">
        <v>29</v>
      </c>
    </row>
    <row r="449" spans="1:21" ht="13.2" x14ac:dyDescent="0.25">
      <c r="A449" s="14">
        <v>9346601000125</v>
      </c>
      <c r="B449" s="15" t="str">
        <f t="shared" si="6"/>
        <v>09.346.601/0001-25</v>
      </c>
      <c r="C449" s="12"/>
      <c r="D449" s="3" t="s">
        <v>2090</v>
      </c>
      <c r="E449" s="3" t="s">
        <v>2091</v>
      </c>
      <c r="F449" s="3" t="s">
        <v>20</v>
      </c>
      <c r="G449" s="4">
        <v>39437</v>
      </c>
      <c r="H449" s="3" t="s">
        <v>377</v>
      </c>
      <c r="I449" s="3" t="s">
        <v>33</v>
      </c>
      <c r="J449" s="5">
        <v>12898655000</v>
      </c>
      <c r="K449" s="3">
        <v>6611803</v>
      </c>
      <c r="L449" s="3" t="s">
        <v>2092</v>
      </c>
      <c r="M449" s="3" t="s">
        <v>2093</v>
      </c>
      <c r="N449" s="3">
        <v>48</v>
      </c>
      <c r="O449" s="3" t="s">
        <v>2094</v>
      </c>
      <c r="P449" s="3" t="s">
        <v>70</v>
      </c>
      <c r="Q449" s="3" t="s">
        <v>27</v>
      </c>
      <c r="R449" s="3" t="s">
        <v>28</v>
      </c>
      <c r="S449" s="3">
        <v>1010901</v>
      </c>
      <c r="T449" s="3">
        <v>1125654000</v>
      </c>
      <c r="U449" s="3" t="s">
        <v>29</v>
      </c>
    </row>
    <row r="450" spans="1:21" ht="13.2" x14ac:dyDescent="0.25">
      <c r="A450" s="14">
        <v>28899806000182</v>
      </c>
      <c r="B450" s="15" t="str">
        <f t="shared" si="6"/>
        <v>28.899.806/0001-82</v>
      </c>
      <c r="C450" s="12"/>
      <c r="D450" s="3" t="s">
        <v>2095</v>
      </c>
      <c r="E450" s="3" t="s">
        <v>2096</v>
      </c>
      <c r="F450" s="3" t="s">
        <v>20</v>
      </c>
      <c r="G450" s="4">
        <v>43028</v>
      </c>
      <c r="H450" s="3" t="s">
        <v>21</v>
      </c>
      <c r="I450" s="3" t="s">
        <v>47</v>
      </c>
      <c r="J450" s="5">
        <v>10000</v>
      </c>
      <c r="K450" s="3">
        <v>6399200</v>
      </c>
      <c r="L450" s="3" t="s">
        <v>2097</v>
      </c>
      <c r="M450" s="3" t="s">
        <v>2098</v>
      </c>
      <c r="N450" s="3">
        <v>164</v>
      </c>
      <c r="P450" s="3" t="s">
        <v>2099</v>
      </c>
      <c r="Q450" s="3" t="s">
        <v>27</v>
      </c>
      <c r="R450" s="3" t="s">
        <v>28</v>
      </c>
      <c r="S450" s="3">
        <v>4348070</v>
      </c>
      <c r="T450" s="3">
        <v>1150164357</v>
      </c>
      <c r="U450" s="3" t="s">
        <v>29</v>
      </c>
    </row>
    <row r="451" spans="1:21" ht="13.2" x14ac:dyDescent="0.25">
      <c r="A451" s="14">
        <v>47411780000126</v>
      </c>
      <c r="B451" s="15" t="str">
        <f t="shared" ref="B451:B514" si="7">TEXT(A451,"00\.000\.000\/0000\-00")</f>
        <v>47.411.780/0001-26</v>
      </c>
      <c r="C451" s="12" t="str">
        <f>VLOOKUP(B451,[1]Planilha1!$A:$B,2,0)</f>
        <v>Mariane Nascimento</v>
      </c>
      <c r="D451" s="3" t="s">
        <v>2100</v>
      </c>
      <c r="E451" s="3" t="s">
        <v>2101</v>
      </c>
      <c r="F451" s="3" t="s">
        <v>20</v>
      </c>
      <c r="G451" s="4">
        <v>27778</v>
      </c>
      <c r="H451" s="3" t="s">
        <v>21</v>
      </c>
      <c r="I451" s="3" t="s">
        <v>33</v>
      </c>
      <c r="J451" s="5">
        <v>59088252</v>
      </c>
      <c r="K451" s="3">
        <v>4645101</v>
      </c>
      <c r="L451" s="3" t="s">
        <v>135</v>
      </c>
      <c r="M451" s="3" t="s">
        <v>2102</v>
      </c>
      <c r="N451" s="3">
        <v>325</v>
      </c>
      <c r="O451" s="3" t="s">
        <v>2103</v>
      </c>
      <c r="P451" s="3" t="s">
        <v>2104</v>
      </c>
      <c r="Q451" s="3" t="s">
        <v>617</v>
      </c>
      <c r="R451" s="3" t="s">
        <v>28</v>
      </c>
      <c r="S451" s="3">
        <v>6472001</v>
      </c>
      <c r="T451" s="3">
        <v>1131680226</v>
      </c>
      <c r="U451" s="3" t="s">
        <v>29</v>
      </c>
    </row>
    <row r="452" spans="1:21" ht="13.2" x14ac:dyDescent="0.25">
      <c r="A452" s="14">
        <v>91967067000155</v>
      </c>
      <c r="B452" s="15" t="str">
        <f t="shared" si="7"/>
        <v>91.967.067/0001-55</v>
      </c>
      <c r="C452" s="12"/>
      <c r="D452" s="3" t="s">
        <v>2105</v>
      </c>
      <c r="E452" s="3" t="s">
        <v>2106</v>
      </c>
      <c r="F452" s="3" t="s">
        <v>20</v>
      </c>
      <c r="G452" s="4">
        <v>32066</v>
      </c>
      <c r="H452" s="3" t="s">
        <v>21</v>
      </c>
      <c r="I452" s="3" t="s">
        <v>33</v>
      </c>
      <c r="J452" s="5">
        <v>10200000</v>
      </c>
      <c r="K452" s="3">
        <v>2229303</v>
      </c>
      <c r="L452" s="3" t="s">
        <v>2107</v>
      </c>
      <c r="M452" s="3" t="s">
        <v>2108</v>
      </c>
      <c r="N452" s="3" t="s">
        <v>82</v>
      </c>
      <c r="P452" s="3" t="s">
        <v>2109</v>
      </c>
      <c r="Q452" s="3" t="s">
        <v>2110</v>
      </c>
      <c r="R452" s="3" t="s">
        <v>53</v>
      </c>
      <c r="S452" s="3">
        <v>98400000</v>
      </c>
      <c r="T452" s="3">
        <v>5537449900</v>
      </c>
      <c r="U452" s="3" t="s">
        <v>29</v>
      </c>
    </row>
    <row r="453" spans="1:21" ht="13.2" x14ac:dyDescent="0.25">
      <c r="A453" s="14">
        <v>1507899000104</v>
      </c>
      <c r="B453" s="15" t="str">
        <f t="shared" si="7"/>
        <v>01.507.899/0001-04</v>
      </c>
      <c r="C453" s="12" t="str">
        <f>VLOOKUP(B453,[1]Planilha1!$A:$B,2,0)</f>
        <v>Malu Montesino</v>
      </c>
      <c r="D453" s="3" t="s">
        <v>2111</v>
      </c>
      <c r="E453" s="3" t="s">
        <v>2112</v>
      </c>
      <c r="F453" s="3" t="s">
        <v>20</v>
      </c>
      <c r="G453" s="4">
        <v>35347</v>
      </c>
      <c r="H453" s="3" t="s">
        <v>21</v>
      </c>
      <c r="I453" s="3" t="s">
        <v>33</v>
      </c>
      <c r="J453" s="5">
        <v>130000</v>
      </c>
      <c r="K453" s="3">
        <v>4642702</v>
      </c>
      <c r="L453" s="3" t="s">
        <v>1139</v>
      </c>
      <c r="M453" s="3" t="s">
        <v>2113</v>
      </c>
      <c r="N453" s="3">
        <v>3050</v>
      </c>
      <c r="P453" s="3" t="s">
        <v>2113</v>
      </c>
      <c r="Q453" s="3" t="s">
        <v>357</v>
      </c>
      <c r="R453" s="3" t="s">
        <v>28</v>
      </c>
      <c r="S453" s="3">
        <v>7251000</v>
      </c>
      <c r="T453" s="3">
        <v>1133225500</v>
      </c>
      <c r="U453" s="3" t="s">
        <v>29</v>
      </c>
    </row>
    <row r="454" spans="1:21" ht="13.2" x14ac:dyDescent="0.25">
      <c r="A454" s="14">
        <v>52311347000230</v>
      </c>
      <c r="B454" s="15" t="str">
        <f t="shared" si="7"/>
        <v>52.311.347/0002-30</v>
      </c>
      <c r="C454" s="12" t="str">
        <f>VLOOKUP(B454,[1]Planilha1!$A:$B,2,0)</f>
        <v>Malu Montesino</v>
      </c>
      <c r="D454" s="3" t="s">
        <v>2114</v>
      </c>
      <c r="E454" s="3" t="s">
        <v>2114</v>
      </c>
      <c r="F454" s="3" t="s">
        <v>20</v>
      </c>
      <c r="G454" s="4">
        <v>44946</v>
      </c>
      <c r="H454" s="3" t="s">
        <v>94</v>
      </c>
      <c r="I454" s="3" t="s">
        <v>33</v>
      </c>
      <c r="J454" s="5">
        <v>145933180</v>
      </c>
      <c r="K454" s="3">
        <v>2833000</v>
      </c>
      <c r="L454" s="3" t="s">
        <v>151</v>
      </c>
      <c r="M454" s="3" t="s">
        <v>2115</v>
      </c>
      <c r="N454" s="3">
        <v>1375</v>
      </c>
      <c r="P454" s="3" t="s">
        <v>2116</v>
      </c>
      <c r="Q454" s="3" t="s">
        <v>1443</v>
      </c>
      <c r="R454" s="3" t="s">
        <v>28</v>
      </c>
      <c r="S454" s="3">
        <v>15997154</v>
      </c>
      <c r="T454" s="3">
        <v>1632216500</v>
      </c>
      <c r="U454" s="3" t="s">
        <v>29</v>
      </c>
    </row>
    <row r="455" spans="1:21" ht="13.2" x14ac:dyDescent="0.25">
      <c r="A455" s="14">
        <v>48662191000183</v>
      </c>
      <c r="B455" s="15" t="str">
        <f t="shared" si="7"/>
        <v>48.662.191/0001-83</v>
      </c>
      <c r="C455" s="12"/>
      <c r="D455" s="3" t="s">
        <v>2117</v>
      </c>
      <c r="E455" s="3" t="s">
        <v>2118</v>
      </c>
      <c r="F455" s="3" t="s">
        <v>20</v>
      </c>
      <c r="G455" s="4">
        <v>24344</v>
      </c>
      <c r="H455" s="3" t="s">
        <v>21</v>
      </c>
      <c r="I455" s="3" t="s">
        <v>33</v>
      </c>
      <c r="J455" s="5">
        <v>105000</v>
      </c>
      <c r="K455" s="3">
        <v>2829199</v>
      </c>
      <c r="L455" s="3" t="s">
        <v>1514</v>
      </c>
      <c r="M455" s="3" t="s">
        <v>2119</v>
      </c>
      <c r="N455" s="3" t="s">
        <v>2120</v>
      </c>
      <c r="P455" s="3" t="s">
        <v>2121</v>
      </c>
      <c r="Q455" s="3" t="s">
        <v>2122</v>
      </c>
      <c r="R455" s="3" t="s">
        <v>28</v>
      </c>
      <c r="S455" s="3">
        <v>14840000</v>
      </c>
      <c r="T455" s="3">
        <v>1630456046</v>
      </c>
      <c r="U455" s="3" t="s">
        <v>29</v>
      </c>
    </row>
    <row r="456" spans="1:21" ht="13.2" x14ac:dyDescent="0.25">
      <c r="A456" s="14">
        <v>12991409000104</v>
      </c>
      <c r="B456" s="15" t="str">
        <f t="shared" si="7"/>
        <v>12.991.409/0001-04</v>
      </c>
      <c r="C456" s="12"/>
      <c r="D456" s="3" t="s">
        <v>2123</v>
      </c>
      <c r="E456" s="3" t="s">
        <v>2124</v>
      </c>
      <c r="F456" s="3" t="s">
        <v>20</v>
      </c>
      <c r="G456" s="4">
        <v>40513</v>
      </c>
      <c r="H456" s="3" t="s">
        <v>21</v>
      </c>
      <c r="I456" s="3" t="s">
        <v>22</v>
      </c>
      <c r="J456" s="5">
        <v>300000</v>
      </c>
      <c r="K456" s="3">
        <v>4754701</v>
      </c>
      <c r="L456" s="3" t="s">
        <v>2125</v>
      </c>
      <c r="M456" s="3" t="s">
        <v>2126</v>
      </c>
      <c r="N456" s="3">
        <v>595</v>
      </c>
      <c r="P456" s="3" t="s">
        <v>2127</v>
      </c>
      <c r="Q456" s="3" t="s">
        <v>2128</v>
      </c>
      <c r="R456" s="3" t="s">
        <v>28</v>
      </c>
      <c r="S456" s="3">
        <v>13140074</v>
      </c>
      <c r="T456" s="3">
        <v>1933633500</v>
      </c>
      <c r="U456" s="3" t="s">
        <v>29</v>
      </c>
    </row>
    <row r="457" spans="1:21" ht="13.2" x14ac:dyDescent="0.25">
      <c r="A457" s="14">
        <v>28195667000106</v>
      </c>
      <c r="B457" s="15" t="str">
        <f t="shared" si="7"/>
        <v>28.195.667/0001-06</v>
      </c>
      <c r="C457" s="12"/>
      <c r="D457" s="3" t="s">
        <v>2129</v>
      </c>
      <c r="E457" s="3" t="s">
        <v>2129</v>
      </c>
      <c r="F457" s="3" t="s">
        <v>20</v>
      </c>
      <c r="G457" s="4">
        <v>30680</v>
      </c>
      <c r="H457" s="3" t="s">
        <v>377</v>
      </c>
      <c r="I457" s="3" t="s">
        <v>33</v>
      </c>
      <c r="J457" s="5">
        <v>5698602500</v>
      </c>
      <c r="K457" s="3">
        <v>6422100</v>
      </c>
      <c r="L457" s="3" t="s">
        <v>2070</v>
      </c>
      <c r="M457" s="3" t="s">
        <v>185</v>
      </c>
      <c r="N457" s="3">
        <v>803</v>
      </c>
      <c r="O457" s="3" t="s">
        <v>2130</v>
      </c>
      <c r="P457" s="3" t="s">
        <v>1230</v>
      </c>
      <c r="Q457" s="3" t="s">
        <v>27</v>
      </c>
      <c r="R457" s="3" t="s">
        <v>28</v>
      </c>
      <c r="S457" s="3">
        <v>1453000</v>
      </c>
      <c r="T457" s="3">
        <v>1131702000</v>
      </c>
      <c r="U457" s="3" t="s">
        <v>29</v>
      </c>
    </row>
    <row r="458" spans="1:21" ht="13.2" x14ac:dyDescent="0.25">
      <c r="A458" s="14">
        <v>31872495000172</v>
      </c>
      <c r="B458" s="15" t="str">
        <f t="shared" si="7"/>
        <v>31.872.495/0001-72</v>
      </c>
      <c r="C458" s="12"/>
      <c r="D458" s="3" t="s">
        <v>2131</v>
      </c>
      <c r="E458" s="3" t="s">
        <v>2131</v>
      </c>
      <c r="F458" s="3" t="s">
        <v>20</v>
      </c>
      <c r="G458" s="4">
        <v>43399</v>
      </c>
      <c r="H458" s="3" t="s">
        <v>94</v>
      </c>
      <c r="I458" s="3" t="s">
        <v>33</v>
      </c>
      <c r="J458" s="5">
        <v>730760700</v>
      </c>
      <c r="K458" s="3">
        <v>6422100</v>
      </c>
      <c r="L458" s="3" t="s">
        <v>2070</v>
      </c>
      <c r="M458" s="3" t="s">
        <v>1583</v>
      </c>
      <c r="N458" s="3">
        <v>3186</v>
      </c>
      <c r="P458" s="3" t="s">
        <v>1585</v>
      </c>
      <c r="Q458" s="3" t="s">
        <v>27</v>
      </c>
      <c r="R458" s="3" t="s">
        <v>28</v>
      </c>
      <c r="S458" s="3">
        <v>1406000</v>
      </c>
      <c r="T458" s="3">
        <v>1128326000</v>
      </c>
      <c r="U458" s="3" t="s">
        <v>29</v>
      </c>
    </row>
    <row r="459" spans="1:21" ht="13.2" x14ac:dyDescent="0.25">
      <c r="A459" s="14">
        <v>92894922000108</v>
      </c>
      <c r="B459" s="15" t="str">
        <f t="shared" si="7"/>
        <v>92.894.922/0001-08</v>
      </c>
      <c r="C459" s="12"/>
      <c r="D459" s="3" t="s">
        <v>2132</v>
      </c>
      <c r="E459" s="3" t="s">
        <v>2132</v>
      </c>
      <c r="F459" s="3" t="s">
        <v>20</v>
      </c>
      <c r="G459" s="4">
        <v>25122</v>
      </c>
      <c r="H459" s="3" t="s">
        <v>94</v>
      </c>
      <c r="I459" s="3" t="s">
        <v>33</v>
      </c>
      <c r="J459" s="5">
        <v>5360000500</v>
      </c>
      <c r="K459" s="3">
        <v>6422100</v>
      </c>
      <c r="L459" s="3" t="s">
        <v>2070</v>
      </c>
      <c r="M459" s="3" t="s">
        <v>2133</v>
      </c>
      <c r="N459" s="3">
        <v>295</v>
      </c>
      <c r="P459" s="3" t="s">
        <v>1397</v>
      </c>
      <c r="Q459" s="3" t="s">
        <v>27</v>
      </c>
      <c r="R459" s="3" t="s">
        <v>28</v>
      </c>
      <c r="S459" s="3">
        <v>4568020</v>
      </c>
      <c r="T459" s="3">
        <v>1140040800</v>
      </c>
      <c r="U459" s="3" t="s">
        <v>29</v>
      </c>
    </row>
    <row r="460" spans="1:21" ht="13.2" x14ac:dyDescent="0.25">
      <c r="A460" s="14">
        <v>17800066000169</v>
      </c>
      <c r="B460" s="15" t="str">
        <f t="shared" si="7"/>
        <v>17.800.066/0001-69</v>
      </c>
      <c r="C460" s="12"/>
      <c r="D460" s="3" t="s">
        <v>2134</v>
      </c>
      <c r="E460" s="3" t="s">
        <v>2135</v>
      </c>
      <c r="F460" s="3" t="s">
        <v>20</v>
      </c>
      <c r="G460" s="4">
        <v>41338</v>
      </c>
      <c r="H460" s="3" t="s">
        <v>21</v>
      </c>
      <c r="I460" s="3" t="s">
        <v>33</v>
      </c>
      <c r="J460" s="5">
        <v>21756</v>
      </c>
      <c r="K460" s="3">
        <v>7490104</v>
      </c>
      <c r="L460" s="3" t="s">
        <v>1597</v>
      </c>
      <c r="M460" s="3" t="s">
        <v>2136</v>
      </c>
      <c r="N460" s="3">
        <v>77</v>
      </c>
      <c r="O460" s="3" t="s">
        <v>2137</v>
      </c>
      <c r="P460" s="3" t="s">
        <v>2138</v>
      </c>
      <c r="Q460" s="3" t="s">
        <v>567</v>
      </c>
      <c r="R460" s="3" t="s">
        <v>28</v>
      </c>
      <c r="S460" s="3">
        <v>13209360</v>
      </c>
      <c r="T460" s="3">
        <v>1127099880</v>
      </c>
      <c r="U460" s="3" t="s">
        <v>29</v>
      </c>
    </row>
    <row r="461" spans="1:21" ht="13.2" x14ac:dyDescent="0.25">
      <c r="A461" s="14">
        <v>19086382000146</v>
      </c>
      <c r="B461" s="15" t="str">
        <f t="shared" si="7"/>
        <v>19.086.382/0001-46</v>
      </c>
      <c r="C461" s="12"/>
      <c r="D461" s="3" t="s">
        <v>2139</v>
      </c>
      <c r="E461" s="3" t="s">
        <v>2140</v>
      </c>
      <c r="F461" s="3" t="s">
        <v>20</v>
      </c>
      <c r="G461" s="4">
        <v>41562</v>
      </c>
      <c r="H461" s="3" t="s">
        <v>21</v>
      </c>
      <c r="I461" s="3" t="s">
        <v>47</v>
      </c>
      <c r="J461" s="5">
        <v>540000</v>
      </c>
      <c r="K461" s="3">
        <v>8230001</v>
      </c>
      <c r="L461" s="3" t="s">
        <v>2141</v>
      </c>
      <c r="M461" s="3" t="s">
        <v>2142</v>
      </c>
      <c r="N461" s="3">
        <v>201</v>
      </c>
      <c r="O461" s="3" t="s">
        <v>2143</v>
      </c>
      <c r="P461" s="3" t="s">
        <v>630</v>
      </c>
      <c r="Q461" s="3" t="s">
        <v>631</v>
      </c>
      <c r="R461" s="3" t="s">
        <v>632</v>
      </c>
      <c r="S461" s="3">
        <v>70741610</v>
      </c>
      <c r="T461" s="3">
        <v>6139622926</v>
      </c>
      <c r="U461" s="3" t="s">
        <v>29</v>
      </c>
    </row>
    <row r="462" spans="1:21" ht="13.2" x14ac:dyDescent="0.25">
      <c r="A462" s="14">
        <v>890462000121</v>
      </c>
      <c r="B462" s="15" t="str">
        <f t="shared" si="7"/>
        <v>00.890.462/0001-21</v>
      </c>
      <c r="C462" s="12" t="str">
        <f>VLOOKUP(B462,[1]Planilha1!$A:$B,2,0)</f>
        <v>Malu Montesino</v>
      </c>
      <c r="D462" s="3" t="s">
        <v>2144</v>
      </c>
      <c r="E462" s="3" t="s">
        <v>2144</v>
      </c>
      <c r="F462" s="3" t="s">
        <v>20</v>
      </c>
      <c r="G462" s="4">
        <v>34998</v>
      </c>
      <c r="H462" s="3" t="s">
        <v>21</v>
      </c>
      <c r="I462" s="3" t="s">
        <v>33</v>
      </c>
      <c r="J462" s="5">
        <v>800000</v>
      </c>
      <c r="K462" s="3">
        <v>2229399</v>
      </c>
      <c r="L462" s="3" t="s">
        <v>414</v>
      </c>
      <c r="M462" s="3" t="s">
        <v>2145</v>
      </c>
      <c r="N462" s="3">
        <v>2535</v>
      </c>
      <c r="P462" s="3" t="s">
        <v>2146</v>
      </c>
      <c r="Q462" s="3" t="s">
        <v>393</v>
      </c>
      <c r="R462" s="3" t="s">
        <v>28</v>
      </c>
      <c r="S462" s="3">
        <v>13295000</v>
      </c>
      <c r="T462" s="3">
        <v>1149611103</v>
      </c>
      <c r="U462" s="3" t="s">
        <v>29</v>
      </c>
    </row>
    <row r="463" spans="1:21" ht="13.2" x14ac:dyDescent="0.25">
      <c r="A463" s="14">
        <v>14208689000159</v>
      </c>
      <c r="B463" s="15" t="str">
        <f t="shared" si="7"/>
        <v>14.208.689/0001-59</v>
      </c>
      <c r="C463" s="12"/>
      <c r="D463" s="3" t="s">
        <v>2147</v>
      </c>
      <c r="E463" s="3" t="s">
        <v>2148</v>
      </c>
      <c r="F463" s="3" t="s">
        <v>20</v>
      </c>
      <c r="G463" s="4">
        <v>40753</v>
      </c>
      <c r="H463" s="3" t="s">
        <v>21</v>
      </c>
      <c r="I463" s="3" t="s">
        <v>33</v>
      </c>
      <c r="J463" s="5">
        <v>1230000</v>
      </c>
      <c r="K463" s="3">
        <v>7112000</v>
      </c>
      <c r="L463" s="3" t="s">
        <v>276</v>
      </c>
      <c r="M463" s="3" t="s">
        <v>2149</v>
      </c>
      <c r="N463" s="3">
        <v>45</v>
      </c>
      <c r="O463" s="3" t="s">
        <v>2150</v>
      </c>
      <c r="P463" s="3" t="s">
        <v>70</v>
      </c>
      <c r="Q463" s="3" t="s">
        <v>253</v>
      </c>
      <c r="R463" s="3" t="s">
        <v>78</v>
      </c>
      <c r="S463" s="3">
        <v>20080003</v>
      </c>
      <c r="T463" s="3">
        <v>2135531837</v>
      </c>
      <c r="U463" s="3" t="s">
        <v>29</v>
      </c>
    </row>
    <row r="464" spans="1:21" ht="13.2" x14ac:dyDescent="0.25">
      <c r="A464" s="14">
        <v>10895072000106</v>
      </c>
      <c r="B464" s="15" t="str">
        <f t="shared" si="7"/>
        <v>10.895.072/0001-06</v>
      </c>
      <c r="C464" s="12"/>
      <c r="D464" s="3" t="s">
        <v>2151</v>
      </c>
      <c r="E464" s="3" t="s">
        <v>2152</v>
      </c>
      <c r="F464" s="3" t="s">
        <v>20</v>
      </c>
      <c r="G464" s="4">
        <v>39962</v>
      </c>
      <c r="H464" s="3" t="s">
        <v>1550</v>
      </c>
      <c r="I464" s="3" t="s">
        <v>33</v>
      </c>
      <c r="J464" s="5">
        <v>120000</v>
      </c>
      <c r="K464" s="3">
        <v>6911701</v>
      </c>
      <c r="L464" s="3" t="s">
        <v>1551</v>
      </c>
      <c r="M464" s="3" t="s">
        <v>2153</v>
      </c>
      <c r="N464" s="3" t="s">
        <v>82</v>
      </c>
      <c r="O464" s="3" t="s">
        <v>2154</v>
      </c>
      <c r="P464" s="3" t="s">
        <v>630</v>
      </c>
      <c r="Q464" s="3" t="s">
        <v>631</v>
      </c>
      <c r="R464" s="3" t="s">
        <v>632</v>
      </c>
      <c r="S464" s="3">
        <v>70712900</v>
      </c>
      <c r="T464" s="3">
        <v>6133220507</v>
      </c>
      <c r="U464" s="3" t="s">
        <v>29</v>
      </c>
    </row>
    <row r="465" spans="1:21" ht="13.2" x14ac:dyDescent="0.25">
      <c r="A465" s="14">
        <v>11718029000120</v>
      </c>
      <c r="B465" s="15" t="str">
        <f t="shared" si="7"/>
        <v>11.718.029/0001-20</v>
      </c>
      <c r="C465" s="12"/>
      <c r="D465" s="3" t="s">
        <v>2155</v>
      </c>
      <c r="E465" s="3" t="s">
        <v>2156</v>
      </c>
      <c r="F465" s="3" t="s">
        <v>20</v>
      </c>
      <c r="G465" s="4">
        <v>40228</v>
      </c>
      <c r="H465" s="3" t="s">
        <v>21</v>
      </c>
      <c r="I465" s="3" t="s">
        <v>22</v>
      </c>
      <c r="J465" s="5">
        <v>250000</v>
      </c>
      <c r="K465" s="3">
        <v>8230001</v>
      </c>
      <c r="L465" s="3" t="s">
        <v>2141</v>
      </c>
      <c r="M465" s="3" t="s">
        <v>2157</v>
      </c>
      <c r="N465" s="3">
        <v>81</v>
      </c>
      <c r="P465" s="3" t="s">
        <v>70</v>
      </c>
      <c r="Q465" s="3" t="s">
        <v>710</v>
      </c>
      <c r="R465" s="3" t="s">
        <v>711</v>
      </c>
      <c r="S465" s="3">
        <v>49010280</v>
      </c>
      <c r="T465" s="3">
        <v>7930854017</v>
      </c>
      <c r="U465" s="3" t="s">
        <v>29</v>
      </c>
    </row>
    <row r="466" spans="1:21" ht="13.2" x14ac:dyDescent="0.25">
      <c r="A466" s="14">
        <v>2836248000112</v>
      </c>
      <c r="B466" s="15" t="str">
        <f t="shared" si="7"/>
        <v>02.836.248/0001-12</v>
      </c>
      <c r="C466" s="12"/>
      <c r="D466" s="3" t="s">
        <v>2158</v>
      </c>
      <c r="E466" s="3" t="s">
        <v>2158</v>
      </c>
      <c r="F466" s="3" t="s">
        <v>20</v>
      </c>
      <c r="G466" s="4">
        <v>36097</v>
      </c>
      <c r="H466" s="3" t="s">
        <v>21</v>
      </c>
      <c r="I466" s="3" t="s">
        <v>33</v>
      </c>
      <c r="J466" s="5">
        <v>3000000</v>
      </c>
      <c r="K466" s="3">
        <v>3250702</v>
      </c>
      <c r="L466" s="3" t="s">
        <v>2159</v>
      </c>
      <c r="M466" s="3" t="s">
        <v>2160</v>
      </c>
      <c r="N466" s="3">
        <v>271</v>
      </c>
      <c r="P466" s="3" t="s">
        <v>2161</v>
      </c>
      <c r="Q466" s="3" t="s">
        <v>417</v>
      </c>
      <c r="R466" s="3" t="s">
        <v>53</v>
      </c>
      <c r="S466" s="3">
        <v>95174320</v>
      </c>
      <c r="T466" s="3">
        <v>5426288800</v>
      </c>
      <c r="U466" s="3" t="s">
        <v>29</v>
      </c>
    </row>
    <row r="467" spans="1:21" ht="13.2" x14ac:dyDescent="0.25">
      <c r="A467" s="14">
        <v>65763377000148</v>
      </c>
      <c r="B467" s="15" t="str">
        <f t="shared" si="7"/>
        <v>65.763.377/0001-48</v>
      </c>
      <c r="C467" s="12" t="str">
        <f>VLOOKUP(B467,[1]Planilha1!$A:$B,2,0)</f>
        <v>Malu Montesino</v>
      </c>
      <c r="D467" s="3" t="s">
        <v>2162</v>
      </c>
      <c r="E467" s="3" t="s">
        <v>2162</v>
      </c>
      <c r="F467" s="3" t="s">
        <v>20</v>
      </c>
      <c r="G467" s="4">
        <v>33339</v>
      </c>
      <c r="H467" s="3" t="s">
        <v>94</v>
      </c>
      <c r="I467" s="3" t="s">
        <v>33</v>
      </c>
      <c r="J467" s="5">
        <v>70431960</v>
      </c>
      <c r="K467" s="3">
        <v>4684299</v>
      </c>
      <c r="L467" s="3" t="s">
        <v>419</v>
      </c>
      <c r="M467" s="3" t="s">
        <v>733</v>
      </c>
      <c r="N467" s="3">
        <v>1301</v>
      </c>
      <c r="P467" s="3" t="s">
        <v>2163</v>
      </c>
      <c r="Q467" s="3" t="s">
        <v>524</v>
      </c>
      <c r="R467" s="3" t="s">
        <v>28</v>
      </c>
      <c r="S467" s="3">
        <v>14075330</v>
      </c>
      <c r="T467" s="3">
        <v>1621011200</v>
      </c>
      <c r="U467" s="3" t="s">
        <v>29</v>
      </c>
    </row>
    <row r="468" spans="1:21" ht="13.2" x14ac:dyDescent="0.25">
      <c r="A468" s="14">
        <v>48539407000118</v>
      </c>
      <c r="B468" s="15" t="str">
        <f t="shared" si="7"/>
        <v>48.539.407/0001-18</v>
      </c>
      <c r="C468" s="12" t="str">
        <f>VLOOKUP(B468,[1]Planilha1!$A:$B,2,0)</f>
        <v>Malu Montesino</v>
      </c>
      <c r="D468" s="3" t="s">
        <v>2164</v>
      </c>
      <c r="E468" s="3" t="s">
        <v>2164</v>
      </c>
      <c r="F468" s="3" t="s">
        <v>20</v>
      </c>
      <c r="G468" s="4">
        <v>21550</v>
      </c>
      <c r="H468" s="3" t="s">
        <v>94</v>
      </c>
      <c r="I468" s="3" t="s">
        <v>33</v>
      </c>
      <c r="J468" s="5">
        <v>8278458000</v>
      </c>
      <c r="K468" s="3">
        <v>8211300</v>
      </c>
      <c r="L468" s="3" t="s">
        <v>166</v>
      </c>
      <c r="M468" s="3" t="s">
        <v>308</v>
      </c>
      <c r="N468" s="3">
        <v>14171</v>
      </c>
      <c r="O468" s="3" t="s">
        <v>2165</v>
      </c>
      <c r="P468" s="3" t="s">
        <v>310</v>
      </c>
      <c r="Q468" s="3" t="s">
        <v>27</v>
      </c>
      <c r="R468" s="3" t="s">
        <v>28</v>
      </c>
      <c r="S468" s="3">
        <v>4794000</v>
      </c>
      <c r="T468" s="3">
        <v>1120392273</v>
      </c>
      <c r="U468" s="3" t="s">
        <v>29</v>
      </c>
    </row>
    <row r="469" spans="1:21" ht="13.2" x14ac:dyDescent="0.25">
      <c r="A469" s="14">
        <v>30335432000114</v>
      </c>
      <c r="B469" s="15" t="str">
        <f t="shared" si="7"/>
        <v>30.335.432/0001-14</v>
      </c>
      <c r="C469" s="12"/>
      <c r="D469" s="3" t="s">
        <v>2166</v>
      </c>
      <c r="E469" s="3" t="s">
        <v>2167</v>
      </c>
      <c r="F469" s="3" t="s">
        <v>45</v>
      </c>
      <c r="G469" s="4">
        <v>43221</v>
      </c>
      <c r="H469" s="3" t="s">
        <v>21</v>
      </c>
      <c r="I469" s="3" t="s">
        <v>47</v>
      </c>
      <c r="J469" s="5">
        <v>100000</v>
      </c>
      <c r="K469" s="3">
        <v>4751201</v>
      </c>
      <c r="L469" s="3" t="s">
        <v>23</v>
      </c>
      <c r="M469" s="3" t="s">
        <v>2168</v>
      </c>
      <c r="N469" s="3">
        <v>1</v>
      </c>
      <c r="P469" s="3" t="s">
        <v>2169</v>
      </c>
      <c r="Q469" s="3" t="s">
        <v>631</v>
      </c>
      <c r="R469" s="3" t="s">
        <v>632</v>
      </c>
      <c r="S469" s="3">
        <v>73402556</v>
      </c>
      <c r="T469" s="3">
        <v>6185458330</v>
      </c>
      <c r="U469" s="3" t="s">
        <v>29</v>
      </c>
    </row>
    <row r="470" spans="1:21" ht="13.2" x14ac:dyDescent="0.25">
      <c r="A470" s="14">
        <v>82927385000100</v>
      </c>
      <c r="B470" s="15" t="str">
        <f t="shared" si="7"/>
        <v>82.927.385/0001-00</v>
      </c>
      <c r="C470" s="12" t="str">
        <f>VLOOKUP(B470,[1]Planilha1!$A:$B,2,0)</f>
        <v>Malu Montesino</v>
      </c>
      <c r="D470" s="3" t="s">
        <v>2170</v>
      </c>
      <c r="E470" s="3" t="s">
        <v>2170</v>
      </c>
      <c r="F470" s="3" t="s">
        <v>20</v>
      </c>
      <c r="G470" s="4">
        <v>33298</v>
      </c>
      <c r="H470" s="3" t="s">
        <v>21</v>
      </c>
      <c r="I470" s="3" t="s">
        <v>33</v>
      </c>
      <c r="J470" s="5">
        <v>430000</v>
      </c>
      <c r="K470" s="3">
        <v>2722801</v>
      </c>
      <c r="L470" s="3" t="s">
        <v>452</v>
      </c>
      <c r="M470" s="3" t="s">
        <v>2171</v>
      </c>
      <c r="N470" s="3">
        <v>2285</v>
      </c>
      <c r="O470" s="3" t="s">
        <v>2172</v>
      </c>
      <c r="P470" s="3" t="s">
        <v>2173</v>
      </c>
      <c r="Q470" s="3" t="s">
        <v>2174</v>
      </c>
      <c r="R470" s="3" t="s">
        <v>91</v>
      </c>
      <c r="S470" s="3">
        <v>89650000</v>
      </c>
      <c r="T470" s="3">
        <v>4935377500</v>
      </c>
      <c r="U470" s="3" t="s">
        <v>29</v>
      </c>
    </row>
    <row r="471" spans="1:21" ht="13.2" x14ac:dyDescent="0.25">
      <c r="A471" s="14">
        <v>7340336000142</v>
      </c>
      <c r="B471" s="15" t="str">
        <f t="shared" si="7"/>
        <v>07.340.336/0001-42</v>
      </c>
      <c r="C471" s="12"/>
      <c r="D471" s="3" t="s">
        <v>2175</v>
      </c>
      <c r="E471" s="3" t="s">
        <v>2175</v>
      </c>
      <c r="F471" s="3" t="s">
        <v>20</v>
      </c>
      <c r="G471" s="4">
        <v>38453</v>
      </c>
      <c r="H471" s="3" t="s">
        <v>21</v>
      </c>
      <c r="I471" s="3" t="s">
        <v>22</v>
      </c>
      <c r="J471" s="5">
        <v>62200</v>
      </c>
      <c r="K471" s="3">
        <v>4530701</v>
      </c>
      <c r="L471" s="3" t="s">
        <v>2176</v>
      </c>
      <c r="M471" s="3" t="s">
        <v>2177</v>
      </c>
      <c r="N471" s="3">
        <v>1045</v>
      </c>
      <c r="P471" s="3" t="s">
        <v>142</v>
      </c>
      <c r="Q471" s="3" t="s">
        <v>27</v>
      </c>
      <c r="R471" s="3" t="s">
        <v>28</v>
      </c>
      <c r="S471" s="3">
        <v>3042001</v>
      </c>
      <c r="T471" s="3">
        <v>1126262510</v>
      </c>
      <c r="U471" s="3" t="s">
        <v>29</v>
      </c>
    </row>
    <row r="472" spans="1:21" ht="13.2" x14ac:dyDescent="0.25">
      <c r="A472" s="14">
        <v>15347852000127</v>
      </c>
      <c r="B472" s="15" t="str">
        <f t="shared" si="7"/>
        <v>15.347.852/0001-27</v>
      </c>
      <c r="C472" s="12"/>
      <c r="D472" s="3" t="s">
        <v>2178</v>
      </c>
      <c r="E472" s="3" t="s">
        <v>2179</v>
      </c>
      <c r="F472" s="3" t="s">
        <v>20</v>
      </c>
      <c r="G472" s="4">
        <v>40996</v>
      </c>
      <c r="H472" s="3" t="s">
        <v>21</v>
      </c>
      <c r="I472" s="3" t="s">
        <v>22</v>
      </c>
      <c r="J472" s="5">
        <v>900000</v>
      </c>
      <c r="K472" s="3">
        <v>8111700</v>
      </c>
      <c r="L472" s="3" t="s">
        <v>290</v>
      </c>
      <c r="M472" s="3" t="s">
        <v>2180</v>
      </c>
      <c r="N472" s="3">
        <v>813</v>
      </c>
      <c r="P472" s="3" t="s">
        <v>2181</v>
      </c>
      <c r="Q472" s="3" t="s">
        <v>27</v>
      </c>
      <c r="R472" s="3" t="s">
        <v>28</v>
      </c>
      <c r="S472" s="3">
        <v>5078000</v>
      </c>
      <c r="T472" s="3">
        <v>1145273838</v>
      </c>
      <c r="U472" s="3" t="s">
        <v>29</v>
      </c>
    </row>
    <row r="473" spans="1:21" ht="13.2" x14ac:dyDescent="0.25">
      <c r="A473" s="14">
        <v>4963150000151</v>
      </c>
      <c r="B473" s="15" t="str">
        <f t="shared" si="7"/>
        <v>04.963.150/0001-51</v>
      </c>
      <c r="C473" s="12" t="str">
        <f>VLOOKUP(B473,[1]Planilha1!$A:$B,2,0)</f>
        <v>Malu Montesino</v>
      </c>
      <c r="D473" s="3" t="s">
        <v>2182</v>
      </c>
      <c r="E473" s="3" t="s">
        <v>2183</v>
      </c>
      <c r="F473" s="3" t="s">
        <v>20</v>
      </c>
      <c r="G473" s="4">
        <v>37329</v>
      </c>
      <c r="H473" s="3" t="s">
        <v>21</v>
      </c>
      <c r="I473" s="3" t="s">
        <v>33</v>
      </c>
      <c r="J473" s="5">
        <v>135967660</v>
      </c>
      <c r="K473" s="3">
        <v>2832100</v>
      </c>
      <c r="L473" s="3" t="s">
        <v>2184</v>
      </c>
      <c r="M473" s="3" t="s">
        <v>2185</v>
      </c>
      <c r="N473" s="3">
        <v>117</v>
      </c>
      <c r="O473" s="3" t="s">
        <v>2186</v>
      </c>
      <c r="P473" s="3" t="s">
        <v>153</v>
      </c>
      <c r="Q473" s="3" t="s">
        <v>2187</v>
      </c>
      <c r="R473" s="3" t="s">
        <v>28</v>
      </c>
      <c r="S473" s="3">
        <v>13877776</v>
      </c>
      <c r="T473" s="3">
        <v>1936341224</v>
      </c>
      <c r="U473" s="3" t="s">
        <v>29</v>
      </c>
    </row>
    <row r="474" spans="1:21" ht="13.2" x14ac:dyDescent="0.25">
      <c r="A474" s="14">
        <v>2635031000144</v>
      </c>
      <c r="B474" s="15" t="str">
        <f t="shared" si="7"/>
        <v>02.635.031/0001-44</v>
      </c>
      <c r="C474" s="12" t="str">
        <f>VLOOKUP(B474,[1]Planilha1!$A:$B,2,0)</f>
        <v>Malu Montesino</v>
      </c>
      <c r="D474" s="3" t="s">
        <v>2188</v>
      </c>
      <c r="E474" s="3" t="s">
        <v>2188</v>
      </c>
      <c r="F474" s="3" t="s">
        <v>20</v>
      </c>
      <c r="G474" s="4">
        <v>35996</v>
      </c>
      <c r="H474" s="3" t="s">
        <v>21</v>
      </c>
      <c r="I474" s="3" t="s">
        <v>22</v>
      </c>
      <c r="J474" s="5">
        <v>670000</v>
      </c>
      <c r="K474" s="3">
        <v>8230001</v>
      </c>
      <c r="L474" s="3" t="s">
        <v>2141</v>
      </c>
      <c r="M474" s="3" t="s">
        <v>2189</v>
      </c>
      <c r="N474" s="3">
        <v>13</v>
      </c>
      <c r="O474" s="3" t="s">
        <v>2190</v>
      </c>
      <c r="P474" s="3" t="s">
        <v>70</v>
      </c>
      <c r="Q474" s="3" t="s">
        <v>294</v>
      </c>
      <c r="R474" s="3" t="s">
        <v>28</v>
      </c>
      <c r="S474" s="3">
        <v>11010920</v>
      </c>
      <c r="T474" s="3">
        <v>1335008946</v>
      </c>
      <c r="U474" s="3" t="s">
        <v>29</v>
      </c>
    </row>
    <row r="475" spans="1:21" ht="13.2" x14ac:dyDescent="0.25">
      <c r="A475" s="14">
        <v>40823640000116</v>
      </c>
      <c r="B475" s="15" t="str">
        <f t="shared" si="7"/>
        <v>40.823.640/0001-16</v>
      </c>
      <c r="C475" s="12" t="str">
        <f>VLOOKUP(B475,[1]Planilha1!$A:$B,2,0)</f>
        <v>Malu Montesino</v>
      </c>
      <c r="D475" s="3" t="s">
        <v>2191</v>
      </c>
      <c r="E475" s="3" t="s">
        <v>2192</v>
      </c>
      <c r="F475" s="3" t="s">
        <v>20</v>
      </c>
      <c r="G475" s="4">
        <v>44238</v>
      </c>
      <c r="H475" s="3" t="s">
        <v>21</v>
      </c>
      <c r="I475" s="3" t="s">
        <v>33</v>
      </c>
      <c r="J475" s="5">
        <v>2763131</v>
      </c>
      <c r="K475" s="3">
        <v>4120400</v>
      </c>
      <c r="L475" s="3" t="s">
        <v>87</v>
      </c>
      <c r="M475" s="3" t="s">
        <v>518</v>
      </c>
      <c r="N475" s="3">
        <v>1438</v>
      </c>
      <c r="O475" s="3" t="s">
        <v>2193</v>
      </c>
      <c r="P475" s="3" t="s">
        <v>1462</v>
      </c>
      <c r="Q475" s="3" t="s">
        <v>476</v>
      </c>
      <c r="R475" s="3" t="s">
        <v>100</v>
      </c>
      <c r="S475" s="3">
        <v>30140003</v>
      </c>
      <c r="T475" s="3">
        <v>3132927400</v>
      </c>
      <c r="U475" s="3" t="s">
        <v>29</v>
      </c>
    </row>
    <row r="476" spans="1:21" ht="13.2" x14ac:dyDescent="0.25">
      <c r="A476" s="14">
        <v>61374161000130</v>
      </c>
      <c r="B476" s="15" t="str">
        <f t="shared" si="7"/>
        <v>61.374.161/0001-30</v>
      </c>
      <c r="C476" s="12" t="str">
        <f>VLOOKUP(B476,[1]Planilha1!$A:$B,2,0)</f>
        <v>Malu Montesino</v>
      </c>
      <c r="D476" s="3" t="s">
        <v>2194</v>
      </c>
      <c r="E476" s="3" t="s">
        <v>2194</v>
      </c>
      <c r="F476" s="3" t="s">
        <v>20</v>
      </c>
      <c r="G476" s="4">
        <v>26072</v>
      </c>
      <c r="H476" s="3" t="s">
        <v>377</v>
      </c>
      <c r="I476" s="3" t="s">
        <v>33</v>
      </c>
      <c r="J476" s="5">
        <v>66000000</v>
      </c>
      <c r="K476" s="3">
        <v>3250701</v>
      </c>
      <c r="L476" s="3" t="s">
        <v>2195</v>
      </c>
      <c r="M476" s="3" t="s">
        <v>2196</v>
      </c>
      <c r="N476" s="3">
        <v>181</v>
      </c>
      <c r="P476" s="3" t="s">
        <v>2197</v>
      </c>
      <c r="Q476" s="3" t="s">
        <v>2198</v>
      </c>
      <c r="R476" s="3" t="s">
        <v>28</v>
      </c>
      <c r="S476" s="3">
        <v>13803330</v>
      </c>
      <c r="T476" s="3">
        <v>1938057665</v>
      </c>
      <c r="U476" s="3" t="s">
        <v>29</v>
      </c>
    </row>
    <row r="477" spans="1:21" ht="13.2" x14ac:dyDescent="0.25">
      <c r="A477" s="14">
        <v>23647365000108</v>
      </c>
      <c r="B477" s="15" t="str">
        <f t="shared" si="7"/>
        <v>23.647.365/0001-08</v>
      </c>
      <c r="C477" s="12" t="str">
        <f>VLOOKUP(B477,[1]Planilha1!$A:$B,2,0)</f>
        <v>Malu Montesino</v>
      </c>
      <c r="D477" s="3" t="s">
        <v>2199</v>
      </c>
      <c r="E477" s="3" t="s">
        <v>2200</v>
      </c>
      <c r="F477" s="3" t="s">
        <v>20</v>
      </c>
      <c r="G477" s="4">
        <v>25813</v>
      </c>
      <c r="H477" s="3" t="s">
        <v>21</v>
      </c>
      <c r="I477" s="3" t="s">
        <v>33</v>
      </c>
      <c r="J477" s="5">
        <v>226371100</v>
      </c>
      <c r="K477" s="3">
        <v>2019399</v>
      </c>
      <c r="L477" s="3" t="s">
        <v>1962</v>
      </c>
      <c r="M477" s="3" t="s">
        <v>2201</v>
      </c>
      <c r="N477" s="7">
        <v>4033</v>
      </c>
      <c r="P477" s="3" t="s">
        <v>2202</v>
      </c>
      <c r="Q477" s="3" t="s">
        <v>2203</v>
      </c>
      <c r="R477" s="3" t="s">
        <v>28</v>
      </c>
      <c r="S477" s="3">
        <v>8655000</v>
      </c>
      <c r="T477" s="3">
        <v>3234294665</v>
      </c>
      <c r="U477" s="3" t="s">
        <v>29</v>
      </c>
    </row>
    <row r="478" spans="1:21" ht="13.2" x14ac:dyDescent="0.25">
      <c r="A478" s="14">
        <v>96479282000120</v>
      </c>
      <c r="B478" s="15" t="str">
        <f t="shared" si="7"/>
        <v>96.479.282/0001-20</v>
      </c>
      <c r="C478" s="12"/>
      <c r="D478" s="3" t="s">
        <v>2204</v>
      </c>
      <c r="E478" s="3" t="s">
        <v>2204</v>
      </c>
      <c r="F478" s="3" t="s">
        <v>20</v>
      </c>
      <c r="G478" s="4">
        <v>34054</v>
      </c>
      <c r="H478" s="3" t="s">
        <v>32</v>
      </c>
      <c r="I478" s="3" t="s">
        <v>33</v>
      </c>
      <c r="J478" s="5">
        <v>10000</v>
      </c>
      <c r="K478" s="3">
        <v>6622300</v>
      </c>
      <c r="L478" s="3" t="s">
        <v>1324</v>
      </c>
      <c r="M478" s="3" t="s">
        <v>2205</v>
      </c>
      <c r="N478" s="3">
        <v>228</v>
      </c>
      <c r="O478" s="3" t="s">
        <v>2206</v>
      </c>
      <c r="P478" s="3" t="s">
        <v>2207</v>
      </c>
      <c r="Q478" s="3" t="s">
        <v>27</v>
      </c>
      <c r="R478" s="3" t="s">
        <v>28</v>
      </c>
      <c r="S478" s="3">
        <v>2013001</v>
      </c>
      <c r="T478" s="3">
        <v>1129507644</v>
      </c>
      <c r="U478" s="3" t="s">
        <v>29</v>
      </c>
    </row>
    <row r="479" spans="1:21" ht="13.2" x14ac:dyDescent="0.25">
      <c r="A479" s="14">
        <v>49351786000180</v>
      </c>
      <c r="B479" s="15" t="str">
        <f t="shared" si="7"/>
        <v>49.351.786/0001-80</v>
      </c>
      <c r="C479" s="12" t="str">
        <f>VLOOKUP(B479,[1]Planilha1!$A:$B,2,0)</f>
        <v>Malu Montesino</v>
      </c>
      <c r="D479" s="3" t="s">
        <v>2208</v>
      </c>
      <c r="E479" s="3" t="s">
        <v>2208</v>
      </c>
      <c r="F479" s="3" t="s">
        <v>20</v>
      </c>
      <c r="G479" s="4">
        <v>28340</v>
      </c>
      <c r="H479" s="3" t="s">
        <v>21</v>
      </c>
      <c r="I479" s="3" t="s">
        <v>33</v>
      </c>
      <c r="J479" s="5">
        <v>442506050</v>
      </c>
      <c r="K479" s="3">
        <v>8211300</v>
      </c>
      <c r="L479" s="3" t="s">
        <v>166</v>
      </c>
      <c r="M479" s="3" t="s">
        <v>2209</v>
      </c>
      <c r="N479" s="3">
        <v>1240</v>
      </c>
      <c r="O479" s="3" t="s">
        <v>2210</v>
      </c>
      <c r="P479" s="3" t="s">
        <v>2211</v>
      </c>
      <c r="Q479" s="3" t="s">
        <v>27</v>
      </c>
      <c r="R479" s="3" t="s">
        <v>28</v>
      </c>
      <c r="S479" s="3">
        <v>4711130</v>
      </c>
      <c r="T479" s="3">
        <v>1156948500</v>
      </c>
      <c r="U479" s="3" t="s">
        <v>29</v>
      </c>
    </row>
    <row r="480" spans="1:21" ht="13.2" x14ac:dyDescent="0.25">
      <c r="A480" s="14">
        <v>18459628000115</v>
      </c>
      <c r="B480" s="15" t="str">
        <f t="shared" si="7"/>
        <v>18.459.628/0001-15</v>
      </c>
      <c r="C480" s="12"/>
      <c r="D480" s="3" t="s">
        <v>2212</v>
      </c>
      <c r="E480" s="3" t="s">
        <v>2212</v>
      </c>
      <c r="F480" s="3" t="s">
        <v>20</v>
      </c>
      <c r="G480" s="4">
        <v>27652</v>
      </c>
      <c r="H480" s="3" t="s">
        <v>94</v>
      </c>
      <c r="I480" s="3" t="s">
        <v>33</v>
      </c>
      <c r="J480" s="5">
        <v>1633001700</v>
      </c>
      <c r="K480" s="3">
        <v>2099199</v>
      </c>
      <c r="L480" s="3" t="s">
        <v>80</v>
      </c>
      <c r="M480" s="3" t="s">
        <v>2213</v>
      </c>
      <c r="N480" s="3">
        <v>1100</v>
      </c>
      <c r="P480" s="3" t="s">
        <v>2214</v>
      </c>
      <c r="Q480" s="3" t="s">
        <v>27</v>
      </c>
      <c r="R480" s="3" t="s">
        <v>28</v>
      </c>
      <c r="S480" s="3">
        <v>4779900</v>
      </c>
      <c r="T480" s="3">
        <v>1156945166</v>
      </c>
      <c r="U480" s="3" t="s">
        <v>29</v>
      </c>
    </row>
    <row r="481" spans="1:21" ht="13.2" x14ac:dyDescent="0.25">
      <c r="A481" s="14">
        <v>31658202000159</v>
      </c>
      <c r="B481" s="15" t="str">
        <f t="shared" si="7"/>
        <v>31.658.202/0001-59</v>
      </c>
      <c r="C481" s="12"/>
      <c r="D481" s="3" t="s">
        <v>2215</v>
      </c>
      <c r="E481" s="3" t="s">
        <v>2216</v>
      </c>
      <c r="F481" s="3" t="s">
        <v>20</v>
      </c>
      <c r="G481" s="4">
        <v>43375</v>
      </c>
      <c r="H481" s="3" t="s">
        <v>21</v>
      </c>
      <c r="I481" s="3" t="s">
        <v>47</v>
      </c>
      <c r="J481" s="5">
        <v>10000</v>
      </c>
      <c r="K481" s="3">
        <v>4789099</v>
      </c>
      <c r="L481" s="3" t="s">
        <v>774</v>
      </c>
      <c r="M481" s="3" t="s">
        <v>2217</v>
      </c>
      <c r="N481" s="3">
        <v>1148</v>
      </c>
      <c r="O481" s="3" t="s">
        <v>2218</v>
      </c>
      <c r="P481" s="3" t="s">
        <v>2219</v>
      </c>
      <c r="Q481" s="3" t="s">
        <v>273</v>
      </c>
      <c r="R481" s="3" t="s">
        <v>274</v>
      </c>
      <c r="S481" s="3">
        <v>74150030</v>
      </c>
      <c r="T481" s="3">
        <v>1155546151</v>
      </c>
      <c r="U481" s="3" t="s">
        <v>29</v>
      </c>
    </row>
    <row r="482" spans="1:21" ht="13.2" x14ac:dyDescent="0.25">
      <c r="A482" s="14">
        <v>61602306000102</v>
      </c>
      <c r="B482" s="15" t="str">
        <f t="shared" si="7"/>
        <v>61.602.306/0001-02</v>
      </c>
      <c r="C482" s="12" t="str">
        <f>VLOOKUP(B482,[1]Planilha1!$A:$B,2,0)</f>
        <v>Malu Montesino</v>
      </c>
      <c r="D482" s="3" t="s">
        <v>2220</v>
      </c>
      <c r="E482" s="3" t="s">
        <v>2220</v>
      </c>
      <c r="F482" s="3" t="s">
        <v>20</v>
      </c>
      <c r="G482" s="4">
        <v>32834</v>
      </c>
      <c r="H482" s="3" t="s">
        <v>32</v>
      </c>
      <c r="I482" s="3" t="s">
        <v>33</v>
      </c>
      <c r="J482" s="5">
        <v>19800</v>
      </c>
      <c r="K482" s="3">
        <v>6920601</v>
      </c>
      <c r="L482" s="3" t="s">
        <v>1507</v>
      </c>
      <c r="M482" s="3" t="s">
        <v>1910</v>
      </c>
      <c r="N482" s="3">
        <v>90</v>
      </c>
      <c r="O482" s="3" t="s">
        <v>2221</v>
      </c>
      <c r="P482" s="3" t="s">
        <v>461</v>
      </c>
      <c r="Q482" s="3" t="s">
        <v>27</v>
      </c>
      <c r="R482" s="3" t="s">
        <v>28</v>
      </c>
      <c r="S482" s="3">
        <v>1050030</v>
      </c>
      <c r="T482" s="3">
        <v>1138485880</v>
      </c>
      <c r="U482" s="3" t="s">
        <v>29</v>
      </c>
    </row>
    <row r="483" spans="1:21" ht="13.2" x14ac:dyDescent="0.25">
      <c r="A483" s="14">
        <v>7718721000180</v>
      </c>
      <c r="B483" s="15" t="str">
        <f t="shared" si="7"/>
        <v>07.718.721/0001-80</v>
      </c>
      <c r="C483" s="12"/>
      <c r="D483" s="3" t="s">
        <v>2222</v>
      </c>
      <c r="E483" s="3" t="s">
        <v>2222</v>
      </c>
      <c r="F483" s="3" t="s">
        <v>20</v>
      </c>
      <c r="G483" s="4">
        <v>38652</v>
      </c>
      <c r="H483" s="3" t="s">
        <v>21</v>
      </c>
      <c r="I483" s="3" t="s">
        <v>33</v>
      </c>
      <c r="J483" s="5">
        <v>2000000</v>
      </c>
      <c r="K483" s="3">
        <v>4644301</v>
      </c>
      <c r="L483" s="3" t="s">
        <v>326</v>
      </c>
      <c r="M483" s="3" t="s">
        <v>2223</v>
      </c>
      <c r="N483" s="3">
        <v>40</v>
      </c>
      <c r="O483" s="3" t="s">
        <v>2224</v>
      </c>
      <c r="P483" s="3" t="s">
        <v>1019</v>
      </c>
      <c r="Q483" s="3" t="s">
        <v>27</v>
      </c>
      <c r="R483" s="3" t="s">
        <v>28</v>
      </c>
      <c r="S483" s="3">
        <v>4571100</v>
      </c>
      <c r="T483" s="3">
        <v>1135439000</v>
      </c>
      <c r="U483" s="3" t="s">
        <v>29</v>
      </c>
    </row>
    <row r="484" spans="1:21" ht="13.2" x14ac:dyDescent="0.25">
      <c r="A484" s="14">
        <v>2400936000135</v>
      </c>
      <c r="B484" s="15" t="str">
        <f t="shared" si="7"/>
        <v>02.400.936/0001-35</v>
      </c>
      <c r="C484" s="12"/>
      <c r="D484" s="3" t="s">
        <v>2225</v>
      </c>
      <c r="E484" s="3" t="s">
        <v>2225</v>
      </c>
      <c r="F484" s="3" t="s">
        <v>20</v>
      </c>
      <c r="G484" s="4">
        <v>35859</v>
      </c>
      <c r="H484" s="3" t="s">
        <v>21</v>
      </c>
      <c r="I484" s="3" t="s">
        <v>33</v>
      </c>
      <c r="J484" s="5">
        <v>3000000</v>
      </c>
      <c r="K484" s="3">
        <v>2823200</v>
      </c>
      <c r="L484" s="3" t="s">
        <v>1667</v>
      </c>
      <c r="M484" s="3" t="s">
        <v>2226</v>
      </c>
      <c r="N484" s="3">
        <v>1851</v>
      </c>
      <c r="P484" s="3" t="s">
        <v>2227</v>
      </c>
      <c r="Q484" s="3" t="s">
        <v>148</v>
      </c>
      <c r="R484" s="3" t="s">
        <v>28</v>
      </c>
      <c r="S484" s="3">
        <v>15062000</v>
      </c>
      <c r="T484" s="3">
        <v>1732362443</v>
      </c>
      <c r="U484" s="3" t="s">
        <v>29</v>
      </c>
    </row>
    <row r="485" spans="1:21" ht="13.2" x14ac:dyDescent="0.25">
      <c r="A485" s="14">
        <v>21551379000793</v>
      </c>
      <c r="B485" s="15" t="str">
        <f t="shared" si="7"/>
        <v>21.551.379/0007-93</v>
      </c>
      <c r="C485" s="12" t="str">
        <f>VLOOKUP(B485,[1]Planilha1!$A:$B,2,0)</f>
        <v>Malu Montesino</v>
      </c>
      <c r="D485" s="3" t="s">
        <v>2228</v>
      </c>
      <c r="E485" s="3" t="s">
        <v>2228</v>
      </c>
      <c r="F485" s="3" t="s">
        <v>20</v>
      </c>
      <c r="G485" s="4">
        <v>27969</v>
      </c>
      <c r="H485" s="3" t="s">
        <v>21</v>
      </c>
      <c r="I485" s="3" t="s">
        <v>33</v>
      </c>
      <c r="J485" s="5">
        <v>610556800</v>
      </c>
      <c r="K485" s="3">
        <v>8211300</v>
      </c>
      <c r="L485" s="3" t="s">
        <v>166</v>
      </c>
      <c r="M485" s="3" t="s">
        <v>304</v>
      </c>
      <c r="N485" s="3">
        <v>1976</v>
      </c>
      <c r="O485" s="3" t="s">
        <v>2229</v>
      </c>
      <c r="P485" s="3" t="s">
        <v>2230</v>
      </c>
      <c r="Q485" s="3" t="s">
        <v>27</v>
      </c>
      <c r="R485" s="3" t="s">
        <v>28</v>
      </c>
      <c r="S485" s="3">
        <v>4717004</v>
      </c>
      <c r="U485" s="3" t="s">
        <v>29</v>
      </c>
    </row>
    <row r="486" spans="1:21" ht="13.2" x14ac:dyDescent="0.25">
      <c r="A486" s="14">
        <v>48312980000194</v>
      </c>
      <c r="B486" s="15" t="str">
        <f t="shared" si="7"/>
        <v>48.312.980/0001-94</v>
      </c>
      <c r="C486" s="12" t="str">
        <f>VLOOKUP(B486,[1]Planilha1!$A:$B,2,0)</f>
        <v>Malu Montesino</v>
      </c>
      <c r="D486" s="3" t="s">
        <v>2231</v>
      </c>
      <c r="E486" s="3" t="s">
        <v>2232</v>
      </c>
      <c r="F486" s="3" t="s">
        <v>20</v>
      </c>
      <c r="G486" s="4">
        <v>44851</v>
      </c>
      <c r="H486" s="3" t="s">
        <v>21</v>
      </c>
      <c r="I486" s="3" t="s">
        <v>33</v>
      </c>
      <c r="J486" s="5">
        <v>450000</v>
      </c>
      <c r="K486" s="3">
        <v>7490104</v>
      </c>
      <c r="L486" s="3" t="s">
        <v>1597</v>
      </c>
      <c r="M486" s="3" t="s">
        <v>2233</v>
      </c>
      <c r="N486" s="3">
        <v>1089</v>
      </c>
      <c r="O486" s="3" t="s">
        <v>2234</v>
      </c>
      <c r="P486" s="3" t="s">
        <v>2235</v>
      </c>
      <c r="Q486" s="3" t="s">
        <v>27</v>
      </c>
      <c r="R486" s="3" t="s">
        <v>28</v>
      </c>
      <c r="S486" s="3">
        <v>4707900</v>
      </c>
      <c r="T486" s="3">
        <v>1199811107</v>
      </c>
      <c r="U486" s="3" t="s">
        <v>29</v>
      </c>
    </row>
    <row r="487" spans="1:21" ht="13.2" x14ac:dyDescent="0.25">
      <c r="A487" s="14">
        <v>31620915000123</v>
      </c>
      <c r="B487" s="15" t="str">
        <f t="shared" si="7"/>
        <v>31.620.915/0001-23</v>
      </c>
      <c r="C487" s="12"/>
      <c r="D487" s="3" t="s">
        <v>2236</v>
      </c>
      <c r="E487" s="3" t="s">
        <v>2236</v>
      </c>
      <c r="F487" s="3" t="s">
        <v>20</v>
      </c>
      <c r="G487" s="4">
        <v>43370</v>
      </c>
      <c r="H487" s="3" t="s">
        <v>32</v>
      </c>
      <c r="I487" s="3" t="s">
        <v>47</v>
      </c>
      <c r="J487" s="5">
        <v>100000</v>
      </c>
      <c r="K487" s="3">
        <v>9313100</v>
      </c>
      <c r="L487" s="3" t="s">
        <v>2237</v>
      </c>
      <c r="M487" s="3" t="s">
        <v>1822</v>
      </c>
      <c r="N487" s="3">
        <v>199</v>
      </c>
      <c r="O487" s="3" t="s">
        <v>2238</v>
      </c>
      <c r="P487" s="3" t="s">
        <v>316</v>
      </c>
      <c r="Q487" s="3" t="s">
        <v>27</v>
      </c>
      <c r="R487" s="3" t="s">
        <v>28</v>
      </c>
      <c r="S487" s="3">
        <v>4552000</v>
      </c>
      <c r="T487" s="3">
        <v>3135080700</v>
      </c>
      <c r="U487" s="3" t="s">
        <v>29</v>
      </c>
    </row>
    <row r="488" spans="1:21" ht="13.2" x14ac:dyDescent="0.25">
      <c r="A488" s="14">
        <v>3353258000160</v>
      </c>
      <c r="B488" s="15" t="str">
        <f t="shared" si="7"/>
        <v>03.353.258/0001-60</v>
      </c>
      <c r="C488" s="12" t="str">
        <f>VLOOKUP(B488,[1]Planilha1!$A:$B,2,0)</f>
        <v>Malu Montesino</v>
      </c>
      <c r="D488" s="3" t="s">
        <v>2239</v>
      </c>
      <c r="E488" s="3" t="s">
        <v>2240</v>
      </c>
      <c r="F488" s="3" t="s">
        <v>20</v>
      </c>
      <c r="G488" s="4">
        <v>36389</v>
      </c>
      <c r="H488" s="3" t="s">
        <v>21</v>
      </c>
      <c r="I488" s="3" t="s">
        <v>22</v>
      </c>
      <c r="J488" s="5">
        <v>5000000</v>
      </c>
      <c r="K488" s="3">
        <v>2910701</v>
      </c>
      <c r="L488" s="3" t="s">
        <v>2241</v>
      </c>
      <c r="M488" s="3" t="s">
        <v>2242</v>
      </c>
      <c r="N488" s="3">
        <v>1530</v>
      </c>
      <c r="O488" s="3" t="s">
        <v>2243</v>
      </c>
      <c r="P488" s="3" t="s">
        <v>2062</v>
      </c>
      <c r="Q488" s="3" t="s">
        <v>2244</v>
      </c>
      <c r="R488" s="3" t="s">
        <v>28</v>
      </c>
      <c r="S488" s="3">
        <v>18527060</v>
      </c>
      <c r="T488" s="3">
        <v>1199221261</v>
      </c>
      <c r="U488" s="3" t="s">
        <v>29</v>
      </c>
    </row>
    <row r="489" spans="1:21" ht="13.2" x14ac:dyDescent="0.25">
      <c r="A489" s="14">
        <v>62447032000197</v>
      </c>
      <c r="B489" s="15" t="str">
        <f t="shared" si="7"/>
        <v>62.447.032/0001-97</v>
      </c>
      <c r="C489" s="12"/>
      <c r="D489" s="3" t="s">
        <v>2245</v>
      </c>
      <c r="E489" s="3" t="s">
        <v>2246</v>
      </c>
      <c r="F489" s="3" t="s">
        <v>20</v>
      </c>
      <c r="G489" s="4">
        <v>33016</v>
      </c>
      <c r="H489" s="3" t="s">
        <v>21</v>
      </c>
      <c r="I489" s="3" t="s">
        <v>33</v>
      </c>
      <c r="J489" s="5">
        <v>3580000</v>
      </c>
      <c r="K489" s="3">
        <v>8011101</v>
      </c>
      <c r="L489" s="3" t="s">
        <v>943</v>
      </c>
      <c r="M489" s="3" t="s">
        <v>2247</v>
      </c>
      <c r="N489" s="3">
        <v>400</v>
      </c>
      <c r="P489" s="3" t="s">
        <v>2248</v>
      </c>
      <c r="Q489" s="3" t="s">
        <v>27</v>
      </c>
      <c r="R489" s="3" t="s">
        <v>28</v>
      </c>
      <c r="S489" s="3">
        <v>5615190</v>
      </c>
      <c r="T489" s="3">
        <v>1137232020</v>
      </c>
      <c r="U489" s="3" t="s">
        <v>29</v>
      </c>
    </row>
    <row r="490" spans="1:21" ht="13.2" x14ac:dyDescent="0.25">
      <c r="A490" s="14">
        <v>61074506000130</v>
      </c>
      <c r="B490" s="15" t="str">
        <f t="shared" si="7"/>
        <v>61.074.506/0001-30</v>
      </c>
      <c r="C490" s="12" t="str">
        <f>VLOOKUP(B490,[1]Planilha1!$A:$B,2,0)</f>
        <v>Malu Montesino</v>
      </c>
      <c r="D490" s="3" t="s">
        <v>2249</v>
      </c>
      <c r="E490" s="3" t="s">
        <v>2250</v>
      </c>
      <c r="F490" s="3" t="s">
        <v>20</v>
      </c>
      <c r="G490" s="4">
        <v>24296</v>
      </c>
      <c r="H490" s="3" t="s">
        <v>21</v>
      </c>
      <c r="I490" s="3" t="s">
        <v>33</v>
      </c>
      <c r="J490" s="5">
        <v>638362500</v>
      </c>
      <c r="K490" s="3">
        <v>2424501</v>
      </c>
      <c r="L490" s="3" t="s">
        <v>2251</v>
      </c>
      <c r="M490" s="3" t="s">
        <v>2252</v>
      </c>
      <c r="N490" s="3">
        <v>909</v>
      </c>
      <c r="O490" s="3" t="s">
        <v>2253</v>
      </c>
      <c r="P490" s="3" t="s">
        <v>2254</v>
      </c>
      <c r="Q490" s="3" t="s">
        <v>1701</v>
      </c>
      <c r="R490" s="3" t="s">
        <v>100</v>
      </c>
      <c r="S490" s="3">
        <v>32210110</v>
      </c>
      <c r="T490" s="3">
        <v>3133292400</v>
      </c>
      <c r="U490" s="3" t="s">
        <v>29</v>
      </c>
    </row>
    <row r="491" spans="1:21" ht="13.2" x14ac:dyDescent="0.25">
      <c r="A491" s="14">
        <v>5903157000140</v>
      </c>
      <c r="B491" s="15" t="str">
        <f t="shared" si="7"/>
        <v>05.903.157/0001-40</v>
      </c>
      <c r="C491" s="12"/>
      <c r="D491" s="3" t="s">
        <v>2255</v>
      </c>
      <c r="E491" s="3" t="s">
        <v>2256</v>
      </c>
      <c r="F491" s="3" t="s">
        <v>20</v>
      </c>
      <c r="G491" s="4">
        <v>37866</v>
      </c>
      <c r="H491" s="3" t="s">
        <v>21</v>
      </c>
      <c r="I491" s="3" t="s">
        <v>22</v>
      </c>
      <c r="J491" s="5">
        <v>150000</v>
      </c>
      <c r="K491" s="3">
        <v>4649401</v>
      </c>
      <c r="L491" s="3" t="s">
        <v>2257</v>
      </c>
      <c r="M491" s="3" t="s">
        <v>1839</v>
      </c>
      <c r="N491" s="3">
        <v>2233</v>
      </c>
      <c r="O491" s="3" t="s">
        <v>198</v>
      </c>
      <c r="P491" s="3" t="s">
        <v>2258</v>
      </c>
      <c r="Q491" s="3" t="s">
        <v>199</v>
      </c>
      <c r="R491" s="3" t="s">
        <v>792</v>
      </c>
      <c r="S491" s="3">
        <v>66093047</v>
      </c>
      <c r="T491" s="3">
        <v>9130315152</v>
      </c>
      <c r="U491" s="3" t="s">
        <v>29</v>
      </c>
    </row>
    <row r="492" spans="1:21" ht="13.2" x14ac:dyDescent="0.25">
      <c r="A492" s="14">
        <v>9116592000186</v>
      </c>
      <c r="B492" s="15" t="str">
        <f t="shared" si="7"/>
        <v>09.116.592/0001-86</v>
      </c>
      <c r="C492" s="12"/>
      <c r="D492" s="3" t="s">
        <v>2259</v>
      </c>
      <c r="E492" s="3" t="s">
        <v>2259</v>
      </c>
      <c r="F492" s="3" t="s">
        <v>20</v>
      </c>
      <c r="G492" s="4">
        <v>39294</v>
      </c>
      <c r="H492" s="3" t="s">
        <v>21</v>
      </c>
      <c r="I492" s="3" t="s">
        <v>33</v>
      </c>
      <c r="J492" s="5">
        <v>1800000</v>
      </c>
      <c r="K492" s="3">
        <v>7830200</v>
      </c>
      <c r="L492" s="3" t="s">
        <v>473</v>
      </c>
      <c r="M492" s="3" t="s">
        <v>2260</v>
      </c>
      <c r="N492" s="3">
        <v>731</v>
      </c>
      <c r="P492" s="3" t="s">
        <v>2261</v>
      </c>
      <c r="Q492" s="3" t="s">
        <v>27</v>
      </c>
      <c r="R492" s="3" t="s">
        <v>28</v>
      </c>
      <c r="S492" s="3">
        <v>3323040</v>
      </c>
      <c r="T492" s="3">
        <v>1120765555</v>
      </c>
      <c r="U492" s="3" t="s">
        <v>29</v>
      </c>
    </row>
    <row r="493" spans="1:21" ht="13.2" x14ac:dyDescent="0.25">
      <c r="A493" s="14">
        <v>87791992000109</v>
      </c>
      <c r="B493" s="15" t="str">
        <f t="shared" si="7"/>
        <v>87.791.992/0001-09</v>
      </c>
      <c r="C493" s="12"/>
      <c r="D493" s="3" t="s">
        <v>2262</v>
      </c>
      <c r="E493" s="3" t="s">
        <v>2262</v>
      </c>
      <c r="F493" s="3" t="s">
        <v>20</v>
      </c>
      <c r="G493" s="4">
        <v>29895</v>
      </c>
      <c r="H493" s="3" t="s">
        <v>21</v>
      </c>
      <c r="I493" s="3" t="s">
        <v>33</v>
      </c>
      <c r="J493" s="5">
        <v>669000</v>
      </c>
      <c r="K493" s="3">
        <v>4744099</v>
      </c>
      <c r="L493" s="3" t="s">
        <v>115</v>
      </c>
      <c r="M493" s="3" t="s">
        <v>2263</v>
      </c>
      <c r="N493" s="3">
        <v>4060</v>
      </c>
      <c r="O493" s="3" t="s">
        <v>2264</v>
      </c>
      <c r="P493" s="3" t="s">
        <v>2265</v>
      </c>
      <c r="Q493" s="3" t="s">
        <v>748</v>
      </c>
      <c r="R493" s="3" t="s">
        <v>53</v>
      </c>
      <c r="S493" s="3">
        <v>97110620</v>
      </c>
      <c r="T493" s="3">
        <v>5530265000</v>
      </c>
      <c r="U493" s="3" t="s">
        <v>29</v>
      </c>
    </row>
    <row r="494" spans="1:21" ht="13.2" x14ac:dyDescent="0.25">
      <c r="A494" s="14">
        <v>9042817000105</v>
      </c>
      <c r="B494" s="15" t="str">
        <f t="shared" si="7"/>
        <v>09.042.817/0001-05</v>
      </c>
      <c r="C494" s="12"/>
      <c r="D494" s="3" t="s">
        <v>2266</v>
      </c>
      <c r="E494" s="3" t="s">
        <v>2267</v>
      </c>
      <c r="F494" s="3" t="s">
        <v>20</v>
      </c>
      <c r="G494" s="4">
        <v>39322</v>
      </c>
      <c r="H494" s="3" t="s">
        <v>377</v>
      </c>
      <c r="I494" s="3" t="s">
        <v>33</v>
      </c>
      <c r="J494" s="5">
        <v>1277508700</v>
      </c>
      <c r="K494" s="3">
        <v>6203100</v>
      </c>
      <c r="L494" s="3" t="s">
        <v>2268</v>
      </c>
      <c r="M494" s="3" t="s">
        <v>2269</v>
      </c>
      <c r="N494" s="3">
        <v>27</v>
      </c>
      <c r="O494" s="3" t="s">
        <v>2270</v>
      </c>
      <c r="P494" s="3" t="s">
        <v>2271</v>
      </c>
      <c r="Q494" s="3" t="s">
        <v>253</v>
      </c>
      <c r="R494" s="3" t="s">
        <v>78</v>
      </c>
      <c r="S494" s="3">
        <v>20220460</v>
      </c>
      <c r="T494" s="3">
        <v>2135299002</v>
      </c>
      <c r="U494" s="3" t="s">
        <v>29</v>
      </c>
    </row>
    <row r="495" spans="1:21" ht="13.2" x14ac:dyDescent="0.25">
      <c r="A495" s="14">
        <v>4052176000148</v>
      </c>
      <c r="B495" s="15" t="str">
        <f t="shared" si="7"/>
        <v>04.052.176/0001-48</v>
      </c>
      <c r="C495" s="12"/>
      <c r="D495" s="3" t="s">
        <v>2272</v>
      </c>
      <c r="E495" s="3" t="s">
        <v>2272</v>
      </c>
      <c r="F495" s="3" t="s">
        <v>20</v>
      </c>
      <c r="G495" s="4">
        <v>36756</v>
      </c>
      <c r="H495" s="3" t="s">
        <v>21</v>
      </c>
      <c r="I495" s="3" t="s">
        <v>33</v>
      </c>
      <c r="J495" s="5">
        <v>32424620</v>
      </c>
      <c r="K495" s="3">
        <v>4633801</v>
      </c>
      <c r="L495" s="3" t="s">
        <v>750</v>
      </c>
      <c r="M495" s="3" t="s">
        <v>2273</v>
      </c>
      <c r="N495" s="3">
        <v>1946</v>
      </c>
      <c r="O495" s="3" t="s">
        <v>2274</v>
      </c>
      <c r="P495" s="3" t="s">
        <v>2275</v>
      </c>
      <c r="Q495" s="3" t="s">
        <v>27</v>
      </c>
      <c r="R495" s="3" t="s">
        <v>28</v>
      </c>
      <c r="S495" s="3">
        <v>5314000</v>
      </c>
      <c r="T495" s="3">
        <v>1145318100</v>
      </c>
      <c r="U495" s="3" t="s">
        <v>29</v>
      </c>
    </row>
    <row r="496" spans="1:21" ht="13.2" x14ac:dyDescent="0.25">
      <c r="A496" s="14">
        <v>8655788000186</v>
      </c>
      <c r="B496" s="15" t="str">
        <f t="shared" si="7"/>
        <v>08.655.788/0001-86</v>
      </c>
      <c r="C496" s="12"/>
      <c r="D496" s="3" t="s">
        <v>2276</v>
      </c>
      <c r="E496" s="3" t="s">
        <v>2276</v>
      </c>
      <c r="F496" s="3" t="s">
        <v>20</v>
      </c>
      <c r="G496" s="4">
        <v>39069</v>
      </c>
      <c r="H496" s="3" t="s">
        <v>21</v>
      </c>
      <c r="I496" s="3" t="s">
        <v>33</v>
      </c>
      <c r="J496" s="5">
        <v>2970000</v>
      </c>
      <c r="K496" s="3">
        <v>7490104</v>
      </c>
      <c r="L496" s="3" t="s">
        <v>1597</v>
      </c>
      <c r="M496" s="3" t="s">
        <v>2277</v>
      </c>
      <c r="N496" s="3">
        <v>12</v>
      </c>
      <c r="O496" s="3" t="s">
        <v>2278</v>
      </c>
      <c r="P496" s="3" t="s">
        <v>2279</v>
      </c>
      <c r="Q496" s="3" t="s">
        <v>929</v>
      </c>
      <c r="R496" s="3" t="s">
        <v>28</v>
      </c>
      <c r="S496" s="3">
        <v>6541070</v>
      </c>
      <c r="T496" s="3">
        <v>1131243400</v>
      </c>
      <c r="U496" s="3" t="s">
        <v>29</v>
      </c>
    </row>
    <row r="497" spans="1:21" ht="13.2" x14ac:dyDescent="0.25">
      <c r="A497" s="14">
        <v>6353068000130</v>
      </c>
      <c r="B497" s="15" t="str">
        <f t="shared" si="7"/>
        <v>06.353.068/0001-30</v>
      </c>
      <c r="C497" s="12"/>
      <c r="D497" s="3" t="s">
        <v>2280</v>
      </c>
      <c r="E497" s="3" t="s">
        <v>2280</v>
      </c>
      <c r="F497" s="3" t="s">
        <v>20</v>
      </c>
      <c r="G497" s="4">
        <v>38160</v>
      </c>
      <c r="H497" s="3" t="s">
        <v>21</v>
      </c>
      <c r="I497" s="3" t="s">
        <v>33</v>
      </c>
      <c r="J497" s="5">
        <v>10602582</v>
      </c>
      <c r="K497" s="3">
        <v>8299702</v>
      </c>
      <c r="L497" s="3" t="s">
        <v>937</v>
      </c>
      <c r="M497" s="3" t="s">
        <v>2281</v>
      </c>
      <c r="N497" s="3">
        <v>7221</v>
      </c>
      <c r="O497" s="3" t="s">
        <v>2282</v>
      </c>
      <c r="P497" s="3" t="s">
        <v>1740</v>
      </c>
      <c r="Q497" s="3" t="s">
        <v>27</v>
      </c>
      <c r="R497" s="3" t="s">
        <v>28</v>
      </c>
      <c r="S497" s="3">
        <v>5425902</v>
      </c>
      <c r="T497" s="3">
        <v>1135135000</v>
      </c>
      <c r="U497" s="3" t="s">
        <v>29</v>
      </c>
    </row>
    <row r="498" spans="1:21" ht="13.2" x14ac:dyDescent="0.25">
      <c r="A498" s="14">
        <v>967275000107</v>
      </c>
      <c r="B498" s="15" t="str">
        <f t="shared" si="7"/>
        <v>00.967.275/0001-07</v>
      </c>
      <c r="C498" s="12" t="str">
        <f>VLOOKUP(B498,[1]Planilha1!$A:$B,2,0)</f>
        <v>Malu Montesino</v>
      </c>
      <c r="D498" s="3" t="s">
        <v>2283</v>
      </c>
      <c r="E498" s="3" t="s">
        <v>2284</v>
      </c>
      <c r="F498" s="3" t="s">
        <v>20</v>
      </c>
      <c r="G498" s="4">
        <v>35046</v>
      </c>
      <c r="H498" s="3" t="s">
        <v>21</v>
      </c>
      <c r="I498" s="3" t="s">
        <v>33</v>
      </c>
      <c r="J498" s="5">
        <v>3975000</v>
      </c>
      <c r="K498" s="3">
        <v>4663000</v>
      </c>
      <c r="L498" s="3" t="s">
        <v>128</v>
      </c>
      <c r="M498" s="3" t="s">
        <v>2285</v>
      </c>
      <c r="N498" s="3">
        <v>450</v>
      </c>
      <c r="P498" s="3" t="s">
        <v>487</v>
      </c>
      <c r="Q498" s="3" t="s">
        <v>488</v>
      </c>
      <c r="R498" s="3" t="s">
        <v>28</v>
      </c>
      <c r="S498" s="3">
        <v>13288172</v>
      </c>
      <c r="T498" s="3">
        <v>1938267375</v>
      </c>
      <c r="U498" s="3" t="s">
        <v>29</v>
      </c>
    </row>
    <row r="499" spans="1:21" ht="13.2" x14ac:dyDescent="0.25">
      <c r="A499" s="14">
        <v>2288055000174</v>
      </c>
      <c r="B499" s="15" t="str">
        <f t="shared" si="7"/>
        <v>02.288.055/0001-74</v>
      </c>
      <c r="C499" s="12"/>
      <c r="D499" s="3" t="s">
        <v>2286</v>
      </c>
      <c r="E499" s="3" t="s">
        <v>2286</v>
      </c>
      <c r="F499" s="3" t="s">
        <v>20</v>
      </c>
      <c r="G499" s="4">
        <v>35695</v>
      </c>
      <c r="H499" s="3" t="s">
        <v>94</v>
      </c>
      <c r="I499" s="3" t="s">
        <v>33</v>
      </c>
      <c r="J499" s="5">
        <v>5252724</v>
      </c>
      <c r="K499" s="3">
        <v>6202300</v>
      </c>
      <c r="L499" s="3" t="s">
        <v>103</v>
      </c>
      <c r="M499" s="3" t="s">
        <v>2287</v>
      </c>
      <c r="N499" s="3">
        <v>2975</v>
      </c>
      <c r="P499" s="3" t="s">
        <v>2288</v>
      </c>
      <c r="Q499" s="3" t="s">
        <v>2015</v>
      </c>
      <c r="R499" s="3" t="s">
        <v>91</v>
      </c>
      <c r="S499" s="3">
        <v>89015203</v>
      </c>
      <c r="T499" s="3">
        <v>4733211300</v>
      </c>
      <c r="U499" s="3" t="s">
        <v>29</v>
      </c>
    </row>
    <row r="500" spans="1:21" ht="13.2" x14ac:dyDescent="0.25">
      <c r="A500" s="14">
        <v>3854323000130</v>
      </c>
      <c r="B500" s="15" t="str">
        <f t="shared" si="7"/>
        <v>03.854.323/0001-30</v>
      </c>
      <c r="C500" s="12"/>
      <c r="D500" s="3" t="s">
        <v>2289</v>
      </c>
      <c r="E500" s="3" t="s">
        <v>2289</v>
      </c>
      <c r="F500" s="3" t="s">
        <v>20</v>
      </c>
      <c r="G500" s="4">
        <v>36682</v>
      </c>
      <c r="H500" s="3" t="s">
        <v>21</v>
      </c>
      <c r="I500" s="3" t="s">
        <v>33</v>
      </c>
      <c r="J500" s="5">
        <v>7000000</v>
      </c>
      <c r="K500" s="3">
        <v>6202300</v>
      </c>
      <c r="L500" s="3" t="s">
        <v>103</v>
      </c>
      <c r="M500" s="3" t="s">
        <v>2290</v>
      </c>
      <c r="N500" s="3">
        <v>81</v>
      </c>
      <c r="O500" s="3" t="s">
        <v>2291</v>
      </c>
      <c r="P500" s="3" t="s">
        <v>2292</v>
      </c>
      <c r="Q500" s="3" t="s">
        <v>1289</v>
      </c>
      <c r="R500" s="3" t="s">
        <v>187</v>
      </c>
      <c r="S500" s="3">
        <v>87080590</v>
      </c>
      <c r="T500" s="3">
        <v>4421010800</v>
      </c>
      <c r="U500" s="3" t="s">
        <v>29</v>
      </c>
    </row>
    <row r="501" spans="1:21" ht="13.2" x14ac:dyDescent="0.25">
      <c r="A501" s="14">
        <v>1000334000128</v>
      </c>
      <c r="B501" s="15" t="str">
        <f t="shared" si="7"/>
        <v>01.000.334/0001-28</v>
      </c>
      <c r="C501" s="12" t="str">
        <f>VLOOKUP(B501,[1]Planilha1!$A:$B,2,0)</f>
        <v>Malu Montesino</v>
      </c>
      <c r="D501" s="3" t="s">
        <v>2293</v>
      </c>
      <c r="E501" s="3" t="s">
        <v>2294</v>
      </c>
      <c r="F501" s="3" t="s">
        <v>20</v>
      </c>
      <c r="G501" s="4">
        <v>35054</v>
      </c>
      <c r="H501" s="3" t="s">
        <v>21</v>
      </c>
      <c r="I501" s="3" t="s">
        <v>33</v>
      </c>
      <c r="J501" s="5">
        <v>9300000</v>
      </c>
      <c r="K501" s="3">
        <v>4663000</v>
      </c>
      <c r="L501" s="3" t="s">
        <v>128</v>
      </c>
      <c r="M501" s="3" t="s">
        <v>2295</v>
      </c>
      <c r="N501" s="3">
        <v>962</v>
      </c>
      <c r="P501" s="3" t="s">
        <v>185</v>
      </c>
      <c r="Q501" s="3" t="s">
        <v>716</v>
      </c>
      <c r="R501" s="3" t="s">
        <v>28</v>
      </c>
      <c r="S501" s="3">
        <v>13614260</v>
      </c>
      <c r="U501" s="3" t="s">
        <v>29</v>
      </c>
    </row>
    <row r="502" spans="1:21" ht="13.2" x14ac:dyDescent="0.25">
      <c r="A502" s="14">
        <v>22238694000132</v>
      </c>
      <c r="B502" s="15" t="str">
        <f t="shared" si="7"/>
        <v>22.238.694/0001-32</v>
      </c>
      <c r="C502" s="12"/>
      <c r="D502" s="3" t="s">
        <v>2296</v>
      </c>
      <c r="E502" s="3" t="s">
        <v>2296</v>
      </c>
      <c r="F502" s="3" t="s">
        <v>20</v>
      </c>
      <c r="G502" s="4">
        <v>42107</v>
      </c>
      <c r="H502" s="3" t="s">
        <v>21</v>
      </c>
      <c r="I502" s="3" t="s">
        <v>47</v>
      </c>
      <c r="J502" s="5">
        <v>25000</v>
      </c>
      <c r="K502" s="3">
        <v>5829800</v>
      </c>
      <c r="L502" s="3" t="s">
        <v>2297</v>
      </c>
      <c r="M502" s="3" t="s">
        <v>2298</v>
      </c>
      <c r="N502" s="3">
        <v>1432</v>
      </c>
      <c r="O502" s="3" t="s">
        <v>2299</v>
      </c>
      <c r="P502" s="3" t="s">
        <v>1480</v>
      </c>
      <c r="Q502" s="3" t="s">
        <v>437</v>
      </c>
      <c r="R502" s="3" t="s">
        <v>53</v>
      </c>
      <c r="S502" s="3">
        <v>90550002</v>
      </c>
      <c r="T502" s="3">
        <v>5130615949</v>
      </c>
      <c r="U502" s="3" t="s">
        <v>29</v>
      </c>
    </row>
    <row r="503" spans="1:21" ht="13.2" x14ac:dyDescent="0.25">
      <c r="A503" s="14">
        <v>87556650000104</v>
      </c>
      <c r="B503" s="15" t="str">
        <f t="shared" si="7"/>
        <v>87.556.650/0001-04</v>
      </c>
      <c r="C503" s="12" t="str">
        <f>VLOOKUP(B503,[1]Planilha1!$A:$B,2,0)</f>
        <v>Malu Montesino</v>
      </c>
      <c r="D503" s="3" t="s">
        <v>2300</v>
      </c>
      <c r="E503" s="3" t="s">
        <v>2300</v>
      </c>
      <c r="F503" s="3" t="s">
        <v>20</v>
      </c>
      <c r="G503" s="4">
        <v>26375</v>
      </c>
      <c r="H503" s="3" t="s">
        <v>94</v>
      </c>
      <c r="I503" s="3" t="s">
        <v>33</v>
      </c>
      <c r="J503" s="5">
        <v>140000000</v>
      </c>
      <c r="K503" s="3">
        <v>3102100</v>
      </c>
      <c r="L503" s="3" t="s">
        <v>2301</v>
      </c>
      <c r="M503" s="3" t="s">
        <v>2302</v>
      </c>
      <c r="N503" s="3">
        <v>565</v>
      </c>
      <c r="O503" s="3" t="s">
        <v>2303</v>
      </c>
      <c r="P503" s="3" t="s">
        <v>2304</v>
      </c>
      <c r="Q503" s="3" t="s">
        <v>2305</v>
      </c>
      <c r="R503" s="3" t="s">
        <v>53</v>
      </c>
      <c r="S503" s="3">
        <v>95708260</v>
      </c>
      <c r="T503" s="3">
        <v>5421028500</v>
      </c>
      <c r="U503" s="3" t="s">
        <v>29</v>
      </c>
    </row>
    <row r="504" spans="1:21" ht="13.2" x14ac:dyDescent="0.25">
      <c r="A504" s="14">
        <v>10586967000150</v>
      </c>
      <c r="B504" s="15" t="str">
        <f t="shared" si="7"/>
        <v>10.586.967/0001-50</v>
      </c>
      <c r="C504" s="12"/>
      <c r="D504" s="3" t="s">
        <v>2306</v>
      </c>
      <c r="E504" s="3" t="s">
        <v>2307</v>
      </c>
      <c r="F504" s="3" t="s">
        <v>31</v>
      </c>
      <c r="G504" s="4">
        <v>39821</v>
      </c>
      <c r="H504" s="3" t="s">
        <v>21</v>
      </c>
      <c r="I504" s="3" t="s">
        <v>47</v>
      </c>
      <c r="J504" s="5">
        <v>3000</v>
      </c>
      <c r="K504" s="3">
        <v>8541400</v>
      </c>
      <c r="L504" s="3" t="s">
        <v>2308</v>
      </c>
      <c r="M504" s="3" t="s">
        <v>2309</v>
      </c>
      <c r="N504" s="3">
        <v>170</v>
      </c>
      <c r="P504" s="3" t="s">
        <v>2020</v>
      </c>
      <c r="Q504" s="3" t="s">
        <v>27</v>
      </c>
      <c r="R504" s="3" t="s">
        <v>28</v>
      </c>
      <c r="S504" s="3">
        <v>1136030</v>
      </c>
      <c r="T504" s="3">
        <v>1132297158</v>
      </c>
      <c r="U504" s="3" t="s">
        <v>29</v>
      </c>
    </row>
    <row r="505" spans="1:21" ht="13.2" x14ac:dyDescent="0.25">
      <c r="A505" s="14">
        <v>8015853000109</v>
      </c>
      <c r="B505" s="15" t="str">
        <f t="shared" si="7"/>
        <v>08.015.853/0001-09</v>
      </c>
      <c r="C505" s="12"/>
      <c r="D505" s="3" t="s">
        <v>2310</v>
      </c>
      <c r="E505" s="3" t="s">
        <v>2310</v>
      </c>
      <c r="F505" s="3" t="s">
        <v>20</v>
      </c>
      <c r="G505" s="4">
        <v>38832</v>
      </c>
      <c r="H505" s="3" t="s">
        <v>21</v>
      </c>
      <c r="I505" s="3" t="s">
        <v>33</v>
      </c>
      <c r="J505" s="5">
        <v>700000</v>
      </c>
      <c r="K505" s="3">
        <v>2840200</v>
      </c>
      <c r="L505" s="3" t="s">
        <v>2053</v>
      </c>
      <c r="M505" s="3" t="s">
        <v>2311</v>
      </c>
      <c r="N505" s="3">
        <v>5785</v>
      </c>
      <c r="P505" s="3" t="s">
        <v>2312</v>
      </c>
      <c r="Q505" s="3" t="s">
        <v>2313</v>
      </c>
      <c r="R505" s="3" t="s">
        <v>28</v>
      </c>
      <c r="S505" s="3">
        <v>12926210</v>
      </c>
      <c r="T505" s="3">
        <v>1140336528</v>
      </c>
      <c r="U505" s="3" t="s">
        <v>29</v>
      </c>
    </row>
    <row r="506" spans="1:21" ht="13.2" x14ac:dyDescent="0.25">
      <c r="A506" s="14">
        <v>11028345000170</v>
      </c>
      <c r="B506" s="15" t="str">
        <f t="shared" si="7"/>
        <v>11.028.345/0001-70</v>
      </c>
      <c r="C506" s="12"/>
      <c r="D506" s="3" t="s">
        <v>2314</v>
      </c>
      <c r="E506" s="3" t="s">
        <v>2315</v>
      </c>
      <c r="F506" s="3" t="s">
        <v>20</v>
      </c>
      <c r="G506" s="4">
        <v>40029</v>
      </c>
      <c r="H506" s="3" t="s">
        <v>21</v>
      </c>
      <c r="I506" s="3" t="s">
        <v>47</v>
      </c>
      <c r="J506" s="5">
        <v>150000</v>
      </c>
      <c r="K506" s="3">
        <v>4649401</v>
      </c>
      <c r="L506" s="3" t="s">
        <v>2257</v>
      </c>
      <c r="M506" s="3" t="s">
        <v>2316</v>
      </c>
      <c r="N506" s="3" t="s">
        <v>111</v>
      </c>
      <c r="P506" s="3" t="s">
        <v>2317</v>
      </c>
      <c r="Q506" s="3" t="s">
        <v>2318</v>
      </c>
      <c r="R506" s="3" t="s">
        <v>456</v>
      </c>
      <c r="S506" s="3">
        <v>55620000</v>
      </c>
      <c r="T506" s="3">
        <v>8131251008</v>
      </c>
      <c r="U506" s="3" t="s">
        <v>29</v>
      </c>
    </row>
    <row r="507" spans="1:21" ht="13.2" x14ac:dyDescent="0.25">
      <c r="A507" s="14">
        <v>456865000167</v>
      </c>
      <c r="B507" s="15" t="str">
        <f t="shared" si="7"/>
        <v>00.456.865/0001-67</v>
      </c>
      <c r="C507" s="12"/>
      <c r="D507" s="3" t="s">
        <v>2319</v>
      </c>
      <c r="E507" s="3" t="s">
        <v>2319</v>
      </c>
      <c r="F507" s="3" t="s">
        <v>20</v>
      </c>
      <c r="G507" s="4">
        <v>34759</v>
      </c>
      <c r="H507" s="3" t="s">
        <v>21</v>
      </c>
      <c r="I507" s="3" t="s">
        <v>33</v>
      </c>
      <c r="J507" s="5">
        <v>11000000</v>
      </c>
      <c r="K507" s="3">
        <v>6202300</v>
      </c>
      <c r="L507" s="3" t="s">
        <v>103</v>
      </c>
      <c r="M507" s="3" t="s">
        <v>2320</v>
      </c>
      <c r="N507" s="3">
        <v>320</v>
      </c>
      <c r="O507" s="3" t="s">
        <v>2321</v>
      </c>
      <c r="P507" s="3" t="s">
        <v>2322</v>
      </c>
      <c r="Q507" s="3" t="s">
        <v>125</v>
      </c>
      <c r="R507" s="3" t="s">
        <v>91</v>
      </c>
      <c r="S507" s="3">
        <v>88811000</v>
      </c>
      <c r="T507" s="3">
        <v>4834310733</v>
      </c>
      <c r="U507" s="3" t="s">
        <v>29</v>
      </c>
    </row>
    <row r="508" spans="1:21" ht="13.2" x14ac:dyDescent="0.25">
      <c r="A508" s="14">
        <v>47982350000164</v>
      </c>
      <c r="B508" s="15" t="str">
        <f t="shared" si="7"/>
        <v>47.982.350/0001-64</v>
      </c>
      <c r="C508" s="12"/>
      <c r="D508" s="3" t="s">
        <v>2323</v>
      </c>
      <c r="E508" s="3" t="s">
        <v>2323</v>
      </c>
      <c r="F508" s="3" t="s">
        <v>20</v>
      </c>
      <c r="G508" s="4">
        <v>29927</v>
      </c>
      <c r="H508" s="3" t="s">
        <v>21</v>
      </c>
      <c r="I508" s="3" t="s">
        <v>33</v>
      </c>
      <c r="J508" s="5">
        <v>500000</v>
      </c>
      <c r="K508" s="3">
        <v>4662100</v>
      </c>
      <c r="L508" s="3" t="s">
        <v>2324</v>
      </c>
      <c r="M508" s="3" t="s">
        <v>2325</v>
      </c>
      <c r="N508" s="3">
        <v>105</v>
      </c>
      <c r="P508" s="3" t="s">
        <v>2326</v>
      </c>
      <c r="Q508" s="3" t="s">
        <v>27</v>
      </c>
      <c r="R508" s="3" t="s">
        <v>28</v>
      </c>
      <c r="S508" s="3">
        <v>4774020</v>
      </c>
      <c r="T508" s="3">
        <v>1121179988</v>
      </c>
      <c r="U508" s="3" t="s">
        <v>29</v>
      </c>
    </row>
    <row r="509" spans="1:21" ht="13.2" x14ac:dyDescent="0.25">
      <c r="A509" s="14">
        <v>3229363000191</v>
      </c>
      <c r="B509" s="15" t="str">
        <f t="shared" si="7"/>
        <v>03.229.363/0001-91</v>
      </c>
      <c r="C509" s="12"/>
      <c r="D509" s="3" t="s">
        <v>2327</v>
      </c>
      <c r="E509" s="3" t="s">
        <v>2327</v>
      </c>
      <c r="F509" s="3" t="s">
        <v>20</v>
      </c>
      <c r="G509" s="4">
        <v>36321</v>
      </c>
      <c r="H509" s="3" t="s">
        <v>21</v>
      </c>
      <c r="I509" s="3" t="s">
        <v>33</v>
      </c>
      <c r="J509" s="5">
        <v>15000000</v>
      </c>
      <c r="K509" s="3">
        <v>8011101</v>
      </c>
      <c r="L509" s="3" t="s">
        <v>943</v>
      </c>
      <c r="M509" s="3" t="s">
        <v>2328</v>
      </c>
      <c r="N509" s="3">
        <v>1768</v>
      </c>
      <c r="P509" s="3" t="s">
        <v>2329</v>
      </c>
      <c r="Q509" s="3" t="s">
        <v>204</v>
      </c>
      <c r="R509" s="3" t="s">
        <v>187</v>
      </c>
      <c r="S509" s="3">
        <v>80540290</v>
      </c>
      <c r="T509" s="3">
        <v>4133333333</v>
      </c>
      <c r="U509" s="3" t="s">
        <v>29</v>
      </c>
    </row>
    <row r="510" spans="1:21" ht="13.2" x14ac:dyDescent="0.25">
      <c r="A510" s="14">
        <v>53358495000191</v>
      </c>
      <c r="B510" s="15" t="str">
        <f t="shared" si="7"/>
        <v>53.358.495/0001-91</v>
      </c>
      <c r="C510" s="12" t="str">
        <f>VLOOKUP(B510,[1]Planilha1!$A:$B,2,0)</f>
        <v>Malu Montesino</v>
      </c>
      <c r="D510" s="3" t="s">
        <v>2330</v>
      </c>
      <c r="E510" s="3" t="s">
        <v>2331</v>
      </c>
      <c r="F510" s="3" t="s">
        <v>20</v>
      </c>
      <c r="G510" s="4">
        <v>30767</v>
      </c>
      <c r="H510" s="3" t="s">
        <v>21</v>
      </c>
      <c r="I510" s="3" t="s">
        <v>22</v>
      </c>
      <c r="J510" s="5">
        <v>1600000</v>
      </c>
      <c r="K510" s="3">
        <v>2832100</v>
      </c>
      <c r="L510" s="3" t="s">
        <v>2184</v>
      </c>
      <c r="M510" s="3" t="s">
        <v>2332</v>
      </c>
      <c r="N510" s="3">
        <v>1500</v>
      </c>
      <c r="O510" s="3" t="s">
        <v>2333</v>
      </c>
      <c r="P510" s="3" t="s">
        <v>2334</v>
      </c>
      <c r="Q510" s="3" t="s">
        <v>1217</v>
      </c>
      <c r="R510" s="3" t="s">
        <v>28</v>
      </c>
      <c r="S510" s="3">
        <v>14403180</v>
      </c>
      <c r="T510" s="3">
        <v>1621045522</v>
      </c>
      <c r="U510" s="3" t="s">
        <v>29</v>
      </c>
    </row>
    <row r="511" spans="1:21" ht="13.2" x14ac:dyDescent="0.25">
      <c r="A511" s="14">
        <v>89724447000117</v>
      </c>
      <c r="B511" s="15" t="str">
        <f t="shared" si="7"/>
        <v>89.724.447/0001-17</v>
      </c>
      <c r="C511" s="12"/>
      <c r="D511" s="3" t="s">
        <v>2335</v>
      </c>
      <c r="E511" s="3" t="s">
        <v>2335</v>
      </c>
      <c r="F511" s="3" t="s">
        <v>20</v>
      </c>
      <c r="G511" s="4">
        <v>25791</v>
      </c>
      <c r="H511" s="3" t="s">
        <v>94</v>
      </c>
      <c r="I511" s="3" t="s">
        <v>33</v>
      </c>
      <c r="J511" s="5">
        <v>240000000</v>
      </c>
      <c r="K511" s="3">
        <v>3291400</v>
      </c>
      <c r="L511" s="3" t="s">
        <v>1864</v>
      </c>
      <c r="M511" s="3" t="s">
        <v>2336</v>
      </c>
      <c r="N511" s="3" t="s">
        <v>111</v>
      </c>
      <c r="O511" s="3" t="s">
        <v>2337</v>
      </c>
      <c r="P511" s="3" t="s">
        <v>2338</v>
      </c>
      <c r="Q511" s="3" t="s">
        <v>1868</v>
      </c>
      <c r="R511" s="3" t="s">
        <v>53</v>
      </c>
      <c r="S511" s="3">
        <v>93270000</v>
      </c>
      <c r="T511" s="3">
        <v>5134739536</v>
      </c>
      <c r="U511" s="3" t="s">
        <v>29</v>
      </c>
    </row>
    <row r="512" spans="1:21" ht="13.2" x14ac:dyDescent="0.25">
      <c r="A512" s="14">
        <v>14629882000163</v>
      </c>
      <c r="B512" s="15" t="str">
        <f t="shared" si="7"/>
        <v>14.629.882/0001-63</v>
      </c>
      <c r="C512" s="12"/>
      <c r="D512" s="3" t="s">
        <v>2339</v>
      </c>
      <c r="E512" s="3" t="s">
        <v>2339</v>
      </c>
      <c r="F512" s="3" t="s">
        <v>20</v>
      </c>
      <c r="G512" s="4">
        <v>40836</v>
      </c>
      <c r="H512" s="3" t="s">
        <v>21</v>
      </c>
      <c r="I512" s="3" t="s">
        <v>33</v>
      </c>
      <c r="J512" s="5">
        <v>700000</v>
      </c>
      <c r="K512" s="3">
        <v>7020400</v>
      </c>
      <c r="L512" s="3" t="s">
        <v>170</v>
      </c>
      <c r="M512" s="3" t="s">
        <v>2340</v>
      </c>
      <c r="N512" s="3">
        <v>3311</v>
      </c>
      <c r="O512" s="3" t="s">
        <v>2341</v>
      </c>
      <c r="P512" s="3" t="s">
        <v>1230</v>
      </c>
      <c r="Q512" s="3" t="s">
        <v>27</v>
      </c>
      <c r="R512" s="3" t="s">
        <v>28</v>
      </c>
      <c r="S512" s="3">
        <v>4538133</v>
      </c>
      <c r="T512" s="3">
        <v>1137378800</v>
      </c>
      <c r="U512" s="3" t="s">
        <v>29</v>
      </c>
    </row>
    <row r="513" spans="1:21" ht="13.2" x14ac:dyDescent="0.25">
      <c r="A513" s="14">
        <v>42799163000126</v>
      </c>
      <c r="B513" s="15" t="str">
        <f t="shared" si="7"/>
        <v>42.799.163/0001-26</v>
      </c>
      <c r="C513" s="12"/>
      <c r="D513" s="3" t="s">
        <v>2342</v>
      </c>
      <c r="E513" s="3" t="s">
        <v>2343</v>
      </c>
      <c r="F513" s="3" t="s">
        <v>20</v>
      </c>
      <c r="G513" s="4">
        <v>33767</v>
      </c>
      <c r="H513" s="3" t="s">
        <v>21</v>
      </c>
      <c r="I513" s="3" t="s">
        <v>33</v>
      </c>
      <c r="J513" s="5">
        <v>3500000</v>
      </c>
      <c r="K513" s="3">
        <v>4644301</v>
      </c>
      <c r="L513" s="3" t="s">
        <v>326</v>
      </c>
      <c r="M513" s="3" t="s">
        <v>2344</v>
      </c>
      <c r="N513" s="3">
        <v>257</v>
      </c>
      <c r="P513" s="3" t="s">
        <v>2345</v>
      </c>
      <c r="Q513" s="3" t="s">
        <v>476</v>
      </c>
      <c r="R513" s="3" t="s">
        <v>100</v>
      </c>
      <c r="S513" s="3">
        <v>31130250</v>
      </c>
      <c r="T513" s="3">
        <v>3121181888</v>
      </c>
      <c r="U513" s="3" t="s">
        <v>29</v>
      </c>
    </row>
    <row r="514" spans="1:21" ht="13.2" x14ac:dyDescent="0.25">
      <c r="A514" s="14">
        <v>13143803000147</v>
      </c>
      <c r="B514" s="15" t="str">
        <f t="shared" si="7"/>
        <v>13.143.803/0001-47</v>
      </c>
      <c r="C514" s="12"/>
      <c r="D514" s="3" t="s">
        <v>2346</v>
      </c>
      <c r="E514" s="3" t="s">
        <v>2347</v>
      </c>
      <c r="F514" s="3" t="s">
        <v>20</v>
      </c>
      <c r="G514" s="4">
        <v>40542</v>
      </c>
      <c r="H514" s="3" t="s">
        <v>21</v>
      </c>
      <c r="I514" s="3" t="s">
        <v>33</v>
      </c>
      <c r="J514" s="5">
        <v>200000</v>
      </c>
      <c r="K514" s="3">
        <v>2014200</v>
      </c>
      <c r="L514" s="3" t="s">
        <v>833</v>
      </c>
      <c r="M514" s="3" t="s">
        <v>2348</v>
      </c>
      <c r="N514" s="3">
        <v>7</v>
      </c>
      <c r="O514" s="3" t="s">
        <v>2349</v>
      </c>
      <c r="P514" s="3" t="s">
        <v>2350</v>
      </c>
      <c r="Q514" s="3" t="s">
        <v>631</v>
      </c>
      <c r="R514" s="3" t="s">
        <v>632</v>
      </c>
      <c r="S514" s="3">
        <v>72427010</v>
      </c>
      <c r="T514" s="3">
        <v>6199433818</v>
      </c>
      <c r="U514" s="3" t="s">
        <v>29</v>
      </c>
    </row>
    <row r="515" spans="1:21" ht="13.2" x14ac:dyDescent="0.25">
      <c r="A515" s="14">
        <v>51248155000182</v>
      </c>
      <c r="B515" s="15" t="str">
        <f t="shared" ref="B515:B578" si="8">TEXT(A515,"00\.000\.000\/0000\-00")</f>
        <v>51.248.155/0001-82</v>
      </c>
      <c r="C515" s="12"/>
      <c r="D515" s="3" t="s">
        <v>2351</v>
      </c>
      <c r="E515" s="3" t="s">
        <v>2352</v>
      </c>
      <c r="F515" s="3" t="s">
        <v>20</v>
      </c>
      <c r="G515" s="4">
        <v>45107</v>
      </c>
      <c r="H515" s="3" t="s">
        <v>21</v>
      </c>
      <c r="I515" s="3" t="s">
        <v>33</v>
      </c>
      <c r="J515" s="5">
        <v>334000</v>
      </c>
      <c r="K515" s="3">
        <v>2865800</v>
      </c>
      <c r="L515" s="3" t="s">
        <v>2353</v>
      </c>
      <c r="M515" s="3" t="s">
        <v>2354</v>
      </c>
      <c r="N515" s="3">
        <v>4252</v>
      </c>
      <c r="O515" s="3" t="s">
        <v>496</v>
      </c>
      <c r="P515" s="3" t="s">
        <v>2355</v>
      </c>
      <c r="Q515" s="3" t="s">
        <v>2356</v>
      </c>
      <c r="R515" s="3" t="s">
        <v>91</v>
      </c>
      <c r="S515" s="3">
        <v>88420000</v>
      </c>
      <c r="T515" s="3">
        <v>4735341051</v>
      </c>
      <c r="U515" s="3" t="s">
        <v>29</v>
      </c>
    </row>
    <row r="516" spans="1:21" ht="13.2" x14ac:dyDescent="0.25">
      <c r="A516" s="14">
        <v>18607653000107</v>
      </c>
      <c r="B516" s="15" t="str">
        <f t="shared" si="8"/>
        <v>18.607.653/0001-07</v>
      </c>
      <c r="C516" s="12"/>
      <c r="D516" s="3" t="s">
        <v>2357</v>
      </c>
      <c r="E516" s="3" t="s">
        <v>2357</v>
      </c>
      <c r="F516" s="3" t="s">
        <v>20</v>
      </c>
      <c r="G516" s="4">
        <v>41488</v>
      </c>
      <c r="H516" s="3" t="s">
        <v>21</v>
      </c>
      <c r="I516" s="3" t="s">
        <v>33</v>
      </c>
      <c r="J516" s="5">
        <v>6557442</v>
      </c>
      <c r="K516" s="3">
        <v>4651601</v>
      </c>
      <c r="L516" s="3" t="s">
        <v>684</v>
      </c>
      <c r="M516" s="3" t="s">
        <v>2358</v>
      </c>
      <c r="N516" s="3">
        <v>77</v>
      </c>
      <c r="P516" s="3" t="s">
        <v>2359</v>
      </c>
      <c r="Q516" s="3" t="s">
        <v>65</v>
      </c>
      <c r="R516" s="3" t="s">
        <v>28</v>
      </c>
      <c r="S516" s="3">
        <v>13098405</v>
      </c>
      <c r="T516" s="3">
        <v>1925157930</v>
      </c>
      <c r="U516" s="3" t="s">
        <v>29</v>
      </c>
    </row>
    <row r="517" spans="1:21" ht="13.2" x14ac:dyDescent="0.25">
      <c r="A517" s="14">
        <v>5726275000120</v>
      </c>
      <c r="B517" s="15" t="str">
        <f t="shared" si="8"/>
        <v>05.726.275/0001-20</v>
      </c>
      <c r="C517" s="12"/>
      <c r="D517" s="3" t="s">
        <v>2360</v>
      </c>
      <c r="E517" s="3" t="s">
        <v>2361</v>
      </c>
      <c r="F517" s="3" t="s">
        <v>45</v>
      </c>
      <c r="G517" s="4">
        <v>37781</v>
      </c>
      <c r="H517" s="3" t="s">
        <v>21</v>
      </c>
      <c r="I517" s="3" t="s">
        <v>33</v>
      </c>
      <c r="J517" s="5">
        <v>14000000</v>
      </c>
      <c r="K517" s="3">
        <v>1813099</v>
      </c>
      <c r="L517" s="3" t="s">
        <v>2362</v>
      </c>
      <c r="M517" s="3" t="s">
        <v>262</v>
      </c>
      <c r="N517" s="3">
        <v>1744</v>
      </c>
      <c r="O517" s="3" t="s">
        <v>2363</v>
      </c>
      <c r="P517" s="3" t="s">
        <v>2364</v>
      </c>
      <c r="Q517" s="3" t="s">
        <v>2365</v>
      </c>
      <c r="R517" s="3" t="s">
        <v>28</v>
      </c>
      <c r="S517" s="3">
        <v>7750020</v>
      </c>
      <c r="T517" s="3">
        <v>1121588123</v>
      </c>
      <c r="U517" s="3" t="s">
        <v>29</v>
      </c>
    </row>
    <row r="518" spans="1:21" ht="13.2" x14ac:dyDescent="0.25">
      <c r="A518" s="14">
        <v>61192522000127</v>
      </c>
      <c r="B518" s="15" t="str">
        <f t="shared" si="8"/>
        <v>61.192.522/0001-27</v>
      </c>
      <c r="C518" s="12"/>
      <c r="D518" s="3" t="s">
        <v>2366</v>
      </c>
      <c r="E518" s="3" t="s">
        <v>2367</v>
      </c>
      <c r="F518" s="3" t="s">
        <v>20</v>
      </c>
      <c r="G518" s="4">
        <v>24301</v>
      </c>
      <c r="H518" s="3" t="s">
        <v>21</v>
      </c>
      <c r="I518" s="3" t="s">
        <v>33</v>
      </c>
      <c r="J518" s="5">
        <v>359626750</v>
      </c>
      <c r="K518" s="3">
        <v>1721400</v>
      </c>
      <c r="L518" s="3" t="s">
        <v>820</v>
      </c>
      <c r="M518" s="3" t="s">
        <v>2368</v>
      </c>
      <c r="N518" s="3">
        <v>7600</v>
      </c>
      <c r="P518" s="3" t="s">
        <v>2369</v>
      </c>
      <c r="Q518" s="3" t="s">
        <v>567</v>
      </c>
      <c r="R518" s="3" t="s">
        <v>28</v>
      </c>
      <c r="S518" s="3">
        <v>13211771</v>
      </c>
      <c r="T518" s="3">
        <v>1145256000</v>
      </c>
      <c r="U518" s="3" t="s">
        <v>29</v>
      </c>
    </row>
    <row r="519" spans="1:21" ht="13.2" x14ac:dyDescent="0.25">
      <c r="A519" s="14">
        <v>11478547000113</v>
      </c>
      <c r="B519" s="15" t="str">
        <f t="shared" si="8"/>
        <v>11.478.547/0001-13</v>
      </c>
      <c r="C519" s="12"/>
      <c r="D519" s="3" t="s">
        <v>2370</v>
      </c>
      <c r="E519" s="3" t="s">
        <v>2370</v>
      </c>
      <c r="F519" s="3" t="s">
        <v>20</v>
      </c>
      <c r="G519" s="4">
        <v>40185</v>
      </c>
      <c r="H519" s="3" t="s">
        <v>21</v>
      </c>
      <c r="I519" s="3" t="s">
        <v>33</v>
      </c>
      <c r="J519" s="5">
        <v>17644558</v>
      </c>
      <c r="K519" s="3">
        <v>2812700</v>
      </c>
      <c r="L519" s="3" t="s">
        <v>1534</v>
      </c>
      <c r="M519" s="3" t="s">
        <v>2371</v>
      </c>
      <c r="N519" s="3" t="s">
        <v>82</v>
      </c>
      <c r="O519" s="3" t="s">
        <v>2372</v>
      </c>
      <c r="P519" s="3" t="s">
        <v>2373</v>
      </c>
      <c r="Q519" s="3" t="s">
        <v>2374</v>
      </c>
      <c r="R519" s="3" t="s">
        <v>53</v>
      </c>
      <c r="S519" s="3">
        <v>95270000</v>
      </c>
      <c r="T519" s="3">
        <v>5432976100</v>
      </c>
      <c r="U519" s="3" t="s">
        <v>29</v>
      </c>
    </row>
    <row r="520" spans="1:21" ht="13.2" x14ac:dyDescent="0.25">
      <c r="A520" s="14">
        <v>35948181000167</v>
      </c>
      <c r="B520" s="15" t="str">
        <f t="shared" si="8"/>
        <v>35.948.181/0001-67</v>
      </c>
      <c r="C520" s="12"/>
      <c r="D520" s="3" t="s">
        <v>2375</v>
      </c>
      <c r="E520" s="3" t="s">
        <v>2375</v>
      </c>
      <c r="F520" s="3" t="s">
        <v>20</v>
      </c>
      <c r="G520" s="4">
        <v>32926</v>
      </c>
      <c r="H520" s="3" t="s">
        <v>21</v>
      </c>
      <c r="I520" s="3" t="s">
        <v>33</v>
      </c>
      <c r="J520" s="5">
        <v>0</v>
      </c>
      <c r="K520" s="3">
        <v>2840200</v>
      </c>
      <c r="L520" s="3" t="s">
        <v>2053</v>
      </c>
      <c r="M520" s="3" t="s">
        <v>2376</v>
      </c>
      <c r="N520" s="3">
        <v>15.5</v>
      </c>
      <c r="O520" s="3" t="s">
        <v>2377</v>
      </c>
      <c r="P520" s="3" t="s">
        <v>2378</v>
      </c>
      <c r="Q520" s="3" t="s">
        <v>999</v>
      </c>
      <c r="R520" s="3" t="s">
        <v>78</v>
      </c>
      <c r="S520" s="3">
        <v>25750226</v>
      </c>
      <c r="T520" s="3">
        <v>2422229750</v>
      </c>
      <c r="U520" s="3" t="s">
        <v>29</v>
      </c>
    </row>
    <row r="521" spans="1:21" ht="13.2" x14ac:dyDescent="0.25">
      <c r="A521" s="14">
        <v>10942372000190</v>
      </c>
      <c r="B521" s="15" t="str">
        <f t="shared" si="8"/>
        <v>10.942.372/0001-90</v>
      </c>
      <c r="C521" s="12"/>
      <c r="D521" s="3" t="s">
        <v>2379</v>
      </c>
      <c r="E521" s="3" t="s">
        <v>2380</v>
      </c>
      <c r="F521" s="3" t="s">
        <v>20</v>
      </c>
      <c r="G521" s="4">
        <v>39982</v>
      </c>
      <c r="H521" s="3" t="s">
        <v>21</v>
      </c>
      <c r="I521" s="3" t="s">
        <v>22</v>
      </c>
      <c r="J521" s="5">
        <v>1380634</v>
      </c>
      <c r="K521" s="3">
        <v>4645101</v>
      </c>
      <c r="L521" s="3" t="s">
        <v>135</v>
      </c>
      <c r="M521" s="3" t="s">
        <v>2381</v>
      </c>
      <c r="N521" s="3" t="s">
        <v>111</v>
      </c>
      <c r="O521" s="3" t="s">
        <v>2382</v>
      </c>
      <c r="P521" s="3" t="s">
        <v>2383</v>
      </c>
      <c r="Q521" s="3" t="s">
        <v>2384</v>
      </c>
      <c r="R521" s="3" t="s">
        <v>274</v>
      </c>
      <c r="S521" s="3">
        <v>75132035</v>
      </c>
      <c r="T521" s="3">
        <v>1155058877</v>
      </c>
      <c r="U521" s="3" t="s">
        <v>29</v>
      </c>
    </row>
    <row r="522" spans="1:21" ht="13.2" x14ac:dyDescent="0.25">
      <c r="A522" s="14">
        <v>79841904000108</v>
      </c>
      <c r="B522" s="15" t="str">
        <f t="shared" si="8"/>
        <v>79.841.904/0001-08</v>
      </c>
      <c r="C522" s="12" t="str">
        <f>VLOOKUP(B522,[1]Planilha1!$A:$B,2,0)</f>
        <v>Malu Montesino</v>
      </c>
      <c r="D522" s="3" t="s">
        <v>2385</v>
      </c>
      <c r="E522" s="3" t="s">
        <v>2385</v>
      </c>
      <c r="F522" s="3" t="s">
        <v>20</v>
      </c>
      <c r="G522" s="4">
        <v>31754</v>
      </c>
      <c r="H522" s="3" t="s">
        <v>21</v>
      </c>
      <c r="I522" s="3" t="s">
        <v>33</v>
      </c>
      <c r="J522" s="5">
        <v>7070000</v>
      </c>
      <c r="K522" s="3">
        <v>2825900</v>
      </c>
      <c r="L522" s="3" t="s">
        <v>345</v>
      </c>
      <c r="M522" s="3" t="s">
        <v>2386</v>
      </c>
      <c r="N522" s="3">
        <v>1000</v>
      </c>
      <c r="O522" s="3" t="s">
        <v>2387</v>
      </c>
      <c r="P522" s="3" t="s">
        <v>950</v>
      </c>
      <c r="Q522" s="3" t="s">
        <v>2388</v>
      </c>
      <c r="R522" s="3" t="s">
        <v>91</v>
      </c>
      <c r="S522" s="3">
        <v>89665000</v>
      </c>
      <c r="T522" s="3">
        <v>4935551623</v>
      </c>
      <c r="U522" s="3" t="s">
        <v>29</v>
      </c>
    </row>
    <row r="523" spans="1:21" ht="13.2" x14ac:dyDescent="0.25">
      <c r="A523" s="14">
        <v>3830607000197</v>
      </c>
      <c r="B523" s="15" t="str">
        <f t="shared" si="8"/>
        <v>03.830.607/0001-97</v>
      </c>
      <c r="C523" s="12" t="str">
        <f>VLOOKUP(B523,[1]Planilha1!$A:$B,2,0)</f>
        <v>Malu Montesino</v>
      </c>
      <c r="D523" s="3" t="s">
        <v>2389</v>
      </c>
      <c r="E523" s="3" t="s">
        <v>2389</v>
      </c>
      <c r="F523" s="3" t="s">
        <v>20</v>
      </c>
      <c r="G523" s="4">
        <v>36671</v>
      </c>
      <c r="H523" s="3" t="s">
        <v>21</v>
      </c>
      <c r="I523" s="3" t="s">
        <v>33</v>
      </c>
      <c r="J523" s="5">
        <v>5177000</v>
      </c>
      <c r="K523" s="3">
        <v>4664800</v>
      </c>
      <c r="L523" s="3" t="s">
        <v>691</v>
      </c>
      <c r="M523" s="3" t="s">
        <v>2390</v>
      </c>
      <c r="N523" s="3">
        <v>360</v>
      </c>
      <c r="O523" s="3" t="s">
        <v>2391</v>
      </c>
      <c r="P523" s="3" t="s">
        <v>2392</v>
      </c>
      <c r="Q523" s="3" t="s">
        <v>27</v>
      </c>
      <c r="R523" s="3" t="s">
        <v>28</v>
      </c>
      <c r="S523" s="3">
        <v>1504000</v>
      </c>
      <c r="T523" s="3">
        <v>1136728927</v>
      </c>
      <c r="U523" s="3" t="s">
        <v>29</v>
      </c>
    </row>
    <row r="524" spans="1:21" ht="13.2" x14ac:dyDescent="0.25">
      <c r="A524" s="14">
        <v>23586413000103</v>
      </c>
      <c r="B524" s="15" t="str">
        <f t="shared" si="8"/>
        <v>23.586.413/0001-03</v>
      </c>
      <c r="C524" s="12" t="str">
        <f>VLOOKUP(B524,[1]Planilha1!$A:$B,2,0)</f>
        <v>Malu Montesino</v>
      </c>
      <c r="D524" s="3" t="s">
        <v>2393</v>
      </c>
      <c r="E524" s="3" t="s">
        <v>2394</v>
      </c>
      <c r="F524" s="3" t="s">
        <v>20</v>
      </c>
      <c r="G524" s="4">
        <v>42311</v>
      </c>
      <c r="H524" s="3" t="s">
        <v>21</v>
      </c>
      <c r="I524" s="3" t="s">
        <v>47</v>
      </c>
      <c r="J524" s="5">
        <v>200000</v>
      </c>
      <c r="K524" s="3">
        <v>8219999</v>
      </c>
      <c r="L524" s="3" t="s">
        <v>121</v>
      </c>
      <c r="M524" s="3" t="s">
        <v>2395</v>
      </c>
      <c r="N524" s="3">
        <v>34</v>
      </c>
      <c r="O524" s="3" t="s">
        <v>2396</v>
      </c>
      <c r="P524" s="3" t="s">
        <v>70</v>
      </c>
      <c r="Q524" s="3" t="s">
        <v>119</v>
      </c>
      <c r="R524" s="3" t="s">
        <v>28</v>
      </c>
      <c r="S524" s="3">
        <v>6600055</v>
      </c>
      <c r="T524" s="3">
        <v>1136479575</v>
      </c>
      <c r="U524" s="3" t="s">
        <v>29</v>
      </c>
    </row>
    <row r="525" spans="1:21" ht="13.2" x14ac:dyDescent="0.25">
      <c r="A525" s="14">
        <v>6175908000112</v>
      </c>
      <c r="B525" s="15" t="str">
        <f t="shared" si="8"/>
        <v>06.175.908/0001-12</v>
      </c>
      <c r="C525" s="12"/>
      <c r="D525" s="3" t="s">
        <v>2397</v>
      </c>
      <c r="E525" s="3" t="s">
        <v>2398</v>
      </c>
      <c r="F525" s="3" t="s">
        <v>20</v>
      </c>
      <c r="G525" s="4">
        <v>38062</v>
      </c>
      <c r="H525" s="3" t="s">
        <v>21</v>
      </c>
      <c r="I525" s="3" t="s">
        <v>22</v>
      </c>
      <c r="J525" s="5">
        <v>498000</v>
      </c>
      <c r="K525" s="3">
        <v>4645103</v>
      </c>
      <c r="L525" s="3" t="s">
        <v>1568</v>
      </c>
      <c r="M525" s="3" t="s">
        <v>2399</v>
      </c>
      <c r="N525" s="3" t="s">
        <v>2400</v>
      </c>
      <c r="P525" s="3" t="s">
        <v>2401</v>
      </c>
      <c r="Q525" s="3" t="s">
        <v>2402</v>
      </c>
      <c r="R525" s="3" t="s">
        <v>187</v>
      </c>
      <c r="S525" s="3">
        <v>86182530</v>
      </c>
      <c r="T525" s="3">
        <v>4332546426</v>
      </c>
      <c r="U525" s="3" t="s">
        <v>29</v>
      </c>
    </row>
    <row r="526" spans="1:21" ht="13.2" x14ac:dyDescent="0.25">
      <c r="A526" s="14">
        <v>58538372000156</v>
      </c>
      <c r="B526" s="15" t="str">
        <f t="shared" si="8"/>
        <v>58.538.372/0001-56</v>
      </c>
      <c r="C526" s="12"/>
      <c r="D526" s="3" t="s">
        <v>2403</v>
      </c>
      <c r="E526" s="3" t="s">
        <v>2403</v>
      </c>
      <c r="F526" s="3" t="s">
        <v>20</v>
      </c>
      <c r="G526" s="4">
        <v>32163</v>
      </c>
      <c r="H526" s="3" t="s">
        <v>21</v>
      </c>
      <c r="I526" s="3" t="s">
        <v>33</v>
      </c>
      <c r="J526" s="5">
        <v>800000</v>
      </c>
      <c r="K526" s="3">
        <v>3250701</v>
      </c>
      <c r="L526" s="3" t="s">
        <v>2195</v>
      </c>
      <c r="M526" s="3" t="s">
        <v>2404</v>
      </c>
      <c r="N526" s="3">
        <v>120</v>
      </c>
      <c r="P526" s="3" t="s">
        <v>2405</v>
      </c>
      <c r="Q526" s="3" t="s">
        <v>2406</v>
      </c>
      <c r="R526" s="3" t="s">
        <v>28</v>
      </c>
      <c r="S526" s="3">
        <v>13568000</v>
      </c>
      <c r="T526" s="3">
        <v>1633716502</v>
      </c>
      <c r="U526" s="3" t="s">
        <v>29</v>
      </c>
    </row>
    <row r="527" spans="1:21" ht="13.2" x14ac:dyDescent="0.25">
      <c r="A527" s="14">
        <v>32220258000190</v>
      </c>
      <c r="B527" s="15" t="str">
        <f t="shared" si="8"/>
        <v>32.220.258/0001-90</v>
      </c>
      <c r="C527" s="12" t="str">
        <f>VLOOKUP(B527,[1]Planilha1!$A:$B,2,0)</f>
        <v>Malu Montesino</v>
      </c>
      <c r="D527" s="3" t="s">
        <v>2407</v>
      </c>
      <c r="E527" s="3" t="s">
        <v>2408</v>
      </c>
      <c r="F527" s="3" t="s">
        <v>20</v>
      </c>
      <c r="G527" s="4">
        <v>43444</v>
      </c>
      <c r="H527" s="3" t="s">
        <v>21</v>
      </c>
      <c r="I527" s="3" t="s">
        <v>33</v>
      </c>
      <c r="J527" s="5">
        <v>1800109</v>
      </c>
      <c r="K527" s="3">
        <v>2099199</v>
      </c>
      <c r="L527" s="3" t="s">
        <v>80</v>
      </c>
      <c r="M527" s="3" t="s">
        <v>1130</v>
      </c>
      <c r="N527" s="3">
        <v>95</v>
      </c>
      <c r="O527" s="3" t="s">
        <v>2409</v>
      </c>
      <c r="P527" s="3" t="s">
        <v>2410</v>
      </c>
      <c r="Q527" s="3" t="s">
        <v>1988</v>
      </c>
      <c r="R527" s="3" t="s">
        <v>28</v>
      </c>
      <c r="S527" s="3">
        <v>6730000</v>
      </c>
      <c r="T527" s="3">
        <v>1123911818</v>
      </c>
      <c r="U527" s="3" t="s">
        <v>29</v>
      </c>
    </row>
    <row r="528" spans="1:21" ht="13.2" x14ac:dyDescent="0.25">
      <c r="A528" s="14">
        <v>3188198000177</v>
      </c>
      <c r="B528" s="15" t="str">
        <f t="shared" si="8"/>
        <v>03.188.198/0001-77</v>
      </c>
      <c r="C528" s="12"/>
      <c r="D528" s="3" t="s">
        <v>2411</v>
      </c>
      <c r="E528" s="3" t="s">
        <v>2411</v>
      </c>
      <c r="F528" s="3" t="s">
        <v>20</v>
      </c>
      <c r="G528" s="4">
        <v>36311</v>
      </c>
      <c r="H528" s="3" t="s">
        <v>21</v>
      </c>
      <c r="I528" s="3" t="s">
        <v>33</v>
      </c>
      <c r="J528" s="5">
        <v>167361180</v>
      </c>
      <c r="K528" s="3">
        <v>2123800</v>
      </c>
      <c r="L528" s="3" t="s">
        <v>2412</v>
      </c>
      <c r="M528" s="3" t="s">
        <v>2413</v>
      </c>
      <c r="N528" s="3">
        <v>100</v>
      </c>
      <c r="P528" s="3" t="s">
        <v>956</v>
      </c>
      <c r="Q528" s="3" t="s">
        <v>957</v>
      </c>
      <c r="R528" s="3" t="s">
        <v>100</v>
      </c>
      <c r="S528" s="3">
        <v>33240095</v>
      </c>
      <c r="T528" s="3">
        <v>3136896606</v>
      </c>
      <c r="U528" s="3" t="s">
        <v>29</v>
      </c>
    </row>
    <row r="529" spans="1:21" ht="13.2" x14ac:dyDescent="0.25">
      <c r="A529" s="14">
        <v>3938196000158</v>
      </c>
      <c r="B529" s="15" t="str">
        <f t="shared" si="8"/>
        <v>03.938.196/0001-58</v>
      </c>
      <c r="C529" s="12" t="str">
        <f>VLOOKUP(B529,[1]Planilha1!$A:$B,2,0)</f>
        <v>Malu Montesino</v>
      </c>
      <c r="D529" s="3" t="s">
        <v>2414</v>
      </c>
      <c r="E529" s="3" t="s">
        <v>2415</v>
      </c>
      <c r="F529" s="3" t="s">
        <v>20</v>
      </c>
      <c r="G529" s="4">
        <v>36706</v>
      </c>
      <c r="H529" s="3" t="s">
        <v>21</v>
      </c>
      <c r="I529" s="3" t="s">
        <v>33</v>
      </c>
      <c r="J529" s="5">
        <v>200000</v>
      </c>
      <c r="K529" s="3">
        <v>4773300</v>
      </c>
      <c r="L529" s="3" t="s">
        <v>706</v>
      </c>
      <c r="M529" s="3" t="s">
        <v>2416</v>
      </c>
      <c r="N529" s="3">
        <v>888</v>
      </c>
      <c r="O529" s="3" t="s">
        <v>2417</v>
      </c>
      <c r="P529" s="3" t="s">
        <v>2041</v>
      </c>
      <c r="Q529" s="3" t="s">
        <v>65</v>
      </c>
      <c r="R529" s="3" t="s">
        <v>28</v>
      </c>
      <c r="S529" s="3">
        <v>13030580</v>
      </c>
      <c r="T529" s="3">
        <v>1932728000</v>
      </c>
      <c r="U529" s="3" t="s">
        <v>29</v>
      </c>
    </row>
    <row r="530" spans="1:21" ht="13.2" x14ac:dyDescent="0.25">
      <c r="A530" s="14">
        <v>84833888000133</v>
      </c>
      <c r="B530" s="15" t="str">
        <f t="shared" si="8"/>
        <v>84.833.888/0001-33</v>
      </c>
      <c r="C530" s="12"/>
      <c r="D530" s="3" t="s">
        <v>2418</v>
      </c>
      <c r="E530" s="3" t="s">
        <v>2419</v>
      </c>
      <c r="F530" s="3" t="s">
        <v>20</v>
      </c>
      <c r="G530" s="4">
        <v>33498</v>
      </c>
      <c r="H530" s="3" t="s">
        <v>21</v>
      </c>
      <c r="I530" s="3" t="s">
        <v>33</v>
      </c>
      <c r="J530" s="5">
        <v>0</v>
      </c>
      <c r="K530" s="3">
        <v>3250705</v>
      </c>
      <c r="L530" s="3" t="s">
        <v>2420</v>
      </c>
      <c r="M530" s="3" t="s">
        <v>2421</v>
      </c>
      <c r="N530" s="3">
        <v>4350</v>
      </c>
      <c r="P530" s="3" t="s">
        <v>2422</v>
      </c>
      <c r="Q530" s="3" t="s">
        <v>2423</v>
      </c>
      <c r="R530" s="3" t="s">
        <v>187</v>
      </c>
      <c r="S530" s="3">
        <v>86206006</v>
      </c>
      <c r="T530" s="3">
        <v>4331787000</v>
      </c>
      <c r="U530" s="3" t="s">
        <v>29</v>
      </c>
    </row>
    <row r="531" spans="1:21" ht="13.2" x14ac:dyDescent="0.25">
      <c r="A531" s="14">
        <v>40101972000197</v>
      </c>
      <c r="B531" s="15" t="str">
        <f t="shared" si="8"/>
        <v>40.101.972/0001-97</v>
      </c>
      <c r="C531" s="12"/>
      <c r="D531" s="3" t="s">
        <v>2424</v>
      </c>
      <c r="E531" s="3" t="s">
        <v>2424</v>
      </c>
      <c r="F531" s="3" t="s">
        <v>20</v>
      </c>
      <c r="G531" s="4">
        <v>44179</v>
      </c>
      <c r="H531" s="3" t="s">
        <v>21</v>
      </c>
      <c r="I531" s="3" t="s">
        <v>47</v>
      </c>
      <c r="J531" s="5">
        <v>3000000</v>
      </c>
      <c r="K531" s="3">
        <v>3701100</v>
      </c>
      <c r="L531" s="3" t="s">
        <v>2425</v>
      </c>
      <c r="M531" s="3" t="s">
        <v>2426</v>
      </c>
      <c r="N531" s="3">
        <v>1860</v>
      </c>
      <c r="P531" s="3" t="s">
        <v>70</v>
      </c>
      <c r="Q531" s="3" t="s">
        <v>2427</v>
      </c>
      <c r="R531" s="3" t="s">
        <v>28</v>
      </c>
      <c r="S531" s="3">
        <v>14701410</v>
      </c>
      <c r="T531" s="3">
        <v>1639461200</v>
      </c>
      <c r="U531" s="3" t="s">
        <v>29</v>
      </c>
    </row>
    <row r="532" spans="1:21" ht="13.2" x14ac:dyDescent="0.25">
      <c r="A532" s="14">
        <v>7986222000174</v>
      </c>
      <c r="B532" s="15" t="str">
        <f t="shared" si="8"/>
        <v>07.986.222/0001-74</v>
      </c>
      <c r="C532" s="12"/>
      <c r="D532" s="3" t="s">
        <v>2428</v>
      </c>
      <c r="E532" s="3" t="s">
        <v>2428</v>
      </c>
      <c r="F532" s="3" t="s">
        <v>20</v>
      </c>
      <c r="G532" s="4">
        <v>38826</v>
      </c>
      <c r="H532" s="3" t="s">
        <v>21</v>
      </c>
      <c r="I532" s="3" t="s">
        <v>33</v>
      </c>
      <c r="J532" s="5">
        <v>9271600</v>
      </c>
      <c r="K532" s="3">
        <v>4644301</v>
      </c>
      <c r="L532" s="3" t="s">
        <v>326</v>
      </c>
      <c r="M532" s="3" t="s">
        <v>2429</v>
      </c>
      <c r="N532" s="3">
        <v>418</v>
      </c>
      <c r="O532" s="3" t="s">
        <v>2430</v>
      </c>
      <c r="P532" s="3" t="s">
        <v>316</v>
      </c>
      <c r="Q532" s="3" t="s">
        <v>27</v>
      </c>
      <c r="R532" s="3" t="s">
        <v>28</v>
      </c>
      <c r="S532" s="3">
        <v>4551060</v>
      </c>
      <c r="T532" s="3">
        <v>1135683400</v>
      </c>
      <c r="U532" s="3" t="s">
        <v>29</v>
      </c>
    </row>
    <row r="533" spans="1:21" ht="13.2" x14ac:dyDescent="0.25">
      <c r="A533" s="14">
        <v>18269125000187</v>
      </c>
      <c r="B533" s="15" t="str">
        <f t="shared" si="8"/>
        <v>18.269.125/0001-87</v>
      </c>
      <c r="C533" s="12" t="str">
        <f>VLOOKUP(B533,[1]Planilha1!$A:$B,2,0)</f>
        <v>Malu Montesino</v>
      </c>
      <c r="D533" s="3" t="s">
        <v>2431</v>
      </c>
      <c r="E533" s="3" t="s">
        <v>2432</v>
      </c>
      <c r="F533" s="3" t="s">
        <v>20</v>
      </c>
      <c r="G533" s="4">
        <v>41435</v>
      </c>
      <c r="H533" s="3" t="s">
        <v>94</v>
      </c>
      <c r="I533" s="3" t="s">
        <v>33</v>
      </c>
      <c r="J533" s="5">
        <v>106957860</v>
      </c>
      <c r="K533" s="3">
        <v>4644301</v>
      </c>
      <c r="L533" s="3" t="s">
        <v>326</v>
      </c>
      <c r="M533" s="3" t="s">
        <v>2433</v>
      </c>
      <c r="N533" s="3">
        <v>1080</v>
      </c>
      <c r="P533" s="3" t="s">
        <v>2434</v>
      </c>
      <c r="Q533" s="3" t="s">
        <v>1701</v>
      </c>
      <c r="R533" s="3" t="s">
        <v>100</v>
      </c>
      <c r="S533" s="3">
        <v>32010010</v>
      </c>
      <c r="T533" s="3">
        <v>8321062433</v>
      </c>
      <c r="U533" s="3" t="s">
        <v>29</v>
      </c>
    </row>
    <row r="534" spans="1:21" ht="13.2" x14ac:dyDescent="0.25">
      <c r="A534" s="14">
        <v>10729586000183</v>
      </c>
      <c r="B534" s="15" t="str">
        <f t="shared" si="8"/>
        <v>10.729.586/0001-83</v>
      </c>
      <c r="C534" s="12"/>
      <c r="D534" s="3" t="s">
        <v>2435</v>
      </c>
      <c r="E534" s="3" t="s">
        <v>2435</v>
      </c>
      <c r="F534" s="3" t="s">
        <v>20</v>
      </c>
      <c r="G534" s="4">
        <v>39874</v>
      </c>
      <c r="H534" s="3" t="s">
        <v>21</v>
      </c>
      <c r="I534" s="3" t="s">
        <v>33</v>
      </c>
      <c r="J534" s="5">
        <v>220000</v>
      </c>
      <c r="K534" s="3">
        <v>4645101</v>
      </c>
      <c r="L534" s="3" t="s">
        <v>135</v>
      </c>
      <c r="M534" s="3" t="s">
        <v>2436</v>
      </c>
      <c r="N534" s="3">
        <v>215</v>
      </c>
      <c r="O534" s="3" t="s">
        <v>2437</v>
      </c>
      <c r="P534" s="3" t="s">
        <v>2438</v>
      </c>
      <c r="Q534" s="3" t="s">
        <v>471</v>
      </c>
      <c r="R534" s="3" t="s">
        <v>28</v>
      </c>
      <c r="S534" s="3">
        <v>9531190</v>
      </c>
      <c r="T534" s="3">
        <v>1143651341</v>
      </c>
      <c r="U534" s="3" t="s">
        <v>29</v>
      </c>
    </row>
    <row r="535" spans="1:21" ht="13.2" x14ac:dyDescent="0.25">
      <c r="A535" s="14">
        <v>49475833000106</v>
      </c>
      <c r="B535" s="15" t="str">
        <f t="shared" si="8"/>
        <v>49.475.833/0001-06</v>
      </c>
      <c r="C535" s="12" t="str">
        <f>VLOOKUP(B535,[1]Planilha1!$A:$B,2,0)</f>
        <v>Malu Montesino</v>
      </c>
      <c r="D535" s="3" t="s">
        <v>2439</v>
      </c>
      <c r="E535" s="3" t="s">
        <v>2439</v>
      </c>
      <c r="F535" s="3" t="s">
        <v>20</v>
      </c>
      <c r="G535" s="4">
        <v>28768</v>
      </c>
      <c r="H535" s="3" t="s">
        <v>21</v>
      </c>
      <c r="I535" s="3" t="s">
        <v>33</v>
      </c>
      <c r="J535" s="5">
        <v>524934880</v>
      </c>
      <c r="K535" s="3">
        <v>2121101</v>
      </c>
      <c r="L535" s="3" t="s">
        <v>233</v>
      </c>
      <c r="M535" s="3" t="s">
        <v>2440</v>
      </c>
      <c r="N535" s="3">
        <v>280</v>
      </c>
      <c r="P535" s="3" t="s">
        <v>2441</v>
      </c>
      <c r="Q535" s="3" t="s">
        <v>1284</v>
      </c>
      <c r="R535" s="3" t="s">
        <v>28</v>
      </c>
      <c r="S535" s="3">
        <v>6767220</v>
      </c>
      <c r="T535" s="3">
        <v>1135736000</v>
      </c>
      <c r="U535" s="3" t="s">
        <v>29</v>
      </c>
    </row>
    <row r="536" spans="1:21" ht="13.2" x14ac:dyDescent="0.25">
      <c r="A536" s="14">
        <v>37844479000152</v>
      </c>
      <c r="B536" s="15" t="str">
        <f t="shared" si="8"/>
        <v>37.844.479/0001-52</v>
      </c>
      <c r="C536" s="12" t="str">
        <f>VLOOKUP(B536,[1]Planilha1!$A:$B,2,0)</f>
        <v>Malu Montesino</v>
      </c>
      <c r="D536" s="3" t="s">
        <v>2442</v>
      </c>
      <c r="E536" s="3" t="s">
        <v>2443</v>
      </c>
      <c r="F536" s="3" t="s">
        <v>20</v>
      </c>
      <c r="G536" s="4">
        <v>34766</v>
      </c>
      <c r="H536" s="3" t="s">
        <v>21</v>
      </c>
      <c r="I536" s="3" t="s">
        <v>33</v>
      </c>
      <c r="J536" s="5">
        <v>1000000</v>
      </c>
      <c r="K536" s="3">
        <v>3250705</v>
      </c>
      <c r="L536" s="3" t="s">
        <v>2420</v>
      </c>
      <c r="M536" s="3" t="s">
        <v>2444</v>
      </c>
      <c r="N536" s="3">
        <v>500</v>
      </c>
      <c r="O536" s="3" t="s">
        <v>2445</v>
      </c>
      <c r="P536" s="3" t="s">
        <v>567</v>
      </c>
      <c r="Q536" s="3" t="s">
        <v>2384</v>
      </c>
      <c r="R536" s="3" t="s">
        <v>274</v>
      </c>
      <c r="S536" s="3">
        <v>75110470</v>
      </c>
      <c r="T536" s="3">
        <v>6237032208</v>
      </c>
      <c r="U536" s="3" t="s">
        <v>29</v>
      </c>
    </row>
    <row r="537" spans="1:21" ht="13.2" x14ac:dyDescent="0.25">
      <c r="A537" s="14">
        <v>7993655000157</v>
      </c>
      <c r="B537" s="15" t="str">
        <f t="shared" si="8"/>
        <v>07.993.655/0001-57</v>
      </c>
      <c r="C537" s="12"/>
      <c r="D537" s="3" t="s">
        <v>2446</v>
      </c>
      <c r="E537" s="3" t="s">
        <v>2446</v>
      </c>
      <c r="F537" s="3" t="s">
        <v>20</v>
      </c>
      <c r="G537" s="4">
        <v>38840</v>
      </c>
      <c r="H537" s="3" t="s">
        <v>21</v>
      </c>
      <c r="I537" s="3" t="s">
        <v>22</v>
      </c>
      <c r="J537" s="5">
        <v>1967000</v>
      </c>
      <c r="K537" s="3">
        <v>4645101</v>
      </c>
      <c r="L537" s="3" t="s">
        <v>135</v>
      </c>
      <c r="M537" s="3" t="s">
        <v>2447</v>
      </c>
      <c r="N537" s="3">
        <v>307</v>
      </c>
      <c r="P537" s="3" t="s">
        <v>370</v>
      </c>
      <c r="Q537" s="3" t="s">
        <v>476</v>
      </c>
      <c r="R537" s="3" t="s">
        <v>100</v>
      </c>
      <c r="S537" s="3">
        <v>31060430</v>
      </c>
      <c r="T537" s="3">
        <v>3134856319</v>
      </c>
      <c r="U537" s="3" t="s">
        <v>29</v>
      </c>
    </row>
    <row r="538" spans="1:21" ht="13.2" x14ac:dyDescent="0.25">
      <c r="A538" s="14">
        <v>11938920000171</v>
      </c>
      <c r="B538" s="15" t="str">
        <f t="shared" si="8"/>
        <v>11.938.920/0001-71</v>
      </c>
      <c r="C538" s="12"/>
      <c r="D538" s="3" t="s">
        <v>2448</v>
      </c>
      <c r="E538" s="3" t="s">
        <v>2449</v>
      </c>
      <c r="F538" s="3" t="s">
        <v>20</v>
      </c>
      <c r="G538" s="4">
        <v>40298</v>
      </c>
      <c r="H538" s="3" t="s">
        <v>21</v>
      </c>
      <c r="I538" s="3" t="s">
        <v>33</v>
      </c>
      <c r="J538" s="5">
        <v>1800000</v>
      </c>
      <c r="K538" s="3">
        <v>4645101</v>
      </c>
      <c r="L538" s="3" t="s">
        <v>135</v>
      </c>
      <c r="M538" s="3" t="s">
        <v>2450</v>
      </c>
      <c r="N538" s="3">
        <v>2480</v>
      </c>
      <c r="P538" s="3" t="s">
        <v>2451</v>
      </c>
      <c r="Q538" s="3" t="s">
        <v>199</v>
      </c>
      <c r="R538" s="3" t="s">
        <v>792</v>
      </c>
      <c r="S538" s="3">
        <v>66065108</v>
      </c>
      <c r="T538" s="3">
        <v>9132230675</v>
      </c>
      <c r="U538" s="3" t="s">
        <v>29</v>
      </c>
    </row>
    <row r="539" spans="1:21" ht="13.2" x14ac:dyDescent="0.25">
      <c r="A539" s="14">
        <v>33040635000171</v>
      </c>
      <c r="B539" s="15" t="str">
        <f t="shared" si="8"/>
        <v>33.040.635/0001-71</v>
      </c>
      <c r="C539" s="12"/>
      <c r="D539" s="3" t="s">
        <v>2452</v>
      </c>
      <c r="E539" s="3" t="s">
        <v>2453</v>
      </c>
      <c r="F539" s="3" t="s">
        <v>20</v>
      </c>
      <c r="G539" s="4">
        <v>26795</v>
      </c>
      <c r="H539" s="3" t="s">
        <v>21</v>
      </c>
      <c r="I539" s="3" t="s">
        <v>33</v>
      </c>
      <c r="J539" s="5">
        <v>205001660</v>
      </c>
      <c r="K539" s="3">
        <v>4645101</v>
      </c>
      <c r="L539" s="3" t="s">
        <v>135</v>
      </c>
      <c r="M539" s="3" t="s">
        <v>2454</v>
      </c>
      <c r="N539" s="3">
        <v>491</v>
      </c>
      <c r="O539" s="3" t="s">
        <v>2455</v>
      </c>
      <c r="P539" s="3" t="s">
        <v>1136</v>
      </c>
      <c r="Q539" s="3" t="s">
        <v>253</v>
      </c>
      <c r="R539" s="3" t="s">
        <v>78</v>
      </c>
      <c r="S539" s="3">
        <v>22713320</v>
      </c>
      <c r="T539" s="3">
        <v>2124441440</v>
      </c>
      <c r="U539" s="3" t="s">
        <v>29</v>
      </c>
    </row>
    <row r="540" spans="1:21" ht="13.2" x14ac:dyDescent="0.25">
      <c r="A540" s="14">
        <v>4752991000110</v>
      </c>
      <c r="B540" s="15" t="str">
        <f t="shared" si="8"/>
        <v>04.752.991/0001-10</v>
      </c>
      <c r="C540" s="12"/>
      <c r="D540" s="3" t="s">
        <v>2456</v>
      </c>
      <c r="E540" s="3" t="s">
        <v>2456</v>
      </c>
      <c r="F540" s="3" t="s">
        <v>20</v>
      </c>
      <c r="G540" s="4">
        <v>37167</v>
      </c>
      <c r="H540" s="3" t="s">
        <v>377</v>
      </c>
      <c r="I540" s="3" t="s">
        <v>33</v>
      </c>
      <c r="J540" s="5">
        <v>957501060</v>
      </c>
      <c r="K540" s="3">
        <v>2121101</v>
      </c>
      <c r="L540" s="3" t="s">
        <v>233</v>
      </c>
      <c r="M540" s="3" t="s">
        <v>2457</v>
      </c>
      <c r="N540" s="3">
        <v>705</v>
      </c>
      <c r="O540" s="3" t="s">
        <v>2458</v>
      </c>
      <c r="P540" s="3" t="s">
        <v>2459</v>
      </c>
      <c r="Q540" s="3" t="s">
        <v>99</v>
      </c>
      <c r="R540" s="3" t="s">
        <v>100</v>
      </c>
      <c r="S540" s="3">
        <v>34018000</v>
      </c>
      <c r="T540" s="3">
        <v>3132991000</v>
      </c>
      <c r="U540" s="3" t="s">
        <v>29</v>
      </c>
    </row>
    <row r="541" spans="1:21" ht="13.2" x14ac:dyDescent="0.25">
      <c r="A541" s="14">
        <v>4069709000102</v>
      </c>
      <c r="B541" s="15" t="str">
        <f t="shared" si="8"/>
        <v>04.069.709/0001-02</v>
      </c>
      <c r="C541" s="12"/>
      <c r="D541" s="3" t="s">
        <v>2460</v>
      </c>
      <c r="E541" s="3" t="s">
        <v>2460</v>
      </c>
      <c r="F541" s="3" t="s">
        <v>20</v>
      </c>
      <c r="G541" s="4">
        <v>36798</v>
      </c>
      <c r="H541" s="3" t="s">
        <v>94</v>
      </c>
      <c r="I541" s="3" t="s">
        <v>33</v>
      </c>
      <c r="J541" s="5">
        <v>232993550</v>
      </c>
      <c r="K541" s="3">
        <v>6202300</v>
      </c>
      <c r="L541" s="3" t="s">
        <v>103</v>
      </c>
      <c r="M541" s="3" t="s">
        <v>1047</v>
      </c>
      <c r="N541" s="3">
        <v>1830</v>
      </c>
      <c r="O541" s="3" t="s">
        <v>2461</v>
      </c>
      <c r="P541" s="3" t="s">
        <v>1049</v>
      </c>
      <c r="Q541" s="3" t="s">
        <v>27</v>
      </c>
      <c r="R541" s="3" t="s">
        <v>28</v>
      </c>
      <c r="S541" s="3">
        <v>4543900</v>
      </c>
      <c r="T541" s="3">
        <v>1131338100</v>
      </c>
      <c r="U541" s="3" t="s">
        <v>29</v>
      </c>
    </row>
    <row r="542" spans="1:21" ht="13.2" x14ac:dyDescent="0.25">
      <c r="A542" s="14">
        <v>29915312000107</v>
      </c>
      <c r="B542" s="15" t="str">
        <f t="shared" si="8"/>
        <v>29.915.312/0001-07</v>
      </c>
      <c r="C542" s="12" t="str">
        <f>VLOOKUP(B542,[1]Planilha1!$A:$B,2,0)</f>
        <v>Malu Montesino</v>
      </c>
      <c r="D542" s="3" t="s">
        <v>2462</v>
      </c>
      <c r="E542" s="3" t="s">
        <v>2463</v>
      </c>
      <c r="F542" s="3" t="s">
        <v>20</v>
      </c>
      <c r="G542" s="4">
        <v>43171</v>
      </c>
      <c r="H542" s="3" t="s">
        <v>21</v>
      </c>
      <c r="I542" s="3" t="s">
        <v>33</v>
      </c>
      <c r="J542" s="5">
        <v>10160000</v>
      </c>
      <c r="K542" s="3">
        <v>3250701</v>
      </c>
      <c r="L542" s="3" t="s">
        <v>2195</v>
      </c>
      <c r="M542" s="3" t="s">
        <v>2464</v>
      </c>
      <c r="N542" s="3" t="s">
        <v>2465</v>
      </c>
      <c r="P542" s="3" t="s">
        <v>2466</v>
      </c>
      <c r="Q542" s="3" t="s">
        <v>324</v>
      </c>
      <c r="R542" s="3" t="s">
        <v>28</v>
      </c>
      <c r="S542" s="3">
        <v>17023017</v>
      </c>
      <c r="T542" s="3">
        <v>1431038181</v>
      </c>
      <c r="U542" s="3" t="s">
        <v>29</v>
      </c>
    </row>
    <row r="543" spans="1:21" ht="13.2" x14ac:dyDescent="0.25">
      <c r="A543" s="14">
        <v>12320079000117</v>
      </c>
      <c r="B543" s="15" t="str">
        <f t="shared" si="8"/>
        <v>12.320.079/0001-17</v>
      </c>
      <c r="C543" s="12"/>
      <c r="D543" s="3" t="s">
        <v>2467</v>
      </c>
      <c r="E543" s="3" t="s">
        <v>2467</v>
      </c>
      <c r="F543" s="3" t="s">
        <v>20</v>
      </c>
      <c r="G543" s="4">
        <v>40374</v>
      </c>
      <c r="H543" s="3" t="s">
        <v>94</v>
      </c>
      <c r="I543" s="3" t="s">
        <v>33</v>
      </c>
      <c r="J543" s="5">
        <v>118154850</v>
      </c>
      <c r="K543" s="3">
        <v>2121101</v>
      </c>
      <c r="L543" s="3" t="s">
        <v>233</v>
      </c>
      <c r="M543" s="3" t="s">
        <v>829</v>
      </c>
      <c r="N543" s="3">
        <v>388</v>
      </c>
      <c r="P543" s="3" t="s">
        <v>2468</v>
      </c>
      <c r="Q543" s="3" t="s">
        <v>59</v>
      </c>
      <c r="R543" s="3" t="s">
        <v>28</v>
      </c>
      <c r="S543" s="3">
        <v>13278530</v>
      </c>
      <c r="T543" s="3">
        <v>1938815000</v>
      </c>
      <c r="U543" s="3" t="s">
        <v>29</v>
      </c>
    </row>
    <row r="544" spans="1:21" ht="13.2" x14ac:dyDescent="0.25">
      <c r="A544" s="14">
        <v>11404073000165</v>
      </c>
      <c r="B544" s="15" t="str">
        <f t="shared" si="8"/>
        <v>11.404.073/0001-65</v>
      </c>
      <c r="C544" s="12"/>
      <c r="D544" s="3" t="s">
        <v>2469</v>
      </c>
      <c r="E544" s="3" t="s">
        <v>2469</v>
      </c>
      <c r="F544" s="3" t="s">
        <v>20</v>
      </c>
      <c r="G544" s="4">
        <v>40120</v>
      </c>
      <c r="H544" s="3" t="s">
        <v>21</v>
      </c>
      <c r="I544" s="3" t="s">
        <v>22</v>
      </c>
      <c r="J544" s="5">
        <v>93700</v>
      </c>
      <c r="K544" s="3">
        <v>1742799</v>
      </c>
      <c r="L544" s="3" t="s">
        <v>157</v>
      </c>
      <c r="M544" s="3" t="s">
        <v>2470</v>
      </c>
      <c r="N544" s="3">
        <v>121</v>
      </c>
      <c r="O544" s="3" t="s">
        <v>496</v>
      </c>
      <c r="P544" s="3" t="s">
        <v>2471</v>
      </c>
      <c r="Q544" s="3" t="s">
        <v>2472</v>
      </c>
      <c r="R544" s="3" t="s">
        <v>28</v>
      </c>
      <c r="S544" s="3">
        <v>16201530</v>
      </c>
      <c r="T544" s="3">
        <v>1836342576</v>
      </c>
      <c r="U544" s="3" t="s">
        <v>29</v>
      </c>
    </row>
    <row r="545" spans="1:21" ht="13.2" x14ac:dyDescent="0.25">
      <c r="A545" s="14">
        <v>13160859000100</v>
      </c>
      <c r="B545" s="15" t="str">
        <f t="shared" si="8"/>
        <v>13.160.859/0001-00</v>
      </c>
      <c r="C545" s="12"/>
      <c r="D545" s="3" t="s">
        <v>2473</v>
      </c>
      <c r="E545" s="3" t="s">
        <v>2474</v>
      </c>
      <c r="F545" s="3" t="s">
        <v>20</v>
      </c>
      <c r="G545" s="4">
        <v>40512</v>
      </c>
      <c r="H545" s="3" t="s">
        <v>21</v>
      </c>
      <c r="I545" s="3" t="s">
        <v>22</v>
      </c>
      <c r="J545" s="5">
        <v>200000</v>
      </c>
      <c r="K545" s="3">
        <v>4645101</v>
      </c>
      <c r="L545" s="3" t="s">
        <v>135</v>
      </c>
      <c r="M545" s="3" t="s">
        <v>2475</v>
      </c>
      <c r="N545" s="3">
        <v>1250</v>
      </c>
      <c r="P545" s="3" t="s">
        <v>2476</v>
      </c>
      <c r="Q545" s="3" t="s">
        <v>2477</v>
      </c>
      <c r="R545" s="3" t="s">
        <v>1725</v>
      </c>
      <c r="S545" s="3">
        <v>59030500</v>
      </c>
      <c r="T545" s="3">
        <v>8420109888</v>
      </c>
      <c r="U545" s="3" t="s">
        <v>29</v>
      </c>
    </row>
    <row r="546" spans="1:21" ht="13.2" x14ac:dyDescent="0.25">
      <c r="A546" s="14">
        <v>8265067000160</v>
      </c>
      <c r="B546" s="15" t="str">
        <f t="shared" si="8"/>
        <v>08.265.067/0001-60</v>
      </c>
      <c r="C546" s="12" t="str">
        <f>VLOOKUP(B546,[1]Planilha1!$A:$B,2,0)</f>
        <v>Malu Montesino</v>
      </c>
      <c r="D546" s="3" t="s">
        <v>2478</v>
      </c>
      <c r="E546" s="3" t="s">
        <v>2478</v>
      </c>
      <c r="F546" s="3" t="s">
        <v>20</v>
      </c>
      <c r="G546" s="4">
        <v>38904</v>
      </c>
      <c r="H546" s="3" t="s">
        <v>21</v>
      </c>
      <c r="I546" s="3" t="s">
        <v>22</v>
      </c>
      <c r="J546" s="5">
        <v>200000</v>
      </c>
      <c r="K546" s="3">
        <v>3321000</v>
      </c>
      <c r="L546" s="3" t="s">
        <v>2479</v>
      </c>
      <c r="M546" s="3" t="s">
        <v>2480</v>
      </c>
      <c r="N546" s="3">
        <v>58</v>
      </c>
      <c r="O546" s="3" t="s">
        <v>2481</v>
      </c>
      <c r="P546" s="3" t="s">
        <v>2482</v>
      </c>
      <c r="Q546" s="3" t="s">
        <v>1943</v>
      </c>
      <c r="R546" s="3" t="s">
        <v>28</v>
      </c>
      <c r="S546" s="3">
        <v>9991070</v>
      </c>
      <c r="T546" s="3">
        <v>1126138928</v>
      </c>
      <c r="U546" s="3" t="s">
        <v>29</v>
      </c>
    </row>
    <row r="547" spans="1:21" ht="13.2" x14ac:dyDescent="0.25">
      <c r="A547" s="14">
        <v>9445964000118</v>
      </c>
      <c r="B547" s="15" t="str">
        <f t="shared" si="8"/>
        <v>09.445.964/0001-18</v>
      </c>
      <c r="C547" s="12"/>
      <c r="D547" s="3" t="s">
        <v>2483</v>
      </c>
      <c r="E547" s="3" t="s">
        <v>2483</v>
      </c>
      <c r="F547" s="3" t="s">
        <v>20</v>
      </c>
      <c r="G547" s="4">
        <v>39526</v>
      </c>
      <c r="H547" s="3" t="s">
        <v>94</v>
      </c>
      <c r="I547" s="3" t="s">
        <v>33</v>
      </c>
      <c r="J547" s="5">
        <v>11568847</v>
      </c>
      <c r="K547" s="3">
        <v>3299099</v>
      </c>
      <c r="L547" s="3" t="s">
        <v>2484</v>
      </c>
      <c r="M547" s="3" t="s">
        <v>2485</v>
      </c>
      <c r="N547" s="3">
        <v>10</v>
      </c>
      <c r="P547" s="3" t="s">
        <v>2486</v>
      </c>
      <c r="Q547" s="3" t="s">
        <v>2487</v>
      </c>
      <c r="R547" s="3" t="s">
        <v>78</v>
      </c>
      <c r="S547" s="3">
        <v>27335485</v>
      </c>
      <c r="T547" s="3">
        <v>2433480700</v>
      </c>
      <c r="U547" s="3" t="s">
        <v>29</v>
      </c>
    </row>
    <row r="548" spans="1:21" ht="13.2" x14ac:dyDescent="0.25">
      <c r="A548" s="14">
        <v>57680049000150</v>
      </c>
      <c r="B548" s="15" t="str">
        <f t="shared" si="8"/>
        <v>57.680.049/0001-50</v>
      </c>
      <c r="C548" s="12" t="str">
        <f>VLOOKUP(B548,[1]Planilha1!$A:$B,2,0)</f>
        <v>Malu Montesino</v>
      </c>
      <c r="D548" s="3" t="s">
        <v>2488</v>
      </c>
      <c r="E548" s="3" t="s">
        <v>2488</v>
      </c>
      <c r="F548" s="3" t="s">
        <v>20</v>
      </c>
      <c r="G548" s="4">
        <v>45551</v>
      </c>
      <c r="H548" s="3" t="s">
        <v>2489</v>
      </c>
      <c r="I548" s="3" t="s">
        <v>33</v>
      </c>
      <c r="J548" s="5">
        <v>1300000</v>
      </c>
      <c r="K548" s="3">
        <v>6463800</v>
      </c>
      <c r="L548" s="3" t="s">
        <v>458</v>
      </c>
      <c r="M548" s="3" t="s">
        <v>2490</v>
      </c>
      <c r="N548" s="3">
        <v>0</v>
      </c>
      <c r="P548" s="3" t="s">
        <v>2491</v>
      </c>
      <c r="Q548" s="3" t="s">
        <v>2492</v>
      </c>
      <c r="R548" s="3" t="s">
        <v>91</v>
      </c>
      <c r="S548" s="3">
        <v>89245000</v>
      </c>
      <c r="T548" s="3">
        <v>4732741400</v>
      </c>
      <c r="U548" s="3" t="s">
        <v>29</v>
      </c>
    </row>
    <row r="549" spans="1:21" ht="13.2" x14ac:dyDescent="0.25">
      <c r="A549" s="14">
        <v>7204591000168</v>
      </c>
      <c r="B549" s="15" t="str">
        <f t="shared" si="8"/>
        <v>07.204.591/0001-68</v>
      </c>
      <c r="C549" s="12"/>
      <c r="D549" s="3" t="s">
        <v>2493</v>
      </c>
      <c r="E549" s="3" t="s">
        <v>2493</v>
      </c>
      <c r="F549" s="3" t="s">
        <v>20</v>
      </c>
      <c r="G549" s="4">
        <v>38365</v>
      </c>
      <c r="H549" s="3" t="s">
        <v>21</v>
      </c>
      <c r="I549" s="3" t="s">
        <v>33</v>
      </c>
      <c r="J549" s="5">
        <v>5000</v>
      </c>
      <c r="K549" s="3">
        <v>3250705</v>
      </c>
      <c r="L549" s="3" t="s">
        <v>2420</v>
      </c>
      <c r="M549" s="3" t="s">
        <v>2494</v>
      </c>
      <c r="N549" s="3">
        <v>595</v>
      </c>
      <c r="O549" s="3" t="s">
        <v>2495</v>
      </c>
      <c r="P549" s="3" t="s">
        <v>2496</v>
      </c>
      <c r="Q549" s="3" t="s">
        <v>2497</v>
      </c>
      <c r="R549" s="3" t="s">
        <v>28</v>
      </c>
      <c r="S549" s="3">
        <v>7661605</v>
      </c>
      <c r="T549" s="3">
        <v>1148189000</v>
      </c>
      <c r="U549" s="3" t="s">
        <v>29</v>
      </c>
    </row>
    <row r="550" spans="1:21" ht="13.2" x14ac:dyDescent="0.25">
      <c r="A550" s="14">
        <v>9274180000174</v>
      </c>
      <c r="B550" s="15" t="str">
        <f t="shared" si="8"/>
        <v>09.274.180/0001-74</v>
      </c>
      <c r="C550" s="12" t="str">
        <f>VLOOKUP(B550,[1]Planilha1!$A:$B,2,0)</f>
        <v>Malu Montesino</v>
      </c>
      <c r="D550" s="3" t="s">
        <v>2498</v>
      </c>
      <c r="E550" s="3" t="s">
        <v>2499</v>
      </c>
      <c r="F550" s="3" t="s">
        <v>20</v>
      </c>
      <c r="G550" s="4">
        <v>39433</v>
      </c>
      <c r="H550" s="3" t="s">
        <v>21</v>
      </c>
      <c r="I550" s="3" t="s">
        <v>33</v>
      </c>
      <c r="J550" s="5">
        <v>5000000</v>
      </c>
      <c r="K550" s="3">
        <v>2062200</v>
      </c>
      <c r="L550" s="3" t="s">
        <v>2500</v>
      </c>
      <c r="M550" s="3" t="s">
        <v>2501</v>
      </c>
      <c r="N550" s="3">
        <v>408</v>
      </c>
      <c r="P550" s="3" t="s">
        <v>2384</v>
      </c>
      <c r="Q550" s="3" t="s">
        <v>2502</v>
      </c>
      <c r="R550" s="3" t="s">
        <v>187</v>
      </c>
      <c r="S550" s="3">
        <v>85905470</v>
      </c>
      <c r="T550" s="3">
        <v>4530554141</v>
      </c>
      <c r="U550" s="3" t="s">
        <v>29</v>
      </c>
    </row>
    <row r="551" spans="1:21" ht="13.2" x14ac:dyDescent="0.25">
      <c r="A551" s="14">
        <v>50595271000105</v>
      </c>
      <c r="B551" s="15" t="str">
        <f t="shared" si="8"/>
        <v>50.595.271/0001-05</v>
      </c>
      <c r="C551" s="12" t="str">
        <f>VLOOKUP(B551,[1]Planilha1!$A:$B,2,0)</f>
        <v>Malu Montesino</v>
      </c>
      <c r="D551" s="3" t="s">
        <v>2503</v>
      </c>
      <c r="E551" s="3" t="s">
        <v>2503</v>
      </c>
      <c r="F551" s="3" t="s">
        <v>20</v>
      </c>
      <c r="G551" s="4">
        <v>28719</v>
      </c>
      <c r="H551" s="3" t="s">
        <v>21</v>
      </c>
      <c r="I551" s="3" t="s">
        <v>33</v>
      </c>
      <c r="J551" s="5">
        <v>182925800</v>
      </c>
      <c r="K551" s="3">
        <v>4645101</v>
      </c>
      <c r="L551" s="3" t="s">
        <v>135</v>
      </c>
      <c r="M551" s="3" t="s">
        <v>2504</v>
      </c>
      <c r="N551" s="3">
        <v>506</v>
      </c>
      <c r="P551" s="3" t="s">
        <v>2214</v>
      </c>
      <c r="Q551" s="3" t="s">
        <v>27</v>
      </c>
      <c r="R551" s="3" t="s">
        <v>28</v>
      </c>
      <c r="S551" s="3">
        <v>4764050</v>
      </c>
      <c r="T551" s="3">
        <v>1156947755</v>
      </c>
      <c r="U551" s="3" t="s">
        <v>29</v>
      </c>
    </row>
    <row r="552" spans="1:21" ht="13.2" x14ac:dyDescent="0.25">
      <c r="A552" s="14">
        <v>3489343000150</v>
      </c>
      <c r="B552" s="15" t="str">
        <f t="shared" si="8"/>
        <v>03.489.343/0001-50</v>
      </c>
      <c r="C552" s="12"/>
      <c r="D552" s="3" t="s">
        <v>2505</v>
      </c>
      <c r="E552" s="3" t="s">
        <v>2505</v>
      </c>
      <c r="F552" s="3" t="s">
        <v>20</v>
      </c>
      <c r="G552" s="4">
        <v>36467</v>
      </c>
      <c r="H552" s="3" t="s">
        <v>21</v>
      </c>
      <c r="I552" s="3" t="s">
        <v>22</v>
      </c>
      <c r="J552" s="5">
        <v>20000</v>
      </c>
      <c r="K552" s="3">
        <v>2660400</v>
      </c>
      <c r="L552" s="3" t="s">
        <v>953</v>
      </c>
      <c r="M552" s="3" t="s">
        <v>2506</v>
      </c>
      <c r="N552" s="3">
        <v>55</v>
      </c>
      <c r="P552" s="3" t="s">
        <v>2507</v>
      </c>
      <c r="Q552" s="3" t="s">
        <v>186</v>
      </c>
      <c r="R552" s="3" t="s">
        <v>187</v>
      </c>
      <c r="S552" s="3">
        <v>83010080</v>
      </c>
      <c r="T552" s="3">
        <v>4132820072</v>
      </c>
      <c r="U552" s="3" t="s">
        <v>29</v>
      </c>
    </row>
    <row r="553" spans="1:21" ht="13.2" x14ac:dyDescent="0.25">
      <c r="A553" s="14">
        <v>3022122000177</v>
      </c>
      <c r="B553" s="15" t="str">
        <f t="shared" si="8"/>
        <v>03.022.122/0001-77</v>
      </c>
      <c r="C553" s="12"/>
      <c r="D553" s="3" t="s">
        <v>2508</v>
      </c>
      <c r="E553" s="3" t="s">
        <v>2508</v>
      </c>
      <c r="F553" s="3" t="s">
        <v>20</v>
      </c>
      <c r="G553" s="4">
        <v>36067</v>
      </c>
      <c r="H553" s="3" t="s">
        <v>21</v>
      </c>
      <c r="I553" s="3" t="s">
        <v>33</v>
      </c>
      <c r="J553" s="5">
        <v>13584493</v>
      </c>
      <c r="K553" s="3">
        <v>8299799</v>
      </c>
      <c r="L553" s="3" t="s">
        <v>532</v>
      </c>
      <c r="M553" s="3" t="s">
        <v>1891</v>
      </c>
      <c r="N553" s="3">
        <v>585</v>
      </c>
      <c r="O553" s="3" t="s">
        <v>2509</v>
      </c>
      <c r="P553" s="3" t="s">
        <v>940</v>
      </c>
      <c r="Q553" s="3" t="s">
        <v>617</v>
      </c>
      <c r="R553" s="3" t="s">
        <v>28</v>
      </c>
      <c r="S553" s="3">
        <v>6454000</v>
      </c>
      <c r="T553" s="3">
        <v>1131541818</v>
      </c>
      <c r="U553" s="3" t="s">
        <v>29</v>
      </c>
    </row>
    <row r="554" spans="1:21" ht="13.2" x14ac:dyDescent="0.25">
      <c r="A554" s="14">
        <v>16814330000150</v>
      </c>
      <c r="B554" s="15" t="str">
        <f t="shared" si="8"/>
        <v>16.814.330/0001-50</v>
      </c>
      <c r="C554" s="12"/>
      <c r="D554" s="3" t="s">
        <v>2510</v>
      </c>
      <c r="E554" s="3" t="s">
        <v>2511</v>
      </c>
      <c r="F554" s="3" t="s">
        <v>20</v>
      </c>
      <c r="G554" s="4">
        <v>41144</v>
      </c>
      <c r="H554" s="3" t="s">
        <v>94</v>
      </c>
      <c r="I554" s="3" t="s">
        <v>33</v>
      </c>
      <c r="J554" s="5">
        <v>9075000</v>
      </c>
      <c r="K554" s="3">
        <v>8219999</v>
      </c>
      <c r="L554" s="3" t="s">
        <v>121</v>
      </c>
      <c r="M554" s="3" t="s">
        <v>906</v>
      </c>
      <c r="N554" s="3">
        <v>939</v>
      </c>
      <c r="O554" s="3" t="s">
        <v>2512</v>
      </c>
      <c r="P554" s="3" t="s">
        <v>616</v>
      </c>
      <c r="Q554" s="3" t="s">
        <v>617</v>
      </c>
      <c r="R554" s="3" t="s">
        <v>28</v>
      </c>
      <c r="S554" s="3">
        <v>6460040</v>
      </c>
      <c r="T554" s="3">
        <v>1935008047</v>
      </c>
      <c r="U554" s="3" t="s">
        <v>29</v>
      </c>
    </row>
    <row r="555" spans="1:21" ht="13.2" x14ac:dyDescent="0.25">
      <c r="A555" s="14">
        <v>22769540000177</v>
      </c>
      <c r="B555" s="15" t="str">
        <f t="shared" si="8"/>
        <v>22.769.540/0001-77</v>
      </c>
      <c r="C555" s="12"/>
      <c r="D555" s="3" t="s">
        <v>2513</v>
      </c>
      <c r="E555" s="3" t="s">
        <v>2514</v>
      </c>
      <c r="F555" s="3" t="s">
        <v>20</v>
      </c>
      <c r="G555" s="4">
        <v>42187</v>
      </c>
      <c r="H555" s="3" t="s">
        <v>21</v>
      </c>
      <c r="I555" s="3" t="s">
        <v>33</v>
      </c>
      <c r="J555" s="5">
        <v>8000000</v>
      </c>
      <c r="K555" s="3">
        <v>7830200</v>
      </c>
      <c r="L555" s="3" t="s">
        <v>473</v>
      </c>
      <c r="M555" s="3" t="s">
        <v>2515</v>
      </c>
      <c r="N555" s="3">
        <v>728</v>
      </c>
      <c r="P555" s="3" t="s">
        <v>2516</v>
      </c>
      <c r="Q555" s="3" t="s">
        <v>27</v>
      </c>
      <c r="R555" s="3" t="s">
        <v>28</v>
      </c>
      <c r="S555" s="3">
        <v>3508000</v>
      </c>
      <c r="T555" s="3">
        <v>1146520050</v>
      </c>
      <c r="U555" s="3" t="s">
        <v>29</v>
      </c>
    </row>
    <row r="556" spans="1:21" ht="13.2" x14ac:dyDescent="0.25">
      <c r="A556" s="14">
        <v>27011022000103</v>
      </c>
      <c r="B556" s="15" t="str">
        <f t="shared" si="8"/>
        <v>27.011.022/0001-03</v>
      </c>
      <c r="C556" s="12"/>
      <c r="D556" s="3" t="s">
        <v>2517</v>
      </c>
      <c r="E556" s="3" t="s">
        <v>2518</v>
      </c>
      <c r="F556" s="3" t="s">
        <v>20</v>
      </c>
      <c r="G556" s="4">
        <v>29537</v>
      </c>
      <c r="H556" s="3" t="s">
        <v>21</v>
      </c>
      <c r="I556" s="3" t="s">
        <v>33</v>
      </c>
      <c r="J556" s="5">
        <v>185021300</v>
      </c>
      <c r="K556" s="3">
        <v>3250707</v>
      </c>
      <c r="L556" s="3" t="s">
        <v>2519</v>
      </c>
      <c r="M556" s="3" t="s">
        <v>2520</v>
      </c>
      <c r="N556" s="3">
        <v>139</v>
      </c>
      <c r="P556" s="3" t="s">
        <v>2521</v>
      </c>
      <c r="Q556" s="3" t="s">
        <v>437</v>
      </c>
      <c r="R556" s="3" t="s">
        <v>53</v>
      </c>
      <c r="S556" s="3">
        <v>91110010</v>
      </c>
      <c r="T556" s="3">
        <v>1147853322</v>
      </c>
      <c r="U556" s="3" t="s">
        <v>29</v>
      </c>
    </row>
    <row r="557" spans="1:21" ht="13.2" x14ac:dyDescent="0.25">
      <c r="A557" s="14">
        <v>32275227000136</v>
      </c>
      <c r="B557" s="15" t="str">
        <f t="shared" si="8"/>
        <v>32.275.227/0001-36</v>
      </c>
      <c r="C557" s="12"/>
      <c r="D557" s="3" t="s">
        <v>2522</v>
      </c>
      <c r="E557" s="3" t="s">
        <v>2522</v>
      </c>
      <c r="F557" s="3" t="s">
        <v>20</v>
      </c>
      <c r="G557" s="4">
        <v>43452</v>
      </c>
      <c r="H557" s="3" t="s">
        <v>21</v>
      </c>
      <c r="I557" s="3" t="s">
        <v>33</v>
      </c>
      <c r="J557" s="5">
        <v>15708333</v>
      </c>
      <c r="K557" s="3">
        <v>8610101</v>
      </c>
      <c r="L557" s="3" t="s">
        <v>2523</v>
      </c>
      <c r="M557" s="3" t="s">
        <v>2524</v>
      </c>
      <c r="N557" s="3">
        <v>3767</v>
      </c>
      <c r="O557" s="3" t="s">
        <v>2525</v>
      </c>
      <c r="P557" s="3" t="s">
        <v>1585</v>
      </c>
      <c r="Q557" s="3" t="s">
        <v>27</v>
      </c>
      <c r="R557" s="3" t="s">
        <v>28</v>
      </c>
      <c r="S557" s="3">
        <v>1401001</v>
      </c>
      <c r="T557" s="3">
        <v>1131244570</v>
      </c>
      <c r="U557" s="3" t="s">
        <v>29</v>
      </c>
    </row>
    <row r="558" spans="1:21" ht="13.2" x14ac:dyDescent="0.25">
      <c r="A558" s="14">
        <v>53296273000191</v>
      </c>
      <c r="B558" s="15" t="str">
        <f t="shared" si="8"/>
        <v>53.296.273/0001-91</v>
      </c>
      <c r="C558" s="12" t="str">
        <f>VLOOKUP(B558,[1]Planilha1!$A:$B,2,0)</f>
        <v>Malu Montesino</v>
      </c>
      <c r="D558" s="3" t="s">
        <v>2526</v>
      </c>
      <c r="E558" s="3" t="s">
        <v>2526</v>
      </c>
      <c r="F558" s="3" t="s">
        <v>20</v>
      </c>
      <c r="G558" s="4">
        <v>30753</v>
      </c>
      <c r="H558" s="3" t="s">
        <v>21</v>
      </c>
      <c r="I558" s="3" t="s">
        <v>33</v>
      </c>
      <c r="J558" s="5">
        <v>857843700</v>
      </c>
      <c r="K558" s="3">
        <v>2759799</v>
      </c>
      <c r="L558" s="3" t="s">
        <v>2527</v>
      </c>
      <c r="M558" s="3" t="s">
        <v>2528</v>
      </c>
      <c r="N558" s="3" t="s">
        <v>82</v>
      </c>
      <c r="O558" s="3" t="s">
        <v>2529</v>
      </c>
      <c r="P558" s="3" t="s">
        <v>2530</v>
      </c>
      <c r="Q558" s="3" t="s">
        <v>1112</v>
      </c>
      <c r="R558" s="3" t="s">
        <v>100</v>
      </c>
      <c r="S558" s="3">
        <v>38064750</v>
      </c>
      <c r="T558" s="3">
        <v>3433183000</v>
      </c>
      <c r="U558" s="3" t="s">
        <v>29</v>
      </c>
    </row>
    <row r="559" spans="1:21" ht="13.2" x14ac:dyDescent="0.25">
      <c r="A559" s="14">
        <v>13504812000116</v>
      </c>
      <c r="B559" s="15" t="str">
        <f t="shared" si="8"/>
        <v>13.504.812/0001-16</v>
      </c>
      <c r="C559" s="12"/>
      <c r="D559" s="3" t="s">
        <v>2531</v>
      </c>
      <c r="E559" s="3" t="s">
        <v>2532</v>
      </c>
      <c r="F559" s="3" t="s">
        <v>20</v>
      </c>
      <c r="G559" s="4">
        <v>40634</v>
      </c>
      <c r="H559" s="3" t="s">
        <v>21</v>
      </c>
      <c r="I559" s="3" t="s">
        <v>33</v>
      </c>
      <c r="J559" s="5">
        <v>10085000</v>
      </c>
      <c r="K559" s="3">
        <v>6203100</v>
      </c>
      <c r="L559" s="3" t="s">
        <v>2268</v>
      </c>
      <c r="M559" s="3" t="s">
        <v>1181</v>
      </c>
      <c r="N559" s="3">
        <v>230</v>
      </c>
      <c r="O559" s="3" t="s">
        <v>2533</v>
      </c>
      <c r="P559" s="3" t="s">
        <v>1183</v>
      </c>
      <c r="Q559" s="3" t="s">
        <v>27</v>
      </c>
      <c r="R559" s="3" t="s">
        <v>28</v>
      </c>
      <c r="S559" s="3">
        <v>1139000</v>
      </c>
      <c r="T559" s="3">
        <v>1199999999</v>
      </c>
      <c r="U559" s="3" t="s">
        <v>29</v>
      </c>
    </row>
    <row r="560" spans="1:21" ht="13.2" x14ac:dyDescent="0.25">
      <c r="A560" s="14">
        <v>53359824000119</v>
      </c>
      <c r="B560" s="15" t="str">
        <f t="shared" si="8"/>
        <v>53.359.824/0001-19</v>
      </c>
      <c r="C560" s="12"/>
      <c r="D560" s="3" t="s">
        <v>2534</v>
      </c>
      <c r="E560" s="3" t="s">
        <v>2535</v>
      </c>
      <c r="F560" s="3" t="s">
        <v>20</v>
      </c>
      <c r="G560" s="4">
        <v>30767</v>
      </c>
      <c r="H560" s="3" t="s">
        <v>94</v>
      </c>
      <c r="I560" s="3" t="s">
        <v>33</v>
      </c>
      <c r="J560" s="5">
        <v>81000000</v>
      </c>
      <c r="K560" s="3">
        <v>8211300</v>
      </c>
      <c r="L560" s="3" t="s">
        <v>166</v>
      </c>
      <c r="M560" s="3" t="s">
        <v>2209</v>
      </c>
      <c r="N560" s="3">
        <v>1240</v>
      </c>
      <c r="O560" s="3" t="s">
        <v>2536</v>
      </c>
      <c r="P560" s="3" t="s">
        <v>2211</v>
      </c>
      <c r="Q560" s="3" t="s">
        <v>27</v>
      </c>
      <c r="R560" s="3" t="s">
        <v>28</v>
      </c>
      <c r="S560" s="3">
        <v>4711130</v>
      </c>
      <c r="T560" s="3">
        <v>1141388485</v>
      </c>
      <c r="U560" s="3" t="s">
        <v>29</v>
      </c>
    </row>
    <row r="561" spans="1:21" ht="13.2" x14ac:dyDescent="0.25">
      <c r="A561" s="14">
        <v>58430828000160</v>
      </c>
      <c r="B561" s="15" t="str">
        <f t="shared" si="8"/>
        <v>58.430.828/0001-60</v>
      </c>
      <c r="C561" s="12" t="str">
        <f>VLOOKUP(B561,[1]Planilha1!$A:$B,2,0)</f>
        <v>Malu Montesino</v>
      </c>
      <c r="D561" s="3" t="s">
        <v>2537</v>
      </c>
      <c r="E561" s="3" t="s">
        <v>2538</v>
      </c>
      <c r="F561" s="3" t="s">
        <v>20</v>
      </c>
      <c r="G561" s="4">
        <v>32129</v>
      </c>
      <c r="H561" s="3" t="s">
        <v>377</v>
      </c>
      <c r="I561" s="3" t="s">
        <v>33</v>
      </c>
      <c r="J561" s="5">
        <v>1360792700</v>
      </c>
      <c r="K561" s="3">
        <v>4644301</v>
      </c>
      <c r="L561" s="3" t="s">
        <v>326</v>
      </c>
      <c r="M561" s="3" t="s">
        <v>1797</v>
      </c>
      <c r="N561" s="3">
        <v>2833</v>
      </c>
      <c r="O561" s="3" t="s">
        <v>2539</v>
      </c>
      <c r="P561" s="3" t="s">
        <v>2540</v>
      </c>
      <c r="Q561" s="3" t="s">
        <v>688</v>
      </c>
      <c r="R561" s="3" t="s">
        <v>28</v>
      </c>
      <c r="S561" s="3">
        <v>6705030</v>
      </c>
      <c r="T561" s="3">
        <v>1146159400</v>
      </c>
      <c r="U561" s="3" t="s">
        <v>29</v>
      </c>
    </row>
    <row r="562" spans="1:21" ht="13.2" x14ac:dyDescent="0.25">
      <c r="A562" s="14">
        <v>1566128000180</v>
      </c>
      <c r="B562" s="15" t="str">
        <f t="shared" si="8"/>
        <v>01.566.128/0001-80</v>
      </c>
      <c r="C562" s="12"/>
      <c r="D562" s="3" t="s">
        <v>2541</v>
      </c>
      <c r="E562" s="3" t="s">
        <v>2542</v>
      </c>
      <c r="F562" s="3" t="s">
        <v>20</v>
      </c>
      <c r="G562" s="4">
        <v>35401</v>
      </c>
      <c r="H562" s="3" t="s">
        <v>21</v>
      </c>
      <c r="I562" s="3" t="s">
        <v>33</v>
      </c>
      <c r="J562" s="5">
        <v>650000</v>
      </c>
      <c r="K562" s="3">
        <v>8012900</v>
      </c>
      <c r="L562" s="3" t="s">
        <v>2543</v>
      </c>
      <c r="M562" s="3" t="s">
        <v>2544</v>
      </c>
      <c r="N562" s="3">
        <v>641</v>
      </c>
      <c r="P562" s="3" t="s">
        <v>137</v>
      </c>
      <c r="Q562" s="3" t="s">
        <v>27</v>
      </c>
      <c r="R562" s="3" t="s">
        <v>28</v>
      </c>
      <c r="S562" s="3">
        <v>5036011</v>
      </c>
      <c r="T562" s="3">
        <v>1136138080</v>
      </c>
      <c r="U562" s="3" t="s">
        <v>29</v>
      </c>
    </row>
    <row r="563" spans="1:21" ht="13.2" x14ac:dyDescent="0.25">
      <c r="A563" s="14">
        <v>5753434000186</v>
      </c>
      <c r="B563" s="15" t="str">
        <f t="shared" si="8"/>
        <v>05.753.434/0001-86</v>
      </c>
      <c r="C563" s="12"/>
      <c r="D563" s="3" t="s">
        <v>2545</v>
      </c>
      <c r="E563" s="3" t="s">
        <v>2546</v>
      </c>
      <c r="F563" s="3" t="s">
        <v>20</v>
      </c>
      <c r="G563" s="4">
        <v>37804</v>
      </c>
      <c r="H563" s="3" t="s">
        <v>21</v>
      </c>
      <c r="I563" s="3" t="s">
        <v>33</v>
      </c>
      <c r="J563" s="5">
        <v>1000000</v>
      </c>
      <c r="K563" s="3">
        <v>3250705</v>
      </c>
      <c r="L563" s="3" t="s">
        <v>2420</v>
      </c>
      <c r="M563" s="3" t="s">
        <v>2547</v>
      </c>
      <c r="N563" s="3">
        <v>459</v>
      </c>
      <c r="P563" s="3" t="s">
        <v>919</v>
      </c>
      <c r="Q563" s="3" t="s">
        <v>2548</v>
      </c>
      <c r="R563" s="3" t="s">
        <v>28</v>
      </c>
      <c r="S563" s="3">
        <v>13634319</v>
      </c>
      <c r="T563" s="3">
        <v>1935632222</v>
      </c>
      <c r="U563" s="3" t="s">
        <v>29</v>
      </c>
    </row>
    <row r="564" spans="1:21" ht="13.2" x14ac:dyDescent="0.25">
      <c r="A564" s="14">
        <v>27547607000142</v>
      </c>
      <c r="B564" s="15" t="str">
        <f t="shared" si="8"/>
        <v>27.547.607/0001-42</v>
      </c>
      <c r="C564" s="12" t="str">
        <f>VLOOKUP(B564,[1]Planilha1!$A:$B,2,0)</f>
        <v>Malu Montesino</v>
      </c>
      <c r="D564" s="3" t="s">
        <v>2549</v>
      </c>
      <c r="E564" s="3" t="s">
        <v>2549</v>
      </c>
      <c r="F564" s="3" t="s">
        <v>20</v>
      </c>
      <c r="G564" s="4">
        <v>42843</v>
      </c>
      <c r="H564" s="3" t="s">
        <v>94</v>
      </c>
      <c r="I564" s="3" t="s">
        <v>33</v>
      </c>
      <c r="J564" s="5">
        <v>287205800</v>
      </c>
      <c r="K564" s="3">
        <v>6462000</v>
      </c>
      <c r="L564" s="3" t="s">
        <v>250</v>
      </c>
      <c r="M564" s="3" t="s">
        <v>1047</v>
      </c>
      <c r="N564" s="3">
        <v>1830</v>
      </c>
      <c r="O564" s="3" t="s">
        <v>2550</v>
      </c>
      <c r="P564" s="3" t="s">
        <v>1049</v>
      </c>
      <c r="Q564" s="3" t="s">
        <v>27</v>
      </c>
      <c r="R564" s="3" t="s">
        <v>28</v>
      </c>
      <c r="S564" s="3">
        <v>4543900</v>
      </c>
      <c r="T564" s="3">
        <v>1131644181</v>
      </c>
      <c r="U564" s="3" t="s">
        <v>29</v>
      </c>
    </row>
    <row r="565" spans="1:21" ht="13.2" x14ac:dyDescent="0.25">
      <c r="A565" s="14">
        <v>27489162000191</v>
      </c>
      <c r="B565" s="15" t="str">
        <f t="shared" si="8"/>
        <v>27.489.162/0001-91</v>
      </c>
      <c r="C565" s="12"/>
      <c r="D565" s="3" t="s">
        <v>2551</v>
      </c>
      <c r="E565" s="3" t="s">
        <v>2552</v>
      </c>
      <c r="F565" s="3" t="s">
        <v>20</v>
      </c>
      <c r="G565" s="4">
        <v>42831</v>
      </c>
      <c r="H565" s="3" t="s">
        <v>21</v>
      </c>
      <c r="I565" s="3" t="s">
        <v>22</v>
      </c>
      <c r="J565" s="5">
        <v>410000</v>
      </c>
      <c r="K565" s="3">
        <v>1020102</v>
      </c>
      <c r="L565" s="3" t="s">
        <v>2553</v>
      </c>
      <c r="M565" s="3" t="s">
        <v>2554</v>
      </c>
      <c r="N565" s="3">
        <v>95</v>
      </c>
      <c r="P565" s="3" t="s">
        <v>2555</v>
      </c>
      <c r="Q565" s="3" t="s">
        <v>2556</v>
      </c>
      <c r="R565" s="3" t="s">
        <v>28</v>
      </c>
      <c r="S565" s="3">
        <v>12051381</v>
      </c>
      <c r="T565" s="3">
        <v>1236213152</v>
      </c>
      <c r="U565" s="3" t="s">
        <v>29</v>
      </c>
    </row>
    <row r="566" spans="1:21" ht="13.2" x14ac:dyDescent="0.25">
      <c r="A566" s="14">
        <v>2672781000196</v>
      </c>
      <c r="B566" s="15" t="str">
        <f t="shared" si="8"/>
        <v>02.672.781/0001-96</v>
      </c>
      <c r="C566" s="12"/>
      <c r="D566" s="3" t="s">
        <v>2557</v>
      </c>
      <c r="E566" s="3" t="s">
        <v>2558</v>
      </c>
      <c r="F566" s="3" t="s">
        <v>20</v>
      </c>
      <c r="G566" s="4">
        <v>35879</v>
      </c>
      <c r="H566" s="3" t="s">
        <v>21</v>
      </c>
      <c r="I566" s="3" t="s">
        <v>33</v>
      </c>
      <c r="J566" s="5">
        <v>24671096</v>
      </c>
      <c r="K566" s="3">
        <v>2542000</v>
      </c>
      <c r="L566" s="3" t="s">
        <v>2559</v>
      </c>
      <c r="M566" s="3" t="s">
        <v>2560</v>
      </c>
      <c r="N566" s="3">
        <v>2052</v>
      </c>
      <c r="P566" s="3" t="s">
        <v>2561</v>
      </c>
      <c r="Q566" s="3" t="s">
        <v>1878</v>
      </c>
      <c r="R566" s="3" t="s">
        <v>28</v>
      </c>
      <c r="S566" s="3">
        <v>6817000</v>
      </c>
      <c r="T566" s="3">
        <v>1145853400</v>
      </c>
      <c r="U566" s="3" t="s">
        <v>29</v>
      </c>
    </row>
    <row r="567" spans="1:21" ht="13.2" x14ac:dyDescent="0.25">
      <c r="A567" s="14">
        <v>30249603000192</v>
      </c>
      <c r="B567" s="15" t="str">
        <f t="shared" si="8"/>
        <v>30.249.603/0001-92</v>
      </c>
      <c r="C567" s="12"/>
      <c r="D567" s="3" t="s">
        <v>2562</v>
      </c>
      <c r="E567" s="3" t="s">
        <v>2563</v>
      </c>
      <c r="F567" s="3" t="s">
        <v>20</v>
      </c>
      <c r="G567" s="4">
        <v>43209</v>
      </c>
      <c r="H567" s="3" t="s">
        <v>21</v>
      </c>
      <c r="I567" s="3" t="s">
        <v>22</v>
      </c>
      <c r="J567" s="5">
        <v>100000</v>
      </c>
      <c r="K567" s="3">
        <v>4751201</v>
      </c>
      <c r="L567" s="3" t="s">
        <v>23</v>
      </c>
      <c r="M567" s="3" t="s">
        <v>2564</v>
      </c>
      <c r="N567" s="3">
        <v>315</v>
      </c>
      <c r="P567" s="3" t="s">
        <v>2565</v>
      </c>
      <c r="Q567" s="3" t="s">
        <v>27</v>
      </c>
      <c r="R567" s="3" t="s">
        <v>28</v>
      </c>
      <c r="S567" s="3">
        <v>5138200</v>
      </c>
      <c r="T567" s="3">
        <v>1139991404</v>
      </c>
      <c r="U567" s="3" t="s">
        <v>29</v>
      </c>
    </row>
    <row r="568" spans="1:21" ht="13.2" x14ac:dyDescent="0.25">
      <c r="A568" s="14">
        <v>23476033000108</v>
      </c>
      <c r="B568" s="15" t="str">
        <f t="shared" si="8"/>
        <v>23.476.033/0001-08</v>
      </c>
      <c r="C568" s="12"/>
      <c r="D568" s="3" t="s">
        <v>2566</v>
      </c>
      <c r="E568" s="3" t="s">
        <v>2567</v>
      </c>
      <c r="F568" s="3" t="s">
        <v>20</v>
      </c>
      <c r="G568" s="4">
        <v>42292</v>
      </c>
      <c r="H568" s="3" t="s">
        <v>94</v>
      </c>
      <c r="I568" s="3" t="s">
        <v>33</v>
      </c>
      <c r="J568" s="5">
        <v>372300000</v>
      </c>
      <c r="K568" s="3">
        <v>4744099</v>
      </c>
      <c r="L568" s="3" t="s">
        <v>115</v>
      </c>
      <c r="M568" s="3" t="s">
        <v>1470</v>
      </c>
      <c r="N568" s="3">
        <v>823</v>
      </c>
      <c r="O568" s="3" t="s">
        <v>2568</v>
      </c>
      <c r="P568" s="3" t="s">
        <v>2392</v>
      </c>
      <c r="Q568" s="3" t="s">
        <v>27</v>
      </c>
      <c r="R568" s="3" t="s">
        <v>28</v>
      </c>
      <c r="S568" s="3">
        <v>1503001</v>
      </c>
      <c r="T568" s="3">
        <v>1122190619</v>
      </c>
      <c r="U568" s="3" t="s">
        <v>29</v>
      </c>
    </row>
    <row r="569" spans="1:21" ht="13.2" x14ac:dyDescent="0.25">
      <c r="A569" s="14">
        <v>14168536000125</v>
      </c>
      <c r="B569" s="15" t="str">
        <f t="shared" si="8"/>
        <v>14.168.536/0001-25</v>
      </c>
      <c r="C569" s="12"/>
      <c r="D569" s="3" t="s">
        <v>2569</v>
      </c>
      <c r="E569" s="3" t="s">
        <v>2569</v>
      </c>
      <c r="F569" s="3" t="s">
        <v>20</v>
      </c>
      <c r="G569" s="4">
        <v>40766</v>
      </c>
      <c r="H569" s="3" t="s">
        <v>21</v>
      </c>
      <c r="I569" s="3" t="s">
        <v>33</v>
      </c>
      <c r="J569" s="5">
        <v>67819390</v>
      </c>
      <c r="K569" s="3">
        <v>4662100</v>
      </c>
      <c r="L569" s="3" t="s">
        <v>2324</v>
      </c>
      <c r="M569" s="3" t="s">
        <v>354</v>
      </c>
      <c r="N569" s="3" t="s">
        <v>111</v>
      </c>
      <c r="O569" s="3" t="s">
        <v>2570</v>
      </c>
      <c r="P569" s="3" t="s">
        <v>2571</v>
      </c>
      <c r="Q569" s="3" t="s">
        <v>2571</v>
      </c>
      <c r="R569" s="3" t="s">
        <v>78</v>
      </c>
      <c r="S569" s="3">
        <v>27580000</v>
      </c>
      <c r="T569" s="3">
        <v>1130364100</v>
      </c>
      <c r="U569" s="3" t="s">
        <v>29</v>
      </c>
    </row>
    <row r="570" spans="1:21" ht="13.2" x14ac:dyDescent="0.25">
      <c r="A570" s="14">
        <v>60831658000177</v>
      </c>
      <c r="B570" s="15" t="str">
        <f t="shared" si="8"/>
        <v>60.831.658/0001-77</v>
      </c>
      <c r="C570" s="12" t="str">
        <f>VLOOKUP(B570,[1]Planilha1!$A:$B,2,0)</f>
        <v>Malu Montesino</v>
      </c>
      <c r="D570" s="3" t="s">
        <v>2572</v>
      </c>
      <c r="E570" s="3" t="s">
        <v>2572</v>
      </c>
      <c r="F570" s="3" t="s">
        <v>20</v>
      </c>
      <c r="G570" s="4">
        <v>25938</v>
      </c>
      <c r="H570" s="3" t="s">
        <v>21</v>
      </c>
      <c r="I570" s="3" t="s">
        <v>33</v>
      </c>
      <c r="J570" s="5">
        <v>143341980</v>
      </c>
      <c r="K570" s="3">
        <v>2121101</v>
      </c>
      <c r="L570" s="3" t="s">
        <v>233</v>
      </c>
      <c r="M570" s="3" t="s">
        <v>308</v>
      </c>
      <c r="N570" s="3">
        <v>14171</v>
      </c>
      <c r="O570" s="3" t="s">
        <v>2573</v>
      </c>
      <c r="P570" s="3" t="s">
        <v>310</v>
      </c>
      <c r="Q570" s="3" t="s">
        <v>27</v>
      </c>
      <c r="R570" s="3" t="s">
        <v>28</v>
      </c>
      <c r="S570" s="3">
        <v>4794000</v>
      </c>
      <c r="T570" s="3">
        <v>1149494701</v>
      </c>
      <c r="U570" s="3" t="s">
        <v>29</v>
      </c>
    </row>
    <row r="571" spans="1:21" ht="13.2" x14ac:dyDescent="0.25">
      <c r="A571" s="14">
        <v>12998543000390</v>
      </c>
      <c r="B571" s="15" t="str">
        <f t="shared" si="8"/>
        <v>12.998.543/0003-90</v>
      </c>
      <c r="C571" s="12" t="str">
        <f>VLOOKUP(B571,[1]Planilha1!$A:$B,2,0)</f>
        <v>Malu Montesino</v>
      </c>
      <c r="D571" s="3" t="s">
        <v>2574</v>
      </c>
      <c r="E571" s="3" t="s">
        <v>2574</v>
      </c>
      <c r="F571" s="3" t="s">
        <v>45</v>
      </c>
      <c r="G571" s="4">
        <v>42662</v>
      </c>
      <c r="H571" s="3" t="s">
        <v>94</v>
      </c>
      <c r="I571" s="3" t="s">
        <v>33</v>
      </c>
      <c r="J571" s="5">
        <v>2045000</v>
      </c>
      <c r="K571" s="3">
        <v>4689399</v>
      </c>
      <c r="L571" s="3" t="s">
        <v>783</v>
      </c>
      <c r="M571" s="3" t="s">
        <v>1009</v>
      </c>
      <c r="N571" s="3">
        <v>14718</v>
      </c>
      <c r="P571" s="3" t="s">
        <v>2575</v>
      </c>
      <c r="Q571" s="3" t="s">
        <v>476</v>
      </c>
      <c r="R571" s="3" t="s">
        <v>100</v>
      </c>
      <c r="S571" s="3">
        <v>30750222</v>
      </c>
      <c r="T571" s="3">
        <v>4732746505</v>
      </c>
      <c r="U571" s="3" t="s">
        <v>29</v>
      </c>
    </row>
    <row r="572" spans="1:21" ht="13.2" x14ac:dyDescent="0.25">
      <c r="A572" s="14">
        <v>2599337000192</v>
      </c>
      <c r="B572" s="15" t="str">
        <f t="shared" si="8"/>
        <v>02.599.337/0001-92</v>
      </c>
      <c r="C572" s="12" t="str">
        <f>VLOOKUP(B572,[1]Planilha1!$A:$B,2,0)</f>
        <v>Malu Montesino</v>
      </c>
      <c r="D572" s="3" t="s">
        <v>2576</v>
      </c>
      <c r="E572" s="3" t="s">
        <v>2577</v>
      </c>
      <c r="F572" s="3" t="s">
        <v>20</v>
      </c>
      <c r="G572" s="4">
        <v>35972</v>
      </c>
      <c r="H572" s="3" t="s">
        <v>21</v>
      </c>
      <c r="I572" s="3" t="s">
        <v>33</v>
      </c>
      <c r="J572" s="5">
        <v>129152750</v>
      </c>
      <c r="K572" s="3">
        <v>2829199</v>
      </c>
      <c r="L572" s="3" t="s">
        <v>1514</v>
      </c>
      <c r="M572" s="3" t="s">
        <v>2578</v>
      </c>
      <c r="N572" s="3">
        <v>630</v>
      </c>
      <c r="P572" s="3" t="s">
        <v>2579</v>
      </c>
      <c r="Q572" s="3" t="s">
        <v>217</v>
      </c>
      <c r="R572" s="3" t="s">
        <v>28</v>
      </c>
      <c r="S572" s="3">
        <v>9850300</v>
      </c>
      <c r="T572" s="3">
        <v>1143935533</v>
      </c>
      <c r="U572" s="3" t="s">
        <v>29</v>
      </c>
    </row>
    <row r="573" spans="1:21" ht="13.2" x14ac:dyDescent="0.25">
      <c r="A573" s="14">
        <v>18782563000144</v>
      </c>
      <c r="B573" s="15" t="str">
        <f t="shared" si="8"/>
        <v>18.782.563/0001-44</v>
      </c>
      <c r="C573" s="12" t="str">
        <f>VLOOKUP(B573,[1]Planilha1!$A:$B,2,0)</f>
        <v>Malu Montesino</v>
      </c>
      <c r="D573" s="3" t="s">
        <v>2580</v>
      </c>
      <c r="E573" s="3" t="s">
        <v>2581</v>
      </c>
      <c r="F573" s="3" t="s">
        <v>20</v>
      </c>
      <c r="G573" s="4">
        <v>41515</v>
      </c>
      <c r="H573" s="3" t="s">
        <v>21</v>
      </c>
      <c r="I573" s="3" t="s">
        <v>33</v>
      </c>
      <c r="J573" s="5">
        <v>12450471</v>
      </c>
      <c r="K573" s="3">
        <v>2812700</v>
      </c>
      <c r="L573" s="3" t="s">
        <v>1534</v>
      </c>
      <c r="M573" s="3" t="s">
        <v>329</v>
      </c>
      <c r="N573" s="3">
        <v>13721</v>
      </c>
      <c r="O573" s="3" t="s">
        <v>721</v>
      </c>
      <c r="P573" s="3" t="s">
        <v>2582</v>
      </c>
      <c r="Q573" s="3" t="s">
        <v>332</v>
      </c>
      <c r="R573" s="3" t="s">
        <v>78</v>
      </c>
      <c r="S573" s="3">
        <v>25230005</v>
      </c>
      <c r="T573" s="3">
        <v>1936439090</v>
      </c>
      <c r="U573" s="3" t="s">
        <v>29</v>
      </c>
    </row>
    <row r="574" spans="1:21" ht="13.2" x14ac:dyDescent="0.25">
      <c r="A574" s="14">
        <v>52940533000157</v>
      </c>
      <c r="B574" s="15" t="str">
        <f t="shared" si="8"/>
        <v>52.940.533/0001-57</v>
      </c>
      <c r="C574" s="12" t="str">
        <f>VLOOKUP(B574,[1]Planilha1!$A:$B,2,0)</f>
        <v>Malu Montesino</v>
      </c>
      <c r="D574" s="3" t="s">
        <v>2583</v>
      </c>
      <c r="E574" s="3" t="s">
        <v>2584</v>
      </c>
      <c r="F574" s="3" t="s">
        <v>45</v>
      </c>
      <c r="G574" s="4">
        <v>25570</v>
      </c>
      <c r="H574" s="3" t="s">
        <v>94</v>
      </c>
      <c r="I574" s="3" t="s">
        <v>33</v>
      </c>
      <c r="J574" s="5">
        <v>16910000</v>
      </c>
      <c r="K574" s="3">
        <v>2812700</v>
      </c>
      <c r="L574" s="3" t="s">
        <v>1534</v>
      </c>
      <c r="M574" s="3" t="s">
        <v>2585</v>
      </c>
      <c r="N574" s="3">
        <v>400</v>
      </c>
      <c r="P574" s="3" t="s">
        <v>70</v>
      </c>
      <c r="Q574" s="3" t="s">
        <v>2586</v>
      </c>
      <c r="R574" s="3" t="s">
        <v>28</v>
      </c>
      <c r="S574" s="3">
        <v>14730000</v>
      </c>
      <c r="T574" s="3">
        <v>173611101</v>
      </c>
      <c r="U574" s="3" t="s">
        <v>29</v>
      </c>
    </row>
    <row r="575" spans="1:21" ht="13.2" x14ac:dyDescent="0.25">
      <c r="A575" s="14">
        <v>50564053000103</v>
      </c>
      <c r="B575" s="15" t="str">
        <f t="shared" si="8"/>
        <v>50.564.053/0001-03</v>
      </c>
      <c r="C575" s="12"/>
      <c r="D575" s="3" t="s">
        <v>2587</v>
      </c>
      <c r="E575" s="3" t="s">
        <v>2587</v>
      </c>
      <c r="F575" s="3" t="s">
        <v>20</v>
      </c>
      <c r="G575" s="4">
        <v>30124</v>
      </c>
      <c r="H575" s="3" t="s">
        <v>377</v>
      </c>
      <c r="I575" s="3" t="s">
        <v>33</v>
      </c>
      <c r="J575" s="5">
        <v>879784960</v>
      </c>
      <c r="K575" s="3">
        <v>2062200</v>
      </c>
      <c r="L575" s="3" t="s">
        <v>2500</v>
      </c>
      <c r="M575" s="3" t="s">
        <v>2588</v>
      </c>
      <c r="N575" s="3" t="s">
        <v>82</v>
      </c>
      <c r="O575" s="3" t="s">
        <v>2589</v>
      </c>
      <c r="P575" s="3" t="s">
        <v>2056</v>
      </c>
      <c r="Q575" s="3" t="s">
        <v>217</v>
      </c>
      <c r="R575" s="3" t="s">
        <v>28</v>
      </c>
      <c r="S575" s="3">
        <v>9696000</v>
      </c>
      <c r="T575" s="3">
        <v>1143661000</v>
      </c>
      <c r="U575" s="3" t="s">
        <v>29</v>
      </c>
    </row>
    <row r="576" spans="1:21" ht="13.2" x14ac:dyDescent="0.25">
      <c r="A576" s="14">
        <v>79712642000173</v>
      </c>
      <c r="B576" s="15" t="str">
        <f t="shared" si="8"/>
        <v>79.712.642/0001-73</v>
      </c>
      <c r="C576" s="12" t="str">
        <f>VLOOKUP(B576,[1]Planilha1!$A:$B,2,0)</f>
        <v>Malu Montesino</v>
      </c>
      <c r="D576" s="3" t="s">
        <v>2590</v>
      </c>
      <c r="E576" s="3" t="s">
        <v>2591</v>
      </c>
      <c r="F576" s="3" t="s">
        <v>20</v>
      </c>
      <c r="G576" s="4">
        <v>31715</v>
      </c>
      <c r="H576" s="3" t="s">
        <v>21</v>
      </c>
      <c r="I576" s="3" t="s">
        <v>33</v>
      </c>
      <c r="J576" s="5">
        <v>19842000</v>
      </c>
      <c r="K576" s="3">
        <v>1531901</v>
      </c>
      <c r="L576" s="3" t="s">
        <v>1330</v>
      </c>
      <c r="M576" s="3" t="s">
        <v>2592</v>
      </c>
      <c r="N576" s="3">
        <v>539</v>
      </c>
      <c r="P576" s="3" t="s">
        <v>70</v>
      </c>
      <c r="Q576" s="3" t="s">
        <v>2502</v>
      </c>
      <c r="R576" s="3" t="s">
        <v>187</v>
      </c>
      <c r="S576" s="3">
        <v>85901170</v>
      </c>
      <c r="U576" s="3" t="s">
        <v>29</v>
      </c>
    </row>
    <row r="577" spans="1:21" ht="13.2" x14ac:dyDescent="0.25">
      <c r="A577" s="14">
        <v>30763076000130</v>
      </c>
      <c r="B577" s="15" t="str">
        <f t="shared" si="8"/>
        <v>30.763.076/0001-30</v>
      </c>
      <c r="C577" s="12"/>
      <c r="D577" s="3" t="s">
        <v>2593</v>
      </c>
      <c r="E577" s="3" t="s">
        <v>2594</v>
      </c>
      <c r="F577" s="3" t="s">
        <v>20</v>
      </c>
      <c r="G577" s="4">
        <v>43272</v>
      </c>
      <c r="H577" s="3" t="s">
        <v>21</v>
      </c>
      <c r="I577" s="3" t="s">
        <v>33</v>
      </c>
      <c r="J577" s="5">
        <v>60148856</v>
      </c>
      <c r="K577" s="3">
        <v>6463800</v>
      </c>
      <c r="L577" s="3" t="s">
        <v>458</v>
      </c>
      <c r="M577" s="3" t="s">
        <v>2595</v>
      </c>
      <c r="N577" s="3">
        <v>64</v>
      </c>
      <c r="P577" s="3" t="s">
        <v>2596</v>
      </c>
      <c r="Q577" s="3" t="s">
        <v>27</v>
      </c>
      <c r="R577" s="3" t="s">
        <v>28</v>
      </c>
      <c r="S577" s="3">
        <v>1449070</v>
      </c>
      <c r="T577" s="3">
        <v>1148581150</v>
      </c>
      <c r="U577" s="3" t="s">
        <v>29</v>
      </c>
    </row>
    <row r="578" spans="1:21" ht="13.2" x14ac:dyDescent="0.25">
      <c r="A578" s="14">
        <v>4743025000136</v>
      </c>
      <c r="B578" s="15" t="str">
        <f t="shared" si="8"/>
        <v>04.743.025/0001-36</v>
      </c>
      <c r="C578" s="12" t="str">
        <f>VLOOKUP(B578,[1]Planilha1!$A:$B,2,0)</f>
        <v>Malu Montesino</v>
      </c>
      <c r="D578" s="3" t="s">
        <v>2597</v>
      </c>
      <c r="E578" s="3" t="s">
        <v>2597</v>
      </c>
      <c r="F578" s="3" t="s">
        <v>20</v>
      </c>
      <c r="G578" s="4">
        <v>37186</v>
      </c>
      <c r="H578" s="3" t="s">
        <v>21</v>
      </c>
      <c r="I578" s="3" t="s">
        <v>33</v>
      </c>
      <c r="J578" s="5">
        <v>2977408</v>
      </c>
      <c r="K578" s="3">
        <v>4689399</v>
      </c>
      <c r="L578" s="3" t="s">
        <v>783</v>
      </c>
      <c r="M578" s="3" t="s">
        <v>2598</v>
      </c>
      <c r="N578" s="3">
        <v>10501</v>
      </c>
      <c r="O578" s="3" t="s">
        <v>2599</v>
      </c>
      <c r="P578" s="3" t="s">
        <v>2600</v>
      </c>
      <c r="Q578" s="3" t="s">
        <v>1371</v>
      </c>
      <c r="R578" s="3" t="s">
        <v>28</v>
      </c>
      <c r="S578" s="3">
        <v>18132680</v>
      </c>
      <c r="T578" s="3">
        <v>1130933967</v>
      </c>
      <c r="U578" s="3" t="s">
        <v>29</v>
      </c>
    </row>
    <row r="579" spans="1:21" ht="13.2" x14ac:dyDescent="0.25">
      <c r="A579" s="14">
        <v>15682811000197</v>
      </c>
      <c r="B579" s="15" t="str">
        <f t="shared" ref="B579:B642" si="9">TEXT(A579,"00\.000\.000\/0000\-00")</f>
        <v>15.682.811/0001-97</v>
      </c>
      <c r="C579" s="12"/>
      <c r="D579" s="3" t="s">
        <v>2601</v>
      </c>
      <c r="E579" s="3" t="s">
        <v>2602</v>
      </c>
      <c r="F579" s="3" t="s">
        <v>20</v>
      </c>
      <c r="G579" s="4">
        <v>41047</v>
      </c>
      <c r="H579" s="3" t="s">
        <v>21</v>
      </c>
      <c r="I579" s="3" t="s">
        <v>47</v>
      </c>
      <c r="J579" s="5">
        <v>150000</v>
      </c>
      <c r="K579" s="3">
        <v>4930202</v>
      </c>
      <c r="L579" s="3" t="s">
        <v>2603</v>
      </c>
      <c r="M579" s="3" t="s">
        <v>1130</v>
      </c>
      <c r="N579" s="3">
        <v>46</v>
      </c>
      <c r="O579" s="3" t="s">
        <v>1014</v>
      </c>
      <c r="P579" s="3" t="s">
        <v>610</v>
      </c>
      <c r="Q579" s="3" t="s">
        <v>2604</v>
      </c>
      <c r="R579" s="3" t="s">
        <v>53</v>
      </c>
      <c r="S579" s="3">
        <v>99170000</v>
      </c>
      <c r="T579" s="3">
        <v>5499734665</v>
      </c>
      <c r="U579" s="3" t="s">
        <v>29</v>
      </c>
    </row>
    <row r="580" spans="1:21" ht="13.2" x14ac:dyDescent="0.25">
      <c r="A580" s="14">
        <v>60591864000157</v>
      </c>
      <c r="B580" s="15" t="str">
        <f t="shared" si="9"/>
        <v>60.591.864/0001-57</v>
      </c>
      <c r="C580" s="12"/>
      <c r="D580" s="3" t="s">
        <v>2605</v>
      </c>
      <c r="E580" s="3" t="s">
        <v>2605</v>
      </c>
      <c r="F580" s="3" t="s">
        <v>20</v>
      </c>
      <c r="G580" s="4">
        <v>32660</v>
      </c>
      <c r="H580" s="3" t="s">
        <v>21</v>
      </c>
      <c r="I580" s="3" t="s">
        <v>33</v>
      </c>
      <c r="J580" s="5">
        <v>12000000</v>
      </c>
      <c r="K580" s="3">
        <v>4120400</v>
      </c>
      <c r="L580" s="3" t="s">
        <v>87</v>
      </c>
      <c r="M580" s="3" t="s">
        <v>2606</v>
      </c>
      <c r="N580" s="3">
        <v>175</v>
      </c>
      <c r="P580" s="3" t="s">
        <v>2607</v>
      </c>
      <c r="Q580" s="3" t="s">
        <v>2608</v>
      </c>
      <c r="R580" s="3" t="s">
        <v>28</v>
      </c>
      <c r="S580" s="3">
        <v>11420720</v>
      </c>
      <c r="T580" s="3">
        <v>1333546365</v>
      </c>
      <c r="U580" s="3" t="s">
        <v>29</v>
      </c>
    </row>
    <row r="581" spans="1:21" ht="13.2" x14ac:dyDescent="0.25">
      <c r="A581" s="14">
        <v>61881058000186</v>
      </c>
      <c r="B581" s="15" t="str">
        <f t="shared" si="9"/>
        <v>61.881.058/0001-86</v>
      </c>
      <c r="C581" s="12" t="str">
        <f>VLOOKUP(B581,[1]Planilha1!$A:$B,2,0)</f>
        <v>Malu Montesino</v>
      </c>
      <c r="D581" s="3" t="s">
        <v>2609</v>
      </c>
      <c r="E581" s="3" t="s">
        <v>2609</v>
      </c>
      <c r="F581" s="3" t="s">
        <v>20</v>
      </c>
      <c r="G581" s="4">
        <v>24834</v>
      </c>
      <c r="H581" s="3" t="s">
        <v>21</v>
      </c>
      <c r="I581" s="3" t="s">
        <v>33</v>
      </c>
      <c r="J581" s="5">
        <v>99420530</v>
      </c>
      <c r="K581" s="3">
        <v>2941700</v>
      </c>
      <c r="L581" s="3" t="s">
        <v>2610</v>
      </c>
      <c r="M581" s="3" t="s">
        <v>2611</v>
      </c>
      <c r="N581" s="3">
        <v>2500</v>
      </c>
      <c r="O581" s="3" t="s">
        <v>2612</v>
      </c>
      <c r="P581" s="3" t="s">
        <v>2613</v>
      </c>
      <c r="Q581" s="3" t="s">
        <v>2614</v>
      </c>
      <c r="R581" s="3" t="s">
        <v>28</v>
      </c>
      <c r="S581" s="3">
        <v>13257700</v>
      </c>
      <c r="T581" s="3">
        <v>1131830507</v>
      </c>
      <c r="U581" s="3" t="s">
        <v>29</v>
      </c>
    </row>
    <row r="582" spans="1:21" ht="13.2" x14ac:dyDescent="0.25">
      <c r="A582" s="14">
        <v>4250661000126</v>
      </c>
      <c r="B582" s="15" t="str">
        <f t="shared" si="9"/>
        <v>04.250.661/0001-26</v>
      </c>
      <c r="C582" s="12"/>
      <c r="D582" s="3" t="s">
        <v>2615</v>
      </c>
      <c r="E582" s="3" t="s">
        <v>2616</v>
      </c>
      <c r="F582" s="3" t="s">
        <v>20</v>
      </c>
      <c r="G582" s="4">
        <v>36874</v>
      </c>
      <c r="H582" s="3" t="s">
        <v>32</v>
      </c>
      <c r="I582" s="3" t="s">
        <v>47</v>
      </c>
      <c r="J582" s="5">
        <v>0</v>
      </c>
      <c r="K582" s="3">
        <v>6911701</v>
      </c>
      <c r="L582" s="3" t="s">
        <v>1551</v>
      </c>
      <c r="M582" s="3" t="s">
        <v>2617</v>
      </c>
      <c r="N582" s="3">
        <v>22</v>
      </c>
      <c r="P582" s="3" t="s">
        <v>2618</v>
      </c>
      <c r="Q582" s="3" t="s">
        <v>1284</v>
      </c>
      <c r="R582" s="3" t="s">
        <v>28</v>
      </c>
      <c r="S582" s="3">
        <v>6763120</v>
      </c>
      <c r="T582" s="3">
        <v>1147862308</v>
      </c>
      <c r="U582" s="3" t="s">
        <v>29</v>
      </c>
    </row>
    <row r="583" spans="1:21" ht="13.2" x14ac:dyDescent="0.25">
      <c r="A583" s="14">
        <v>56075146000150</v>
      </c>
      <c r="B583" s="15" t="str">
        <f t="shared" si="9"/>
        <v>56.075.146/0001-50</v>
      </c>
      <c r="C583" s="12"/>
      <c r="D583" s="3" t="s">
        <v>2619</v>
      </c>
      <c r="E583" s="3" t="s">
        <v>2619</v>
      </c>
      <c r="F583" s="3" t="s">
        <v>20</v>
      </c>
      <c r="G583" s="4">
        <v>31616</v>
      </c>
      <c r="H583" s="3" t="s">
        <v>21</v>
      </c>
      <c r="I583" s="3" t="s">
        <v>33</v>
      </c>
      <c r="J583" s="5">
        <v>4607300</v>
      </c>
      <c r="K583" s="3">
        <v>4689399</v>
      </c>
      <c r="L583" s="3" t="s">
        <v>783</v>
      </c>
      <c r="M583" s="3" t="s">
        <v>2620</v>
      </c>
      <c r="N583" s="3">
        <v>1266</v>
      </c>
      <c r="O583" s="3" t="s">
        <v>2621</v>
      </c>
      <c r="P583" s="3" t="s">
        <v>336</v>
      </c>
      <c r="Q583" s="3" t="s">
        <v>27</v>
      </c>
      <c r="R583" s="3" t="s">
        <v>28</v>
      </c>
      <c r="S583" s="3">
        <v>3118001</v>
      </c>
      <c r="T583" s="3">
        <v>1126027474</v>
      </c>
      <c r="U583" s="3" t="s">
        <v>29</v>
      </c>
    </row>
    <row r="584" spans="1:21" ht="13.2" x14ac:dyDescent="0.25">
      <c r="A584" s="14">
        <v>87870952000144</v>
      </c>
      <c r="B584" s="15" t="str">
        <f t="shared" si="9"/>
        <v>87.870.952/0001-44</v>
      </c>
      <c r="C584" s="12"/>
      <c r="D584" s="3" t="s">
        <v>2622</v>
      </c>
      <c r="E584" s="3" t="s">
        <v>2623</v>
      </c>
      <c r="F584" s="3" t="s">
        <v>20</v>
      </c>
      <c r="G584" s="4">
        <v>26305</v>
      </c>
      <c r="H584" s="3" t="s">
        <v>377</v>
      </c>
      <c r="I584" s="3" t="s">
        <v>33</v>
      </c>
      <c r="J584" s="5">
        <v>470000000</v>
      </c>
      <c r="K584" s="3">
        <v>2219600</v>
      </c>
      <c r="L584" s="3" t="s">
        <v>613</v>
      </c>
      <c r="M584" s="3" t="s">
        <v>2624</v>
      </c>
      <c r="N584" s="3">
        <v>365</v>
      </c>
      <c r="P584" s="3" t="s">
        <v>70</v>
      </c>
      <c r="Q584" s="3" t="s">
        <v>2625</v>
      </c>
      <c r="R584" s="3" t="s">
        <v>53</v>
      </c>
      <c r="S584" s="3">
        <v>95320000</v>
      </c>
      <c r="T584" s="3">
        <v>5132053000</v>
      </c>
      <c r="U584" s="3" t="s">
        <v>29</v>
      </c>
    </row>
    <row r="585" spans="1:21" ht="13.2" x14ac:dyDescent="0.25">
      <c r="A585" s="14">
        <v>72908817000173</v>
      </c>
      <c r="B585" s="15" t="str">
        <f t="shared" si="9"/>
        <v>72.908.817/0001-73</v>
      </c>
      <c r="C585" s="12" t="str">
        <f>VLOOKUP(B585,[1]Planilha1!$A:$B,2,0)</f>
        <v>Malu Montesino</v>
      </c>
      <c r="D585" s="3" t="s">
        <v>2626</v>
      </c>
      <c r="E585" s="3" t="s">
        <v>2627</v>
      </c>
      <c r="F585" s="3" t="s">
        <v>20</v>
      </c>
      <c r="G585" s="4">
        <v>34255</v>
      </c>
      <c r="H585" s="3" t="s">
        <v>21</v>
      </c>
      <c r="I585" s="3" t="s">
        <v>33</v>
      </c>
      <c r="J585" s="5">
        <v>174945300</v>
      </c>
      <c r="K585" s="3">
        <v>4663000</v>
      </c>
      <c r="L585" s="3" t="s">
        <v>128</v>
      </c>
      <c r="M585" s="3" t="s">
        <v>2628</v>
      </c>
      <c r="N585" s="3" t="s">
        <v>111</v>
      </c>
      <c r="O585" s="3" t="s">
        <v>2629</v>
      </c>
      <c r="P585" s="3" t="s">
        <v>2630</v>
      </c>
      <c r="Q585" s="3" t="s">
        <v>2614</v>
      </c>
      <c r="R585" s="3" t="s">
        <v>28</v>
      </c>
      <c r="S585" s="3">
        <v>13252320</v>
      </c>
      <c r="T585" s="3">
        <v>1921032288</v>
      </c>
      <c r="U585" s="3" t="s">
        <v>29</v>
      </c>
    </row>
    <row r="586" spans="1:21" ht="13.2" x14ac:dyDescent="0.25">
      <c r="A586" s="14">
        <v>1513946000114</v>
      </c>
      <c r="B586" s="15" t="str">
        <f t="shared" si="9"/>
        <v>01.513.946/0001-14</v>
      </c>
      <c r="C586" s="12"/>
      <c r="D586" s="3" t="s">
        <v>2631</v>
      </c>
      <c r="E586" s="3" t="s">
        <v>2631</v>
      </c>
      <c r="F586" s="3" t="s">
        <v>20</v>
      </c>
      <c r="G586" s="4">
        <v>35373</v>
      </c>
      <c r="H586" s="3" t="s">
        <v>21</v>
      </c>
      <c r="I586" s="3" t="s">
        <v>33</v>
      </c>
      <c r="J586" s="5">
        <v>339943800</v>
      </c>
      <c r="K586" s="3">
        <v>4645101</v>
      </c>
      <c r="L586" s="3" t="s">
        <v>135</v>
      </c>
      <c r="M586" s="3" t="s">
        <v>308</v>
      </c>
      <c r="N586" s="3">
        <v>21476</v>
      </c>
      <c r="O586" s="3" t="s">
        <v>2632</v>
      </c>
      <c r="P586" s="3" t="s">
        <v>1418</v>
      </c>
      <c r="Q586" s="3" t="s">
        <v>27</v>
      </c>
      <c r="R586" s="3" t="s">
        <v>28</v>
      </c>
      <c r="S586" s="3">
        <v>4795912</v>
      </c>
      <c r="T586" s="3">
        <v>1143808748</v>
      </c>
      <c r="U586" s="3" t="s">
        <v>29</v>
      </c>
    </row>
    <row r="587" spans="1:21" ht="13.2" x14ac:dyDescent="0.25">
      <c r="A587" s="14">
        <v>5733154000106</v>
      </c>
      <c r="B587" s="15" t="str">
        <f t="shared" si="9"/>
        <v>05.733.154/0001-06</v>
      </c>
      <c r="C587" s="12"/>
      <c r="D587" s="3" t="s">
        <v>2633</v>
      </c>
      <c r="E587" s="3" t="s">
        <v>2633</v>
      </c>
      <c r="F587" s="3" t="s">
        <v>20</v>
      </c>
      <c r="G587" s="4">
        <v>37802</v>
      </c>
      <c r="H587" s="3" t="s">
        <v>2634</v>
      </c>
      <c r="I587" s="3" t="s">
        <v>33</v>
      </c>
      <c r="J587" s="5">
        <v>0</v>
      </c>
      <c r="K587" s="3">
        <v>6462000</v>
      </c>
      <c r="L587" s="3" t="s">
        <v>250</v>
      </c>
      <c r="M587" s="3" t="s">
        <v>2635</v>
      </c>
      <c r="N587" s="3">
        <v>6</v>
      </c>
      <c r="P587" s="3" t="s">
        <v>2636</v>
      </c>
      <c r="R587" s="3" t="s">
        <v>2637</v>
      </c>
      <c r="U587" s="3" t="s">
        <v>29</v>
      </c>
    </row>
    <row r="588" spans="1:21" ht="13.2" x14ac:dyDescent="0.25">
      <c r="A588" s="14">
        <v>11137051000186</v>
      </c>
      <c r="B588" s="15" t="str">
        <f t="shared" si="9"/>
        <v>11.137.051/0001-86</v>
      </c>
      <c r="C588" s="12"/>
      <c r="D588" s="3" t="s">
        <v>2638</v>
      </c>
      <c r="E588" s="3" t="s">
        <v>2638</v>
      </c>
      <c r="F588" s="3" t="s">
        <v>20</v>
      </c>
      <c r="G588" s="4">
        <v>40053</v>
      </c>
      <c r="H588" s="3" t="s">
        <v>21</v>
      </c>
      <c r="I588" s="3" t="s">
        <v>33</v>
      </c>
      <c r="J588" s="5">
        <v>1976882600</v>
      </c>
      <c r="K588" s="3">
        <v>4772500</v>
      </c>
      <c r="L588" s="3" t="s">
        <v>2639</v>
      </c>
      <c r="M588" s="3" t="s">
        <v>2640</v>
      </c>
      <c r="N588" s="3">
        <v>2197</v>
      </c>
      <c r="O588" s="3" t="s">
        <v>2641</v>
      </c>
      <c r="P588" s="3" t="s">
        <v>2642</v>
      </c>
      <c r="Q588" s="3" t="s">
        <v>204</v>
      </c>
      <c r="R588" s="3" t="s">
        <v>187</v>
      </c>
      <c r="S588" s="3">
        <v>80210010</v>
      </c>
      <c r="T588" s="3">
        <v>4135213491</v>
      </c>
      <c r="U588" s="3" t="s">
        <v>29</v>
      </c>
    </row>
    <row r="589" spans="1:21" ht="13.2" x14ac:dyDescent="0.25">
      <c r="A589" s="14">
        <v>2420391000129</v>
      </c>
      <c r="B589" s="15" t="str">
        <f t="shared" si="9"/>
        <v>02.420.391/0001-29</v>
      </c>
      <c r="C589" s="12"/>
      <c r="D589" s="3" t="s">
        <v>2643</v>
      </c>
      <c r="E589" s="3" t="s">
        <v>2643</v>
      </c>
      <c r="F589" s="3" t="s">
        <v>20</v>
      </c>
      <c r="G589" s="4">
        <v>35870</v>
      </c>
      <c r="H589" s="3" t="s">
        <v>21</v>
      </c>
      <c r="I589" s="3" t="s">
        <v>33</v>
      </c>
      <c r="J589" s="5">
        <v>686266050</v>
      </c>
      <c r="K589" s="3">
        <v>600001</v>
      </c>
      <c r="L589" s="3" t="s">
        <v>2644</v>
      </c>
      <c r="M589" s="3" t="s">
        <v>2071</v>
      </c>
      <c r="N589" s="3">
        <v>3434</v>
      </c>
      <c r="O589" s="3" t="s">
        <v>2645</v>
      </c>
      <c r="P589" s="3" t="s">
        <v>252</v>
      </c>
      <c r="Q589" s="3" t="s">
        <v>253</v>
      </c>
      <c r="R589" s="3" t="s">
        <v>78</v>
      </c>
      <c r="S589" s="3">
        <v>22640102</v>
      </c>
      <c r="T589" s="3">
        <v>2121272505</v>
      </c>
      <c r="U589" s="3" t="s">
        <v>29</v>
      </c>
    </row>
    <row r="590" spans="1:21" ht="13.2" x14ac:dyDescent="0.25">
      <c r="A590" s="14">
        <v>2873528000109</v>
      </c>
      <c r="B590" s="15" t="str">
        <f t="shared" si="9"/>
        <v>02.873.528/0001-09</v>
      </c>
      <c r="C590" s="12"/>
      <c r="D590" s="3" t="s">
        <v>2646</v>
      </c>
      <c r="E590" s="3" t="s">
        <v>2646</v>
      </c>
      <c r="F590" s="3" t="s">
        <v>20</v>
      </c>
      <c r="G590" s="4">
        <v>36084</v>
      </c>
      <c r="H590" s="3" t="s">
        <v>21</v>
      </c>
      <c r="I590" s="3" t="s">
        <v>33</v>
      </c>
      <c r="J590" s="5">
        <v>13148908000</v>
      </c>
      <c r="K590" s="3">
        <v>600001</v>
      </c>
      <c r="L590" s="3" t="s">
        <v>2644</v>
      </c>
      <c r="M590" s="3" t="s">
        <v>2071</v>
      </c>
      <c r="N590" s="3">
        <v>3434</v>
      </c>
      <c r="O590" s="3" t="s">
        <v>2647</v>
      </c>
      <c r="P590" s="3" t="s">
        <v>252</v>
      </c>
      <c r="Q590" s="3" t="s">
        <v>253</v>
      </c>
      <c r="R590" s="3" t="s">
        <v>78</v>
      </c>
      <c r="S590" s="3">
        <v>22640102</v>
      </c>
      <c r="T590" s="3">
        <v>2121272505</v>
      </c>
      <c r="U590" s="3" t="s">
        <v>29</v>
      </c>
    </row>
    <row r="591" spans="1:21" ht="13.2" x14ac:dyDescent="0.25">
      <c r="A591" s="14">
        <v>38543182000110</v>
      </c>
      <c r="B591" s="15" t="str">
        <f t="shared" si="9"/>
        <v>38.543.182/0001-10</v>
      </c>
      <c r="C591" s="12"/>
      <c r="D591" s="3" t="s">
        <v>2648</v>
      </c>
      <c r="E591" s="3" t="s">
        <v>2649</v>
      </c>
      <c r="F591" s="3" t="s">
        <v>20</v>
      </c>
      <c r="G591" s="4">
        <v>44092</v>
      </c>
      <c r="H591" s="3" t="s">
        <v>21</v>
      </c>
      <c r="I591" s="3" t="s">
        <v>47</v>
      </c>
      <c r="J591" s="5">
        <v>110000</v>
      </c>
      <c r="K591" s="3">
        <v>4689399</v>
      </c>
      <c r="L591" s="3" t="s">
        <v>783</v>
      </c>
      <c r="M591" s="3" t="s">
        <v>2650</v>
      </c>
      <c r="N591" s="3">
        <v>2572</v>
      </c>
      <c r="P591" s="3" t="s">
        <v>2651</v>
      </c>
      <c r="Q591" s="3" t="s">
        <v>2203</v>
      </c>
      <c r="R591" s="3" t="s">
        <v>28</v>
      </c>
      <c r="S591" s="3">
        <v>8690010</v>
      </c>
      <c r="T591" s="3">
        <v>1129229730</v>
      </c>
      <c r="U591" s="3" t="s">
        <v>29</v>
      </c>
    </row>
    <row r="592" spans="1:21" ht="13.2" x14ac:dyDescent="0.25">
      <c r="A592" s="14">
        <v>42941690000123</v>
      </c>
      <c r="B592" s="15" t="str">
        <f t="shared" si="9"/>
        <v>42.941.690/0001-23</v>
      </c>
      <c r="C592" s="12"/>
      <c r="D592" s="3" t="s">
        <v>2652</v>
      </c>
      <c r="E592" s="3" t="s">
        <v>2653</v>
      </c>
      <c r="F592" s="3" t="s">
        <v>20</v>
      </c>
      <c r="G592" s="4">
        <v>33872</v>
      </c>
      <c r="H592" s="3" t="s">
        <v>21</v>
      </c>
      <c r="I592" s="3" t="s">
        <v>47</v>
      </c>
      <c r="J592" s="5">
        <v>350000</v>
      </c>
      <c r="K592" s="3">
        <v>3299003</v>
      </c>
      <c r="L592" s="3" t="s">
        <v>2654</v>
      </c>
      <c r="M592" s="3" t="s">
        <v>2655</v>
      </c>
      <c r="N592" s="3">
        <v>1663</v>
      </c>
      <c r="P592" s="3" t="s">
        <v>1648</v>
      </c>
      <c r="Q592" s="3" t="s">
        <v>476</v>
      </c>
      <c r="R592" s="3" t="s">
        <v>100</v>
      </c>
      <c r="S592" s="3">
        <v>31255190</v>
      </c>
      <c r="T592" s="3">
        <v>3132922008</v>
      </c>
      <c r="U592" s="3" t="s">
        <v>29</v>
      </c>
    </row>
    <row r="593" spans="1:21" ht="13.2" x14ac:dyDescent="0.25">
      <c r="A593" s="14">
        <v>19324043000150</v>
      </c>
      <c r="B593" s="15" t="str">
        <f t="shared" si="9"/>
        <v>19.324.043/0001-50</v>
      </c>
      <c r="C593" s="12" t="str">
        <f>VLOOKUP(B593,[1]Planilha1!$A:$B,2,0)</f>
        <v>Malu Montesino</v>
      </c>
      <c r="D593" s="3" t="s">
        <v>2656</v>
      </c>
      <c r="E593" s="3" t="s">
        <v>2656</v>
      </c>
      <c r="F593" s="3" t="s">
        <v>20</v>
      </c>
      <c r="G593" s="4">
        <v>41605</v>
      </c>
      <c r="H593" s="3" t="s">
        <v>21</v>
      </c>
      <c r="I593" s="3" t="s">
        <v>33</v>
      </c>
      <c r="J593" s="5">
        <v>8588896</v>
      </c>
      <c r="K593" s="3">
        <v>4211101</v>
      </c>
      <c r="L593" s="3" t="s">
        <v>313</v>
      </c>
      <c r="M593" s="3" t="s">
        <v>2657</v>
      </c>
      <c r="N593" s="3">
        <v>208</v>
      </c>
      <c r="O593" s="3" t="s">
        <v>2658</v>
      </c>
      <c r="P593" s="3" t="s">
        <v>2659</v>
      </c>
      <c r="Q593" s="3" t="s">
        <v>2365</v>
      </c>
      <c r="R593" s="3" t="s">
        <v>28</v>
      </c>
      <c r="S593" s="3">
        <v>7776430</v>
      </c>
      <c r="T593" s="3">
        <v>1158169951</v>
      </c>
      <c r="U593" s="3" t="s">
        <v>29</v>
      </c>
    </row>
    <row r="594" spans="1:21" ht="13.2" x14ac:dyDescent="0.25">
      <c r="A594" s="14">
        <v>5620160000157</v>
      </c>
      <c r="B594" s="15" t="str">
        <f t="shared" si="9"/>
        <v>05.620.160/0001-57</v>
      </c>
      <c r="C594" s="12"/>
      <c r="D594" s="3" t="s">
        <v>2660</v>
      </c>
      <c r="E594" s="3" t="s">
        <v>2660</v>
      </c>
      <c r="F594" s="3" t="s">
        <v>20</v>
      </c>
      <c r="G594" s="4">
        <v>37711</v>
      </c>
      <c r="H594" s="3" t="s">
        <v>21</v>
      </c>
      <c r="I594" s="3" t="s">
        <v>33</v>
      </c>
      <c r="J594" s="5">
        <v>800000</v>
      </c>
      <c r="K594" s="3">
        <v>6209100</v>
      </c>
      <c r="L594" s="3" t="s">
        <v>303</v>
      </c>
      <c r="M594" s="3" t="s">
        <v>2661</v>
      </c>
      <c r="N594" s="7">
        <v>1341</v>
      </c>
      <c r="O594" s="3" t="s">
        <v>2662</v>
      </c>
      <c r="P594" s="3" t="s">
        <v>616</v>
      </c>
      <c r="Q594" s="3" t="s">
        <v>617</v>
      </c>
      <c r="R594" s="3" t="s">
        <v>28</v>
      </c>
      <c r="S594" s="3">
        <v>6460030</v>
      </c>
      <c r="T594" s="3">
        <v>1155832422</v>
      </c>
      <c r="U594" s="3" t="s">
        <v>29</v>
      </c>
    </row>
    <row r="595" spans="1:21" ht="13.2" x14ac:dyDescent="0.25">
      <c r="A595" s="14">
        <v>24939626000126</v>
      </c>
      <c r="B595" s="15" t="str">
        <f t="shared" si="9"/>
        <v>24.939.626/0001-26</v>
      </c>
      <c r="C595" s="12"/>
      <c r="D595" s="3" t="s">
        <v>2663</v>
      </c>
      <c r="E595" s="3" t="s">
        <v>2664</v>
      </c>
      <c r="F595" s="3" t="s">
        <v>20</v>
      </c>
      <c r="G595" s="4">
        <v>42527</v>
      </c>
      <c r="H595" s="3" t="s">
        <v>21</v>
      </c>
      <c r="I595" s="3" t="s">
        <v>22</v>
      </c>
      <c r="J595" s="5">
        <v>600000</v>
      </c>
      <c r="K595" s="3">
        <v>4742300</v>
      </c>
      <c r="L595" s="3" t="s">
        <v>1152</v>
      </c>
      <c r="M595" s="3" t="s">
        <v>2665</v>
      </c>
      <c r="N595" s="3">
        <v>179</v>
      </c>
      <c r="P595" s="3" t="s">
        <v>2666</v>
      </c>
      <c r="Q595" s="3" t="s">
        <v>476</v>
      </c>
      <c r="R595" s="3" t="s">
        <v>100</v>
      </c>
      <c r="S595" s="3">
        <v>31920020</v>
      </c>
      <c r="T595" s="3">
        <v>3192529364</v>
      </c>
      <c r="U595" s="3" t="s">
        <v>29</v>
      </c>
    </row>
    <row r="596" spans="1:21" ht="13.2" x14ac:dyDescent="0.25">
      <c r="A596" s="14">
        <v>21438123000189</v>
      </c>
      <c r="B596" s="15" t="str">
        <f t="shared" si="9"/>
        <v>21.438.123/0001-89</v>
      </c>
      <c r="C596" s="12"/>
      <c r="D596" s="3" t="s">
        <v>2667</v>
      </c>
      <c r="E596" s="3" t="s">
        <v>2668</v>
      </c>
      <c r="F596" s="3" t="s">
        <v>20</v>
      </c>
      <c r="G596" s="4">
        <v>41962</v>
      </c>
      <c r="H596" s="3" t="s">
        <v>21</v>
      </c>
      <c r="I596" s="3" t="s">
        <v>22</v>
      </c>
      <c r="J596" s="5">
        <v>100000</v>
      </c>
      <c r="K596" s="3">
        <v>4644301</v>
      </c>
      <c r="L596" s="3" t="s">
        <v>326</v>
      </c>
      <c r="M596" s="3" t="s">
        <v>2669</v>
      </c>
      <c r="N596" s="3">
        <v>574</v>
      </c>
      <c r="O596" s="3" t="s">
        <v>1499</v>
      </c>
      <c r="P596" s="3" t="s">
        <v>2670</v>
      </c>
      <c r="Q596" s="3" t="s">
        <v>2671</v>
      </c>
      <c r="R596" s="3" t="s">
        <v>53</v>
      </c>
      <c r="S596" s="3">
        <v>95960000</v>
      </c>
      <c r="T596" s="3">
        <v>5137513149</v>
      </c>
      <c r="U596" s="3" t="s">
        <v>29</v>
      </c>
    </row>
    <row r="597" spans="1:21" ht="13.2" x14ac:dyDescent="0.25">
      <c r="A597" s="14">
        <v>9304439000182</v>
      </c>
      <c r="B597" s="15" t="str">
        <f t="shared" si="9"/>
        <v>09.304.439/0001-82</v>
      </c>
      <c r="C597" s="12"/>
      <c r="D597" s="3" t="s">
        <v>2672</v>
      </c>
      <c r="E597" s="3" t="s">
        <v>2672</v>
      </c>
      <c r="F597" s="3" t="s">
        <v>20</v>
      </c>
      <c r="G597" s="4">
        <v>39415</v>
      </c>
      <c r="H597" s="3" t="s">
        <v>21</v>
      </c>
      <c r="I597" s="3" t="s">
        <v>47</v>
      </c>
      <c r="J597" s="5">
        <v>150000</v>
      </c>
      <c r="K597" s="3">
        <v>8230001</v>
      </c>
      <c r="L597" s="3" t="s">
        <v>2141</v>
      </c>
      <c r="M597" s="3" t="s">
        <v>2673</v>
      </c>
      <c r="N597" s="3">
        <v>1468</v>
      </c>
      <c r="P597" s="3" t="s">
        <v>589</v>
      </c>
      <c r="Q597" s="3" t="s">
        <v>27</v>
      </c>
      <c r="R597" s="3" t="s">
        <v>28</v>
      </c>
      <c r="S597" s="3">
        <v>1245000</v>
      </c>
      <c r="T597" s="3">
        <v>1122937774</v>
      </c>
      <c r="U597" s="3" t="s">
        <v>29</v>
      </c>
    </row>
    <row r="598" spans="1:21" ht="13.2" x14ac:dyDescent="0.25">
      <c r="A598" s="14">
        <v>22061858000107</v>
      </c>
      <c r="B598" s="15" t="str">
        <f t="shared" si="9"/>
        <v>22.061.858/0001-07</v>
      </c>
      <c r="C598" s="12"/>
      <c r="D598" s="3" t="s">
        <v>2674</v>
      </c>
      <c r="E598" s="3" t="s">
        <v>2675</v>
      </c>
      <c r="F598" s="3" t="s">
        <v>20</v>
      </c>
      <c r="G598" s="4">
        <v>42080</v>
      </c>
      <c r="H598" s="3" t="s">
        <v>21</v>
      </c>
      <c r="I598" s="3" t="s">
        <v>47</v>
      </c>
      <c r="J598" s="5">
        <v>20000</v>
      </c>
      <c r="K598" s="3">
        <v>8211300</v>
      </c>
      <c r="L598" s="3" t="s">
        <v>166</v>
      </c>
      <c r="M598" s="3" t="s">
        <v>2427</v>
      </c>
      <c r="N598" s="3">
        <v>16</v>
      </c>
      <c r="O598" s="3" t="s">
        <v>2676</v>
      </c>
      <c r="P598" s="3" t="s">
        <v>2677</v>
      </c>
      <c r="Q598" s="3" t="s">
        <v>357</v>
      </c>
      <c r="R598" s="3" t="s">
        <v>28</v>
      </c>
      <c r="S598" s="3">
        <v>7091030</v>
      </c>
      <c r="T598" s="3">
        <v>1143861386</v>
      </c>
      <c r="U598" s="3" t="s">
        <v>29</v>
      </c>
    </row>
    <row r="599" spans="1:21" ht="13.2" x14ac:dyDescent="0.25">
      <c r="A599" s="14">
        <v>25037388000126</v>
      </c>
      <c r="B599" s="15" t="str">
        <f t="shared" si="9"/>
        <v>25.037.388/0001-26</v>
      </c>
      <c r="C599" s="12"/>
      <c r="D599" s="3" t="s">
        <v>2678</v>
      </c>
      <c r="E599" s="3" t="s">
        <v>2679</v>
      </c>
      <c r="F599" s="3" t="s">
        <v>20</v>
      </c>
      <c r="G599" s="4">
        <v>42541</v>
      </c>
      <c r="H599" s="3" t="s">
        <v>21</v>
      </c>
      <c r="I599" s="3" t="s">
        <v>22</v>
      </c>
      <c r="J599" s="5">
        <v>20000</v>
      </c>
      <c r="K599" s="3">
        <v>4757100</v>
      </c>
      <c r="L599" s="3" t="s">
        <v>1833</v>
      </c>
      <c r="M599" s="3" t="s">
        <v>2680</v>
      </c>
      <c r="N599" s="3">
        <v>1052</v>
      </c>
      <c r="P599" s="3" t="s">
        <v>2681</v>
      </c>
      <c r="Q599" s="3" t="s">
        <v>471</v>
      </c>
      <c r="R599" s="3" t="s">
        <v>28</v>
      </c>
      <c r="S599" s="3">
        <v>9540280</v>
      </c>
      <c r="T599" s="3">
        <v>1140220161</v>
      </c>
      <c r="U599" s="3" t="s">
        <v>29</v>
      </c>
    </row>
    <row r="600" spans="1:21" ht="13.2" x14ac:dyDescent="0.25">
      <c r="A600" s="14">
        <v>53943098000187</v>
      </c>
      <c r="B600" s="15" t="str">
        <f t="shared" si="9"/>
        <v>53.943.098/0001-87</v>
      </c>
      <c r="C600" s="12"/>
      <c r="D600" s="3" t="s">
        <v>2682</v>
      </c>
      <c r="E600" s="3" t="s">
        <v>2682</v>
      </c>
      <c r="F600" s="3" t="s">
        <v>20</v>
      </c>
      <c r="G600" s="4">
        <v>30998</v>
      </c>
      <c r="H600" s="3" t="s">
        <v>21</v>
      </c>
      <c r="I600" s="3" t="s">
        <v>33</v>
      </c>
      <c r="J600" s="5">
        <v>2878296600</v>
      </c>
      <c r="K600" s="3">
        <v>1710900</v>
      </c>
      <c r="L600" s="3" t="s">
        <v>2683</v>
      </c>
      <c r="M600" s="3" t="s">
        <v>2684</v>
      </c>
      <c r="N600" s="3" t="s">
        <v>82</v>
      </c>
      <c r="O600" s="3" t="s">
        <v>2685</v>
      </c>
      <c r="P600" s="3" t="s">
        <v>2686</v>
      </c>
      <c r="Q600" s="3" t="s">
        <v>2687</v>
      </c>
      <c r="R600" s="3" t="s">
        <v>28</v>
      </c>
      <c r="S600" s="3">
        <v>18685745</v>
      </c>
      <c r="T600" s="3">
        <v>1432695100</v>
      </c>
      <c r="U600" s="3" t="s">
        <v>29</v>
      </c>
    </row>
    <row r="601" spans="1:21" ht="13.2" x14ac:dyDescent="0.25">
      <c r="A601" s="14">
        <v>3117534000190</v>
      </c>
      <c r="B601" s="15" t="str">
        <f t="shared" si="9"/>
        <v>03.117.534/0001-90</v>
      </c>
      <c r="C601" s="12" t="str">
        <f>VLOOKUP(B601,[1]Planilha1!$A:$B,2,0)</f>
        <v>Malu Montesino</v>
      </c>
      <c r="D601" s="3" t="s">
        <v>2688</v>
      </c>
      <c r="E601" s="3" t="s">
        <v>2689</v>
      </c>
      <c r="F601" s="3" t="s">
        <v>20</v>
      </c>
      <c r="G601" s="4">
        <v>36270</v>
      </c>
      <c r="H601" s="3" t="s">
        <v>21</v>
      </c>
      <c r="I601" s="3" t="s">
        <v>33</v>
      </c>
      <c r="J601" s="5">
        <v>4015300</v>
      </c>
      <c r="K601" s="3">
        <v>7733100</v>
      </c>
      <c r="L601" s="3" t="s">
        <v>2690</v>
      </c>
      <c r="M601" s="3" t="s">
        <v>2691</v>
      </c>
      <c r="N601" s="3">
        <v>38</v>
      </c>
      <c r="P601" s="3" t="s">
        <v>70</v>
      </c>
      <c r="Q601" s="3" t="s">
        <v>1640</v>
      </c>
      <c r="R601" s="3" t="s">
        <v>78</v>
      </c>
      <c r="S601" s="3">
        <v>24030055</v>
      </c>
      <c r="T601" s="3">
        <v>2126207472</v>
      </c>
      <c r="U601" s="3" t="s">
        <v>29</v>
      </c>
    </row>
    <row r="602" spans="1:21" ht="13.2" x14ac:dyDescent="0.25">
      <c r="A602" s="14">
        <v>2981566000177</v>
      </c>
      <c r="B602" s="15" t="str">
        <f t="shared" si="9"/>
        <v>02.981.566/0001-77</v>
      </c>
      <c r="C602" s="12"/>
      <c r="D602" s="3" t="s">
        <v>2692</v>
      </c>
      <c r="E602" s="3" t="s">
        <v>2692</v>
      </c>
      <c r="F602" s="3" t="s">
        <v>20</v>
      </c>
      <c r="G602" s="4">
        <v>36193</v>
      </c>
      <c r="H602" s="3" t="s">
        <v>21</v>
      </c>
      <c r="I602" s="3" t="s">
        <v>33</v>
      </c>
      <c r="J602" s="5">
        <v>6399000</v>
      </c>
      <c r="K602" s="3">
        <v>4618499</v>
      </c>
      <c r="L602" s="3" t="s">
        <v>2693</v>
      </c>
      <c r="M602" s="3" t="s">
        <v>2694</v>
      </c>
      <c r="N602" s="3">
        <v>2071</v>
      </c>
      <c r="O602" s="3" t="s">
        <v>2695</v>
      </c>
      <c r="P602" s="3" t="s">
        <v>461</v>
      </c>
      <c r="Q602" s="3" t="s">
        <v>27</v>
      </c>
      <c r="R602" s="3" t="s">
        <v>28</v>
      </c>
      <c r="S602" s="3">
        <v>1227200</v>
      </c>
      <c r="T602" s="3">
        <v>1133553370</v>
      </c>
      <c r="U602" s="3" t="s">
        <v>29</v>
      </c>
    </row>
    <row r="603" spans="1:21" ht="13.2" x14ac:dyDescent="0.25">
      <c r="A603" s="14">
        <v>1085207000179</v>
      </c>
      <c r="B603" s="15" t="str">
        <f t="shared" si="9"/>
        <v>01.085.207/0001-79</v>
      </c>
      <c r="C603" s="12" t="str">
        <f>VLOOKUP(B603,[1]Planilha1!$A:$B,2,0)</f>
        <v>Juliano Montesino Caldeira</v>
      </c>
      <c r="D603" s="3" t="s">
        <v>2696</v>
      </c>
      <c r="E603" s="3" t="s">
        <v>2697</v>
      </c>
      <c r="F603" s="3" t="s">
        <v>20</v>
      </c>
      <c r="G603" s="4">
        <v>35136</v>
      </c>
      <c r="H603" s="3" t="s">
        <v>21</v>
      </c>
      <c r="I603" s="3" t="s">
        <v>33</v>
      </c>
      <c r="J603" s="5">
        <v>60000</v>
      </c>
      <c r="K603" s="3">
        <v>4645101</v>
      </c>
      <c r="L603" s="3" t="s">
        <v>135</v>
      </c>
      <c r="M603" s="3" t="s">
        <v>2698</v>
      </c>
      <c r="N603" s="3">
        <v>60</v>
      </c>
      <c r="P603" s="3" t="s">
        <v>2699</v>
      </c>
      <c r="Q603" s="3" t="s">
        <v>631</v>
      </c>
      <c r="R603" s="3" t="s">
        <v>632</v>
      </c>
      <c r="S603" s="3">
        <v>70632310</v>
      </c>
      <c r="T603" s="3">
        <v>6133497006</v>
      </c>
      <c r="U603" s="3" t="s">
        <v>29</v>
      </c>
    </row>
    <row r="604" spans="1:21" ht="13.2" x14ac:dyDescent="0.25">
      <c r="A604" s="14">
        <v>3626459000193</v>
      </c>
      <c r="B604" s="15" t="str">
        <f t="shared" si="9"/>
        <v>03.626.459/0001-93</v>
      </c>
      <c r="C604" s="12"/>
      <c r="D604" s="3" t="s">
        <v>2700</v>
      </c>
      <c r="E604" s="3" t="s">
        <v>2701</v>
      </c>
      <c r="F604" s="3" t="s">
        <v>20</v>
      </c>
      <c r="G604" s="4">
        <v>36546</v>
      </c>
      <c r="H604" s="3" t="s">
        <v>21</v>
      </c>
      <c r="I604" s="3" t="s">
        <v>33</v>
      </c>
      <c r="J604" s="5">
        <v>2000000</v>
      </c>
      <c r="K604" s="3">
        <v>2229399</v>
      </c>
      <c r="L604" s="3" t="s">
        <v>414</v>
      </c>
      <c r="M604" s="3" t="s">
        <v>2702</v>
      </c>
      <c r="N604" s="7">
        <v>1007</v>
      </c>
      <c r="P604" s="3" t="s">
        <v>2703</v>
      </c>
      <c r="Q604" s="3" t="s">
        <v>27</v>
      </c>
      <c r="R604" s="3" t="s">
        <v>28</v>
      </c>
      <c r="S604" s="3">
        <v>8265380</v>
      </c>
      <c r="T604" s="3">
        <v>1133850073</v>
      </c>
      <c r="U604" s="3" t="s">
        <v>29</v>
      </c>
    </row>
    <row r="605" spans="1:21" ht="13.2" x14ac:dyDescent="0.25">
      <c r="A605" s="14">
        <v>2526146000109</v>
      </c>
      <c r="B605" s="15" t="str">
        <f t="shared" si="9"/>
        <v>02.526.146/0001-09</v>
      </c>
      <c r="C605" s="12" t="str">
        <f>VLOOKUP(B605,[1]Planilha1!$A:$B,2,0)</f>
        <v>Malu Montesino</v>
      </c>
      <c r="D605" s="3" t="s">
        <v>2704</v>
      </c>
      <c r="E605" s="3" t="s">
        <v>2704</v>
      </c>
      <c r="F605" s="3" t="s">
        <v>20</v>
      </c>
      <c r="G605" s="4">
        <v>35832</v>
      </c>
      <c r="H605" s="3" t="s">
        <v>21</v>
      </c>
      <c r="I605" s="3" t="s">
        <v>33</v>
      </c>
      <c r="J605" s="5">
        <v>122368490</v>
      </c>
      <c r="K605" s="3">
        <v>4661300</v>
      </c>
      <c r="L605" s="3" t="s">
        <v>595</v>
      </c>
      <c r="M605" s="3" t="s">
        <v>2705</v>
      </c>
      <c r="N605" s="3">
        <v>153</v>
      </c>
      <c r="O605" s="3" t="s">
        <v>2706</v>
      </c>
      <c r="P605" s="3" t="s">
        <v>2707</v>
      </c>
      <c r="Q605" s="3" t="s">
        <v>2005</v>
      </c>
      <c r="R605" s="3" t="s">
        <v>187</v>
      </c>
      <c r="S605" s="3">
        <v>83705190</v>
      </c>
      <c r="T605" s="3">
        <v>4132114555</v>
      </c>
      <c r="U605" s="3" t="s">
        <v>29</v>
      </c>
    </row>
    <row r="606" spans="1:21" ht="13.2" x14ac:dyDescent="0.25">
      <c r="A606" s="14">
        <v>62707054000149</v>
      </c>
      <c r="B606" s="15" t="str">
        <f t="shared" si="9"/>
        <v>62.707.054/0001-49</v>
      </c>
      <c r="C606" s="12"/>
      <c r="D606" s="3" t="s">
        <v>2708</v>
      </c>
      <c r="E606" s="3" t="s">
        <v>2708</v>
      </c>
      <c r="F606" s="3" t="s">
        <v>20</v>
      </c>
      <c r="G606" s="4">
        <v>25594</v>
      </c>
      <c r="H606" s="3" t="s">
        <v>21</v>
      </c>
      <c r="I606" s="3" t="s">
        <v>33</v>
      </c>
      <c r="J606" s="5">
        <v>812754</v>
      </c>
      <c r="K606" s="3">
        <v>4689399</v>
      </c>
      <c r="L606" s="3" t="s">
        <v>783</v>
      </c>
      <c r="M606" s="3" t="s">
        <v>2709</v>
      </c>
      <c r="N606" s="3">
        <v>501</v>
      </c>
      <c r="P606" s="3" t="s">
        <v>137</v>
      </c>
      <c r="Q606" s="3" t="s">
        <v>27</v>
      </c>
      <c r="R606" s="3" t="s">
        <v>28</v>
      </c>
      <c r="S606" s="3">
        <v>5042000</v>
      </c>
      <c r="T606" s="3">
        <v>1138643955</v>
      </c>
      <c r="U606" s="3" t="s">
        <v>29</v>
      </c>
    </row>
    <row r="607" spans="1:21" ht="13.2" x14ac:dyDescent="0.25">
      <c r="A607" s="14">
        <v>60902939000173</v>
      </c>
      <c r="B607" s="15" t="str">
        <f t="shared" si="9"/>
        <v>60.902.939/0001-73</v>
      </c>
      <c r="C607" s="12" t="str">
        <f>VLOOKUP(B607,[1]Planilha1!$A:$B,2,0)</f>
        <v>Malu Montesino</v>
      </c>
      <c r="D607" s="3" t="s">
        <v>2710</v>
      </c>
      <c r="E607" s="3" t="s">
        <v>2710</v>
      </c>
      <c r="F607" s="3" t="s">
        <v>20</v>
      </c>
      <c r="G607" s="4">
        <v>24400</v>
      </c>
      <c r="H607" s="3" t="s">
        <v>21</v>
      </c>
      <c r="I607" s="3" t="s">
        <v>33</v>
      </c>
      <c r="J607" s="5">
        <v>8003501</v>
      </c>
      <c r="K607" s="3">
        <v>8121400</v>
      </c>
      <c r="L607" s="3" t="s">
        <v>494</v>
      </c>
      <c r="M607" s="3" t="s">
        <v>2711</v>
      </c>
      <c r="N607" s="3">
        <v>701</v>
      </c>
      <c r="O607" s="3" t="s">
        <v>2712</v>
      </c>
      <c r="P607" s="3" t="s">
        <v>1492</v>
      </c>
      <c r="Q607" s="3" t="s">
        <v>27</v>
      </c>
      <c r="R607" s="3" t="s">
        <v>28</v>
      </c>
      <c r="S607" s="3">
        <v>5065110</v>
      </c>
      <c r="T607" s="3">
        <v>1128795557</v>
      </c>
      <c r="U607" s="3" t="s">
        <v>29</v>
      </c>
    </row>
    <row r="608" spans="1:21" ht="13.2" x14ac:dyDescent="0.25">
      <c r="A608" s="14">
        <v>31422025000107</v>
      </c>
      <c r="B608" s="15" t="str">
        <f t="shared" si="9"/>
        <v>31.422.025/0001-07</v>
      </c>
      <c r="C608" s="12"/>
      <c r="D608" s="3" t="s">
        <v>2713</v>
      </c>
      <c r="E608" s="3" t="s">
        <v>2713</v>
      </c>
      <c r="F608" s="3" t="s">
        <v>20</v>
      </c>
      <c r="G608" s="4">
        <v>31925</v>
      </c>
      <c r="H608" s="3" t="s">
        <v>94</v>
      </c>
      <c r="I608" s="3" t="s">
        <v>33</v>
      </c>
      <c r="J608" s="5">
        <v>811978240</v>
      </c>
      <c r="K608" s="3">
        <v>6810202</v>
      </c>
      <c r="L608" s="3" t="s">
        <v>2714</v>
      </c>
      <c r="M608" s="3" t="s">
        <v>2715</v>
      </c>
      <c r="N608" s="3">
        <v>200</v>
      </c>
      <c r="O608" s="3" t="s">
        <v>2716</v>
      </c>
      <c r="P608" s="3" t="s">
        <v>2596</v>
      </c>
      <c r="Q608" s="3" t="s">
        <v>27</v>
      </c>
      <c r="R608" s="3" t="s">
        <v>28</v>
      </c>
      <c r="S608" s="3">
        <v>1455070</v>
      </c>
      <c r="T608" s="3">
        <v>1131376801</v>
      </c>
      <c r="U608" s="3" t="s">
        <v>29</v>
      </c>
    </row>
    <row r="609" spans="1:21" ht="13.2" x14ac:dyDescent="0.25">
      <c r="A609" s="14">
        <v>68149228000181</v>
      </c>
      <c r="B609" s="15" t="str">
        <f t="shared" si="9"/>
        <v>68.149.228/0001-81</v>
      </c>
      <c r="C609" s="12"/>
      <c r="D609" s="3" t="s">
        <v>2717</v>
      </c>
      <c r="E609" s="3" t="s">
        <v>2718</v>
      </c>
      <c r="F609" s="3" t="s">
        <v>20</v>
      </c>
      <c r="G609" s="4">
        <v>33771</v>
      </c>
      <c r="H609" s="3" t="s">
        <v>21</v>
      </c>
      <c r="I609" s="3" t="s">
        <v>33</v>
      </c>
      <c r="J609" s="5">
        <v>3335000</v>
      </c>
      <c r="K609" s="3">
        <v>2733300</v>
      </c>
      <c r="L609" s="3" t="s">
        <v>2719</v>
      </c>
      <c r="M609" s="3" t="s">
        <v>518</v>
      </c>
      <c r="N609" s="3">
        <v>3464</v>
      </c>
      <c r="P609" s="3" t="s">
        <v>2720</v>
      </c>
      <c r="Q609" s="3" t="s">
        <v>2721</v>
      </c>
      <c r="R609" s="3" t="s">
        <v>28</v>
      </c>
      <c r="S609" s="3">
        <v>13505600</v>
      </c>
      <c r="T609" s="3">
        <v>1935225122</v>
      </c>
      <c r="U609" s="3" t="s">
        <v>29</v>
      </c>
    </row>
    <row r="610" spans="1:21" ht="13.2" x14ac:dyDescent="0.25">
      <c r="A610" s="14">
        <v>4236036000120</v>
      </c>
      <c r="B610" s="15" t="str">
        <f t="shared" si="9"/>
        <v>04.236.036/0001-20</v>
      </c>
      <c r="C610" s="12"/>
      <c r="D610" s="3" t="s">
        <v>2722</v>
      </c>
      <c r="E610" s="3" t="s">
        <v>2722</v>
      </c>
      <c r="F610" s="3" t="s">
        <v>20</v>
      </c>
      <c r="G610" s="4">
        <v>36873</v>
      </c>
      <c r="H610" s="3" t="s">
        <v>21</v>
      </c>
      <c r="I610" s="3" t="s">
        <v>33</v>
      </c>
      <c r="J610" s="5">
        <v>213700</v>
      </c>
      <c r="K610" s="3">
        <v>3292202</v>
      </c>
      <c r="L610" s="3" t="s">
        <v>1654</v>
      </c>
      <c r="M610" s="3" t="s">
        <v>2723</v>
      </c>
      <c r="N610" s="3">
        <v>543</v>
      </c>
      <c r="O610" s="3" t="s">
        <v>2724</v>
      </c>
      <c r="P610" s="3" t="s">
        <v>2725</v>
      </c>
      <c r="Q610" s="3" t="s">
        <v>2726</v>
      </c>
      <c r="R610" s="3" t="s">
        <v>100</v>
      </c>
      <c r="S610" s="3">
        <v>37538046</v>
      </c>
      <c r="T610" s="3">
        <v>3534712095</v>
      </c>
      <c r="U610" s="3" t="s">
        <v>29</v>
      </c>
    </row>
    <row r="611" spans="1:21" ht="13.2" x14ac:dyDescent="0.25">
      <c r="A611" s="14">
        <v>88616511000183</v>
      </c>
      <c r="B611" s="15" t="str">
        <f t="shared" si="9"/>
        <v>88.616.511/0001-83</v>
      </c>
      <c r="C611" s="12"/>
      <c r="D611" s="3" t="s">
        <v>2727</v>
      </c>
      <c r="E611" s="3" t="s">
        <v>2727</v>
      </c>
      <c r="F611" s="3" t="s">
        <v>20</v>
      </c>
      <c r="G611" s="4">
        <v>24341</v>
      </c>
      <c r="H611" s="3" t="s">
        <v>94</v>
      </c>
      <c r="I611" s="3" t="s">
        <v>33</v>
      </c>
      <c r="J611" s="5">
        <v>87000000</v>
      </c>
      <c r="K611" s="3">
        <v>4511104</v>
      </c>
      <c r="L611" s="3" t="s">
        <v>2728</v>
      </c>
      <c r="M611" s="3" t="s">
        <v>2729</v>
      </c>
      <c r="N611" s="3">
        <v>34575</v>
      </c>
      <c r="O611" s="3" t="s">
        <v>2730</v>
      </c>
      <c r="P611" s="3" t="s">
        <v>2731</v>
      </c>
      <c r="Q611" s="3" t="s">
        <v>730</v>
      </c>
      <c r="R611" s="3" t="s">
        <v>53</v>
      </c>
      <c r="S611" s="3">
        <v>95032898</v>
      </c>
      <c r="T611" s="3">
        <v>5432380900</v>
      </c>
      <c r="U611" s="3" t="s">
        <v>29</v>
      </c>
    </row>
    <row r="612" spans="1:21" ht="13.2" x14ac:dyDescent="0.25">
      <c r="A612" s="14">
        <v>489846000137</v>
      </c>
      <c r="B612" s="15" t="str">
        <f t="shared" si="9"/>
        <v>00.489.846/0001-37</v>
      </c>
      <c r="C612" s="12" t="str">
        <f>VLOOKUP(B612,[1]Planilha1!$A:$B,2,0)</f>
        <v>Malu Montesino</v>
      </c>
      <c r="D612" s="3" t="s">
        <v>2732</v>
      </c>
      <c r="E612" s="3" t="s">
        <v>2733</v>
      </c>
      <c r="F612" s="3" t="s">
        <v>20</v>
      </c>
      <c r="G612" s="4">
        <v>34772</v>
      </c>
      <c r="H612" s="3" t="s">
        <v>21</v>
      </c>
      <c r="I612" s="3" t="s">
        <v>47</v>
      </c>
      <c r="J612" s="5">
        <v>72400</v>
      </c>
      <c r="K612" s="3">
        <v>4789099</v>
      </c>
      <c r="L612" s="3" t="s">
        <v>774</v>
      </c>
      <c r="M612" s="3" t="s">
        <v>2734</v>
      </c>
      <c r="N612" s="3">
        <v>341</v>
      </c>
      <c r="P612" s="3" t="s">
        <v>2735</v>
      </c>
      <c r="Q612" s="3" t="s">
        <v>27</v>
      </c>
      <c r="R612" s="3" t="s">
        <v>28</v>
      </c>
      <c r="S612" s="3">
        <v>4760020</v>
      </c>
      <c r="T612" s="3">
        <v>1155479371</v>
      </c>
      <c r="U612" s="3" t="s">
        <v>29</v>
      </c>
    </row>
    <row r="613" spans="1:21" ht="13.2" x14ac:dyDescent="0.25">
      <c r="A613" s="14">
        <v>57443988000180</v>
      </c>
      <c r="B613" s="15" t="str">
        <f t="shared" si="9"/>
        <v>57.443.988/0001-80</v>
      </c>
      <c r="C613" s="12"/>
      <c r="D613" s="3" t="s">
        <v>2736</v>
      </c>
      <c r="E613" s="3" t="s">
        <v>2736</v>
      </c>
      <c r="F613" s="3" t="s">
        <v>20</v>
      </c>
      <c r="G613" s="4">
        <v>31915</v>
      </c>
      <c r="H613" s="3" t="s">
        <v>21</v>
      </c>
      <c r="I613" s="3" t="s">
        <v>33</v>
      </c>
      <c r="J613" s="5">
        <v>885004</v>
      </c>
      <c r="K613" s="3">
        <v>2542000</v>
      </c>
      <c r="L613" s="3" t="s">
        <v>2559</v>
      </c>
      <c r="M613" s="3" t="s">
        <v>2737</v>
      </c>
      <c r="N613" s="3">
        <v>732</v>
      </c>
      <c r="O613" s="3" t="s">
        <v>2738</v>
      </c>
      <c r="P613" s="3" t="s">
        <v>2739</v>
      </c>
      <c r="Q613" s="3" t="s">
        <v>27</v>
      </c>
      <c r="R613" s="3" t="s">
        <v>28</v>
      </c>
      <c r="S613" s="3">
        <v>3109000</v>
      </c>
      <c r="T613" s="3">
        <v>1122460200</v>
      </c>
      <c r="U613" s="3" t="s">
        <v>29</v>
      </c>
    </row>
    <row r="614" spans="1:21" ht="13.2" x14ac:dyDescent="0.25">
      <c r="A614" s="14">
        <v>36770857000138</v>
      </c>
      <c r="B614" s="15" t="str">
        <f t="shared" si="9"/>
        <v>36.770.857/0001-38</v>
      </c>
      <c r="C614" s="12"/>
      <c r="D614" s="3" t="s">
        <v>2740</v>
      </c>
      <c r="E614" s="3" t="s">
        <v>2740</v>
      </c>
      <c r="F614" s="3" t="s">
        <v>20</v>
      </c>
      <c r="G614" s="4">
        <v>33497</v>
      </c>
      <c r="H614" s="3" t="s">
        <v>21</v>
      </c>
      <c r="I614" s="3" t="s">
        <v>33</v>
      </c>
      <c r="J614" s="5">
        <v>700000</v>
      </c>
      <c r="K614" s="3">
        <v>8220200</v>
      </c>
      <c r="L614" s="3" t="s">
        <v>2741</v>
      </c>
      <c r="M614" s="3" t="s">
        <v>2742</v>
      </c>
      <c r="N614" s="3">
        <v>835</v>
      </c>
      <c r="O614" s="3" t="s">
        <v>2743</v>
      </c>
      <c r="P614" s="3" t="s">
        <v>2699</v>
      </c>
      <c r="Q614" s="3" t="s">
        <v>631</v>
      </c>
      <c r="R614" s="3" t="s">
        <v>632</v>
      </c>
      <c r="S614" s="3">
        <v>70632100</v>
      </c>
      <c r="T614" s="3">
        <v>6138783434</v>
      </c>
      <c r="U614" s="3" t="s">
        <v>29</v>
      </c>
    </row>
    <row r="615" spans="1:21" ht="13.2" x14ac:dyDescent="0.25">
      <c r="A615" s="14">
        <v>52226073000108</v>
      </c>
      <c r="B615" s="15" t="str">
        <f t="shared" si="9"/>
        <v>52.226.073/0001-08</v>
      </c>
      <c r="C615" s="12"/>
      <c r="D615" s="3" t="s">
        <v>2744</v>
      </c>
      <c r="E615" s="3" t="s">
        <v>2745</v>
      </c>
      <c r="F615" s="3" t="s">
        <v>20</v>
      </c>
      <c r="G615" s="4">
        <v>30343</v>
      </c>
      <c r="H615" s="3" t="s">
        <v>94</v>
      </c>
      <c r="I615" s="3" t="s">
        <v>33</v>
      </c>
      <c r="J615" s="5">
        <v>113932936</v>
      </c>
      <c r="K615" s="3">
        <v>4789099</v>
      </c>
      <c r="L615" s="3" t="s">
        <v>774</v>
      </c>
      <c r="M615" s="3" t="s">
        <v>2746</v>
      </c>
      <c r="N615" s="3">
        <v>171</v>
      </c>
      <c r="O615" s="3" t="s">
        <v>2747</v>
      </c>
      <c r="P615" s="3" t="s">
        <v>2748</v>
      </c>
      <c r="Q615" s="3" t="s">
        <v>476</v>
      </c>
      <c r="R615" s="3" t="s">
        <v>100</v>
      </c>
      <c r="S615" s="3">
        <v>30855070</v>
      </c>
      <c r="T615" s="3">
        <v>313297655</v>
      </c>
      <c r="U615" s="3" t="s">
        <v>29</v>
      </c>
    </row>
    <row r="616" spans="1:21" ht="13.2" x14ac:dyDescent="0.25">
      <c r="A616" s="14">
        <v>34680592000151</v>
      </c>
      <c r="B616" s="15" t="str">
        <f t="shared" si="9"/>
        <v>34.680.592/0001-51</v>
      </c>
      <c r="C616" s="12"/>
      <c r="D616" s="3" t="s">
        <v>2749</v>
      </c>
      <c r="E616" s="3" t="s">
        <v>2750</v>
      </c>
      <c r="F616" s="3" t="s">
        <v>20</v>
      </c>
      <c r="G616" s="4">
        <v>43704</v>
      </c>
      <c r="H616" s="3" t="s">
        <v>21</v>
      </c>
      <c r="I616" s="3" t="s">
        <v>22</v>
      </c>
      <c r="J616" s="5">
        <v>500000</v>
      </c>
      <c r="K616" s="3">
        <v>4645101</v>
      </c>
      <c r="L616" s="3" t="s">
        <v>135</v>
      </c>
      <c r="M616" s="3" t="s">
        <v>2751</v>
      </c>
      <c r="N616" s="3">
        <v>875</v>
      </c>
      <c r="O616" s="3" t="s">
        <v>2752</v>
      </c>
      <c r="P616" s="3" t="s">
        <v>2753</v>
      </c>
      <c r="Q616" s="3" t="s">
        <v>1317</v>
      </c>
      <c r="R616" s="3" t="s">
        <v>187</v>
      </c>
      <c r="S616" s="3">
        <v>83321020</v>
      </c>
      <c r="T616" s="3">
        <v>4136993278</v>
      </c>
      <c r="U616" s="3" t="s">
        <v>29</v>
      </c>
    </row>
    <row r="617" spans="1:21" ht="13.2" x14ac:dyDescent="0.25">
      <c r="A617" s="14">
        <v>11966640000177</v>
      </c>
      <c r="B617" s="15" t="str">
        <f t="shared" si="9"/>
        <v>11.966.640/0001-77</v>
      </c>
      <c r="C617" s="12"/>
      <c r="D617" s="3" t="s">
        <v>2754</v>
      </c>
      <c r="E617" s="3" t="s">
        <v>2755</v>
      </c>
      <c r="F617" s="3" t="s">
        <v>45</v>
      </c>
      <c r="G617" s="4">
        <v>40303</v>
      </c>
      <c r="H617" s="3" t="s">
        <v>21</v>
      </c>
      <c r="I617" s="3" t="s">
        <v>33</v>
      </c>
      <c r="J617" s="5">
        <v>122568970</v>
      </c>
      <c r="K617" s="3">
        <v>6110803</v>
      </c>
      <c r="L617" s="3" t="s">
        <v>339</v>
      </c>
      <c r="M617" s="3" t="s">
        <v>2756</v>
      </c>
      <c r="N617" s="3">
        <v>140</v>
      </c>
      <c r="O617" s="3" t="s">
        <v>2676</v>
      </c>
      <c r="P617" s="3" t="s">
        <v>2757</v>
      </c>
      <c r="Q617" s="3" t="s">
        <v>437</v>
      </c>
      <c r="R617" s="3" t="s">
        <v>53</v>
      </c>
      <c r="S617" s="3">
        <v>90220150</v>
      </c>
      <c r="T617" s="3">
        <v>5130225353</v>
      </c>
      <c r="U617" s="3" t="s">
        <v>29</v>
      </c>
    </row>
    <row r="618" spans="1:21" ht="13.2" x14ac:dyDescent="0.25">
      <c r="A618" s="14">
        <v>5290522000199</v>
      </c>
      <c r="B618" s="15" t="str">
        <f t="shared" si="9"/>
        <v>05.290.522/0001-99</v>
      </c>
      <c r="C618" s="12"/>
      <c r="D618" s="3" t="s">
        <v>2758</v>
      </c>
      <c r="E618" s="3" t="s">
        <v>2758</v>
      </c>
      <c r="F618" s="3" t="s">
        <v>20</v>
      </c>
      <c r="G618" s="4">
        <v>37518</v>
      </c>
      <c r="H618" s="3" t="s">
        <v>21</v>
      </c>
      <c r="I618" s="3" t="s">
        <v>33</v>
      </c>
      <c r="J618" s="5">
        <v>825500</v>
      </c>
      <c r="K618" s="3">
        <v>8011101</v>
      </c>
      <c r="L618" s="3" t="s">
        <v>943</v>
      </c>
      <c r="M618" s="3" t="s">
        <v>2759</v>
      </c>
      <c r="N618" s="3">
        <v>106</v>
      </c>
      <c r="P618" s="3" t="s">
        <v>2760</v>
      </c>
      <c r="Q618" s="3" t="s">
        <v>253</v>
      </c>
      <c r="R618" s="3" t="s">
        <v>78</v>
      </c>
      <c r="S618" s="3">
        <v>20510120</v>
      </c>
      <c r="T618" s="3">
        <v>2122580870</v>
      </c>
      <c r="U618" s="3" t="s">
        <v>29</v>
      </c>
    </row>
    <row r="619" spans="1:21" ht="13.2" x14ac:dyDescent="0.25">
      <c r="A619" s="14">
        <v>7039536000160</v>
      </c>
      <c r="B619" s="15" t="str">
        <f t="shared" si="9"/>
        <v>07.039.536/0001-60</v>
      </c>
      <c r="C619" s="12"/>
      <c r="D619" s="3" t="s">
        <v>2761</v>
      </c>
      <c r="E619" s="3" t="s">
        <v>2762</v>
      </c>
      <c r="F619" s="3" t="s">
        <v>20</v>
      </c>
      <c r="G619" s="4">
        <v>38279</v>
      </c>
      <c r="H619" s="3" t="s">
        <v>21</v>
      </c>
      <c r="I619" s="3" t="s">
        <v>47</v>
      </c>
      <c r="J619" s="5">
        <v>5000000</v>
      </c>
      <c r="K619" s="3">
        <v>7711000</v>
      </c>
      <c r="L619" s="3" t="s">
        <v>2763</v>
      </c>
      <c r="M619" s="3" t="s">
        <v>2764</v>
      </c>
      <c r="N619" s="3">
        <v>55</v>
      </c>
      <c r="O619" s="3" t="s">
        <v>2765</v>
      </c>
      <c r="P619" s="3" t="s">
        <v>2766</v>
      </c>
      <c r="Q619" s="3" t="s">
        <v>667</v>
      </c>
      <c r="R619" s="3" t="s">
        <v>301</v>
      </c>
      <c r="S619" s="3">
        <v>60192105</v>
      </c>
      <c r="T619" s="3">
        <v>8532640426</v>
      </c>
      <c r="U619" s="3" t="s">
        <v>29</v>
      </c>
    </row>
    <row r="620" spans="1:21" ht="13.2" x14ac:dyDescent="0.25">
      <c r="A620" s="14">
        <v>23809179000128</v>
      </c>
      <c r="B620" s="15" t="str">
        <f t="shared" si="9"/>
        <v>23.809.179/0001-28</v>
      </c>
      <c r="C620" s="12" t="str">
        <f>VLOOKUP(B620,[1]Planilha1!$A:$B,2,0)</f>
        <v>Malu Montesino</v>
      </c>
      <c r="D620" s="3" t="s">
        <v>2767</v>
      </c>
      <c r="E620" s="3" t="s">
        <v>2768</v>
      </c>
      <c r="F620" s="3" t="s">
        <v>20</v>
      </c>
      <c r="G620" s="4">
        <v>42345</v>
      </c>
      <c r="H620" s="3" t="s">
        <v>21</v>
      </c>
      <c r="I620" s="3" t="s">
        <v>33</v>
      </c>
      <c r="J620" s="5">
        <v>10000</v>
      </c>
      <c r="K620" s="3">
        <v>3314722</v>
      </c>
      <c r="L620" s="3" t="s">
        <v>2769</v>
      </c>
      <c r="M620" s="3" t="s">
        <v>2770</v>
      </c>
      <c r="N620" s="3">
        <v>120</v>
      </c>
      <c r="P620" s="3" t="s">
        <v>2771</v>
      </c>
      <c r="Q620" s="3" t="s">
        <v>393</v>
      </c>
      <c r="R620" s="3" t="s">
        <v>28</v>
      </c>
      <c r="S620" s="3">
        <v>13295638</v>
      </c>
      <c r="T620" s="3">
        <v>1181362197</v>
      </c>
      <c r="U620" s="3" t="s">
        <v>29</v>
      </c>
    </row>
    <row r="621" spans="1:21" ht="13.2" x14ac:dyDescent="0.25">
      <c r="A621" s="14">
        <v>28196889000143</v>
      </c>
      <c r="B621" s="15" t="str">
        <f t="shared" si="9"/>
        <v>28.196.889/0001-43</v>
      </c>
      <c r="C621" s="12" t="str">
        <f>VLOOKUP(B621,[1]Planilha1!$A:$B,2,0)</f>
        <v>Malu Montesino</v>
      </c>
      <c r="D621" s="3" t="s">
        <v>2772</v>
      </c>
      <c r="E621" s="3" t="s">
        <v>2773</v>
      </c>
      <c r="F621" s="3" t="s">
        <v>20</v>
      </c>
      <c r="G621" s="4">
        <v>30686</v>
      </c>
      <c r="H621" s="3" t="s">
        <v>94</v>
      </c>
      <c r="I621" s="3" t="s">
        <v>33</v>
      </c>
      <c r="J621" s="5">
        <v>655745300</v>
      </c>
      <c r="K621" s="3">
        <v>6511101</v>
      </c>
      <c r="L621" s="3" t="s">
        <v>1694</v>
      </c>
      <c r="M621" s="3" t="s">
        <v>308</v>
      </c>
      <c r="N621" s="3">
        <v>14261</v>
      </c>
      <c r="O621" s="3" t="s">
        <v>2774</v>
      </c>
      <c r="P621" s="3" t="s">
        <v>310</v>
      </c>
      <c r="Q621" s="3" t="s">
        <v>27</v>
      </c>
      <c r="R621" s="3" t="s">
        <v>28</v>
      </c>
      <c r="S621" s="3">
        <v>4794000</v>
      </c>
      <c r="T621" s="3">
        <v>1151112700</v>
      </c>
      <c r="U621" s="3" t="s">
        <v>29</v>
      </c>
    </row>
    <row r="622" spans="1:21" ht="13.2" x14ac:dyDescent="0.25">
      <c r="A622" s="14">
        <v>42150391000170</v>
      </c>
      <c r="B622" s="15" t="str">
        <f t="shared" si="9"/>
        <v>42.150.391/0001-70</v>
      </c>
      <c r="C622" s="12" t="str">
        <f>VLOOKUP(B622,[1]Planilha1!$A:$B,2,0)</f>
        <v>Malu Montesino</v>
      </c>
      <c r="D622" s="3" t="s">
        <v>2775</v>
      </c>
      <c r="E622" s="3" t="s">
        <v>2776</v>
      </c>
      <c r="F622" s="3" t="s">
        <v>20</v>
      </c>
      <c r="G622" s="4">
        <v>26735</v>
      </c>
      <c r="H622" s="3" t="s">
        <v>377</v>
      </c>
      <c r="I622" s="3" t="s">
        <v>33</v>
      </c>
      <c r="J622" s="5">
        <v>8043222000</v>
      </c>
      <c r="K622" s="3">
        <v>2021500</v>
      </c>
      <c r="L622" s="3" t="s">
        <v>2777</v>
      </c>
      <c r="M622" s="3" t="s">
        <v>2778</v>
      </c>
      <c r="N622" s="3">
        <v>1561</v>
      </c>
      <c r="P622" s="3" t="s">
        <v>2779</v>
      </c>
      <c r="Q622" s="3" t="s">
        <v>2780</v>
      </c>
      <c r="R622" s="3" t="s">
        <v>281</v>
      </c>
      <c r="S622" s="3">
        <v>42816200</v>
      </c>
      <c r="T622" s="3">
        <v>7135047100</v>
      </c>
      <c r="U622" s="3" t="s">
        <v>29</v>
      </c>
    </row>
    <row r="623" spans="1:21" ht="13.2" x14ac:dyDescent="0.25">
      <c r="A623" s="14">
        <v>57142978000105</v>
      </c>
      <c r="B623" s="15" t="str">
        <f t="shared" si="9"/>
        <v>57.142.978/0001-05</v>
      </c>
      <c r="C623" s="12"/>
      <c r="D623" s="3" t="s">
        <v>2781</v>
      </c>
      <c r="E623" s="3" t="s">
        <v>2781</v>
      </c>
      <c r="F623" s="3" t="s">
        <v>20</v>
      </c>
      <c r="G623" s="4">
        <v>31828</v>
      </c>
      <c r="H623" s="3" t="s">
        <v>21</v>
      </c>
      <c r="I623" s="3" t="s">
        <v>33</v>
      </c>
      <c r="J623" s="5">
        <v>1216000</v>
      </c>
      <c r="K623" s="3">
        <v>6203100</v>
      </c>
      <c r="L623" s="3" t="s">
        <v>2268</v>
      </c>
      <c r="M623" s="3" t="s">
        <v>2782</v>
      </c>
      <c r="N623" s="3">
        <v>227</v>
      </c>
      <c r="O623" s="3" t="s">
        <v>835</v>
      </c>
      <c r="P623" s="3" t="s">
        <v>70</v>
      </c>
      <c r="Q623" s="3" t="s">
        <v>1527</v>
      </c>
      <c r="R623" s="3" t="s">
        <v>28</v>
      </c>
      <c r="S623" s="3">
        <v>8550210</v>
      </c>
      <c r="T623" s="3">
        <v>1131796700</v>
      </c>
      <c r="U623" s="3" t="s">
        <v>29</v>
      </c>
    </row>
    <row r="624" spans="1:21" ht="13.2" x14ac:dyDescent="0.25">
      <c r="A624" s="14">
        <v>2783881000190</v>
      </c>
      <c r="B624" s="15" t="str">
        <f t="shared" si="9"/>
        <v>02.783.881/0001-90</v>
      </c>
      <c r="C624" s="12"/>
      <c r="D624" s="3" t="s">
        <v>2783</v>
      </c>
      <c r="E624" s="3" t="s">
        <v>2783</v>
      </c>
      <c r="F624" s="3" t="s">
        <v>20</v>
      </c>
      <c r="G624" s="4">
        <v>35985</v>
      </c>
      <c r="H624" s="3" t="s">
        <v>21</v>
      </c>
      <c r="I624" s="3" t="s">
        <v>33</v>
      </c>
      <c r="J624" s="5">
        <v>500000</v>
      </c>
      <c r="K624" s="3">
        <v>4744001</v>
      </c>
      <c r="L624" s="3" t="s">
        <v>396</v>
      </c>
      <c r="M624" s="3" t="s">
        <v>2784</v>
      </c>
      <c r="N624" s="3">
        <v>50</v>
      </c>
      <c r="P624" s="3" t="s">
        <v>2785</v>
      </c>
      <c r="Q624" s="3" t="s">
        <v>748</v>
      </c>
      <c r="R624" s="3" t="s">
        <v>53</v>
      </c>
      <c r="S624" s="3">
        <v>97040030</v>
      </c>
      <c r="T624" s="3">
        <v>5532217164</v>
      </c>
      <c r="U624" s="3" t="s">
        <v>29</v>
      </c>
    </row>
    <row r="625" spans="1:21" ht="13.2" x14ac:dyDescent="0.25">
      <c r="A625" s="14">
        <v>5206956000168</v>
      </c>
      <c r="B625" s="15" t="str">
        <f t="shared" si="9"/>
        <v>05.206.956/0001-68</v>
      </c>
      <c r="C625" s="12" t="str">
        <f>VLOOKUP(B625,[1]Planilha1!$A:$B,2,0)</f>
        <v>Malu Montesino</v>
      </c>
      <c r="D625" s="3" t="s">
        <v>2786</v>
      </c>
      <c r="E625" s="3" t="s">
        <v>2786</v>
      </c>
      <c r="F625" s="3" t="s">
        <v>20</v>
      </c>
      <c r="G625" s="4">
        <v>37466</v>
      </c>
      <c r="H625" s="3" t="s">
        <v>21</v>
      </c>
      <c r="I625" s="3" t="s">
        <v>33</v>
      </c>
      <c r="J625" s="5">
        <v>300000</v>
      </c>
      <c r="K625" s="3">
        <v>2812700</v>
      </c>
      <c r="L625" s="3" t="s">
        <v>1534</v>
      </c>
      <c r="M625" s="3" t="s">
        <v>2787</v>
      </c>
      <c r="N625" s="3">
        <v>575</v>
      </c>
      <c r="O625" s="3" t="s">
        <v>2788</v>
      </c>
      <c r="P625" s="3" t="s">
        <v>1740</v>
      </c>
      <c r="Q625" s="3" t="s">
        <v>27</v>
      </c>
      <c r="R625" s="3" t="s">
        <v>28</v>
      </c>
      <c r="S625" s="3">
        <v>5432070</v>
      </c>
      <c r="T625" s="3">
        <v>1150950868</v>
      </c>
      <c r="U625" s="3" t="s">
        <v>29</v>
      </c>
    </row>
    <row r="626" spans="1:21" ht="13.2" x14ac:dyDescent="0.25">
      <c r="A626" s="14">
        <v>6133273000190</v>
      </c>
      <c r="B626" s="15" t="str">
        <f t="shared" si="9"/>
        <v>06.133.273/0001-90</v>
      </c>
      <c r="C626" s="12"/>
      <c r="D626" s="3" t="s">
        <v>2789</v>
      </c>
      <c r="E626" s="3" t="s">
        <v>2790</v>
      </c>
      <c r="F626" s="3" t="s">
        <v>20</v>
      </c>
      <c r="G626" s="4">
        <v>38054</v>
      </c>
      <c r="H626" s="3" t="s">
        <v>21</v>
      </c>
      <c r="I626" s="3" t="s">
        <v>22</v>
      </c>
      <c r="J626" s="5">
        <v>200000</v>
      </c>
      <c r="K626" s="3">
        <v>2061400</v>
      </c>
      <c r="L626" s="3" t="s">
        <v>2791</v>
      </c>
      <c r="M626" s="3" t="s">
        <v>2792</v>
      </c>
      <c r="N626" s="3">
        <v>95</v>
      </c>
      <c r="O626" s="3" t="s">
        <v>2793</v>
      </c>
      <c r="P626" s="3" t="s">
        <v>1648</v>
      </c>
      <c r="Q626" s="3" t="s">
        <v>476</v>
      </c>
      <c r="R626" s="3" t="s">
        <v>100</v>
      </c>
      <c r="S626" s="3">
        <v>31255056</v>
      </c>
      <c r="T626" s="3">
        <v>3134411575</v>
      </c>
      <c r="U626" s="3" t="s">
        <v>29</v>
      </c>
    </row>
    <row r="627" spans="1:21" ht="13.2" x14ac:dyDescent="0.25">
      <c r="A627" s="14">
        <v>13829957000197</v>
      </c>
      <c r="B627" s="15" t="str">
        <f t="shared" si="9"/>
        <v>13.829.957/0001-97</v>
      </c>
      <c r="C627" s="12" t="str">
        <f>VLOOKUP(B627,[1]Planilha1!$A:$B,2,0)</f>
        <v>Malu Montesino</v>
      </c>
      <c r="D627" s="3" t="s">
        <v>2794</v>
      </c>
      <c r="E627" s="3" t="s">
        <v>2790</v>
      </c>
      <c r="F627" s="3" t="s">
        <v>20</v>
      </c>
      <c r="G627" s="4">
        <v>26945</v>
      </c>
      <c r="H627" s="3" t="s">
        <v>21</v>
      </c>
      <c r="I627" s="3" t="s">
        <v>33</v>
      </c>
      <c r="J627" s="5">
        <v>78060000</v>
      </c>
      <c r="K627" s="3">
        <v>4684299</v>
      </c>
      <c r="L627" s="3" t="s">
        <v>419</v>
      </c>
      <c r="M627" s="3" t="s">
        <v>2795</v>
      </c>
      <c r="N627" s="3">
        <v>43</v>
      </c>
      <c r="O627" s="3" t="s">
        <v>2796</v>
      </c>
      <c r="P627" s="3" t="s">
        <v>2797</v>
      </c>
      <c r="Q627" s="3" t="s">
        <v>280</v>
      </c>
      <c r="R627" s="3" t="s">
        <v>281</v>
      </c>
      <c r="S627" s="3">
        <v>40210760</v>
      </c>
      <c r="T627" s="3">
        <v>7131182100</v>
      </c>
      <c r="U627" s="3" t="s">
        <v>29</v>
      </c>
    </row>
    <row r="628" spans="1:21" ht="13.2" x14ac:dyDescent="0.25">
      <c r="A628" s="14">
        <v>10511834000115</v>
      </c>
      <c r="B628" s="15" t="str">
        <f t="shared" si="9"/>
        <v>10.511.834/0001-15</v>
      </c>
      <c r="C628" s="12"/>
      <c r="D628" s="3" t="s">
        <v>2798</v>
      </c>
      <c r="E628" s="3" t="s">
        <v>2799</v>
      </c>
      <c r="F628" s="3" t="s">
        <v>20</v>
      </c>
      <c r="G628" s="4">
        <v>39763</v>
      </c>
      <c r="H628" s="3" t="s">
        <v>21</v>
      </c>
      <c r="I628" s="3" t="s">
        <v>47</v>
      </c>
      <c r="J628" s="5">
        <v>5000</v>
      </c>
      <c r="K628" s="3">
        <v>9529199</v>
      </c>
      <c r="L628" s="3" t="s">
        <v>2800</v>
      </c>
      <c r="M628" s="3" t="s">
        <v>2801</v>
      </c>
      <c r="N628" s="3">
        <v>20</v>
      </c>
      <c r="P628" s="3" t="s">
        <v>2802</v>
      </c>
      <c r="Q628" s="3" t="s">
        <v>27</v>
      </c>
      <c r="R628" s="3" t="s">
        <v>28</v>
      </c>
      <c r="S628" s="3">
        <v>4430220</v>
      </c>
      <c r="T628" s="3">
        <v>1156678684</v>
      </c>
      <c r="U628" s="3" t="s">
        <v>29</v>
      </c>
    </row>
    <row r="629" spans="1:21" ht="13.2" x14ac:dyDescent="0.25">
      <c r="A629" s="14">
        <v>54114327000113</v>
      </c>
      <c r="B629" s="15" t="str">
        <f t="shared" si="9"/>
        <v>54.114.327/0001-13</v>
      </c>
      <c r="C629" s="12"/>
      <c r="D629" s="3" t="s">
        <v>2803</v>
      </c>
      <c r="E629" s="3" t="s">
        <v>2803</v>
      </c>
      <c r="F629" s="3" t="s">
        <v>20</v>
      </c>
      <c r="G629" s="4">
        <v>31069</v>
      </c>
      <c r="H629" s="3" t="s">
        <v>21</v>
      </c>
      <c r="I629" s="3" t="s">
        <v>33</v>
      </c>
      <c r="J629" s="5">
        <v>350000</v>
      </c>
      <c r="K629" s="3">
        <v>1033302</v>
      </c>
      <c r="L629" s="3" t="s">
        <v>2804</v>
      </c>
      <c r="M629" s="3" t="s">
        <v>2805</v>
      </c>
      <c r="N629" s="3">
        <v>814</v>
      </c>
      <c r="P629" s="3" t="s">
        <v>475</v>
      </c>
      <c r="Q629" s="3" t="s">
        <v>1312</v>
      </c>
      <c r="R629" s="3" t="s">
        <v>28</v>
      </c>
      <c r="S629" s="3">
        <v>13304901</v>
      </c>
      <c r="T629" s="3">
        <v>1140237559</v>
      </c>
      <c r="U629" s="3" t="s">
        <v>29</v>
      </c>
    </row>
    <row r="630" spans="1:21" ht="13.2" x14ac:dyDescent="0.25">
      <c r="A630" s="14">
        <v>1969182000176</v>
      </c>
      <c r="B630" s="15" t="str">
        <f t="shared" si="9"/>
        <v>01.969.182/0001-76</v>
      </c>
      <c r="C630" s="12"/>
      <c r="D630" s="3" t="s">
        <v>2806</v>
      </c>
      <c r="E630" s="3" t="s">
        <v>2806</v>
      </c>
      <c r="F630" s="3" t="s">
        <v>20</v>
      </c>
      <c r="G630" s="4">
        <v>35626</v>
      </c>
      <c r="H630" s="3" t="s">
        <v>21</v>
      </c>
      <c r="I630" s="3" t="s">
        <v>33</v>
      </c>
      <c r="J630" s="5">
        <v>2000000</v>
      </c>
      <c r="K630" s="3">
        <v>7120100</v>
      </c>
      <c r="L630" s="3" t="s">
        <v>2807</v>
      </c>
      <c r="M630" s="3" t="s">
        <v>2808</v>
      </c>
      <c r="N630" s="3">
        <v>2</v>
      </c>
      <c r="O630" s="3" t="s">
        <v>2809</v>
      </c>
      <c r="P630" s="3" t="s">
        <v>2810</v>
      </c>
      <c r="Q630" s="3" t="s">
        <v>1805</v>
      </c>
      <c r="R630" s="3" t="s">
        <v>28</v>
      </c>
      <c r="S630" s="3">
        <v>13197000</v>
      </c>
      <c r="T630" s="3">
        <v>1938899222</v>
      </c>
      <c r="U630" s="3" t="s">
        <v>29</v>
      </c>
    </row>
    <row r="631" spans="1:21" ht="13.2" x14ac:dyDescent="0.25">
      <c r="A631" s="14">
        <v>69291367000108</v>
      </c>
      <c r="B631" s="15" t="str">
        <f t="shared" si="9"/>
        <v>69.291.367/0001-08</v>
      </c>
      <c r="C631" s="12"/>
      <c r="D631" s="3" t="s">
        <v>2811</v>
      </c>
      <c r="E631" s="3" t="s">
        <v>2812</v>
      </c>
      <c r="F631" s="3" t="s">
        <v>31</v>
      </c>
      <c r="G631" s="4">
        <v>34015</v>
      </c>
      <c r="H631" s="3" t="s">
        <v>94</v>
      </c>
      <c r="I631" s="3" t="s">
        <v>33</v>
      </c>
      <c r="J631" s="5">
        <v>11241300</v>
      </c>
      <c r="K631" s="3">
        <v>2431800</v>
      </c>
      <c r="L631" s="3" t="s">
        <v>1170</v>
      </c>
      <c r="M631" s="3" t="s">
        <v>543</v>
      </c>
      <c r="N631" s="3">
        <v>1234</v>
      </c>
      <c r="O631" s="3" t="s">
        <v>2813</v>
      </c>
      <c r="P631" s="3" t="s">
        <v>545</v>
      </c>
      <c r="Q631" s="3" t="s">
        <v>27</v>
      </c>
      <c r="R631" s="3" t="s">
        <v>28</v>
      </c>
      <c r="S631" s="3">
        <v>1451001</v>
      </c>
      <c r="T631" s="3">
        <v>1130354933</v>
      </c>
      <c r="U631" s="3" t="s">
        <v>29</v>
      </c>
    </row>
    <row r="632" spans="1:21" ht="13.2" x14ac:dyDescent="0.25">
      <c r="A632" s="14">
        <v>15766556000160</v>
      </c>
      <c r="B632" s="15" t="str">
        <f t="shared" si="9"/>
        <v>15.766.556/0001-60</v>
      </c>
      <c r="C632" s="12"/>
      <c r="D632" s="3" t="s">
        <v>2814</v>
      </c>
      <c r="E632" s="3" t="s">
        <v>2815</v>
      </c>
      <c r="F632" s="3" t="s">
        <v>20</v>
      </c>
      <c r="G632" s="4">
        <v>41082</v>
      </c>
      <c r="H632" s="3" t="s">
        <v>21</v>
      </c>
      <c r="I632" s="3" t="s">
        <v>22</v>
      </c>
      <c r="J632" s="5">
        <v>100000</v>
      </c>
      <c r="K632" s="3">
        <v>8121400</v>
      </c>
      <c r="L632" s="3" t="s">
        <v>494</v>
      </c>
      <c r="M632" s="3" t="s">
        <v>2816</v>
      </c>
      <c r="N632" s="3">
        <v>9603</v>
      </c>
      <c r="O632" s="3" t="s">
        <v>534</v>
      </c>
      <c r="P632" s="3" t="s">
        <v>2817</v>
      </c>
      <c r="Q632" s="3" t="s">
        <v>1846</v>
      </c>
      <c r="R632" s="3" t="s">
        <v>1847</v>
      </c>
      <c r="S632" s="3">
        <v>57045660</v>
      </c>
      <c r="T632" s="3">
        <v>8234320084</v>
      </c>
      <c r="U632" s="3" t="s">
        <v>29</v>
      </c>
    </row>
    <row r="633" spans="1:21" ht="13.2" x14ac:dyDescent="0.25">
      <c r="A633" s="14">
        <v>46658947000195</v>
      </c>
      <c r="B633" s="15" t="str">
        <f t="shared" si="9"/>
        <v>46.658.947/0001-95</v>
      </c>
      <c r="C633" s="12"/>
      <c r="D633" s="3" t="s">
        <v>2818</v>
      </c>
      <c r="E633" s="3" t="s">
        <v>2819</v>
      </c>
      <c r="F633" s="3" t="s">
        <v>20</v>
      </c>
      <c r="G633" s="4">
        <v>44715</v>
      </c>
      <c r="H633" s="3" t="s">
        <v>21</v>
      </c>
      <c r="I633" s="3" t="s">
        <v>22</v>
      </c>
      <c r="J633" s="5">
        <v>5000</v>
      </c>
      <c r="K633" s="3">
        <v>8211300</v>
      </c>
      <c r="L633" s="3" t="s">
        <v>166</v>
      </c>
      <c r="M633" s="3" t="s">
        <v>2820</v>
      </c>
      <c r="N633" s="3">
        <v>209</v>
      </c>
      <c r="P633" s="3" t="s">
        <v>2821</v>
      </c>
      <c r="Q633" s="3" t="s">
        <v>2822</v>
      </c>
      <c r="R633" s="3" t="s">
        <v>28</v>
      </c>
      <c r="S633" s="3">
        <v>12244280</v>
      </c>
      <c r="T633" s="3">
        <v>1230270650</v>
      </c>
      <c r="U633" s="3" t="s">
        <v>29</v>
      </c>
    </row>
    <row r="634" spans="1:21" ht="13.2" x14ac:dyDescent="0.25">
      <c r="A634" s="14">
        <v>6979206000191</v>
      </c>
      <c r="B634" s="15" t="str">
        <f t="shared" si="9"/>
        <v>06.979.206/0001-91</v>
      </c>
      <c r="C634" s="12"/>
      <c r="D634" s="3" t="s">
        <v>2823</v>
      </c>
      <c r="E634" s="3" t="s">
        <v>2823</v>
      </c>
      <c r="F634" s="3" t="s">
        <v>20</v>
      </c>
      <c r="G634" s="4">
        <v>38197</v>
      </c>
      <c r="H634" s="3" t="s">
        <v>21</v>
      </c>
      <c r="I634" s="3" t="s">
        <v>33</v>
      </c>
      <c r="J634" s="5">
        <v>8535453</v>
      </c>
      <c r="K634" s="3">
        <v>2813500</v>
      </c>
      <c r="L634" s="3" t="s">
        <v>1383</v>
      </c>
      <c r="M634" s="3" t="s">
        <v>2824</v>
      </c>
      <c r="N634" s="3">
        <v>58</v>
      </c>
      <c r="P634" s="3" t="s">
        <v>2825</v>
      </c>
      <c r="Q634" s="3" t="s">
        <v>2128</v>
      </c>
      <c r="R634" s="3" t="s">
        <v>28</v>
      </c>
      <c r="S634" s="3">
        <v>13140031</v>
      </c>
      <c r="U634" s="3" t="s">
        <v>29</v>
      </c>
    </row>
    <row r="635" spans="1:21" ht="13.2" x14ac:dyDescent="0.25">
      <c r="A635" s="14">
        <v>42185668000109</v>
      </c>
      <c r="B635" s="15" t="str">
        <f t="shared" si="9"/>
        <v>42.185.668/0001-09</v>
      </c>
      <c r="C635" s="12"/>
      <c r="D635" s="3" t="s">
        <v>2826</v>
      </c>
      <c r="E635" s="3" t="s">
        <v>2827</v>
      </c>
      <c r="F635" s="3" t="s">
        <v>20</v>
      </c>
      <c r="G635" s="4">
        <v>44349</v>
      </c>
      <c r="H635" s="3" t="s">
        <v>21</v>
      </c>
      <c r="I635" s="3" t="s">
        <v>47</v>
      </c>
      <c r="J635" s="5">
        <v>100000</v>
      </c>
      <c r="K635" s="3">
        <v>8299799</v>
      </c>
      <c r="L635" s="3" t="s">
        <v>532</v>
      </c>
      <c r="M635" s="3" t="s">
        <v>960</v>
      </c>
      <c r="N635" s="3">
        <v>101</v>
      </c>
      <c r="O635" s="3" t="s">
        <v>2828</v>
      </c>
      <c r="P635" s="3" t="s">
        <v>70</v>
      </c>
      <c r="Q635" s="3" t="s">
        <v>217</v>
      </c>
      <c r="R635" s="3" t="s">
        <v>28</v>
      </c>
      <c r="S635" s="3">
        <v>9750730</v>
      </c>
      <c r="T635" s="3">
        <v>1181655995</v>
      </c>
      <c r="U635" s="3" t="s">
        <v>29</v>
      </c>
    </row>
    <row r="636" spans="1:21" ht="13.2" x14ac:dyDescent="0.25">
      <c r="A636" s="14">
        <v>6998177000105</v>
      </c>
      <c r="B636" s="15" t="str">
        <f t="shared" si="9"/>
        <v>06.998.177/0001-05</v>
      </c>
      <c r="C636" s="12"/>
      <c r="D636" s="3" t="s">
        <v>2829</v>
      </c>
      <c r="E636" s="3" t="s">
        <v>2830</v>
      </c>
      <c r="F636" s="3" t="s">
        <v>20</v>
      </c>
      <c r="G636" s="4">
        <v>38189</v>
      </c>
      <c r="H636" s="3" t="s">
        <v>21</v>
      </c>
      <c r="I636" s="3" t="s">
        <v>22</v>
      </c>
      <c r="J636" s="5">
        <v>201000</v>
      </c>
      <c r="K636" s="3">
        <v>4789005</v>
      </c>
      <c r="L636" s="3" t="s">
        <v>2831</v>
      </c>
      <c r="M636" s="3" t="s">
        <v>2832</v>
      </c>
      <c r="N636" s="3" t="s">
        <v>111</v>
      </c>
      <c r="O636" s="3" t="s">
        <v>2833</v>
      </c>
      <c r="P636" s="3" t="s">
        <v>2834</v>
      </c>
      <c r="Q636" s="3" t="s">
        <v>631</v>
      </c>
      <c r="R636" s="3" t="s">
        <v>632</v>
      </c>
      <c r="S636" s="3">
        <v>71720560</v>
      </c>
      <c r="T636" s="3">
        <v>6133863889</v>
      </c>
      <c r="U636" s="3" t="s">
        <v>29</v>
      </c>
    </row>
    <row r="637" spans="1:21" ht="13.2" x14ac:dyDescent="0.25">
      <c r="A637" s="14">
        <v>42597575000183</v>
      </c>
      <c r="B637" s="15" t="str">
        <f t="shared" si="9"/>
        <v>42.597.575/0001-83</v>
      </c>
      <c r="C637" s="12"/>
      <c r="D637" s="3" t="s">
        <v>2835</v>
      </c>
      <c r="E637" s="3" t="s">
        <v>2836</v>
      </c>
      <c r="F637" s="3" t="s">
        <v>20</v>
      </c>
      <c r="G637" s="4">
        <v>28230</v>
      </c>
      <c r="H637" s="3" t="s">
        <v>94</v>
      </c>
      <c r="I637" s="3" t="s">
        <v>33</v>
      </c>
      <c r="J637" s="5">
        <v>432560640</v>
      </c>
      <c r="K637" s="3">
        <v>6622300</v>
      </c>
      <c r="L637" s="3" t="s">
        <v>1324</v>
      </c>
      <c r="M637" s="3" t="s">
        <v>2837</v>
      </c>
      <c r="N637" s="3">
        <v>5</v>
      </c>
      <c r="O637" s="3" t="s">
        <v>2838</v>
      </c>
      <c r="P637" s="3" t="s">
        <v>630</v>
      </c>
      <c r="Q637" s="3" t="s">
        <v>631</v>
      </c>
      <c r="R637" s="3" t="s">
        <v>632</v>
      </c>
      <c r="S637" s="3">
        <v>70040250</v>
      </c>
      <c r="T637" s="3">
        <v>6134092215</v>
      </c>
      <c r="U637" s="3" t="s">
        <v>29</v>
      </c>
    </row>
    <row r="638" spans="1:21" ht="13.2" x14ac:dyDescent="0.25">
      <c r="A638" s="14">
        <v>1838723000127</v>
      </c>
      <c r="B638" s="15" t="str">
        <f t="shared" si="9"/>
        <v>01.838.723/0001-27</v>
      </c>
      <c r="C638" s="12" t="str">
        <f>VLOOKUP(B638,[1]Planilha1!$A:$B,2,0)</f>
        <v>Malu Montesino</v>
      </c>
      <c r="D638" s="3" t="s">
        <v>2839</v>
      </c>
      <c r="E638" s="3" t="s">
        <v>2839</v>
      </c>
      <c r="F638" s="3" t="s">
        <v>20</v>
      </c>
      <c r="G638" s="4">
        <v>35564</v>
      </c>
      <c r="H638" s="3" t="s">
        <v>377</v>
      </c>
      <c r="I638" s="3" t="s">
        <v>33</v>
      </c>
      <c r="J638" s="5">
        <v>13653418000</v>
      </c>
      <c r="K638" s="3">
        <v>1012101</v>
      </c>
      <c r="L638" s="3" t="s">
        <v>2840</v>
      </c>
      <c r="M638" s="3" t="s">
        <v>2841</v>
      </c>
      <c r="N638" s="3">
        <v>475</v>
      </c>
      <c r="P638" s="3" t="s">
        <v>2842</v>
      </c>
      <c r="Q638" s="3" t="s">
        <v>2287</v>
      </c>
      <c r="R638" s="3" t="s">
        <v>91</v>
      </c>
      <c r="S638" s="3">
        <v>88301600</v>
      </c>
      <c r="T638" s="3">
        <v>4732494100</v>
      </c>
      <c r="U638" s="3" t="s">
        <v>29</v>
      </c>
    </row>
    <row r="639" spans="1:21" ht="13.2" x14ac:dyDescent="0.25">
      <c r="A639" s="14">
        <v>57497539000115</v>
      </c>
      <c r="B639" s="15" t="str">
        <f t="shared" si="9"/>
        <v>57.497.539/0001-15</v>
      </c>
      <c r="C639" s="12"/>
      <c r="D639" s="3" t="s">
        <v>2843</v>
      </c>
      <c r="E639" s="3" t="s">
        <v>2844</v>
      </c>
      <c r="F639" s="3" t="s">
        <v>20</v>
      </c>
      <c r="G639" s="4">
        <v>24336</v>
      </c>
      <c r="H639" s="3" t="s">
        <v>21</v>
      </c>
      <c r="I639" s="3" t="s">
        <v>33</v>
      </c>
      <c r="J639" s="5">
        <v>509787780</v>
      </c>
      <c r="K639" s="3">
        <v>2211100</v>
      </c>
      <c r="L639" s="3" t="s">
        <v>2845</v>
      </c>
      <c r="M639" s="3" t="s">
        <v>2846</v>
      </c>
      <c r="N639" s="3">
        <v>1717</v>
      </c>
      <c r="P639" s="3" t="s">
        <v>2847</v>
      </c>
      <c r="Q639" s="3" t="s">
        <v>1410</v>
      </c>
      <c r="R639" s="3" t="s">
        <v>28</v>
      </c>
      <c r="S639" s="3">
        <v>9015901</v>
      </c>
      <c r="T639" s="3">
        <v>1136361012</v>
      </c>
      <c r="U639" s="3" t="s">
        <v>29</v>
      </c>
    </row>
    <row r="640" spans="1:21" ht="13.2" x14ac:dyDescent="0.25">
      <c r="A640" s="14">
        <v>22106619000118</v>
      </c>
      <c r="B640" s="15" t="str">
        <f t="shared" si="9"/>
        <v>22.106.619/0001-18</v>
      </c>
      <c r="C640" s="12"/>
      <c r="D640" s="3" t="s">
        <v>2848</v>
      </c>
      <c r="E640" s="3" t="s">
        <v>2848</v>
      </c>
      <c r="F640" s="3" t="s">
        <v>20</v>
      </c>
      <c r="G640" s="4">
        <v>42086</v>
      </c>
      <c r="H640" s="3" t="s">
        <v>21</v>
      </c>
      <c r="I640" s="3" t="s">
        <v>47</v>
      </c>
      <c r="J640" s="5">
        <v>90000</v>
      </c>
      <c r="K640" s="3">
        <v>6920602</v>
      </c>
      <c r="L640" s="3" t="s">
        <v>1022</v>
      </c>
      <c r="M640" s="3" t="s">
        <v>2849</v>
      </c>
      <c r="N640" s="3">
        <v>54</v>
      </c>
      <c r="O640" s="3" t="s">
        <v>2850</v>
      </c>
      <c r="P640" s="3" t="s">
        <v>248</v>
      </c>
      <c r="Q640" s="3" t="s">
        <v>27</v>
      </c>
      <c r="R640" s="3" t="s">
        <v>28</v>
      </c>
      <c r="S640" s="3">
        <v>1318000</v>
      </c>
      <c r="T640" s="3">
        <v>1131013281</v>
      </c>
      <c r="U640" s="3" t="s">
        <v>29</v>
      </c>
    </row>
    <row r="641" spans="1:21" ht="13.2" x14ac:dyDescent="0.25">
      <c r="A641" s="14">
        <v>10648254000174</v>
      </c>
      <c r="B641" s="15" t="str">
        <f t="shared" si="9"/>
        <v>10.648.254/0001-74</v>
      </c>
      <c r="C641" s="12"/>
      <c r="D641" s="3" t="s">
        <v>2851</v>
      </c>
      <c r="E641" s="3" t="s">
        <v>2852</v>
      </c>
      <c r="F641" s="3" t="s">
        <v>20</v>
      </c>
      <c r="G641" s="4">
        <v>39862</v>
      </c>
      <c r="H641" s="3" t="s">
        <v>21</v>
      </c>
      <c r="I641" s="3" t="s">
        <v>22</v>
      </c>
      <c r="J641" s="5">
        <v>3253000</v>
      </c>
      <c r="K641" s="3">
        <v>7830200</v>
      </c>
      <c r="L641" s="3" t="s">
        <v>473</v>
      </c>
      <c r="M641" s="3" t="s">
        <v>2853</v>
      </c>
      <c r="N641" s="3">
        <v>264</v>
      </c>
      <c r="O641" s="3" t="s">
        <v>2854</v>
      </c>
      <c r="P641" s="3" t="s">
        <v>2855</v>
      </c>
      <c r="Q641" s="3" t="s">
        <v>1141</v>
      </c>
      <c r="R641" s="3" t="s">
        <v>1142</v>
      </c>
      <c r="S641" s="3">
        <v>79080490</v>
      </c>
      <c r="T641" s="3">
        <v>6740014321</v>
      </c>
      <c r="U641" s="3" t="s">
        <v>29</v>
      </c>
    </row>
    <row r="642" spans="1:21" ht="13.2" x14ac:dyDescent="0.25">
      <c r="A642" s="14">
        <v>12417472000123</v>
      </c>
      <c r="B642" s="15" t="str">
        <f t="shared" si="9"/>
        <v>12.417.472/0001-23</v>
      </c>
      <c r="C642" s="12" t="str">
        <f>VLOOKUP(B642,[1]Planilha1!$A:$B,2,0)</f>
        <v>Malu Montesino</v>
      </c>
      <c r="D642" s="3" t="s">
        <v>2856</v>
      </c>
      <c r="E642" s="3" t="s">
        <v>2857</v>
      </c>
      <c r="F642" s="3" t="s">
        <v>20</v>
      </c>
      <c r="G642" s="4">
        <v>40413</v>
      </c>
      <c r="H642" s="3" t="s">
        <v>21</v>
      </c>
      <c r="I642" s="3" t="s">
        <v>33</v>
      </c>
      <c r="J642" s="5">
        <v>4000000</v>
      </c>
      <c r="K642" s="3">
        <v>4645102</v>
      </c>
      <c r="L642" s="3" t="s">
        <v>2858</v>
      </c>
      <c r="M642" s="3" t="s">
        <v>2859</v>
      </c>
      <c r="N642" s="3">
        <v>1877</v>
      </c>
      <c r="O642" s="3" t="s">
        <v>2860</v>
      </c>
      <c r="P642" s="3" t="s">
        <v>2861</v>
      </c>
      <c r="Q642" s="3" t="s">
        <v>448</v>
      </c>
      <c r="R642" s="3" t="s">
        <v>449</v>
      </c>
      <c r="S642" s="3">
        <v>69083000</v>
      </c>
      <c r="T642" s="3">
        <v>9285837498</v>
      </c>
      <c r="U642" s="3" t="s">
        <v>29</v>
      </c>
    </row>
    <row r="643" spans="1:21" ht="13.2" x14ac:dyDescent="0.25">
      <c r="A643" s="14">
        <v>4607393000157</v>
      </c>
      <c r="B643" s="15" t="str">
        <f t="shared" ref="B643:B706" si="10">TEXT(A643,"00\.000\.000\/0000\-00")</f>
        <v>04.607.393/0001-57</v>
      </c>
      <c r="C643" s="12"/>
      <c r="D643" s="3" t="s">
        <v>2862</v>
      </c>
      <c r="E643" s="3" t="s">
        <v>2863</v>
      </c>
      <c r="F643" s="3" t="s">
        <v>20</v>
      </c>
      <c r="G643" s="4">
        <v>37106</v>
      </c>
      <c r="H643" s="3" t="s">
        <v>21</v>
      </c>
      <c r="I643" s="3" t="s">
        <v>22</v>
      </c>
      <c r="J643" s="5">
        <v>200000</v>
      </c>
      <c r="K643" s="3">
        <v>4729699</v>
      </c>
      <c r="L643" s="3" t="s">
        <v>2864</v>
      </c>
      <c r="M643" s="3" t="s">
        <v>2865</v>
      </c>
      <c r="N643" s="3">
        <v>629</v>
      </c>
      <c r="P643" s="3" t="s">
        <v>2865</v>
      </c>
      <c r="Q643" s="3" t="s">
        <v>2866</v>
      </c>
      <c r="R643" s="3" t="s">
        <v>281</v>
      </c>
      <c r="S643" s="3">
        <v>48021645</v>
      </c>
      <c r="T643" s="3">
        <v>7534210975</v>
      </c>
      <c r="U643" s="3" t="s">
        <v>29</v>
      </c>
    </row>
    <row r="644" spans="1:21" ht="13.2" x14ac:dyDescent="0.25">
      <c r="A644" s="14">
        <v>88059118000136</v>
      </c>
      <c r="B644" s="15" t="str">
        <f t="shared" si="10"/>
        <v>88.059.118/0001-36</v>
      </c>
      <c r="C644" s="12"/>
      <c r="D644" s="3" t="s">
        <v>2867</v>
      </c>
      <c r="E644" s="3" t="s">
        <v>2867</v>
      </c>
      <c r="F644" s="3" t="s">
        <v>20</v>
      </c>
      <c r="G644" s="4">
        <v>26858</v>
      </c>
      <c r="H644" s="3" t="s">
        <v>21</v>
      </c>
      <c r="I644" s="3" t="s">
        <v>33</v>
      </c>
      <c r="J644" s="5">
        <v>6910000</v>
      </c>
      <c r="K644" s="3">
        <v>2833000</v>
      </c>
      <c r="L644" s="3" t="s">
        <v>151</v>
      </c>
      <c r="M644" s="3" t="s">
        <v>2868</v>
      </c>
      <c r="N644" s="3">
        <v>2001</v>
      </c>
      <c r="P644" s="3" t="s">
        <v>2869</v>
      </c>
      <c r="Q644" s="3" t="s">
        <v>2870</v>
      </c>
      <c r="R644" s="3" t="s">
        <v>53</v>
      </c>
      <c r="S644" s="3">
        <v>96700000</v>
      </c>
      <c r="T644" s="3">
        <v>5136519111</v>
      </c>
      <c r="U644" s="3" t="s">
        <v>29</v>
      </c>
    </row>
    <row r="645" spans="1:21" ht="13.2" x14ac:dyDescent="0.25">
      <c r="A645" s="14">
        <v>56998982000107</v>
      </c>
      <c r="B645" s="15" t="str">
        <f t="shared" si="10"/>
        <v>56.998.982/0001-07</v>
      </c>
      <c r="C645" s="12" t="str">
        <f>VLOOKUP(B645,[1]Planilha1!$A:$B,2,0)</f>
        <v>Malu Montesino</v>
      </c>
      <c r="D645" s="3" t="s">
        <v>2871</v>
      </c>
      <c r="E645" s="3" t="s">
        <v>2871</v>
      </c>
      <c r="F645" s="3" t="s">
        <v>20</v>
      </c>
      <c r="G645" s="4">
        <v>24310</v>
      </c>
      <c r="H645" s="3" t="s">
        <v>21</v>
      </c>
      <c r="I645" s="3" t="s">
        <v>33</v>
      </c>
      <c r="J645" s="5">
        <v>440102820</v>
      </c>
      <c r="K645" s="3">
        <v>4644301</v>
      </c>
      <c r="L645" s="3" t="s">
        <v>326</v>
      </c>
      <c r="M645" s="3" t="s">
        <v>2872</v>
      </c>
      <c r="N645" s="3">
        <v>1711</v>
      </c>
      <c r="O645" s="3" t="s">
        <v>2873</v>
      </c>
      <c r="P645" s="3" t="s">
        <v>306</v>
      </c>
      <c r="Q645" s="3" t="s">
        <v>27</v>
      </c>
      <c r="R645" s="3" t="s">
        <v>28</v>
      </c>
      <c r="S645" s="3">
        <v>4719002</v>
      </c>
      <c r="T645" s="3">
        <v>1138822212</v>
      </c>
      <c r="U645" s="3" t="s">
        <v>29</v>
      </c>
    </row>
    <row r="646" spans="1:21" ht="13.2" x14ac:dyDescent="0.25">
      <c r="A646" s="14">
        <v>76492701001048</v>
      </c>
      <c r="B646" s="15" t="str">
        <f t="shared" si="10"/>
        <v>76.492.701/0010-48</v>
      </c>
      <c r="C646" s="12" t="str">
        <f>VLOOKUP(B646,[1]Planilha1!$A:$B,2,0)</f>
        <v>Malu Montesino</v>
      </c>
      <c r="D646" s="3" t="s">
        <v>2874</v>
      </c>
      <c r="E646" s="3" t="s">
        <v>2874</v>
      </c>
      <c r="F646" s="3" t="s">
        <v>20</v>
      </c>
      <c r="G646" s="4">
        <v>40493</v>
      </c>
      <c r="H646" s="3" t="s">
        <v>94</v>
      </c>
      <c r="I646" s="3" t="s">
        <v>33</v>
      </c>
      <c r="J646" s="5">
        <v>1430745300</v>
      </c>
      <c r="K646" s="3">
        <v>2790299</v>
      </c>
      <c r="L646" s="3" t="s">
        <v>2875</v>
      </c>
      <c r="M646" s="3" t="s">
        <v>2876</v>
      </c>
      <c r="N646" s="3">
        <v>87</v>
      </c>
      <c r="O646" s="3" t="s">
        <v>2877</v>
      </c>
      <c r="P646" s="3" t="s">
        <v>1397</v>
      </c>
      <c r="Q646" s="3" t="s">
        <v>27</v>
      </c>
      <c r="R646" s="3" t="s">
        <v>28</v>
      </c>
      <c r="S646" s="3">
        <v>4570000</v>
      </c>
      <c r="T646" s="3">
        <v>4132187700</v>
      </c>
      <c r="U646" s="3" t="s">
        <v>29</v>
      </c>
    </row>
    <row r="647" spans="1:21" ht="13.2" x14ac:dyDescent="0.25">
      <c r="A647" s="14">
        <v>9069233000115</v>
      </c>
      <c r="B647" s="15" t="str">
        <f t="shared" si="10"/>
        <v>09.069.233/0001-15</v>
      </c>
      <c r="C647" s="12"/>
      <c r="D647" s="3" t="s">
        <v>2878</v>
      </c>
      <c r="E647" s="3" t="s">
        <v>2879</v>
      </c>
      <c r="F647" s="3" t="s">
        <v>20</v>
      </c>
      <c r="G647" s="4">
        <v>39323</v>
      </c>
      <c r="H647" s="3" t="s">
        <v>94</v>
      </c>
      <c r="I647" s="3" t="s">
        <v>33</v>
      </c>
      <c r="J647" s="5">
        <v>16961250</v>
      </c>
      <c r="K647" s="3">
        <v>6202300</v>
      </c>
      <c r="L647" s="3" t="s">
        <v>103</v>
      </c>
      <c r="M647" s="3" t="s">
        <v>308</v>
      </c>
      <c r="N647" s="3">
        <v>14261</v>
      </c>
      <c r="O647" s="3" t="s">
        <v>2880</v>
      </c>
      <c r="P647" s="3" t="s">
        <v>310</v>
      </c>
      <c r="Q647" s="3" t="s">
        <v>27</v>
      </c>
      <c r="R647" s="3" t="s">
        <v>28</v>
      </c>
      <c r="S647" s="3">
        <v>4794000</v>
      </c>
      <c r="T647" s="3">
        <v>1138424804</v>
      </c>
      <c r="U647" s="3" t="s">
        <v>29</v>
      </c>
    </row>
    <row r="648" spans="1:21" ht="13.2" x14ac:dyDescent="0.25">
      <c r="A648" s="14">
        <v>24396489000120</v>
      </c>
      <c r="B648" s="15" t="str">
        <f t="shared" si="10"/>
        <v>24.396.489/0001-20</v>
      </c>
      <c r="C648" s="12"/>
      <c r="D648" s="3" t="s">
        <v>2881</v>
      </c>
      <c r="E648" s="3" t="s">
        <v>2881</v>
      </c>
      <c r="F648" s="3" t="s">
        <v>20</v>
      </c>
      <c r="G648" s="4">
        <v>42445</v>
      </c>
      <c r="H648" s="3" t="s">
        <v>377</v>
      </c>
      <c r="I648" s="3" t="s">
        <v>33</v>
      </c>
      <c r="J648" s="5">
        <v>4008806400</v>
      </c>
      <c r="K648" s="3">
        <v>3600601</v>
      </c>
      <c r="L648" s="3" t="s">
        <v>788</v>
      </c>
      <c r="M648" s="3" t="s">
        <v>308</v>
      </c>
      <c r="N648" s="3">
        <v>14401</v>
      </c>
      <c r="O648" s="3" t="s">
        <v>2882</v>
      </c>
      <c r="P648" s="3" t="s">
        <v>310</v>
      </c>
      <c r="Q648" s="3" t="s">
        <v>27</v>
      </c>
      <c r="R648" s="3" t="s">
        <v>28</v>
      </c>
      <c r="S648" s="3">
        <v>4794000</v>
      </c>
      <c r="T648" s="3">
        <v>1138302600</v>
      </c>
      <c r="U648" s="3" t="s">
        <v>29</v>
      </c>
    </row>
    <row r="649" spans="1:21" ht="13.2" x14ac:dyDescent="0.25">
      <c r="A649" s="14">
        <v>6888683000141</v>
      </c>
      <c r="B649" s="15" t="str">
        <f t="shared" si="10"/>
        <v>06.888.683/0001-41</v>
      </c>
      <c r="C649" s="12" t="str">
        <f>VLOOKUP(B649,[1]Planilha1!$A:$B,2,0)</f>
        <v>Malu Montesino</v>
      </c>
      <c r="D649" s="3" t="s">
        <v>2883</v>
      </c>
      <c r="E649" s="3" t="s">
        <v>2883</v>
      </c>
      <c r="F649" s="3" t="s">
        <v>20</v>
      </c>
      <c r="G649" s="4">
        <v>38120</v>
      </c>
      <c r="H649" s="3" t="s">
        <v>21</v>
      </c>
      <c r="I649" s="3" t="s">
        <v>33</v>
      </c>
      <c r="J649" s="5">
        <v>54502090</v>
      </c>
      <c r="K649" s="3">
        <v>8020001</v>
      </c>
      <c r="L649" s="3" t="s">
        <v>196</v>
      </c>
      <c r="M649" s="3" t="s">
        <v>2884</v>
      </c>
      <c r="N649" s="3">
        <v>111</v>
      </c>
      <c r="O649" s="3" t="s">
        <v>2885</v>
      </c>
      <c r="P649" s="3" t="s">
        <v>1492</v>
      </c>
      <c r="Q649" s="3" t="s">
        <v>27</v>
      </c>
      <c r="R649" s="3" t="s">
        <v>28</v>
      </c>
      <c r="S649" s="3">
        <v>5069900</v>
      </c>
      <c r="T649" s="3">
        <v>1130281600</v>
      </c>
      <c r="U649" s="3" t="s">
        <v>29</v>
      </c>
    </row>
    <row r="650" spans="1:21" ht="13.2" x14ac:dyDescent="0.25">
      <c r="A650" s="14">
        <v>44521052000189</v>
      </c>
      <c r="B650" s="15" t="str">
        <f t="shared" si="10"/>
        <v>44.521.052/0001-89</v>
      </c>
      <c r="C650" s="12"/>
      <c r="D650" s="3" t="s">
        <v>2886</v>
      </c>
      <c r="E650" s="3" t="s">
        <v>2887</v>
      </c>
      <c r="F650" s="3" t="s">
        <v>31</v>
      </c>
      <c r="G650" s="4">
        <v>29461</v>
      </c>
      <c r="H650" s="3" t="s">
        <v>21</v>
      </c>
      <c r="I650" s="3" t="s">
        <v>22</v>
      </c>
      <c r="J650" s="5">
        <v>500000</v>
      </c>
      <c r="K650" s="3">
        <v>4789099</v>
      </c>
      <c r="L650" s="3" t="s">
        <v>774</v>
      </c>
      <c r="M650" s="3" t="s">
        <v>2888</v>
      </c>
      <c r="N650" s="3" t="s">
        <v>82</v>
      </c>
      <c r="O650" s="3" t="s">
        <v>2889</v>
      </c>
      <c r="P650" s="3" t="s">
        <v>2254</v>
      </c>
      <c r="Q650" s="3" t="s">
        <v>2890</v>
      </c>
      <c r="R650" s="3" t="s">
        <v>28</v>
      </c>
      <c r="S650" s="3">
        <v>12609170</v>
      </c>
      <c r="T650" s="3">
        <v>1231571717</v>
      </c>
      <c r="U650" s="3" t="s">
        <v>29</v>
      </c>
    </row>
    <row r="651" spans="1:21" ht="13.2" x14ac:dyDescent="0.25">
      <c r="A651" s="14">
        <v>10764690000109</v>
      </c>
      <c r="B651" s="15" t="str">
        <f t="shared" si="10"/>
        <v>10.764.690/0001-09</v>
      </c>
      <c r="C651" s="12"/>
      <c r="D651" s="3" t="s">
        <v>2891</v>
      </c>
      <c r="E651" s="3" t="s">
        <v>2892</v>
      </c>
      <c r="F651" s="3" t="s">
        <v>20</v>
      </c>
      <c r="G651" s="4">
        <v>39916</v>
      </c>
      <c r="H651" s="3" t="s">
        <v>21</v>
      </c>
      <c r="I651" s="3" t="s">
        <v>47</v>
      </c>
      <c r="J651" s="5">
        <v>300000</v>
      </c>
      <c r="K651" s="3">
        <v>4751201</v>
      </c>
      <c r="L651" s="3" t="s">
        <v>23</v>
      </c>
      <c r="M651" s="3" t="s">
        <v>2893</v>
      </c>
      <c r="N651" s="3">
        <v>860</v>
      </c>
      <c r="O651" s="3" t="s">
        <v>2894</v>
      </c>
      <c r="P651" s="3" t="s">
        <v>2895</v>
      </c>
      <c r="Q651" s="3" t="s">
        <v>273</v>
      </c>
      <c r="R651" s="3" t="s">
        <v>274</v>
      </c>
      <c r="S651" s="3">
        <v>74313740</v>
      </c>
      <c r="T651" s="3">
        <v>6241020762</v>
      </c>
      <c r="U651" s="3" t="s">
        <v>29</v>
      </c>
    </row>
    <row r="652" spans="1:21" ht="13.2" x14ac:dyDescent="0.25">
      <c r="A652" s="14">
        <v>55831184000123</v>
      </c>
      <c r="B652" s="15" t="str">
        <f t="shared" si="10"/>
        <v>55.831.184/0001-23</v>
      </c>
      <c r="C652" s="12"/>
      <c r="D652" s="3" t="s">
        <v>2896</v>
      </c>
      <c r="E652" s="3" t="s">
        <v>2897</v>
      </c>
      <c r="F652" s="3" t="s">
        <v>20</v>
      </c>
      <c r="G652" s="4">
        <v>31567</v>
      </c>
      <c r="H652" s="3" t="s">
        <v>21</v>
      </c>
      <c r="I652" s="3" t="s">
        <v>33</v>
      </c>
      <c r="J652" s="5">
        <v>3740000</v>
      </c>
      <c r="K652" s="3">
        <v>4530702</v>
      </c>
      <c r="L652" s="3" t="s">
        <v>2898</v>
      </c>
      <c r="M652" s="3" t="s">
        <v>2899</v>
      </c>
      <c r="N652" s="3">
        <v>539</v>
      </c>
      <c r="P652" s="3" t="s">
        <v>70</v>
      </c>
      <c r="Q652" s="3" t="s">
        <v>65</v>
      </c>
      <c r="R652" s="3" t="s">
        <v>28</v>
      </c>
      <c r="S652" s="3">
        <v>13010140</v>
      </c>
      <c r="U652" s="3" t="s">
        <v>29</v>
      </c>
    </row>
    <row r="653" spans="1:21" ht="13.2" x14ac:dyDescent="0.25">
      <c r="A653" s="14">
        <v>57616658000140</v>
      </c>
      <c r="B653" s="15" t="str">
        <f t="shared" si="10"/>
        <v>57.616.658/0001-40</v>
      </c>
      <c r="C653" s="12"/>
      <c r="D653" s="3" t="s">
        <v>2900</v>
      </c>
      <c r="E653" s="3" t="s">
        <v>2900</v>
      </c>
      <c r="F653" s="3" t="s">
        <v>20</v>
      </c>
      <c r="G653" s="4">
        <v>31972</v>
      </c>
      <c r="H653" s="3" t="s">
        <v>21</v>
      </c>
      <c r="I653" s="3" t="s">
        <v>33</v>
      </c>
      <c r="J653" s="5">
        <v>15000</v>
      </c>
      <c r="K653" s="3">
        <v>2212900</v>
      </c>
      <c r="L653" s="3" t="s">
        <v>2901</v>
      </c>
      <c r="M653" s="3" t="s">
        <v>2902</v>
      </c>
      <c r="N653" s="3" t="s">
        <v>111</v>
      </c>
      <c r="O653" s="3" t="s">
        <v>2903</v>
      </c>
      <c r="P653" s="3" t="s">
        <v>2904</v>
      </c>
      <c r="Q653" s="3" t="s">
        <v>2905</v>
      </c>
      <c r="R653" s="3" t="s">
        <v>28</v>
      </c>
      <c r="S653" s="3">
        <v>12954260</v>
      </c>
      <c r="T653" s="3">
        <v>1144129828</v>
      </c>
      <c r="U653" s="3" t="s">
        <v>29</v>
      </c>
    </row>
    <row r="654" spans="1:21" ht="13.2" x14ac:dyDescent="0.25">
      <c r="A654" s="14">
        <v>65860678000190</v>
      </c>
      <c r="B654" s="15" t="str">
        <f t="shared" si="10"/>
        <v>65.860.678/0001-90</v>
      </c>
      <c r="C654" s="12"/>
      <c r="D654" s="3" t="s">
        <v>2906</v>
      </c>
      <c r="E654" s="3" t="s">
        <v>2906</v>
      </c>
      <c r="F654" s="3" t="s">
        <v>20</v>
      </c>
      <c r="G654" s="4">
        <v>33364</v>
      </c>
      <c r="H654" s="3" t="s">
        <v>21</v>
      </c>
      <c r="I654" s="3" t="s">
        <v>22</v>
      </c>
      <c r="J654" s="5">
        <v>15000</v>
      </c>
      <c r="K654" s="3">
        <v>4781400</v>
      </c>
      <c r="L654" s="3" t="s">
        <v>2907</v>
      </c>
      <c r="M654" s="3" t="s">
        <v>2731</v>
      </c>
      <c r="N654" s="3">
        <v>236</v>
      </c>
      <c r="P654" s="3" t="s">
        <v>2908</v>
      </c>
      <c r="Q654" s="3" t="s">
        <v>27</v>
      </c>
      <c r="R654" s="3" t="s">
        <v>28</v>
      </c>
      <c r="S654" s="3">
        <v>4159000</v>
      </c>
      <c r="U654" s="3" t="s">
        <v>29</v>
      </c>
    </row>
    <row r="655" spans="1:21" ht="13.2" x14ac:dyDescent="0.25">
      <c r="A655" s="14">
        <v>3651482000138</v>
      </c>
      <c r="B655" s="15" t="str">
        <f t="shared" si="10"/>
        <v>03.651.482/0001-38</v>
      </c>
      <c r="C655" s="12"/>
      <c r="D655" s="3" t="s">
        <v>2909</v>
      </c>
      <c r="E655" s="3" t="s">
        <v>2909</v>
      </c>
      <c r="F655" s="3" t="s">
        <v>20</v>
      </c>
      <c r="G655" s="4">
        <v>36552</v>
      </c>
      <c r="H655" s="3" t="s">
        <v>21</v>
      </c>
      <c r="I655" s="3" t="s">
        <v>22</v>
      </c>
      <c r="J655" s="5">
        <v>160000</v>
      </c>
      <c r="K655" s="3">
        <v>8122200</v>
      </c>
      <c r="L655" s="3" t="s">
        <v>2910</v>
      </c>
      <c r="M655" s="3" t="s">
        <v>2911</v>
      </c>
      <c r="N655" s="3">
        <v>59</v>
      </c>
      <c r="P655" s="3" t="s">
        <v>2912</v>
      </c>
      <c r="Q655" s="3" t="s">
        <v>27</v>
      </c>
      <c r="R655" s="3" t="s">
        <v>28</v>
      </c>
      <c r="S655" s="3">
        <v>4269030</v>
      </c>
      <c r="T655" s="3">
        <v>1166058166</v>
      </c>
      <c r="U655" s="3" t="s">
        <v>29</v>
      </c>
    </row>
    <row r="656" spans="1:21" ht="13.2" x14ac:dyDescent="0.25">
      <c r="A656" s="14">
        <v>10472968000174</v>
      </c>
      <c r="B656" s="15" t="str">
        <f t="shared" si="10"/>
        <v>10.472.968/0001-74</v>
      </c>
      <c r="C656" s="12" t="str">
        <f>VLOOKUP(B656,[1]Planilha1!$A:$B,2,0)</f>
        <v>Malu Montesino</v>
      </c>
      <c r="D656" s="3" t="s">
        <v>2913</v>
      </c>
      <c r="E656" s="3" t="s">
        <v>2914</v>
      </c>
      <c r="F656" s="3" t="s">
        <v>20</v>
      </c>
      <c r="G656" s="4">
        <v>39763</v>
      </c>
      <c r="H656" s="3" t="s">
        <v>94</v>
      </c>
      <c r="I656" s="3" t="s">
        <v>33</v>
      </c>
      <c r="J656" s="5">
        <v>252570240</v>
      </c>
      <c r="K656" s="3">
        <v>8211300</v>
      </c>
      <c r="L656" s="3" t="s">
        <v>166</v>
      </c>
      <c r="M656" s="3" t="s">
        <v>2915</v>
      </c>
      <c r="N656" s="3">
        <v>900</v>
      </c>
      <c r="O656" s="3" t="s">
        <v>2916</v>
      </c>
      <c r="P656" s="3" t="s">
        <v>316</v>
      </c>
      <c r="Q656" s="3" t="s">
        <v>27</v>
      </c>
      <c r="R656" s="3" t="s">
        <v>28</v>
      </c>
      <c r="S656" s="3">
        <v>4548003</v>
      </c>
      <c r="T656" s="3">
        <v>1130185800</v>
      </c>
      <c r="U656" s="3" t="s">
        <v>29</v>
      </c>
    </row>
    <row r="657" spans="1:21" ht="13.2" x14ac:dyDescent="0.25">
      <c r="A657" s="14">
        <v>8254239000108</v>
      </c>
      <c r="B657" s="15" t="str">
        <f t="shared" si="10"/>
        <v>08.254.239/0001-08</v>
      </c>
      <c r="C657" s="12"/>
      <c r="D657" s="3" t="s">
        <v>2917</v>
      </c>
      <c r="E657" s="3" t="s">
        <v>2918</v>
      </c>
      <c r="F657" s="3" t="s">
        <v>20</v>
      </c>
      <c r="G657" s="4">
        <v>38953</v>
      </c>
      <c r="H657" s="3" t="s">
        <v>21</v>
      </c>
      <c r="I657" s="3" t="s">
        <v>33</v>
      </c>
      <c r="J657" s="5">
        <v>1000000</v>
      </c>
      <c r="K657" s="3">
        <v>4399101</v>
      </c>
      <c r="L657" s="3" t="s">
        <v>2919</v>
      </c>
      <c r="M657" s="3" t="s">
        <v>2920</v>
      </c>
      <c r="N657" s="3">
        <v>130</v>
      </c>
      <c r="P657" s="3" t="s">
        <v>2921</v>
      </c>
      <c r="Q657" s="3" t="s">
        <v>27</v>
      </c>
      <c r="R657" s="3" t="s">
        <v>28</v>
      </c>
      <c r="S657" s="3">
        <v>8161240</v>
      </c>
      <c r="T657" s="3">
        <v>1126064919</v>
      </c>
      <c r="U657" s="3" t="s">
        <v>29</v>
      </c>
    </row>
    <row r="658" spans="1:21" ht="13.2" x14ac:dyDescent="0.25">
      <c r="A658" s="14">
        <v>7360697000150</v>
      </c>
      <c r="B658" s="15" t="str">
        <f t="shared" si="10"/>
        <v>07.360.697/0001-50</v>
      </c>
      <c r="C658" s="12"/>
      <c r="D658" s="3" t="s">
        <v>2922</v>
      </c>
      <c r="E658" s="3" t="s">
        <v>2923</v>
      </c>
      <c r="F658" s="3" t="s">
        <v>20</v>
      </c>
      <c r="G658" s="4">
        <v>38456</v>
      </c>
      <c r="H658" s="3" t="s">
        <v>21</v>
      </c>
      <c r="I658" s="3" t="s">
        <v>47</v>
      </c>
      <c r="J658" s="5">
        <v>20000</v>
      </c>
      <c r="K658" s="3">
        <v>4789099</v>
      </c>
      <c r="L658" s="3" t="s">
        <v>774</v>
      </c>
      <c r="M658" s="3" t="s">
        <v>2924</v>
      </c>
      <c r="N658" s="3">
        <v>1365</v>
      </c>
      <c r="P658" s="3" t="s">
        <v>2925</v>
      </c>
      <c r="Q658" s="3" t="s">
        <v>27</v>
      </c>
      <c r="R658" s="3" t="s">
        <v>28</v>
      </c>
      <c r="S658" s="3">
        <v>8070130</v>
      </c>
      <c r="U658" s="3" t="s">
        <v>29</v>
      </c>
    </row>
    <row r="659" spans="1:21" ht="13.2" x14ac:dyDescent="0.25">
      <c r="A659" s="14">
        <v>26576589000164</v>
      </c>
      <c r="B659" s="15" t="str">
        <f t="shared" si="10"/>
        <v>26.576.589/0001-64</v>
      </c>
      <c r="C659" s="12"/>
      <c r="D659" s="3" t="s">
        <v>2926</v>
      </c>
      <c r="E659" s="3" t="s">
        <v>2927</v>
      </c>
      <c r="F659" s="3" t="s">
        <v>20</v>
      </c>
      <c r="G659" s="4">
        <v>42695</v>
      </c>
      <c r="H659" s="3" t="s">
        <v>2634</v>
      </c>
      <c r="I659" s="3" t="s">
        <v>33</v>
      </c>
      <c r="J659" s="5">
        <v>0</v>
      </c>
      <c r="K659" s="3">
        <v>6462000</v>
      </c>
      <c r="L659" s="3" t="s">
        <v>250</v>
      </c>
      <c r="M659" s="3" t="s">
        <v>2928</v>
      </c>
      <c r="N659" s="3">
        <v>22297</v>
      </c>
      <c r="P659" s="3" t="s">
        <v>2929</v>
      </c>
      <c r="R659" s="3" t="s">
        <v>2637</v>
      </c>
      <c r="U659" s="3" t="s">
        <v>29</v>
      </c>
    </row>
    <row r="660" spans="1:21" ht="13.2" x14ac:dyDescent="0.25">
      <c r="A660" s="14">
        <v>4810813000106</v>
      </c>
      <c r="B660" s="15" t="str">
        <f t="shared" si="10"/>
        <v>04.810.813/0001-06</v>
      </c>
      <c r="C660" s="12"/>
      <c r="D660" s="3" t="s">
        <v>2930</v>
      </c>
      <c r="E660" s="3" t="s">
        <v>2931</v>
      </c>
      <c r="F660" s="3" t="s">
        <v>20</v>
      </c>
      <c r="G660" s="4">
        <v>37229</v>
      </c>
      <c r="H660" s="3" t="s">
        <v>21</v>
      </c>
      <c r="I660" s="3" t="s">
        <v>33</v>
      </c>
      <c r="J660" s="5">
        <v>36391276</v>
      </c>
      <c r="K660" s="3">
        <v>4211101</v>
      </c>
      <c r="L660" s="3" t="s">
        <v>313</v>
      </c>
      <c r="M660" s="3" t="s">
        <v>2932</v>
      </c>
      <c r="N660" s="3">
        <v>945</v>
      </c>
      <c r="O660" s="3" t="s">
        <v>2933</v>
      </c>
      <c r="P660" s="3" t="s">
        <v>153</v>
      </c>
      <c r="Q660" s="3" t="s">
        <v>987</v>
      </c>
      <c r="R660" s="3" t="s">
        <v>100</v>
      </c>
      <c r="S660" s="3">
        <v>38402829</v>
      </c>
      <c r="T660" s="3">
        <v>3432214500</v>
      </c>
      <c r="U660" s="3" t="s">
        <v>29</v>
      </c>
    </row>
    <row r="661" spans="1:21" ht="13.2" x14ac:dyDescent="0.25">
      <c r="A661" s="14">
        <v>18257524000128</v>
      </c>
      <c r="B661" s="15" t="str">
        <f t="shared" si="10"/>
        <v>18.257.524/0001-28</v>
      </c>
      <c r="C661" s="12" t="str">
        <f>VLOOKUP(B661,[1]Planilha1!$A:$B,2,0)</f>
        <v>Malu Montesino</v>
      </c>
      <c r="D661" s="3" t="s">
        <v>2934</v>
      </c>
      <c r="E661" s="3" t="s">
        <v>2934</v>
      </c>
      <c r="F661" s="3" t="s">
        <v>20</v>
      </c>
      <c r="G661" s="4">
        <v>41431</v>
      </c>
      <c r="H661" s="3" t="s">
        <v>21</v>
      </c>
      <c r="I661" s="3" t="s">
        <v>33</v>
      </c>
      <c r="J661" s="5">
        <v>50000</v>
      </c>
      <c r="K661" s="3">
        <v>4759899</v>
      </c>
      <c r="L661" s="3" t="s">
        <v>207</v>
      </c>
      <c r="M661" s="3" t="s">
        <v>2935</v>
      </c>
      <c r="N661" s="3" t="s">
        <v>82</v>
      </c>
      <c r="O661" s="3" t="s">
        <v>2936</v>
      </c>
      <c r="P661" s="3" t="s">
        <v>2937</v>
      </c>
      <c r="Q661" s="3" t="s">
        <v>2938</v>
      </c>
      <c r="R661" s="3" t="s">
        <v>78</v>
      </c>
      <c r="S661" s="3">
        <v>26600000</v>
      </c>
      <c r="T661" s="3">
        <v>2126838450</v>
      </c>
      <c r="U661" s="3" t="s">
        <v>29</v>
      </c>
    </row>
    <row r="662" spans="1:21" ht="13.2" x14ac:dyDescent="0.25">
      <c r="A662" s="14">
        <v>11041102000171</v>
      </c>
      <c r="B662" s="15" t="str">
        <f t="shared" si="10"/>
        <v>11.041.102/0001-71</v>
      </c>
      <c r="C662" s="12"/>
      <c r="D662" s="3" t="s">
        <v>2939</v>
      </c>
      <c r="E662" s="3" t="s">
        <v>2940</v>
      </c>
      <c r="F662" s="3" t="s">
        <v>20</v>
      </c>
      <c r="G662" s="4">
        <v>39987</v>
      </c>
      <c r="H662" s="3" t="s">
        <v>21</v>
      </c>
      <c r="I662" s="3" t="s">
        <v>33</v>
      </c>
      <c r="J662" s="5">
        <v>1100000</v>
      </c>
      <c r="K662" s="3">
        <v>2439300</v>
      </c>
      <c r="L662" s="3" t="s">
        <v>2941</v>
      </c>
      <c r="M662" s="3" t="s">
        <v>2942</v>
      </c>
      <c r="N662" s="3" t="s">
        <v>82</v>
      </c>
      <c r="O662" s="3" t="s">
        <v>2943</v>
      </c>
      <c r="P662" s="3" t="s">
        <v>2944</v>
      </c>
      <c r="Q662" s="3" t="s">
        <v>1054</v>
      </c>
      <c r="R662" s="3" t="s">
        <v>28</v>
      </c>
      <c r="S662" s="3">
        <v>13360000</v>
      </c>
      <c r="T662" s="3">
        <v>1934929100</v>
      </c>
      <c r="U662" s="3" t="s">
        <v>29</v>
      </c>
    </row>
    <row r="663" spans="1:21" ht="13.2" x14ac:dyDescent="0.25">
      <c r="A663" s="14">
        <v>2867917000113</v>
      </c>
      <c r="B663" s="15" t="str">
        <f t="shared" si="10"/>
        <v>02.867.917/0001-13</v>
      </c>
      <c r="C663" s="12"/>
      <c r="D663" s="3" t="s">
        <v>2945</v>
      </c>
      <c r="E663" s="3" t="s">
        <v>2945</v>
      </c>
      <c r="F663" s="3" t="s">
        <v>31</v>
      </c>
      <c r="G663" s="4">
        <v>36118</v>
      </c>
      <c r="H663" s="3" t="s">
        <v>21</v>
      </c>
      <c r="I663" s="3" t="s">
        <v>22</v>
      </c>
      <c r="J663" s="5">
        <v>10000</v>
      </c>
      <c r="K663" s="3">
        <v>8211300</v>
      </c>
      <c r="L663" s="3" t="s">
        <v>166</v>
      </c>
      <c r="M663" s="3" t="s">
        <v>1891</v>
      </c>
      <c r="N663" s="3">
        <v>1030</v>
      </c>
      <c r="O663" s="3" t="s">
        <v>2946</v>
      </c>
      <c r="P663" s="3" t="s">
        <v>940</v>
      </c>
      <c r="Q663" s="3" t="s">
        <v>617</v>
      </c>
      <c r="R663" s="3" t="s">
        <v>28</v>
      </c>
      <c r="S663" s="3">
        <v>6454000</v>
      </c>
      <c r="T663" s="3">
        <v>1574078008</v>
      </c>
      <c r="U663" s="3" t="s">
        <v>29</v>
      </c>
    </row>
    <row r="664" spans="1:21" ht="13.2" x14ac:dyDescent="0.25">
      <c r="A664" s="14">
        <v>44589885000181</v>
      </c>
      <c r="B664" s="15" t="str">
        <f t="shared" si="10"/>
        <v>44.589.885/0001-81</v>
      </c>
      <c r="C664" s="12"/>
      <c r="D664" s="3" t="s">
        <v>2947</v>
      </c>
      <c r="E664" s="3" t="s">
        <v>2947</v>
      </c>
      <c r="F664" s="3" t="s">
        <v>20</v>
      </c>
      <c r="G664" s="4">
        <v>26263</v>
      </c>
      <c r="H664" s="3" t="s">
        <v>21</v>
      </c>
      <c r="I664" s="3" t="s">
        <v>33</v>
      </c>
      <c r="J664" s="5">
        <v>29585472</v>
      </c>
      <c r="K664" s="3">
        <v>2099199</v>
      </c>
      <c r="L664" s="3" t="s">
        <v>80</v>
      </c>
      <c r="M664" s="3" t="s">
        <v>2948</v>
      </c>
      <c r="N664" s="3" t="s">
        <v>82</v>
      </c>
      <c r="O664" s="3" t="s">
        <v>2949</v>
      </c>
      <c r="P664" s="3" t="s">
        <v>1443</v>
      </c>
      <c r="Q664" s="3" t="s">
        <v>85</v>
      </c>
      <c r="R664" s="3" t="s">
        <v>28</v>
      </c>
      <c r="S664" s="3">
        <v>13181901</v>
      </c>
      <c r="T664" s="3">
        <v>1938645032</v>
      </c>
      <c r="U664" s="3" t="s">
        <v>29</v>
      </c>
    </row>
    <row r="665" spans="1:21" ht="13.2" x14ac:dyDescent="0.25">
      <c r="A665" s="14">
        <v>28060243000134</v>
      </c>
      <c r="B665" s="15" t="str">
        <f t="shared" si="10"/>
        <v>28.060.243/0001-34</v>
      </c>
      <c r="C665" s="12"/>
      <c r="D665" s="3" t="s">
        <v>2950</v>
      </c>
      <c r="E665" s="3" t="s">
        <v>2951</v>
      </c>
      <c r="F665" s="3" t="s">
        <v>20</v>
      </c>
      <c r="G665" s="4">
        <v>42914</v>
      </c>
      <c r="H665" s="3" t="s">
        <v>21</v>
      </c>
      <c r="I665" s="3" t="s">
        <v>47</v>
      </c>
      <c r="J665" s="5">
        <v>50000</v>
      </c>
      <c r="K665" s="3">
        <v>7112000</v>
      </c>
      <c r="L665" s="3" t="s">
        <v>276</v>
      </c>
      <c r="M665" s="3" t="s">
        <v>2952</v>
      </c>
      <c r="N665" s="3">
        <v>27</v>
      </c>
      <c r="O665" s="3" t="s">
        <v>2953</v>
      </c>
      <c r="P665" s="3" t="s">
        <v>70</v>
      </c>
      <c r="Q665" s="3" t="s">
        <v>262</v>
      </c>
      <c r="R665" s="3" t="s">
        <v>28</v>
      </c>
      <c r="S665" s="3">
        <v>6097100</v>
      </c>
      <c r="T665" s="3">
        <v>1142379049</v>
      </c>
      <c r="U665" s="3" t="s">
        <v>29</v>
      </c>
    </row>
    <row r="666" spans="1:21" ht="13.2" x14ac:dyDescent="0.25">
      <c r="A666" s="14">
        <v>7481098000195</v>
      </c>
      <c r="B666" s="15" t="str">
        <f t="shared" si="10"/>
        <v>07.481.098/0001-95</v>
      </c>
      <c r="C666" s="12"/>
      <c r="D666" s="3" t="s">
        <v>2954</v>
      </c>
      <c r="E666" s="3" t="s">
        <v>2954</v>
      </c>
      <c r="F666" s="3" t="s">
        <v>20</v>
      </c>
      <c r="G666" s="4">
        <v>38478</v>
      </c>
      <c r="H666" s="3" t="s">
        <v>21</v>
      </c>
      <c r="I666" s="3" t="s">
        <v>47</v>
      </c>
      <c r="J666" s="5">
        <v>600000</v>
      </c>
      <c r="K666" s="3">
        <v>4120400</v>
      </c>
      <c r="L666" s="3" t="s">
        <v>87</v>
      </c>
      <c r="M666" s="3" t="s">
        <v>2955</v>
      </c>
      <c r="N666" s="3">
        <v>2210</v>
      </c>
      <c r="O666" s="3" t="s">
        <v>2956</v>
      </c>
      <c r="P666" s="3" t="s">
        <v>2957</v>
      </c>
      <c r="Q666" s="3" t="s">
        <v>204</v>
      </c>
      <c r="R666" s="3" t="s">
        <v>187</v>
      </c>
      <c r="S666" s="3">
        <v>80220061</v>
      </c>
      <c r="T666" s="3">
        <v>4184070319</v>
      </c>
      <c r="U666" s="3" t="s">
        <v>29</v>
      </c>
    </row>
    <row r="667" spans="1:21" ht="13.2" x14ac:dyDescent="0.25">
      <c r="A667" s="14">
        <v>7040941000106</v>
      </c>
      <c r="B667" s="15" t="str">
        <f t="shared" si="10"/>
        <v>07.040.941/0001-06</v>
      </c>
      <c r="C667" s="12" t="str">
        <f>VLOOKUP(B667,[1]Planilha1!$A:$B,2,0)</f>
        <v>Malu Montesino</v>
      </c>
      <c r="D667" s="3" t="s">
        <v>2958</v>
      </c>
      <c r="E667" s="3" t="s">
        <v>2958</v>
      </c>
      <c r="F667" s="3" t="s">
        <v>20</v>
      </c>
      <c r="G667" s="4">
        <v>38265</v>
      </c>
      <c r="H667" s="3" t="s">
        <v>21</v>
      </c>
      <c r="I667" s="3" t="s">
        <v>33</v>
      </c>
      <c r="J667" s="5">
        <v>95000000</v>
      </c>
      <c r="K667" s="3">
        <v>4661300</v>
      </c>
      <c r="L667" s="3" t="s">
        <v>595</v>
      </c>
      <c r="M667" s="3" t="s">
        <v>2959</v>
      </c>
      <c r="N667" s="3">
        <v>420</v>
      </c>
      <c r="P667" s="3" t="s">
        <v>2960</v>
      </c>
      <c r="Q667" s="3" t="s">
        <v>186</v>
      </c>
      <c r="R667" s="3" t="s">
        <v>187</v>
      </c>
      <c r="S667" s="3">
        <v>83015482</v>
      </c>
      <c r="T667" s="3">
        <v>4130915600</v>
      </c>
      <c r="U667" s="3" t="s">
        <v>29</v>
      </c>
    </row>
    <row r="668" spans="1:21" ht="13.2" x14ac:dyDescent="0.25">
      <c r="A668" s="14">
        <v>8422119000164</v>
      </c>
      <c r="B668" s="15" t="str">
        <f t="shared" si="10"/>
        <v>08.422.119/0001-64</v>
      </c>
      <c r="C668" s="12"/>
      <c r="D668" s="3" t="s">
        <v>2961</v>
      </c>
      <c r="E668" s="3" t="s">
        <v>2961</v>
      </c>
      <c r="F668" s="3" t="s">
        <v>20</v>
      </c>
      <c r="G668" s="4">
        <v>39020</v>
      </c>
      <c r="H668" s="3" t="s">
        <v>94</v>
      </c>
      <c r="I668" s="3" t="s">
        <v>33</v>
      </c>
      <c r="J668" s="5">
        <v>97280840</v>
      </c>
      <c r="K668" s="3">
        <v>6613400</v>
      </c>
      <c r="L668" s="3" t="s">
        <v>2962</v>
      </c>
      <c r="M668" s="3" t="s">
        <v>1767</v>
      </c>
      <c r="N668" s="3">
        <v>2516</v>
      </c>
      <c r="O668" s="3" t="s">
        <v>2963</v>
      </c>
      <c r="P668" s="3" t="s">
        <v>1740</v>
      </c>
      <c r="Q668" s="3" t="s">
        <v>27</v>
      </c>
      <c r="R668" s="3" t="s">
        <v>28</v>
      </c>
      <c r="S668" s="3">
        <v>5402400</v>
      </c>
      <c r="T668" s="3">
        <v>1121061100</v>
      </c>
      <c r="U668" s="3" t="s">
        <v>29</v>
      </c>
    </row>
    <row r="669" spans="1:21" ht="13.2" x14ac:dyDescent="0.25">
      <c r="A669" s="14">
        <v>84046101000193</v>
      </c>
      <c r="B669" s="15" t="str">
        <f t="shared" si="10"/>
        <v>84.046.101/0001-93</v>
      </c>
      <c r="C669" s="12" t="str">
        <f>VLOOKUP(B669,[1]Planilha1!$A:$B,2,0)</f>
        <v>Malu Montesino</v>
      </c>
      <c r="D669" s="3" t="s">
        <v>2964</v>
      </c>
      <c r="E669" s="3" t="s">
        <v>2964</v>
      </c>
      <c r="F669" s="3" t="s">
        <v>20</v>
      </c>
      <c r="G669" s="4">
        <v>26385</v>
      </c>
      <c r="H669" s="3" t="s">
        <v>94</v>
      </c>
      <c r="I669" s="3" t="s">
        <v>33</v>
      </c>
      <c r="J669" s="5">
        <v>3089948200</v>
      </c>
      <c r="K669" s="3">
        <v>1041400</v>
      </c>
      <c r="L669" s="3" t="s">
        <v>2965</v>
      </c>
      <c r="M669" s="3" t="s">
        <v>2966</v>
      </c>
      <c r="N669" s="3">
        <v>4657</v>
      </c>
      <c r="O669" s="3" t="s">
        <v>2967</v>
      </c>
      <c r="P669" s="3" t="s">
        <v>2968</v>
      </c>
      <c r="Q669" s="3" t="s">
        <v>2969</v>
      </c>
      <c r="R669" s="3" t="s">
        <v>91</v>
      </c>
      <c r="S669" s="3">
        <v>89115285</v>
      </c>
      <c r="T669" s="3">
        <v>4737032500</v>
      </c>
      <c r="U669" s="3" t="s">
        <v>29</v>
      </c>
    </row>
    <row r="670" spans="1:21" ht="13.2" x14ac:dyDescent="0.25">
      <c r="A670" s="14">
        <v>43854777000126</v>
      </c>
      <c r="B670" s="15" t="str">
        <f t="shared" si="10"/>
        <v>43.854.777/0001-26</v>
      </c>
      <c r="C670" s="12"/>
      <c r="D670" s="3" t="s">
        <v>2970</v>
      </c>
      <c r="E670" s="3" t="s">
        <v>2970</v>
      </c>
      <c r="F670" s="3" t="s">
        <v>20</v>
      </c>
      <c r="G670" s="4">
        <v>27012</v>
      </c>
      <c r="H670" s="3" t="s">
        <v>21</v>
      </c>
      <c r="I670" s="3" t="s">
        <v>33</v>
      </c>
      <c r="J670" s="5">
        <v>95606696</v>
      </c>
      <c r="K670" s="3">
        <v>4642702</v>
      </c>
      <c r="L670" s="3" t="s">
        <v>1139</v>
      </c>
      <c r="M670" s="3" t="s">
        <v>2971</v>
      </c>
      <c r="N670" s="3">
        <v>5135</v>
      </c>
      <c r="O670" s="3" t="s">
        <v>2972</v>
      </c>
      <c r="P670" s="3" t="s">
        <v>2973</v>
      </c>
      <c r="Q670" s="3" t="s">
        <v>357</v>
      </c>
      <c r="R670" s="3" t="s">
        <v>28</v>
      </c>
      <c r="S670" s="3">
        <v>7210250</v>
      </c>
      <c r="T670" s="3">
        <v>1120903300</v>
      </c>
      <c r="U670" s="3" t="s">
        <v>29</v>
      </c>
    </row>
    <row r="671" spans="1:21" ht="13.2" x14ac:dyDescent="0.25">
      <c r="A671" s="14">
        <v>17186232000189</v>
      </c>
      <c r="B671" s="15" t="str">
        <f t="shared" si="10"/>
        <v>17.186.232/0001-89</v>
      </c>
      <c r="C671" s="12"/>
      <c r="D671" s="3" t="s">
        <v>2974</v>
      </c>
      <c r="E671" s="3" t="s">
        <v>2975</v>
      </c>
      <c r="F671" s="3" t="s">
        <v>20</v>
      </c>
      <c r="G671" s="4">
        <v>41093</v>
      </c>
      <c r="H671" s="3" t="s">
        <v>21</v>
      </c>
      <c r="I671" s="3" t="s">
        <v>33</v>
      </c>
      <c r="J671" s="5">
        <v>40000000</v>
      </c>
      <c r="K671" s="3">
        <v>2710403</v>
      </c>
      <c r="L671" s="3" t="s">
        <v>227</v>
      </c>
      <c r="M671" s="3" t="s">
        <v>2976</v>
      </c>
      <c r="N671" s="3">
        <v>14</v>
      </c>
      <c r="P671" s="3" t="s">
        <v>2977</v>
      </c>
      <c r="Q671" s="3" t="s">
        <v>2978</v>
      </c>
      <c r="R671" s="3" t="s">
        <v>28</v>
      </c>
      <c r="S671" s="3">
        <v>7500000</v>
      </c>
      <c r="T671" s="3">
        <v>1126183611</v>
      </c>
      <c r="U671" s="3" t="s">
        <v>29</v>
      </c>
    </row>
    <row r="672" spans="1:21" ht="13.2" x14ac:dyDescent="0.25">
      <c r="A672" s="14">
        <v>72368012000184</v>
      </c>
      <c r="B672" s="15" t="str">
        <f t="shared" si="10"/>
        <v>72.368.012/0001-84</v>
      </c>
      <c r="C672" s="12"/>
      <c r="D672" s="3" t="s">
        <v>2979</v>
      </c>
      <c r="E672" s="3" t="s">
        <v>2979</v>
      </c>
      <c r="F672" s="3" t="s">
        <v>20</v>
      </c>
      <c r="G672" s="4">
        <v>34121</v>
      </c>
      <c r="H672" s="3" t="s">
        <v>21</v>
      </c>
      <c r="I672" s="3" t="s">
        <v>33</v>
      </c>
      <c r="J672" s="5">
        <v>15151215</v>
      </c>
      <c r="K672" s="3">
        <v>7120100</v>
      </c>
      <c r="L672" s="3" t="s">
        <v>2807</v>
      </c>
      <c r="M672" s="3" t="s">
        <v>2980</v>
      </c>
      <c r="N672" s="3">
        <v>65</v>
      </c>
      <c r="O672" s="3" t="s">
        <v>2981</v>
      </c>
      <c r="P672" s="3" t="s">
        <v>70</v>
      </c>
      <c r="Q672" s="3" t="s">
        <v>253</v>
      </c>
      <c r="R672" s="3" t="s">
        <v>78</v>
      </c>
      <c r="S672" s="3">
        <v>20031040</v>
      </c>
      <c r="T672" s="3">
        <v>2122069243</v>
      </c>
      <c r="U672" s="3" t="s">
        <v>29</v>
      </c>
    </row>
    <row r="673" spans="1:21" ht="13.2" x14ac:dyDescent="0.25">
      <c r="A673" s="14">
        <v>17140820000181</v>
      </c>
      <c r="B673" s="15" t="str">
        <f t="shared" si="10"/>
        <v>17.140.820/0001-81</v>
      </c>
      <c r="C673" s="12" t="str">
        <f>VLOOKUP(B673,[1]Planilha1!$A:$B,2,0)</f>
        <v>Malu Montesino</v>
      </c>
      <c r="D673" s="3" t="s">
        <v>2982</v>
      </c>
      <c r="E673" s="3" t="s">
        <v>2982</v>
      </c>
      <c r="F673" s="3" t="s">
        <v>20</v>
      </c>
      <c r="G673" s="4">
        <v>41191</v>
      </c>
      <c r="H673" s="3" t="s">
        <v>21</v>
      </c>
      <c r="I673" s="3" t="s">
        <v>33</v>
      </c>
      <c r="J673" s="5">
        <v>514516670</v>
      </c>
      <c r="K673" s="3">
        <v>4511106</v>
      </c>
      <c r="L673" s="3" t="s">
        <v>2983</v>
      </c>
      <c r="M673" s="3" t="s">
        <v>2209</v>
      </c>
      <c r="N673" s="3">
        <v>1240</v>
      </c>
      <c r="O673" s="3" t="s">
        <v>2984</v>
      </c>
      <c r="P673" s="3" t="s">
        <v>2211</v>
      </c>
      <c r="Q673" s="3" t="s">
        <v>27</v>
      </c>
      <c r="R673" s="3" t="s">
        <v>28</v>
      </c>
      <c r="S673" s="3">
        <v>4711130</v>
      </c>
      <c r="T673" s="3">
        <v>1935142550</v>
      </c>
      <c r="U673" s="3" t="s">
        <v>29</v>
      </c>
    </row>
    <row r="674" spans="1:21" ht="13.2" x14ac:dyDescent="0.25">
      <c r="A674" s="14">
        <v>2123544000176</v>
      </c>
      <c r="B674" s="15" t="str">
        <f t="shared" si="10"/>
        <v>02.123.544/0001-76</v>
      </c>
      <c r="C674" s="12"/>
      <c r="D674" s="3" t="s">
        <v>2985</v>
      </c>
      <c r="E674" s="3" t="s">
        <v>2986</v>
      </c>
      <c r="F674" s="3" t="s">
        <v>20</v>
      </c>
      <c r="G674" s="4">
        <v>35685</v>
      </c>
      <c r="H674" s="3" t="s">
        <v>21</v>
      </c>
      <c r="I674" s="3" t="s">
        <v>22</v>
      </c>
      <c r="J674" s="5">
        <v>1000</v>
      </c>
      <c r="K674" s="3">
        <v>8299799</v>
      </c>
      <c r="L674" s="3" t="s">
        <v>532</v>
      </c>
      <c r="M674" s="3" t="s">
        <v>246</v>
      </c>
      <c r="N674" s="3">
        <v>1439</v>
      </c>
      <c r="O674" s="3" t="s">
        <v>2987</v>
      </c>
      <c r="P674" s="3" t="s">
        <v>248</v>
      </c>
      <c r="Q674" s="3" t="s">
        <v>27</v>
      </c>
      <c r="R674" s="3" t="s">
        <v>28</v>
      </c>
      <c r="S674" s="3">
        <v>1311926</v>
      </c>
      <c r="T674" s="3">
        <v>1131068729</v>
      </c>
      <c r="U674" s="3" t="s">
        <v>29</v>
      </c>
    </row>
    <row r="675" spans="1:21" ht="13.2" x14ac:dyDescent="0.25">
      <c r="A675" s="14">
        <v>34115188000135</v>
      </c>
      <c r="B675" s="15" t="str">
        <f t="shared" si="10"/>
        <v>34.115.188/0001-35</v>
      </c>
      <c r="C675" s="12" t="str">
        <f>VLOOKUP(B675,[1]Planilha1!$A:$B,2,0)</f>
        <v>Malu Montesino</v>
      </c>
      <c r="D675" s="3" t="s">
        <v>2988</v>
      </c>
      <c r="E675" s="3" t="s">
        <v>2988</v>
      </c>
      <c r="F675" s="3" t="s">
        <v>20</v>
      </c>
      <c r="G675" s="4">
        <v>26073</v>
      </c>
      <c r="H675" s="3" t="s">
        <v>21</v>
      </c>
      <c r="I675" s="3" t="s">
        <v>33</v>
      </c>
      <c r="J675" s="5">
        <v>619500</v>
      </c>
      <c r="K675" s="3">
        <v>4322303</v>
      </c>
      <c r="L675" s="3" t="s">
        <v>2989</v>
      </c>
      <c r="M675" s="3" t="s">
        <v>1212</v>
      </c>
      <c r="N675" s="3">
        <v>155</v>
      </c>
      <c r="P675" s="3" t="s">
        <v>2990</v>
      </c>
      <c r="Q675" s="3" t="s">
        <v>332</v>
      </c>
      <c r="R675" s="3" t="s">
        <v>78</v>
      </c>
      <c r="S675" s="3">
        <v>25086110</v>
      </c>
      <c r="T675" s="3">
        <v>2136589100</v>
      </c>
      <c r="U675" s="3" t="s">
        <v>29</v>
      </c>
    </row>
    <row r="676" spans="1:21" ht="13.2" x14ac:dyDescent="0.25">
      <c r="A676" s="14">
        <v>11317175000143</v>
      </c>
      <c r="B676" s="15" t="str">
        <f t="shared" si="10"/>
        <v>11.317.175/0001-43</v>
      </c>
      <c r="C676" s="12"/>
      <c r="D676" s="3" t="s">
        <v>2991</v>
      </c>
      <c r="E676" s="3" t="s">
        <v>2992</v>
      </c>
      <c r="F676" s="3" t="s">
        <v>20</v>
      </c>
      <c r="G676" s="4">
        <v>40133</v>
      </c>
      <c r="H676" s="3" t="s">
        <v>21</v>
      </c>
      <c r="I676" s="3" t="s">
        <v>33</v>
      </c>
      <c r="J676" s="5">
        <v>300000</v>
      </c>
      <c r="K676" s="3">
        <v>4681805</v>
      </c>
      <c r="L676" s="3" t="s">
        <v>2003</v>
      </c>
      <c r="M676" s="3" t="s">
        <v>2993</v>
      </c>
      <c r="N676" s="3">
        <v>702</v>
      </c>
      <c r="P676" s="3" t="s">
        <v>2994</v>
      </c>
      <c r="Q676" s="3" t="s">
        <v>448</v>
      </c>
      <c r="R676" s="3" t="s">
        <v>449</v>
      </c>
      <c r="S676" s="3">
        <v>69094600</v>
      </c>
      <c r="T676" s="3">
        <v>9236636969</v>
      </c>
      <c r="U676" s="3" t="s">
        <v>29</v>
      </c>
    </row>
    <row r="677" spans="1:21" ht="13.2" x14ac:dyDescent="0.25">
      <c r="A677" s="14">
        <v>4292445000143</v>
      </c>
      <c r="B677" s="15" t="str">
        <f t="shared" si="10"/>
        <v>04.292.445/0001-43</v>
      </c>
      <c r="C677" s="12"/>
      <c r="D677" s="3" t="s">
        <v>2995</v>
      </c>
      <c r="E677" s="3" t="s">
        <v>2996</v>
      </c>
      <c r="F677" s="3" t="s">
        <v>20</v>
      </c>
      <c r="G677" s="4">
        <v>36937</v>
      </c>
      <c r="H677" s="3" t="s">
        <v>21</v>
      </c>
      <c r="I677" s="3" t="s">
        <v>33</v>
      </c>
      <c r="J677" s="5">
        <v>10000000</v>
      </c>
      <c r="K677" s="3">
        <v>4684299</v>
      </c>
      <c r="L677" s="3" t="s">
        <v>419</v>
      </c>
      <c r="M677" s="3" t="s">
        <v>2997</v>
      </c>
      <c r="N677" s="3">
        <v>53</v>
      </c>
      <c r="O677" s="3" t="s">
        <v>2998</v>
      </c>
      <c r="P677" s="3" t="s">
        <v>2999</v>
      </c>
      <c r="Q677" s="3" t="s">
        <v>710</v>
      </c>
      <c r="R677" s="3" t="s">
        <v>711</v>
      </c>
      <c r="S677" s="3">
        <v>49055610</v>
      </c>
      <c r="T677" s="3">
        <v>7932148699</v>
      </c>
      <c r="U677" s="3" t="s">
        <v>29</v>
      </c>
    </row>
    <row r="678" spans="1:21" ht="13.2" x14ac:dyDescent="0.25">
      <c r="A678" s="14">
        <v>8846841000126</v>
      </c>
      <c r="B678" s="15" t="str">
        <f t="shared" si="10"/>
        <v>08.846.841/0001-26</v>
      </c>
      <c r="C678" s="12"/>
      <c r="D678" s="3" t="s">
        <v>3000</v>
      </c>
      <c r="E678" s="3" t="s">
        <v>3001</v>
      </c>
      <c r="F678" s="3" t="s">
        <v>20</v>
      </c>
      <c r="G678" s="4">
        <v>39227</v>
      </c>
      <c r="H678" s="3" t="s">
        <v>21</v>
      </c>
      <c r="I678" s="3" t="s">
        <v>22</v>
      </c>
      <c r="J678" s="5">
        <v>750000</v>
      </c>
      <c r="K678" s="3">
        <v>4683400</v>
      </c>
      <c r="L678" s="3" t="s">
        <v>3002</v>
      </c>
      <c r="M678" s="3" t="s">
        <v>748</v>
      </c>
      <c r="N678" s="3" t="s">
        <v>82</v>
      </c>
      <c r="P678" s="3" t="s">
        <v>3003</v>
      </c>
      <c r="Q678" s="3" t="s">
        <v>3004</v>
      </c>
      <c r="R678" s="3" t="s">
        <v>187</v>
      </c>
      <c r="S678" s="3">
        <v>86465000</v>
      </c>
      <c r="T678" s="3">
        <v>4335341108</v>
      </c>
      <c r="U678" s="3" t="s">
        <v>29</v>
      </c>
    </row>
    <row r="679" spans="1:21" ht="13.2" x14ac:dyDescent="0.25">
      <c r="A679" s="14">
        <v>4027699000134</v>
      </c>
      <c r="B679" s="15" t="str">
        <f t="shared" si="10"/>
        <v>04.027.699/0001-34</v>
      </c>
      <c r="C679" s="12"/>
      <c r="D679" s="3" t="s">
        <v>3005</v>
      </c>
      <c r="E679" s="3" t="s">
        <v>3005</v>
      </c>
      <c r="F679" s="3" t="s">
        <v>20</v>
      </c>
      <c r="G679" s="4">
        <v>36768</v>
      </c>
      <c r="H679" s="3" t="s">
        <v>21</v>
      </c>
      <c r="I679" s="3" t="s">
        <v>47</v>
      </c>
      <c r="J679" s="5">
        <v>120000</v>
      </c>
      <c r="K679" s="3">
        <v>4649408</v>
      </c>
      <c r="L679" s="3" t="s">
        <v>464</v>
      </c>
      <c r="M679" s="3" t="s">
        <v>3006</v>
      </c>
      <c r="N679" s="3">
        <v>1981</v>
      </c>
      <c r="O679" s="3" t="s">
        <v>3007</v>
      </c>
      <c r="P679" s="3" t="s">
        <v>849</v>
      </c>
      <c r="Q679" s="3" t="s">
        <v>2015</v>
      </c>
      <c r="R679" s="3" t="s">
        <v>91</v>
      </c>
      <c r="S679" s="3">
        <v>89023000</v>
      </c>
      <c r="T679" s="3">
        <v>4733362256</v>
      </c>
      <c r="U679" s="3" t="s">
        <v>29</v>
      </c>
    </row>
    <row r="680" spans="1:21" ht="13.2" x14ac:dyDescent="0.25">
      <c r="A680" s="14">
        <v>48791685000168</v>
      </c>
      <c r="B680" s="15" t="str">
        <f t="shared" si="10"/>
        <v>48.791.685/0001-68</v>
      </c>
      <c r="C680" s="12"/>
      <c r="D680" s="3" t="s">
        <v>3008</v>
      </c>
      <c r="E680" s="3" t="s">
        <v>3008</v>
      </c>
      <c r="F680" s="3" t="s">
        <v>20</v>
      </c>
      <c r="G680" s="4">
        <v>28326</v>
      </c>
      <c r="H680" s="3" t="s">
        <v>21</v>
      </c>
      <c r="I680" s="3" t="s">
        <v>33</v>
      </c>
      <c r="J680" s="5">
        <v>7200000</v>
      </c>
      <c r="K680" s="3">
        <v>4645101</v>
      </c>
      <c r="L680" s="3" t="s">
        <v>135</v>
      </c>
      <c r="M680" s="3" t="s">
        <v>3009</v>
      </c>
      <c r="N680" s="3">
        <v>630</v>
      </c>
      <c r="O680" s="3" t="s">
        <v>3010</v>
      </c>
      <c r="P680" s="3" t="s">
        <v>142</v>
      </c>
      <c r="Q680" s="3" t="s">
        <v>27</v>
      </c>
      <c r="R680" s="3" t="s">
        <v>28</v>
      </c>
      <c r="S680" s="3">
        <v>3043000</v>
      </c>
      <c r="T680" s="3">
        <v>1133472700</v>
      </c>
      <c r="U680" s="3" t="s">
        <v>29</v>
      </c>
    </row>
    <row r="681" spans="1:21" ht="13.2" x14ac:dyDescent="0.25">
      <c r="A681" s="14">
        <v>2644868000150</v>
      </c>
      <c r="B681" s="15" t="str">
        <f t="shared" si="10"/>
        <v>02.644.868/0001-50</v>
      </c>
      <c r="C681" s="12"/>
      <c r="D681" s="3" t="s">
        <v>3011</v>
      </c>
      <c r="E681" s="3" t="s">
        <v>3012</v>
      </c>
      <c r="F681" s="3" t="s">
        <v>20</v>
      </c>
      <c r="G681" s="4">
        <v>35983</v>
      </c>
      <c r="H681" s="3" t="s">
        <v>21</v>
      </c>
      <c r="I681" s="3" t="s">
        <v>33</v>
      </c>
      <c r="J681" s="5">
        <v>800000</v>
      </c>
      <c r="K681" s="3">
        <v>7120100</v>
      </c>
      <c r="L681" s="3" t="s">
        <v>2807</v>
      </c>
      <c r="M681" s="3" t="s">
        <v>3013</v>
      </c>
      <c r="N681" s="3">
        <v>31</v>
      </c>
      <c r="O681" s="3" t="s">
        <v>3014</v>
      </c>
      <c r="P681" s="3" t="s">
        <v>1664</v>
      </c>
      <c r="Q681" s="3" t="s">
        <v>617</v>
      </c>
      <c r="R681" s="3" t="s">
        <v>28</v>
      </c>
      <c r="S681" s="3">
        <v>6453046</v>
      </c>
      <c r="T681" s="3">
        <v>1138572002</v>
      </c>
      <c r="U681" s="3" t="s">
        <v>29</v>
      </c>
    </row>
    <row r="682" spans="1:21" ht="13.2" x14ac:dyDescent="0.25">
      <c r="A682" s="14">
        <v>67065110000102</v>
      </c>
      <c r="B682" s="15" t="str">
        <f t="shared" si="10"/>
        <v>67.065.110/0001-02</v>
      </c>
      <c r="C682" s="12"/>
      <c r="D682" s="3" t="s">
        <v>3015</v>
      </c>
      <c r="E682" s="3" t="s">
        <v>3016</v>
      </c>
      <c r="F682" s="3" t="s">
        <v>20</v>
      </c>
      <c r="G682" s="4">
        <v>33535</v>
      </c>
      <c r="H682" s="3" t="s">
        <v>21</v>
      </c>
      <c r="I682" s="3" t="s">
        <v>33</v>
      </c>
      <c r="J682" s="5">
        <v>20000000</v>
      </c>
      <c r="K682" s="3">
        <v>3092000</v>
      </c>
      <c r="L682" s="3" t="s">
        <v>3017</v>
      </c>
      <c r="M682" s="3" t="s">
        <v>3018</v>
      </c>
      <c r="N682" s="3">
        <v>387</v>
      </c>
      <c r="O682" s="3" t="s">
        <v>3019</v>
      </c>
      <c r="P682" s="3" t="s">
        <v>3020</v>
      </c>
      <c r="Q682" s="3" t="s">
        <v>27</v>
      </c>
      <c r="R682" s="3" t="s">
        <v>28</v>
      </c>
      <c r="S682" s="3">
        <v>8240210</v>
      </c>
      <c r="T682" s="3">
        <v>1146403444</v>
      </c>
      <c r="U682" s="3" t="s">
        <v>29</v>
      </c>
    </row>
    <row r="683" spans="1:21" ht="13.2" x14ac:dyDescent="0.25">
      <c r="A683" s="14">
        <v>14055816000127</v>
      </c>
      <c r="B683" s="15" t="str">
        <f t="shared" si="10"/>
        <v>14.055.816/0001-27</v>
      </c>
      <c r="C683" s="12"/>
      <c r="D683" s="3" t="s">
        <v>3021</v>
      </c>
      <c r="E683" s="3" t="s">
        <v>3022</v>
      </c>
      <c r="F683" s="3" t="s">
        <v>20</v>
      </c>
      <c r="G683" s="4">
        <v>40714</v>
      </c>
      <c r="H683" s="3" t="s">
        <v>21</v>
      </c>
      <c r="I683" s="3" t="s">
        <v>22</v>
      </c>
      <c r="J683" s="5">
        <v>252000</v>
      </c>
      <c r="K683" s="3">
        <v>5620101</v>
      </c>
      <c r="L683" s="3" t="s">
        <v>1369</v>
      </c>
      <c r="M683" s="3" t="s">
        <v>3023</v>
      </c>
      <c r="N683" s="3">
        <v>19</v>
      </c>
      <c r="O683" s="3" t="s">
        <v>3024</v>
      </c>
      <c r="P683" s="3" t="s">
        <v>3025</v>
      </c>
      <c r="Q683" s="3" t="s">
        <v>27</v>
      </c>
      <c r="R683" s="3" t="s">
        <v>28</v>
      </c>
      <c r="S683" s="3">
        <v>4134020</v>
      </c>
      <c r="T683" s="3">
        <v>1332022230</v>
      </c>
      <c r="U683" s="3" t="s">
        <v>29</v>
      </c>
    </row>
    <row r="684" spans="1:21" ht="13.2" x14ac:dyDescent="0.25">
      <c r="A684" s="14">
        <v>22798968000148</v>
      </c>
      <c r="B684" s="15" t="str">
        <f t="shared" si="10"/>
        <v>22.798.968/0001-48</v>
      </c>
      <c r="C684" s="12"/>
      <c r="D684" s="3" t="s">
        <v>3026</v>
      </c>
      <c r="E684" s="3" t="s">
        <v>3027</v>
      </c>
      <c r="F684" s="3" t="s">
        <v>20</v>
      </c>
      <c r="G684" s="4">
        <v>42192</v>
      </c>
      <c r="H684" s="3" t="s">
        <v>21</v>
      </c>
      <c r="I684" s="3" t="s">
        <v>47</v>
      </c>
      <c r="J684" s="5">
        <v>100000</v>
      </c>
      <c r="K684" s="3">
        <v>8111700</v>
      </c>
      <c r="L684" s="3" t="s">
        <v>290</v>
      </c>
      <c r="M684" s="3" t="s">
        <v>3028</v>
      </c>
      <c r="N684" s="3">
        <v>550</v>
      </c>
      <c r="O684" s="3" t="s">
        <v>466</v>
      </c>
      <c r="P684" s="3" t="s">
        <v>3029</v>
      </c>
      <c r="Q684" s="3" t="s">
        <v>27</v>
      </c>
      <c r="R684" s="3" t="s">
        <v>28</v>
      </c>
      <c r="S684" s="3">
        <v>2728000</v>
      </c>
      <c r="T684" s="3">
        <v>1160646550</v>
      </c>
      <c r="U684" s="3" t="s">
        <v>29</v>
      </c>
    </row>
    <row r="685" spans="1:21" ht="13.2" x14ac:dyDescent="0.25">
      <c r="A685" s="14">
        <v>7052265000182</v>
      </c>
      <c r="B685" s="15" t="str">
        <f t="shared" si="10"/>
        <v>07.052.265/0001-82</v>
      </c>
      <c r="C685" s="12"/>
      <c r="D685" s="3" t="s">
        <v>3030</v>
      </c>
      <c r="E685" s="3" t="s">
        <v>3031</v>
      </c>
      <c r="F685" s="3" t="s">
        <v>20</v>
      </c>
      <c r="G685" s="4">
        <v>38219</v>
      </c>
      <c r="H685" s="3" t="s">
        <v>21</v>
      </c>
      <c r="I685" s="3" t="s">
        <v>33</v>
      </c>
      <c r="J685" s="5">
        <v>3210799</v>
      </c>
      <c r="K685" s="3">
        <v>2812700</v>
      </c>
      <c r="L685" s="3" t="s">
        <v>1534</v>
      </c>
      <c r="M685" s="3" t="s">
        <v>3032</v>
      </c>
      <c r="N685" s="3">
        <v>457</v>
      </c>
      <c r="P685" s="3" t="s">
        <v>3033</v>
      </c>
      <c r="Q685" s="3" t="s">
        <v>3034</v>
      </c>
      <c r="R685" s="3" t="s">
        <v>28</v>
      </c>
      <c r="S685" s="3">
        <v>14801534</v>
      </c>
      <c r="U685" s="3" t="s">
        <v>29</v>
      </c>
    </row>
    <row r="686" spans="1:21" ht="13.2" x14ac:dyDescent="0.25">
      <c r="A686" s="14">
        <v>18368805000158</v>
      </c>
      <c r="B686" s="15" t="str">
        <f t="shared" si="10"/>
        <v>18.368.805/0001-58</v>
      </c>
      <c r="C686" s="12"/>
      <c r="D686" s="3" t="s">
        <v>3035</v>
      </c>
      <c r="E686" s="3" t="s">
        <v>3036</v>
      </c>
      <c r="F686" s="3" t="s">
        <v>20</v>
      </c>
      <c r="G686" s="4">
        <v>41375</v>
      </c>
      <c r="H686" s="3" t="s">
        <v>21</v>
      </c>
      <c r="I686" s="3" t="s">
        <v>22</v>
      </c>
      <c r="J686" s="5">
        <v>500000</v>
      </c>
      <c r="K686" s="3">
        <v>8121400</v>
      </c>
      <c r="L686" s="3" t="s">
        <v>494</v>
      </c>
      <c r="M686" s="3" t="s">
        <v>3037</v>
      </c>
      <c r="N686" s="3">
        <v>24</v>
      </c>
      <c r="O686" s="3" t="s">
        <v>496</v>
      </c>
      <c r="P686" s="3" t="s">
        <v>70</v>
      </c>
      <c r="Q686" s="3" t="s">
        <v>3038</v>
      </c>
      <c r="R686" s="3" t="s">
        <v>187</v>
      </c>
      <c r="S686" s="3">
        <v>83650000</v>
      </c>
      <c r="T686" s="3">
        <v>4136361500</v>
      </c>
      <c r="U686" s="3" t="s">
        <v>29</v>
      </c>
    </row>
    <row r="687" spans="1:21" ht="13.2" x14ac:dyDescent="0.25">
      <c r="A687" s="14">
        <v>4062944000144</v>
      </c>
      <c r="B687" s="15" t="str">
        <f t="shared" si="10"/>
        <v>04.062.944/0001-44</v>
      </c>
      <c r="C687" s="12"/>
      <c r="D687" s="3" t="s">
        <v>3039</v>
      </c>
      <c r="E687" s="3" t="s">
        <v>3040</v>
      </c>
      <c r="F687" s="3" t="s">
        <v>20</v>
      </c>
      <c r="G687" s="4">
        <v>36790</v>
      </c>
      <c r="H687" s="3" t="s">
        <v>21</v>
      </c>
      <c r="I687" s="3" t="s">
        <v>33</v>
      </c>
      <c r="J687" s="5">
        <v>1000000</v>
      </c>
      <c r="K687" s="3">
        <v>4673700</v>
      </c>
      <c r="L687" s="3" t="s">
        <v>861</v>
      </c>
      <c r="M687" s="3" t="s">
        <v>3041</v>
      </c>
      <c r="N687" s="3">
        <v>351</v>
      </c>
      <c r="O687" s="3" t="s">
        <v>3042</v>
      </c>
      <c r="P687" s="3" t="s">
        <v>3043</v>
      </c>
      <c r="Q687" s="3" t="s">
        <v>253</v>
      </c>
      <c r="R687" s="3" t="s">
        <v>78</v>
      </c>
      <c r="S687" s="3">
        <v>21041030</v>
      </c>
      <c r="T687" s="3">
        <v>2125605997</v>
      </c>
      <c r="U687" s="3" t="s">
        <v>29</v>
      </c>
    </row>
    <row r="688" spans="1:21" ht="13.2" x14ac:dyDescent="0.25">
      <c r="A688" s="14">
        <v>2430238000182</v>
      </c>
      <c r="B688" s="15" t="str">
        <f t="shared" si="10"/>
        <v>02.430.238/0001-82</v>
      </c>
      <c r="C688" s="12"/>
      <c r="D688" s="3" t="s">
        <v>3044</v>
      </c>
      <c r="E688" s="3" t="s">
        <v>3044</v>
      </c>
      <c r="F688" s="3" t="s">
        <v>20</v>
      </c>
      <c r="G688" s="4">
        <v>35877</v>
      </c>
      <c r="H688" s="3" t="s">
        <v>94</v>
      </c>
      <c r="I688" s="3" t="s">
        <v>33</v>
      </c>
      <c r="J688" s="5">
        <v>32000000</v>
      </c>
      <c r="K688" s="3">
        <v>3031800</v>
      </c>
      <c r="L688" s="3" t="s">
        <v>3045</v>
      </c>
      <c r="M688" s="3" t="s">
        <v>3046</v>
      </c>
      <c r="N688" s="3">
        <v>81</v>
      </c>
      <c r="O688" s="3" t="s">
        <v>3047</v>
      </c>
      <c r="P688" s="3" t="s">
        <v>1230</v>
      </c>
      <c r="Q688" s="3" t="s">
        <v>27</v>
      </c>
      <c r="R688" s="3" t="s">
        <v>28</v>
      </c>
      <c r="S688" s="3">
        <v>4533901</v>
      </c>
      <c r="T688" s="3">
        <v>1130740604</v>
      </c>
      <c r="U688" s="3" t="s">
        <v>29</v>
      </c>
    </row>
    <row r="689" spans="1:21" ht="13.2" x14ac:dyDescent="0.25">
      <c r="A689" s="14">
        <v>8458737000164</v>
      </c>
      <c r="B689" s="15" t="str">
        <f t="shared" si="10"/>
        <v>08.458.737/0001-64</v>
      </c>
      <c r="C689" s="12"/>
      <c r="D689" s="3" t="s">
        <v>3048</v>
      </c>
      <c r="E689" s="3" t="s">
        <v>3048</v>
      </c>
      <c r="F689" s="3" t="s">
        <v>20</v>
      </c>
      <c r="G689" s="4">
        <v>39031</v>
      </c>
      <c r="H689" s="3" t="s">
        <v>21</v>
      </c>
      <c r="I689" s="3" t="s">
        <v>22</v>
      </c>
      <c r="J689" s="5">
        <v>105000</v>
      </c>
      <c r="K689" s="3">
        <v>4789002</v>
      </c>
      <c r="L689" s="3" t="s">
        <v>3049</v>
      </c>
      <c r="M689" s="3" t="s">
        <v>3050</v>
      </c>
      <c r="N689" s="3">
        <v>250</v>
      </c>
      <c r="P689" s="3" t="s">
        <v>70</v>
      </c>
      <c r="Q689" s="3" t="s">
        <v>3051</v>
      </c>
      <c r="R689" s="3" t="s">
        <v>28</v>
      </c>
      <c r="S689" s="3">
        <v>16265009</v>
      </c>
      <c r="T689" s="3">
        <v>1836461194</v>
      </c>
      <c r="U689" s="3" t="s">
        <v>29</v>
      </c>
    </row>
    <row r="690" spans="1:21" ht="13.2" x14ac:dyDescent="0.25">
      <c r="A690" s="14">
        <v>2907841000102</v>
      </c>
      <c r="B690" s="15" t="str">
        <f t="shared" si="10"/>
        <v>02.907.841/0001-02</v>
      </c>
      <c r="C690" s="12" t="str">
        <f>VLOOKUP(B690,[1]Planilha1!$A:$B,2,0)</f>
        <v>Malu Montesino</v>
      </c>
      <c r="D690" s="3" t="s">
        <v>3052</v>
      </c>
      <c r="E690" s="3" t="s">
        <v>3052</v>
      </c>
      <c r="F690" s="3" t="s">
        <v>20</v>
      </c>
      <c r="G690" s="4">
        <v>36124</v>
      </c>
      <c r="H690" s="3" t="s">
        <v>21</v>
      </c>
      <c r="I690" s="3" t="s">
        <v>33</v>
      </c>
      <c r="J690" s="5">
        <v>309625700</v>
      </c>
      <c r="K690" s="3">
        <v>2930102</v>
      </c>
      <c r="L690" s="3" t="s">
        <v>3053</v>
      </c>
      <c r="M690" s="3" t="s">
        <v>3054</v>
      </c>
      <c r="N690" s="3" t="s">
        <v>82</v>
      </c>
      <c r="O690" s="3" t="s">
        <v>3055</v>
      </c>
      <c r="P690" s="3" t="s">
        <v>2699</v>
      </c>
      <c r="Q690" s="3" t="s">
        <v>3056</v>
      </c>
      <c r="R690" s="3" t="s">
        <v>28</v>
      </c>
      <c r="S690" s="3">
        <v>18607810</v>
      </c>
      <c r="T690" s="3">
        <v>1438113900</v>
      </c>
      <c r="U690" s="3" t="s">
        <v>29</v>
      </c>
    </row>
    <row r="691" spans="1:21" ht="13.2" x14ac:dyDescent="0.25">
      <c r="A691" s="14">
        <v>44692168000180</v>
      </c>
      <c r="B691" s="15" t="str">
        <f t="shared" si="10"/>
        <v>44.692.168/0001-80</v>
      </c>
      <c r="C691" s="12"/>
      <c r="D691" s="3" t="s">
        <v>3057</v>
      </c>
      <c r="E691" s="3" t="s">
        <v>3058</v>
      </c>
      <c r="F691" s="3" t="s">
        <v>20</v>
      </c>
      <c r="G691" s="4">
        <v>29333</v>
      </c>
      <c r="H691" s="3" t="s">
        <v>244</v>
      </c>
      <c r="I691" s="3" t="s">
        <v>33</v>
      </c>
      <c r="J691" s="5">
        <v>0</v>
      </c>
      <c r="K691" s="3">
        <v>9412099</v>
      </c>
      <c r="L691" s="3" t="s">
        <v>1770</v>
      </c>
      <c r="M691" s="3" t="s">
        <v>2298</v>
      </c>
      <c r="N691" s="3">
        <v>75</v>
      </c>
      <c r="P691" s="3" t="s">
        <v>70</v>
      </c>
      <c r="Q691" s="3" t="s">
        <v>27</v>
      </c>
      <c r="R691" s="3" t="s">
        <v>28</v>
      </c>
      <c r="S691" s="3">
        <v>1005000</v>
      </c>
      <c r="T691" s="3">
        <v>1132924490</v>
      </c>
      <c r="U691" s="3" t="s">
        <v>29</v>
      </c>
    </row>
    <row r="692" spans="1:21" ht="13.2" x14ac:dyDescent="0.25">
      <c r="A692" s="14">
        <v>360305000104</v>
      </c>
      <c r="B692" s="15" t="str">
        <f t="shared" si="10"/>
        <v>00.360.305/0001-04</v>
      </c>
      <c r="C692" s="12"/>
      <c r="D692" s="3" t="s">
        <v>3059</v>
      </c>
      <c r="E692" s="3" t="s">
        <v>3060</v>
      </c>
      <c r="F692" s="3" t="s">
        <v>20</v>
      </c>
      <c r="G692" s="4">
        <v>25967</v>
      </c>
      <c r="H692" s="3" t="s">
        <v>3061</v>
      </c>
      <c r="I692" s="3" t="s">
        <v>33</v>
      </c>
      <c r="J692" s="5">
        <v>105300000000</v>
      </c>
      <c r="K692" s="3">
        <v>6423900</v>
      </c>
      <c r="L692" s="3" t="s">
        <v>3062</v>
      </c>
      <c r="M692" s="3" t="s">
        <v>3063</v>
      </c>
      <c r="N692" s="3" t="s">
        <v>82</v>
      </c>
      <c r="O692" s="3" t="s">
        <v>3064</v>
      </c>
      <c r="P692" s="3" t="s">
        <v>1745</v>
      </c>
      <c r="Q692" s="3" t="s">
        <v>631</v>
      </c>
      <c r="R692" s="3" t="s">
        <v>632</v>
      </c>
      <c r="S692" s="3">
        <v>70092900</v>
      </c>
      <c r="T692" s="3">
        <v>40040104</v>
      </c>
      <c r="U692" s="3" t="s">
        <v>29</v>
      </c>
    </row>
    <row r="693" spans="1:21" ht="13.2" x14ac:dyDescent="0.25">
      <c r="A693" s="14">
        <v>12030223000180</v>
      </c>
      <c r="B693" s="15" t="str">
        <f t="shared" si="10"/>
        <v>12.030.223/0001-80</v>
      </c>
      <c r="C693" s="12"/>
      <c r="D693" s="3" t="s">
        <v>3065</v>
      </c>
      <c r="E693" s="3" t="s">
        <v>3065</v>
      </c>
      <c r="F693" s="3" t="s">
        <v>20</v>
      </c>
      <c r="G693" s="4">
        <v>40315</v>
      </c>
      <c r="H693" s="3" t="s">
        <v>21</v>
      </c>
      <c r="I693" s="3" t="s">
        <v>33</v>
      </c>
      <c r="J693" s="5">
        <v>1000000</v>
      </c>
      <c r="K693" s="3">
        <v>1531901</v>
      </c>
      <c r="L693" s="3" t="s">
        <v>1330</v>
      </c>
      <c r="M693" s="3" t="s">
        <v>3066</v>
      </c>
      <c r="N693" s="3">
        <v>1305</v>
      </c>
      <c r="P693" s="3" t="s">
        <v>3067</v>
      </c>
      <c r="Q693" s="3" t="s">
        <v>3068</v>
      </c>
      <c r="R693" s="3" t="s">
        <v>53</v>
      </c>
      <c r="S693" s="3">
        <v>93700000</v>
      </c>
      <c r="T693" s="3">
        <v>5130385310</v>
      </c>
      <c r="U693" s="3" t="s">
        <v>29</v>
      </c>
    </row>
    <row r="694" spans="1:21" ht="13.2" x14ac:dyDescent="0.25">
      <c r="A694" s="14">
        <v>3531165000188</v>
      </c>
      <c r="B694" s="15" t="str">
        <f t="shared" si="10"/>
        <v>03.531.165/0001-88</v>
      </c>
      <c r="C694" s="12"/>
      <c r="D694" s="3" t="s">
        <v>3069</v>
      </c>
      <c r="E694" s="3" t="s">
        <v>3069</v>
      </c>
      <c r="F694" s="3" t="s">
        <v>20</v>
      </c>
      <c r="G694" s="4">
        <v>36493</v>
      </c>
      <c r="H694" s="3" t="s">
        <v>21</v>
      </c>
      <c r="I694" s="3" t="s">
        <v>33</v>
      </c>
      <c r="J694" s="5">
        <v>3000000</v>
      </c>
      <c r="K694" s="3">
        <v>1531901</v>
      </c>
      <c r="L694" s="3" t="s">
        <v>1330</v>
      </c>
      <c r="M694" s="3" t="s">
        <v>3070</v>
      </c>
      <c r="N694" s="3">
        <v>750</v>
      </c>
      <c r="P694" s="3" t="s">
        <v>153</v>
      </c>
      <c r="Q694" s="3" t="s">
        <v>3071</v>
      </c>
      <c r="R694" s="3" t="s">
        <v>187</v>
      </c>
      <c r="S694" s="3">
        <v>84430000</v>
      </c>
      <c r="T694" s="3">
        <v>4234361702</v>
      </c>
      <c r="U694" s="3" t="s">
        <v>29</v>
      </c>
    </row>
    <row r="695" spans="1:21" ht="13.2" x14ac:dyDescent="0.25">
      <c r="A695" s="14">
        <v>33143327000171</v>
      </c>
      <c r="B695" s="15" t="str">
        <f t="shared" si="10"/>
        <v>33.143.327/0001-71</v>
      </c>
      <c r="C695" s="12"/>
      <c r="D695" s="3" t="s">
        <v>3072</v>
      </c>
      <c r="E695" s="3" t="s">
        <v>3073</v>
      </c>
      <c r="F695" s="3" t="s">
        <v>20</v>
      </c>
      <c r="G695" s="4">
        <v>43550</v>
      </c>
      <c r="H695" s="3" t="s">
        <v>94</v>
      </c>
      <c r="I695" s="3" t="s">
        <v>33</v>
      </c>
      <c r="J695" s="5">
        <v>6434031</v>
      </c>
      <c r="K695" s="3">
        <v>8121400</v>
      </c>
      <c r="L695" s="3" t="s">
        <v>494</v>
      </c>
      <c r="M695" s="3" t="s">
        <v>308</v>
      </c>
      <c r="N695" s="3">
        <v>13797</v>
      </c>
      <c r="O695" s="3" t="s">
        <v>3074</v>
      </c>
      <c r="P695" s="3" t="s">
        <v>310</v>
      </c>
      <c r="Q695" s="3" t="s">
        <v>27</v>
      </c>
      <c r="R695" s="3" t="s">
        <v>28</v>
      </c>
      <c r="S695" s="3">
        <v>4794000</v>
      </c>
      <c r="T695" s="3">
        <v>1134745600</v>
      </c>
      <c r="U695" s="3" t="s">
        <v>29</v>
      </c>
    </row>
    <row r="696" spans="1:21" ht="13.2" x14ac:dyDescent="0.25">
      <c r="A696" s="14">
        <v>4784569000146</v>
      </c>
      <c r="B696" s="15" t="str">
        <f t="shared" si="10"/>
        <v>04.784.569/0001-46</v>
      </c>
      <c r="C696" s="12"/>
      <c r="D696" s="3" t="s">
        <v>3075</v>
      </c>
      <c r="E696" s="3" t="s">
        <v>3075</v>
      </c>
      <c r="F696" s="3" t="s">
        <v>20</v>
      </c>
      <c r="G696" s="4">
        <v>37211</v>
      </c>
      <c r="H696" s="3" t="s">
        <v>21</v>
      </c>
      <c r="I696" s="3" t="s">
        <v>33</v>
      </c>
      <c r="J696" s="5">
        <v>10000000</v>
      </c>
      <c r="K696" s="3">
        <v>7311400</v>
      </c>
      <c r="L696" s="3" t="s">
        <v>656</v>
      </c>
      <c r="M696" s="3" t="s">
        <v>3076</v>
      </c>
      <c r="N696" s="3">
        <v>215</v>
      </c>
      <c r="O696" s="3" t="s">
        <v>3077</v>
      </c>
      <c r="P696" s="3" t="s">
        <v>3078</v>
      </c>
      <c r="Q696" s="3" t="s">
        <v>27</v>
      </c>
      <c r="R696" s="3" t="s">
        <v>28</v>
      </c>
      <c r="S696" s="3">
        <v>5804900</v>
      </c>
      <c r="T696" s="3">
        <v>1121235222</v>
      </c>
      <c r="U696" s="3" t="s">
        <v>29</v>
      </c>
    </row>
    <row r="697" spans="1:21" ht="13.2" x14ac:dyDescent="0.25">
      <c r="A697" s="14">
        <v>19960028000107</v>
      </c>
      <c r="B697" s="15" t="str">
        <f t="shared" si="10"/>
        <v>19.960.028/0001-07</v>
      </c>
      <c r="C697" s="12"/>
      <c r="D697" s="3" t="s">
        <v>3079</v>
      </c>
      <c r="E697" s="3" t="s">
        <v>3080</v>
      </c>
      <c r="F697" s="3" t="s">
        <v>20</v>
      </c>
      <c r="G697" s="4">
        <v>41725</v>
      </c>
      <c r="H697" s="3" t="s">
        <v>21</v>
      </c>
      <c r="I697" s="3" t="s">
        <v>33</v>
      </c>
      <c r="J697" s="5">
        <v>2250000</v>
      </c>
      <c r="K697" s="3">
        <v>4222701</v>
      </c>
      <c r="L697" s="3" t="s">
        <v>1909</v>
      </c>
      <c r="M697" s="3" t="s">
        <v>1480</v>
      </c>
      <c r="N697" s="3">
        <v>2375</v>
      </c>
      <c r="O697" s="3" t="s">
        <v>3081</v>
      </c>
      <c r="P697" s="3" t="s">
        <v>3082</v>
      </c>
      <c r="Q697" s="3" t="s">
        <v>2822</v>
      </c>
      <c r="R697" s="3" t="s">
        <v>28</v>
      </c>
      <c r="S697" s="3">
        <v>12242000</v>
      </c>
      <c r="T697" s="3">
        <v>1147645616</v>
      </c>
      <c r="U697" s="3" t="s">
        <v>29</v>
      </c>
    </row>
    <row r="698" spans="1:21" ht="13.2" x14ac:dyDescent="0.25">
      <c r="A698" s="14">
        <v>1530501000142</v>
      </c>
      <c r="B698" s="15" t="str">
        <f t="shared" si="10"/>
        <v>01.530.501/0001-42</v>
      </c>
      <c r="C698" s="12"/>
      <c r="D698" s="3" t="s">
        <v>3083</v>
      </c>
      <c r="E698" s="3" t="s">
        <v>3083</v>
      </c>
      <c r="F698" s="3" t="s">
        <v>20</v>
      </c>
      <c r="G698" s="4">
        <v>35375</v>
      </c>
      <c r="H698" s="3" t="s">
        <v>21</v>
      </c>
      <c r="I698" s="3" t="s">
        <v>33</v>
      </c>
      <c r="J698" s="5">
        <v>45390080</v>
      </c>
      <c r="K698" s="3">
        <v>2099199</v>
      </c>
      <c r="L698" s="3" t="s">
        <v>80</v>
      </c>
      <c r="M698" s="3" t="s">
        <v>3084</v>
      </c>
      <c r="N698" s="3">
        <v>8806</v>
      </c>
      <c r="P698" s="3" t="s">
        <v>153</v>
      </c>
      <c r="Q698" s="3" t="s">
        <v>1195</v>
      </c>
      <c r="R698" s="3" t="s">
        <v>53</v>
      </c>
      <c r="S698" s="3">
        <v>94836000</v>
      </c>
      <c r="T698" s="3">
        <v>5134832471</v>
      </c>
      <c r="U698" s="3" t="s">
        <v>29</v>
      </c>
    </row>
    <row r="699" spans="1:21" ht="13.2" x14ac:dyDescent="0.25">
      <c r="A699" s="14">
        <v>5920424000198</v>
      </c>
      <c r="B699" s="15" t="str">
        <f t="shared" si="10"/>
        <v>05.920.424/0001-98</v>
      </c>
      <c r="C699" s="12"/>
      <c r="D699" s="3" t="s">
        <v>3085</v>
      </c>
      <c r="E699" s="3" t="s">
        <v>3086</v>
      </c>
      <c r="F699" s="3" t="s">
        <v>3087</v>
      </c>
      <c r="G699" s="4">
        <v>37895</v>
      </c>
      <c r="H699" s="3" t="s">
        <v>21</v>
      </c>
      <c r="I699" s="3" t="s">
        <v>33</v>
      </c>
      <c r="J699" s="5">
        <v>1000000</v>
      </c>
      <c r="K699" s="3">
        <v>8299799</v>
      </c>
      <c r="L699" s="3" t="s">
        <v>532</v>
      </c>
      <c r="M699" s="3" t="s">
        <v>3088</v>
      </c>
      <c r="N699" s="3">
        <v>204</v>
      </c>
      <c r="P699" s="3" t="s">
        <v>3089</v>
      </c>
      <c r="Q699" s="3" t="s">
        <v>987</v>
      </c>
      <c r="R699" s="3" t="s">
        <v>100</v>
      </c>
      <c r="S699" s="3">
        <v>38414158</v>
      </c>
      <c r="T699" s="3">
        <v>3432110562</v>
      </c>
      <c r="U699" s="3" t="s">
        <v>29</v>
      </c>
    </row>
    <row r="700" spans="1:21" ht="13.2" x14ac:dyDescent="0.25">
      <c r="A700" s="14">
        <v>33947128000116</v>
      </c>
      <c r="B700" s="15" t="str">
        <f t="shared" si="10"/>
        <v>33.947.128/0001-16</v>
      </c>
      <c r="C700" s="12"/>
      <c r="D700" s="3" t="s">
        <v>3090</v>
      </c>
      <c r="E700" s="3" t="s">
        <v>3090</v>
      </c>
      <c r="F700" s="3" t="s">
        <v>20</v>
      </c>
      <c r="G700" s="4">
        <v>25381</v>
      </c>
      <c r="H700" s="3" t="s">
        <v>244</v>
      </c>
      <c r="I700" s="3" t="s">
        <v>33</v>
      </c>
      <c r="J700" s="5">
        <v>0</v>
      </c>
      <c r="K700" s="3">
        <v>9411100</v>
      </c>
      <c r="L700" s="3" t="s">
        <v>1737</v>
      </c>
      <c r="M700" s="3" t="s">
        <v>3091</v>
      </c>
      <c r="N700" s="3" t="s">
        <v>82</v>
      </c>
      <c r="O700" s="3" t="s">
        <v>3092</v>
      </c>
      <c r="P700" s="3" t="s">
        <v>630</v>
      </c>
      <c r="Q700" s="3" t="s">
        <v>631</v>
      </c>
      <c r="R700" s="3" t="s">
        <v>632</v>
      </c>
      <c r="S700" s="3">
        <v>70040913</v>
      </c>
      <c r="T700" s="3">
        <v>6133271013</v>
      </c>
      <c r="U700" s="3" t="s">
        <v>29</v>
      </c>
    </row>
    <row r="701" spans="1:21" ht="13.2" x14ac:dyDescent="0.25">
      <c r="A701" s="14">
        <v>43737840000144</v>
      </c>
      <c r="B701" s="15" t="str">
        <f t="shared" si="10"/>
        <v>43.737.840/0001-44</v>
      </c>
      <c r="C701" s="12"/>
      <c r="D701" s="3" t="s">
        <v>3093</v>
      </c>
      <c r="E701" s="3" t="s">
        <v>3093</v>
      </c>
      <c r="F701" s="3" t="s">
        <v>20</v>
      </c>
      <c r="G701" s="4">
        <v>26932</v>
      </c>
      <c r="H701" s="3" t="s">
        <v>244</v>
      </c>
      <c r="I701" s="3" t="s">
        <v>33</v>
      </c>
      <c r="J701" s="5">
        <v>0</v>
      </c>
      <c r="K701" s="3">
        <v>9411100</v>
      </c>
      <c r="L701" s="3" t="s">
        <v>1737</v>
      </c>
      <c r="M701" s="3" t="s">
        <v>1822</v>
      </c>
      <c r="N701" s="3">
        <v>220</v>
      </c>
      <c r="O701" s="3" t="s">
        <v>3094</v>
      </c>
      <c r="P701" s="3" t="s">
        <v>316</v>
      </c>
      <c r="Q701" s="3" t="s">
        <v>27</v>
      </c>
      <c r="R701" s="3" t="s">
        <v>28</v>
      </c>
      <c r="S701" s="3">
        <v>4552000</v>
      </c>
      <c r="T701" s="3">
        <v>1140580400</v>
      </c>
      <c r="U701" s="3" t="s">
        <v>29</v>
      </c>
    </row>
    <row r="702" spans="1:21" ht="13.2" x14ac:dyDescent="0.25">
      <c r="A702" s="14">
        <v>9445614000151</v>
      </c>
      <c r="B702" s="15" t="str">
        <f t="shared" si="10"/>
        <v>09.445.614/0001-51</v>
      </c>
      <c r="C702" s="12" t="str">
        <f>VLOOKUP(B702,[1]Planilha1!$A:$B,2,0)</f>
        <v>Malu Montesino</v>
      </c>
      <c r="D702" s="3" t="s">
        <v>3095</v>
      </c>
      <c r="E702" s="3" t="s">
        <v>3095</v>
      </c>
      <c r="F702" s="3" t="s">
        <v>20</v>
      </c>
      <c r="G702" s="4">
        <v>39520</v>
      </c>
      <c r="H702" s="3" t="s">
        <v>21</v>
      </c>
      <c r="I702" s="3" t="s">
        <v>33</v>
      </c>
      <c r="J702" s="5">
        <v>11800000</v>
      </c>
      <c r="K702" s="3">
        <v>2099199</v>
      </c>
      <c r="L702" s="3" t="s">
        <v>80</v>
      </c>
      <c r="M702" s="3" t="s">
        <v>3096</v>
      </c>
      <c r="N702" s="3">
        <v>55</v>
      </c>
      <c r="P702" s="3" t="s">
        <v>3097</v>
      </c>
      <c r="Q702" s="3" t="s">
        <v>3098</v>
      </c>
      <c r="R702" s="3" t="s">
        <v>91</v>
      </c>
      <c r="S702" s="3">
        <v>89107000</v>
      </c>
      <c r="T702" s="3">
        <v>4733342435</v>
      </c>
      <c r="U702" s="3" t="s">
        <v>29</v>
      </c>
    </row>
    <row r="703" spans="1:21" ht="13.2" x14ac:dyDescent="0.25">
      <c r="A703" s="14">
        <v>64904295000103</v>
      </c>
      <c r="B703" s="15" t="str">
        <f t="shared" si="10"/>
        <v>64.904.295/0001-03</v>
      </c>
      <c r="C703" s="12"/>
      <c r="D703" s="3" t="s">
        <v>3099</v>
      </c>
      <c r="E703" s="3" t="s">
        <v>3099</v>
      </c>
      <c r="F703" s="3" t="s">
        <v>20</v>
      </c>
      <c r="G703" s="4">
        <v>33211</v>
      </c>
      <c r="H703" s="3" t="s">
        <v>377</v>
      </c>
      <c r="I703" s="3" t="s">
        <v>33</v>
      </c>
      <c r="J703" s="5">
        <v>950373760</v>
      </c>
      <c r="K703" s="3">
        <v>1061901</v>
      </c>
      <c r="L703" s="3" t="s">
        <v>3100</v>
      </c>
      <c r="M703" s="3" t="s">
        <v>1767</v>
      </c>
      <c r="N703" s="3">
        <v>3970</v>
      </c>
      <c r="O703" s="3" t="s">
        <v>3101</v>
      </c>
      <c r="P703" s="3" t="s">
        <v>1740</v>
      </c>
      <c r="Q703" s="3" t="s">
        <v>27</v>
      </c>
      <c r="R703" s="3" t="s">
        <v>28</v>
      </c>
      <c r="S703" s="3">
        <v>5402918</v>
      </c>
      <c r="T703" s="3">
        <v>1130399200</v>
      </c>
      <c r="U703" s="3" t="s">
        <v>29</v>
      </c>
    </row>
    <row r="704" spans="1:21" ht="13.2" x14ac:dyDescent="0.25">
      <c r="A704" s="14">
        <v>14117593000185</v>
      </c>
      <c r="B704" s="15" t="str">
        <f t="shared" si="10"/>
        <v>14.117.593/0001-85</v>
      </c>
      <c r="C704" s="12"/>
      <c r="D704" s="3" t="s">
        <v>3102</v>
      </c>
      <c r="E704" s="3" t="s">
        <v>3102</v>
      </c>
      <c r="F704" s="3" t="s">
        <v>20</v>
      </c>
      <c r="G704" s="4">
        <v>40770</v>
      </c>
      <c r="H704" s="3" t="s">
        <v>21</v>
      </c>
      <c r="I704" s="3" t="s">
        <v>33</v>
      </c>
      <c r="J704" s="5">
        <v>900000</v>
      </c>
      <c r="K704" s="3">
        <v>3292202</v>
      </c>
      <c r="L704" s="3" t="s">
        <v>1654</v>
      </c>
      <c r="M704" s="3" t="s">
        <v>3103</v>
      </c>
      <c r="N704" s="3">
        <v>877</v>
      </c>
      <c r="O704" s="3" t="s">
        <v>427</v>
      </c>
      <c r="P704" s="3" t="s">
        <v>950</v>
      </c>
      <c r="Q704" s="3" t="s">
        <v>3104</v>
      </c>
      <c r="R704" s="3" t="s">
        <v>91</v>
      </c>
      <c r="S704" s="3">
        <v>88390000</v>
      </c>
      <c r="T704" s="3">
        <v>3230510329</v>
      </c>
      <c r="U704" s="3" t="s">
        <v>29</v>
      </c>
    </row>
    <row r="705" spans="1:21" ht="13.2" x14ac:dyDescent="0.25">
      <c r="A705" s="14">
        <v>8656576000113</v>
      </c>
      <c r="B705" s="15" t="str">
        <f t="shared" si="10"/>
        <v>08.656.576/0001-13</v>
      </c>
      <c r="C705" s="12"/>
      <c r="D705" s="3" t="s">
        <v>3105</v>
      </c>
      <c r="E705" s="3" t="s">
        <v>3105</v>
      </c>
      <c r="F705" s="3" t="s">
        <v>20</v>
      </c>
      <c r="G705" s="4">
        <v>39122</v>
      </c>
      <c r="H705" s="3" t="s">
        <v>21</v>
      </c>
      <c r="I705" s="3" t="s">
        <v>33</v>
      </c>
      <c r="J705" s="5">
        <v>2500000</v>
      </c>
      <c r="K705" s="3">
        <v>4789099</v>
      </c>
      <c r="L705" s="3" t="s">
        <v>774</v>
      </c>
      <c r="M705" s="3" t="s">
        <v>3106</v>
      </c>
      <c r="N705" s="3">
        <v>64</v>
      </c>
      <c r="P705" s="3" t="s">
        <v>3107</v>
      </c>
      <c r="Q705" s="3" t="s">
        <v>65</v>
      </c>
      <c r="R705" s="3" t="s">
        <v>28</v>
      </c>
      <c r="S705" s="3">
        <v>13033210</v>
      </c>
      <c r="T705" s="3">
        <v>1921217342</v>
      </c>
      <c r="U705" s="3" t="s">
        <v>29</v>
      </c>
    </row>
    <row r="706" spans="1:21" ht="13.2" x14ac:dyDescent="0.25">
      <c r="A706" s="14">
        <v>9476305000149</v>
      </c>
      <c r="B706" s="15" t="str">
        <f t="shared" si="10"/>
        <v>09.476.305/0001-49</v>
      </c>
      <c r="C706" s="12"/>
      <c r="D706" s="3" t="s">
        <v>3108</v>
      </c>
      <c r="E706" s="3" t="s">
        <v>3109</v>
      </c>
      <c r="F706" s="3" t="s">
        <v>20</v>
      </c>
      <c r="G706" s="4">
        <v>39548</v>
      </c>
      <c r="H706" s="3" t="s">
        <v>21</v>
      </c>
      <c r="I706" s="3" t="s">
        <v>33</v>
      </c>
      <c r="J706" s="5">
        <v>1300000</v>
      </c>
      <c r="K706" s="3">
        <v>3292202</v>
      </c>
      <c r="L706" s="3" t="s">
        <v>1654</v>
      </c>
      <c r="M706" s="3" t="s">
        <v>3110</v>
      </c>
      <c r="N706" s="3">
        <v>415</v>
      </c>
      <c r="P706" s="3" t="s">
        <v>3111</v>
      </c>
      <c r="Q706" s="3" t="s">
        <v>3112</v>
      </c>
      <c r="R706" s="3" t="s">
        <v>53</v>
      </c>
      <c r="S706" s="3">
        <v>93610780</v>
      </c>
      <c r="T706" s="3">
        <v>5135614450</v>
      </c>
      <c r="U706" s="3" t="s">
        <v>29</v>
      </c>
    </row>
    <row r="707" spans="1:21" ht="13.2" x14ac:dyDescent="0.25">
      <c r="A707" s="14">
        <v>14146473000106</v>
      </c>
      <c r="B707" s="15" t="str">
        <f t="shared" ref="B707:B770" si="11">TEXT(A707,"00\.000\.000\/0000\-00")</f>
        <v>14.146.473/0001-06</v>
      </c>
      <c r="C707" s="12"/>
      <c r="D707" s="3" t="s">
        <v>3113</v>
      </c>
      <c r="E707" s="3" t="s">
        <v>3113</v>
      </c>
      <c r="F707" s="3" t="s">
        <v>20</v>
      </c>
      <c r="G707" s="4">
        <v>40757</v>
      </c>
      <c r="H707" s="3" t="s">
        <v>21</v>
      </c>
      <c r="I707" s="3" t="s">
        <v>47</v>
      </c>
      <c r="J707" s="5">
        <v>10000</v>
      </c>
      <c r="K707" s="3">
        <v>4618402</v>
      </c>
      <c r="L707" s="3" t="s">
        <v>3114</v>
      </c>
      <c r="M707" s="3" t="s">
        <v>3115</v>
      </c>
      <c r="N707" s="3">
        <v>282</v>
      </c>
      <c r="P707" s="3" t="s">
        <v>3116</v>
      </c>
      <c r="Q707" s="3" t="s">
        <v>27</v>
      </c>
      <c r="R707" s="3" t="s">
        <v>28</v>
      </c>
      <c r="S707" s="3">
        <v>2964050</v>
      </c>
      <c r="T707" s="3">
        <v>1139923600</v>
      </c>
      <c r="U707" s="3" t="s">
        <v>29</v>
      </c>
    </row>
    <row r="708" spans="1:21" ht="13.2" x14ac:dyDescent="0.25">
      <c r="A708" s="14">
        <v>46563938000110</v>
      </c>
      <c r="B708" s="15" t="str">
        <f t="shared" si="11"/>
        <v>46.563.938/0001-10</v>
      </c>
      <c r="C708" s="12" t="str">
        <f>VLOOKUP(B708,[1]Planilha1!$A:$B,2,0)</f>
        <v>Malu Montesino</v>
      </c>
      <c r="D708" s="3" t="s">
        <v>3117</v>
      </c>
      <c r="E708" s="3" t="s">
        <v>3117</v>
      </c>
      <c r="F708" s="3" t="s">
        <v>20</v>
      </c>
      <c r="G708" s="4">
        <v>27151</v>
      </c>
      <c r="H708" s="3" t="s">
        <v>21</v>
      </c>
      <c r="I708" s="3" t="s">
        <v>33</v>
      </c>
      <c r="J708" s="5">
        <v>9607473</v>
      </c>
      <c r="K708" s="3">
        <v>4664800</v>
      </c>
      <c r="L708" s="3" t="s">
        <v>691</v>
      </c>
      <c r="M708" s="3" t="s">
        <v>614</v>
      </c>
      <c r="N708" s="3">
        <v>328</v>
      </c>
      <c r="P708" s="3" t="s">
        <v>3118</v>
      </c>
      <c r="Q708" s="3" t="s">
        <v>617</v>
      </c>
      <c r="R708" s="3" t="s">
        <v>28</v>
      </c>
      <c r="S708" s="3">
        <v>6460120</v>
      </c>
      <c r="T708" s="3">
        <v>1141340113</v>
      </c>
      <c r="U708" s="3" t="s">
        <v>29</v>
      </c>
    </row>
    <row r="709" spans="1:21" ht="13.2" x14ac:dyDescent="0.25">
      <c r="A709" s="14">
        <v>41096674000119</v>
      </c>
      <c r="B709" s="15" t="str">
        <f t="shared" si="11"/>
        <v>41.096.674/0001-19</v>
      </c>
      <c r="C709" s="12" t="str">
        <f>VLOOKUP(B709,[1]Planilha1!$A:$B,2,0)</f>
        <v>Malu Montesino</v>
      </c>
      <c r="D709" s="3" t="s">
        <v>3119</v>
      </c>
      <c r="E709" s="3" t="s">
        <v>3120</v>
      </c>
      <c r="F709" s="3" t="s">
        <v>20</v>
      </c>
      <c r="G709" s="4">
        <v>44259</v>
      </c>
      <c r="H709" s="3" t="s">
        <v>377</v>
      </c>
      <c r="I709" s="3" t="s">
        <v>33</v>
      </c>
      <c r="J709" s="5">
        <v>649295940</v>
      </c>
      <c r="K709" s="3">
        <v>6462000</v>
      </c>
      <c r="L709" s="3" t="s">
        <v>250</v>
      </c>
      <c r="M709" s="3" t="s">
        <v>3121</v>
      </c>
      <c r="N709" s="3">
        <v>1108</v>
      </c>
      <c r="O709" s="3" t="s">
        <v>3122</v>
      </c>
      <c r="P709" s="3" t="s">
        <v>316</v>
      </c>
      <c r="Q709" s="3" t="s">
        <v>27</v>
      </c>
      <c r="R709" s="3" t="s">
        <v>28</v>
      </c>
      <c r="S709" s="3">
        <v>4547001</v>
      </c>
      <c r="T709" s="3">
        <v>4730462550</v>
      </c>
      <c r="U709" s="3" t="s">
        <v>29</v>
      </c>
    </row>
    <row r="710" spans="1:21" ht="13.2" x14ac:dyDescent="0.25">
      <c r="A710" s="14">
        <v>3471344000258</v>
      </c>
      <c r="B710" s="15" t="str">
        <f t="shared" si="11"/>
        <v>03.471.344/0002-58</v>
      </c>
      <c r="C710" s="12"/>
      <c r="D710" s="3" t="s">
        <v>3123</v>
      </c>
      <c r="E710" s="3" t="s">
        <v>3124</v>
      </c>
      <c r="F710" s="3" t="s">
        <v>45</v>
      </c>
      <c r="G710" s="4">
        <v>38071</v>
      </c>
      <c r="H710" s="3" t="s">
        <v>21</v>
      </c>
      <c r="I710" s="3" t="s">
        <v>33</v>
      </c>
      <c r="J710" s="5">
        <v>151500000</v>
      </c>
      <c r="K710" s="3">
        <v>2910701</v>
      </c>
      <c r="L710" s="3" t="s">
        <v>2241</v>
      </c>
      <c r="M710" s="3">
        <v>11</v>
      </c>
      <c r="N710" s="3" t="s">
        <v>111</v>
      </c>
      <c r="O710" s="3" t="s">
        <v>3125</v>
      </c>
      <c r="P710" s="3" t="s">
        <v>3126</v>
      </c>
      <c r="Q710" s="3" t="s">
        <v>2384</v>
      </c>
      <c r="R710" s="3" t="s">
        <v>274</v>
      </c>
      <c r="S710" s="3">
        <v>75133590</v>
      </c>
      <c r="T710" s="3">
        <v>622742125</v>
      </c>
      <c r="U710" s="3" t="s">
        <v>29</v>
      </c>
    </row>
    <row r="711" spans="1:21" ht="13.2" x14ac:dyDescent="0.25">
      <c r="A711" s="14">
        <v>65599953000163</v>
      </c>
      <c r="B711" s="15" t="str">
        <f t="shared" si="11"/>
        <v>65.599.953/0001-63</v>
      </c>
      <c r="C711" s="12"/>
      <c r="D711" s="3" t="s">
        <v>3127</v>
      </c>
      <c r="E711" s="3" t="s">
        <v>3128</v>
      </c>
      <c r="F711" s="3" t="s">
        <v>20</v>
      </c>
      <c r="G711" s="4">
        <v>33308</v>
      </c>
      <c r="H711" s="3" t="s">
        <v>21</v>
      </c>
      <c r="I711" s="3" t="s">
        <v>33</v>
      </c>
      <c r="J711" s="5">
        <v>2102306800</v>
      </c>
      <c r="K711" s="3">
        <v>6201501</v>
      </c>
      <c r="L711" s="3" t="s">
        <v>298</v>
      </c>
      <c r="M711" s="3" t="s">
        <v>3129</v>
      </c>
      <c r="N711" s="3">
        <v>60</v>
      </c>
      <c r="O711" s="3" t="s">
        <v>3130</v>
      </c>
      <c r="P711" s="3" t="s">
        <v>940</v>
      </c>
      <c r="Q711" s="3" t="s">
        <v>617</v>
      </c>
      <c r="R711" s="3" t="s">
        <v>28</v>
      </c>
      <c r="S711" s="3">
        <v>6454050</v>
      </c>
      <c r="T711" s="3">
        <v>1141967437</v>
      </c>
      <c r="U711" s="3" t="s">
        <v>29</v>
      </c>
    </row>
    <row r="712" spans="1:21" ht="13.2" x14ac:dyDescent="0.25">
      <c r="A712" s="14">
        <v>9165392000113</v>
      </c>
      <c r="B712" s="15" t="str">
        <f t="shared" si="11"/>
        <v>09.165.392/0001-13</v>
      </c>
      <c r="C712" s="12"/>
      <c r="D712" s="3" t="s">
        <v>3131</v>
      </c>
      <c r="E712" s="3" t="s">
        <v>3131</v>
      </c>
      <c r="F712" s="3" t="s">
        <v>45</v>
      </c>
      <c r="G712" s="4">
        <v>39248</v>
      </c>
      <c r="H712" s="3" t="s">
        <v>21</v>
      </c>
      <c r="I712" s="3" t="s">
        <v>33</v>
      </c>
      <c r="J712" s="5">
        <v>348919460</v>
      </c>
      <c r="K712" s="3">
        <v>6311900</v>
      </c>
      <c r="L712" s="3" t="s">
        <v>3132</v>
      </c>
      <c r="M712" s="3" t="s">
        <v>3133</v>
      </c>
      <c r="N712" s="3">
        <v>301</v>
      </c>
      <c r="O712" s="3" t="s">
        <v>3134</v>
      </c>
      <c r="P712" s="3" t="s">
        <v>1005</v>
      </c>
      <c r="Q712" s="3" t="s">
        <v>65</v>
      </c>
      <c r="R712" s="3" t="s">
        <v>28</v>
      </c>
      <c r="S712" s="3">
        <v>13069330</v>
      </c>
      <c r="T712" s="3">
        <v>1141967437</v>
      </c>
      <c r="U712" s="3" t="s">
        <v>29</v>
      </c>
    </row>
    <row r="713" spans="1:21" ht="13.2" x14ac:dyDescent="0.25">
      <c r="A713" s="14">
        <v>14487384000123</v>
      </c>
      <c r="B713" s="15" t="str">
        <f t="shared" si="11"/>
        <v>14.487.384/0001-23</v>
      </c>
      <c r="C713" s="12"/>
      <c r="D713" s="3" t="s">
        <v>3135</v>
      </c>
      <c r="E713" s="3" t="s">
        <v>3136</v>
      </c>
      <c r="F713" s="3" t="s">
        <v>20</v>
      </c>
      <c r="G713" s="4">
        <v>40829</v>
      </c>
      <c r="H713" s="3" t="s">
        <v>21</v>
      </c>
      <c r="I713" s="3" t="s">
        <v>33</v>
      </c>
      <c r="J713" s="5">
        <v>500000</v>
      </c>
      <c r="K713" s="3">
        <v>7711000</v>
      </c>
      <c r="L713" s="3" t="s">
        <v>2763</v>
      </c>
      <c r="M713" s="3" t="s">
        <v>3137</v>
      </c>
      <c r="N713" s="3">
        <v>2</v>
      </c>
      <c r="O713" s="3" t="s">
        <v>3138</v>
      </c>
      <c r="P713" s="3" t="s">
        <v>1885</v>
      </c>
      <c r="Q713" s="3" t="s">
        <v>1886</v>
      </c>
      <c r="R713" s="3" t="s">
        <v>1887</v>
      </c>
      <c r="S713" s="3">
        <v>77017264</v>
      </c>
      <c r="T713" s="3">
        <v>6332250558</v>
      </c>
      <c r="U713" s="3" t="s">
        <v>29</v>
      </c>
    </row>
    <row r="714" spans="1:21" ht="13.2" x14ac:dyDescent="0.25">
      <c r="A714" s="14">
        <v>40634135000123</v>
      </c>
      <c r="B714" s="15" t="str">
        <f t="shared" si="11"/>
        <v>40.634.135/0001-23</v>
      </c>
      <c r="C714" s="12"/>
      <c r="D714" s="3" t="s">
        <v>3139</v>
      </c>
      <c r="E714" s="3" t="s">
        <v>3140</v>
      </c>
      <c r="F714" s="3" t="s">
        <v>20</v>
      </c>
      <c r="G714" s="4">
        <v>44225</v>
      </c>
      <c r="H714" s="3" t="s">
        <v>21</v>
      </c>
      <c r="I714" s="3" t="s">
        <v>33</v>
      </c>
      <c r="J714" s="5">
        <v>127656080</v>
      </c>
      <c r="K714" s="3">
        <v>7490104</v>
      </c>
      <c r="L714" s="3" t="s">
        <v>1597</v>
      </c>
      <c r="M714" s="3" t="s">
        <v>2340</v>
      </c>
      <c r="N714" s="3">
        <v>1713</v>
      </c>
      <c r="O714" s="3" t="s">
        <v>3141</v>
      </c>
      <c r="P714" s="3" t="s">
        <v>545</v>
      </c>
      <c r="Q714" s="3" t="s">
        <v>27</v>
      </c>
      <c r="R714" s="3" t="s">
        <v>28</v>
      </c>
      <c r="S714" s="3">
        <v>1452915</v>
      </c>
      <c r="T714" s="3">
        <v>1139323125</v>
      </c>
      <c r="U714" s="3" t="s">
        <v>29</v>
      </c>
    </row>
    <row r="715" spans="1:21" ht="13.2" x14ac:dyDescent="0.25">
      <c r="A715" s="14">
        <v>18500475000102</v>
      </c>
      <c r="B715" s="15" t="str">
        <f t="shared" si="11"/>
        <v>18.500.475/0001-02</v>
      </c>
      <c r="C715" s="12"/>
      <c r="D715" s="3" t="s">
        <v>3142</v>
      </c>
      <c r="E715" s="3" t="s">
        <v>3143</v>
      </c>
      <c r="F715" s="3" t="s">
        <v>20</v>
      </c>
      <c r="G715" s="4">
        <v>41471</v>
      </c>
      <c r="H715" s="3" t="s">
        <v>21</v>
      </c>
      <c r="I715" s="3" t="s">
        <v>22</v>
      </c>
      <c r="J715" s="5">
        <v>2000</v>
      </c>
      <c r="K715" s="3">
        <v>8599604</v>
      </c>
      <c r="L715" s="3" t="s">
        <v>55</v>
      </c>
      <c r="M715" s="3" t="s">
        <v>3144</v>
      </c>
      <c r="N715" s="3">
        <v>149</v>
      </c>
      <c r="O715" s="3" t="s">
        <v>3145</v>
      </c>
      <c r="P715" s="3" t="s">
        <v>2279</v>
      </c>
      <c r="Q715" s="3" t="s">
        <v>617</v>
      </c>
      <c r="R715" s="3" t="s">
        <v>28</v>
      </c>
      <c r="S715" s="3">
        <v>6454080</v>
      </c>
      <c r="T715" s="3">
        <v>1141951717</v>
      </c>
      <c r="U715" s="3" t="s">
        <v>29</v>
      </c>
    </row>
    <row r="716" spans="1:21" ht="13.2" x14ac:dyDescent="0.25">
      <c r="A716" s="14">
        <v>13085369000196</v>
      </c>
      <c r="B716" s="15" t="str">
        <f t="shared" si="11"/>
        <v>13.085.369/0001-96</v>
      </c>
      <c r="C716" s="12"/>
      <c r="D716" s="3" t="s">
        <v>3146</v>
      </c>
      <c r="E716" s="3" t="s">
        <v>3147</v>
      </c>
      <c r="F716" s="3" t="s">
        <v>20</v>
      </c>
      <c r="G716" s="4">
        <v>40529</v>
      </c>
      <c r="H716" s="3" t="s">
        <v>21</v>
      </c>
      <c r="I716" s="3" t="s">
        <v>22</v>
      </c>
      <c r="J716" s="5">
        <v>470000</v>
      </c>
      <c r="K716" s="3">
        <v>8211300</v>
      </c>
      <c r="L716" s="3" t="s">
        <v>166</v>
      </c>
      <c r="M716" s="3" t="s">
        <v>3148</v>
      </c>
      <c r="N716" s="3">
        <v>430</v>
      </c>
      <c r="O716" s="3" t="s">
        <v>3149</v>
      </c>
      <c r="P716" s="3" t="s">
        <v>3150</v>
      </c>
      <c r="Q716" s="3" t="s">
        <v>524</v>
      </c>
      <c r="R716" s="3" t="s">
        <v>28</v>
      </c>
      <c r="S716" s="3">
        <v>14026578</v>
      </c>
      <c r="T716" s="3">
        <v>1733641608</v>
      </c>
      <c r="U716" s="3" t="s">
        <v>29</v>
      </c>
    </row>
    <row r="717" spans="1:21" ht="13.2" x14ac:dyDescent="0.25">
      <c r="A717" s="14">
        <v>23466876000123</v>
      </c>
      <c r="B717" s="15" t="str">
        <f t="shared" si="11"/>
        <v>23.466.876/0001-23</v>
      </c>
      <c r="C717" s="12"/>
      <c r="D717" s="3" t="s">
        <v>3151</v>
      </c>
      <c r="E717" s="3" t="s">
        <v>3152</v>
      </c>
      <c r="F717" s="3" t="s">
        <v>20</v>
      </c>
      <c r="G717" s="4">
        <v>42291</v>
      </c>
      <c r="H717" s="3" t="s">
        <v>21</v>
      </c>
      <c r="I717" s="3" t="s">
        <v>33</v>
      </c>
      <c r="J717" s="5">
        <v>100000</v>
      </c>
      <c r="K717" s="3">
        <v>4713002</v>
      </c>
      <c r="L717" s="3" t="s">
        <v>3153</v>
      </c>
      <c r="M717" s="3" t="s">
        <v>3154</v>
      </c>
      <c r="N717" s="3">
        <v>180</v>
      </c>
      <c r="P717" s="3" t="s">
        <v>3155</v>
      </c>
      <c r="Q717" s="3" t="s">
        <v>27</v>
      </c>
      <c r="R717" s="3" t="s">
        <v>28</v>
      </c>
      <c r="S717" s="3">
        <v>5134200</v>
      </c>
      <c r="T717" s="3">
        <v>1136152233</v>
      </c>
      <c r="U717" s="3" t="s">
        <v>29</v>
      </c>
    </row>
    <row r="718" spans="1:21" ht="13.2" x14ac:dyDescent="0.25">
      <c r="A718" s="14">
        <v>36427615000146</v>
      </c>
      <c r="B718" s="15" t="str">
        <f t="shared" si="11"/>
        <v>36.427.615/0001-46</v>
      </c>
      <c r="C718" s="12"/>
      <c r="D718" s="3" t="s">
        <v>3156</v>
      </c>
      <c r="E718" s="3" t="s">
        <v>3156</v>
      </c>
      <c r="F718" s="3" t="s">
        <v>20</v>
      </c>
      <c r="G718" s="4">
        <v>33198</v>
      </c>
      <c r="H718" s="3" t="s">
        <v>21</v>
      </c>
      <c r="I718" s="3" t="s">
        <v>33</v>
      </c>
      <c r="J718" s="5">
        <v>800000</v>
      </c>
      <c r="K718" s="3">
        <v>2869100</v>
      </c>
      <c r="L718" s="3" t="s">
        <v>1416</v>
      </c>
      <c r="M718" s="3" t="s">
        <v>3157</v>
      </c>
      <c r="N718" s="3">
        <v>15500</v>
      </c>
      <c r="O718" s="3" t="s">
        <v>3158</v>
      </c>
      <c r="P718" s="3" t="s">
        <v>2378</v>
      </c>
      <c r="Q718" s="3" t="s">
        <v>999</v>
      </c>
      <c r="R718" s="3" t="s">
        <v>78</v>
      </c>
      <c r="S718" s="3">
        <v>25750226</v>
      </c>
      <c r="T718" s="3">
        <v>2422229900</v>
      </c>
      <c r="U718" s="3" t="s">
        <v>29</v>
      </c>
    </row>
    <row r="719" spans="1:21" ht="13.2" x14ac:dyDescent="0.25">
      <c r="A719" s="14">
        <v>12475424000191</v>
      </c>
      <c r="B719" s="15" t="str">
        <f t="shared" si="11"/>
        <v>12.475.424/0001-91</v>
      </c>
      <c r="C719" s="12"/>
      <c r="D719" s="3" t="s">
        <v>3159</v>
      </c>
      <c r="E719" s="3" t="s">
        <v>3160</v>
      </c>
      <c r="F719" s="3" t="s">
        <v>20</v>
      </c>
      <c r="G719" s="4">
        <v>40413</v>
      </c>
      <c r="H719" s="3" t="s">
        <v>94</v>
      </c>
      <c r="I719" s="3" t="s">
        <v>33</v>
      </c>
      <c r="J719" s="5">
        <v>2399400</v>
      </c>
      <c r="K719" s="3">
        <v>4930201</v>
      </c>
      <c r="L719" s="3" t="s">
        <v>3161</v>
      </c>
      <c r="M719" s="3" t="s">
        <v>3162</v>
      </c>
      <c r="N719" s="3">
        <v>767</v>
      </c>
      <c r="O719" s="3" t="s">
        <v>1570</v>
      </c>
      <c r="P719" s="3" t="s">
        <v>3163</v>
      </c>
      <c r="Q719" s="3" t="s">
        <v>27</v>
      </c>
      <c r="R719" s="3" t="s">
        <v>28</v>
      </c>
      <c r="S719" s="3">
        <v>5454020</v>
      </c>
      <c r="T719" s="3">
        <v>1122931180</v>
      </c>
      <c r="U719" s="3" t="s">
        <v>29</v>
      </c>
    </row>
    <row r="720" spans="1:21" ht="13.2" x14ac:dyDescent="0.25">
      <c r="A720" s="14">
        <v>19585158000107</v>
      </c>
      <c r="B720" s="15" t="str">
        <f t="shared" si="11"/>
        <v>19.585.158/0001-07</v>
      </c>
      <c r="C720" s="12"/>
      <c r="D720" s="3" t="s">
        <v>3164</v>
      </c>
      <c r="E720" s="3" t="s">
        <v>3164</v>
      </c>
      <c r="F720" s="3" t="s">
        <v>20</v>
      </c>
      <c r="G720" s="4">
        <v>41663</v>
      </c>
      <c r="H720" s="3" t="s">
        <v>21</v>
      </c>
      <c r="I720" s="3" t="s">
        <v>33</v>
      </c>
      <c r="J720" s="5">
        <v>38926410</v>
      </c>
      <c r="K720" s="3">
        <v>4645101</v>
      </c>
      <c r="L720" s="3" t="s">
        <v>135</v>
      </c>
      <c r="M720" s="3" t="s">
        <v>308</v>
      </c>
      <c r="N720" s="7">
        <v>12495</v>
      </c>
      <c r="O720" s="3" t="s">
        <v>3165</v>
      </c>
      <c r="P720" s="3" t="s">
        <v>1397</v>
      </c>
      <c r="Q720" s="3" t="s">
        <v>27</v>
      </c>
      <c r="R720" s="3" t="s">
        <v>28</v>
      </c>
      <c r="S720" s="3">
        <v>4578000</v>
      </c>
      <c r="T720" s="3">
        <v>1140604300</v>
      </c>
      <c r="U720" s="3" t="s">
        <v>29</v>
      </c>
    </row>
    <row r="721" spans="1:21" ht="13.2" x14ac:dyDescent="0.25">
      <c r="A721" s="14">
        <v>27462540000143</v>
      </c>
      <c r="B721" s="15" t="str">
        <f t="shared" si="11"/>
        <v>27.462.540/0001-43</v>
      </c>
      <c r="C721" s="12"/>
      <c r="D721" s="3" t="s">
        <v>3166</v>
      </c>
      <c r="E721" s="3" t="s">
        <v>3166</v>
      </c>
      <c r="F721" s="3" t="s">
        <v>20</v>
      </c>
      <c r="G721" s="4">
        <v>42829</v>
      </c>
      <c r="H721" s="3" t="s">
        <v>21</v>
      </c>
      <c r="I721" s="3" t="s">
        <v>33</v>
      </c>
      <c r="J721" s="5">
        <v>5500926</v>
      </c>
      <c r="K721" s="3">
        <v>4664800</v>
      </c>
      <c r="L721" s="3" t="s">
        <v>691</v>
      </c>
      <c r="M721" s="3" t="s">
        <v>3167</v>
      </c>
      <c r="N721" s="3">
        <v>65</v>
      </c>
      <c r="O721" s="3" t="s">
        <v>3168</v>
      </c>
      <c r="P721" s="3" t="s">
        <v>3169</v>
      </c>
      <c r="Q721" s="3" t="s">
        <v>2822</v>
      </c>
      <c r="R721" s="3" t="s">
        <v>28</v>
      </c>
      <c r="S721" s="3">
        <v>12238577</v>
      </c>
      <c r="T721" s="3">
        <v>1181756633</v>
      </c>
      <c r="U721" s="3" t="s">
        <v>29</v>
      </c>
    </row>
    <row r="722" spans="1:21" ht="13.2" x14ac:dyDescent="0.25">
      <c r="A722" s="14">
        <v>60498706000157</v>
      </c>
      <c r="B722" s="15" t="str">
        <f t="shared" si="11"/>
        <v>60.498.706/0001-57</v>
      </c>
      <c r="C722" s="12" t="str">
        <f>VLOOKUP(B722,[1]Planilha1!$A:$B,2,0)</f>
        <v>Malu Montesino</v>
      </c>
      <c r="D722" s="3" t="s">
        <v>3170</v>
      </c>
      <c r="E722" s="3" t="s">
        <v>3171</v>
      </c>
      <c r="F722" s="3" t="s">
        <v>20</v>
      </c>
      <c r="G722" s="4">
        <v>24107</v>
      </c>
      <c r="H722" s="3" t="s">
        <v>94</v>
      </c>
      <c r="I722" s="3" t="s">
        <v>33</v>
      </c>
      <c r="J722" s="5">
        <v>8179542500</v>
      </c>
      <c r="K722" s="3">
        <v>1042200</v>
      </c>
      <c r="L722" s="3" t="s">
        <v>3172</v>
      </c>
      <c r="M722" s="3" t="s">
        <v>3173</v>
      </c>
      <c r="N722" s="3">
        <v>1240</v>
      </c>
      <c r="O722" s="3" t="s">
        <v>3174</v>
      </c>
      <c r="P722" s="3" t="s">
        <v>2211</v>
      </c>
      <c r="Q722" s="3" t="s">
        <v>27</v>
      </c>
      <c r="R722" s="3" t="s">
        <v>28</v>
      </c>
      <c r="S722" s="3">
        <v>4711130</v>
      </c>
      <c r="T722" s="3">
        <v>1150993311</v>
      </c>
      <c r="U722" s="3" t="s">
        <v>29</v>
      </c>
    </row>
    <row r="723" spans="1:21" ht="13.2" x14ac:dyDescent="0.25">
      <c r="A723" s="14">
        <v>22567346000109</v>
      </c>
      <c r="B723" s="15" t="str">
        <f t="shared" si="11"/>
        <v>22.567.346/0001-09</v>
      </c>
      <c r="C723" s="12"/>
      <c r="D723" s="3" t="s">
        <v>3175</v>
      </c>
      <c r="E723" s="3" t="s">
        <v>3175</v>
      </c>
      <c r="F723" s="3" t="s">
        <v>20</v>
      </c>
      <c r="G723" s="4">
        <v>42156</v>
      </c>
      <c r="H723" s="3" t="s">
        <v>21</v>
      </c>
      <c r="I723" s="3" t="s">
        <v>22</v>
      </c>
      <c r="J723" s="5">
        <v>300000</v>
      </c>
      <c r="K723" s="3">
        <v>8230001</v>
      </c>
      <c r="L723" s="3" t="s">
        <v>2141</v>
      </c>
      <c r="M723" s="3" t="s">
        <v>3176</v>
      </c>
      <c r="N723" s="3">
        <v>370</v>
      </c>
      <c r="O723" s="3" t="s">
        <v>3177</v>
      </c>
      <c r="P723" s="3" t="s">
        <v>1015</v>
      </c>
      <c r="Q723" s="3" t="s">
        <v>253</v>
      </c>
      <c r="R723" s="3" t="s">
        <v>78</v>
      </c>
      <c r="S723" s="3">
        <v>21020050</v>
      </c>
      <c r="T723" s="3">
        <v>2138826083</v>
      </c>
      <c r="U723" s="3" t="s">
        <v>29</v>
      </c>
    </row>
    <row r="724" spans="1:21" ht="13.2" x14ac:dyDescent="0.25">
      <c r="A724" s="14">
        <v>9211866000116</v>
      </c>
      <c r="B724" s="15" t="str">
        <f t="shared" si="11"/>
        <v>09.211.866/0001-16</v>
      </c>
      <c r="C724" s="12"/>
      <c r="D724" s="3" t="s">
        <v>3178</v>
      </c>
      <c r="E724" s="3" t="s">
        <v>3179</v>
      </c>
      <c r="F724" s="3" t="s">
        <v>20</v>
      </c>
      <c r="G724" s="4">
        <v>39391</v>
      </c>
      <c r="H724" s="3" t="s">
        <v>21</v>
      </c>
      <c r="I724" s="3" t="s">
        <v>47</v>
      </c>
      <c r="J724" s="5">
        <v>200000</v>
      </c>
      <c r="K724" s="3">
        <v>4751201</v>
      </c>
      <c r="L724" s="3" t="s">
        <v>23</v>
      </c>
      <c r="M724" s="3" t="s">
        <v>3180</v>
      </c>
      <c r="N724" s="3">
        <v>322</v>
      </c>
      <c r="O724" s="3" t="s">
        <v>3181</v>
      </c>
      <c r="P724" s="3" t="s">
        <v>70</v>
      </c>
      <c r="Q724" s="3" t="s">
        <v>262</v>
      </c>
      <c r="R724" s="3" t="s">
        <v>28</v>
      </c>
      <c r="S724" s="3">
        <v>6018160</v>
      </c>
      <c r="T724" s="3">
        <v>1136913403</v>
      </c>
      <c r="U724" s="3" t="s">
        <v>29</v>
      </c>
    </row>
    <row r="725" spans="1:21" ht="13.2" x14ac:dyDescent="0.25">
      <c r="A725" s="14">
        <v>33131079000149</v>
      </c>
      <c r="B725" s="15" t="str">
        <f t="shared" si="11"/>
        <v>33.131.079/0001-49</v>
      </c>
      <c r="C725" s="12" t="str">
        <f>VLOOKUP(B725,[1]Planilha1!$A:$B,2,0)</f>
        <v>Malu Montesino</v>
      </c>
      <c r="D725" s="3" t="s">
        <v>3182</v>
      </c>
      <c r="E725" s="3" t="s">
        <v>3183</v>
      </c>
      <c r="F725" s="3" t="s">
        <v>20</v>
      </c>
      <c r="G725" s="4">
        <v>14248</v>
      </c>
      <c r="H725" s="3" t="s">
        <v>21</v>
      </c>
      <c r="I725" s="3" t="s">
        <v>33</v>
      </c>
      <c r="J725" s="5">
        <v>84000210</v>
      </c>
      <c r="K725" s="3">
        <v>3312102</v>
      </c>
      <c r="L725" s="3" t="s">
        <v>3184</v>
      </c>
      <c r="M725" s="3" t="s">
        <v>308</v>
      </c>
      <c r="N725" s="3">
        <v>12495</v>
      </c>
      <c r="O725" s="3" t="s">
        <v>3185</v>
      </c>
      <c r="P725" s="3" t="s">
        <v>1019</v>
      </c>
      <c r="Q725" s="3" t="s">
        <v>27</v>
      </c>
      <c r="R725" s="3" t="s">
        <v>28</v>
      </c>
      <c r="S725" s="3">
        <v>4578000</v>
      </c>
      <c r="T725" s="3">
        <v>1156935512</v>
      </c>
      <c r="U725" s="3" t="s">
        <v>29</v>
      </c>
    </row>
    <row r="726" spans="1:21" ht="13.2" x14ac:dyDescent="0.25">
      <c r="A726" s="14">
        <v>22434550000151</v>
      </c>
      <c r="B726" s="15" t="str">
        <f t="shared" si="11"/>
        <v>22.434.550/0001-51</v>
      </c>
      <c r="C726" s="12"/>
      <c r="D726" s="3" t="s">
        <v>3186</v>
      </c>
      <c r="E726" s="3" t="s">
        <v>3187</v>
      </c>
      <c r="F726" s="3" t="s">
        <v>31</v>
      </c>
      <c r="G726" s="4">
        <v>42137</v>
      </c>
      <c r="H726" s="3" t="s">
        <v>46</v>
      </c>
      <c r="I726" s="3" t="s">
        <v>47</v>
      </c>
      <c r="J726" s="5">
        <v>123677</v>
      </c>
      <c r="K726" s="3">
        <v>8219999</v>
      </c>
      <c r="L726" s="3" t="s">
        <v>121</v>
      </c>
      <c r="M726" s="3" t="s">
        <v>3188</v>
      </c>
      <c r="N726" s="3">
        <v>831</v>
      </c>
      <c r="P726" s="3" t="s">
        <v>70</v>
      </c>
      <c r="Q726" s="3" t="s">
        <v>3189</v>
      </c>
      <c r="R726" s="3" t="s">
        <v>28</v>
      </c>
      <c r="S726" s="3">
        <v>18860000</v>
      </c>
      <c r="T726" s="3">
        <v>1496098585</v>
      </c>
      <c r="U726" s="3" t="s">
        <v>29</v>
      </c>
    </row>
    <row r="727" spans="1:21" ht="13.2" x14ac:dyDescent="0.25">
      <c r="A727" s="14">
        <v>17432225000110</v>
      </c>
      <c r="B727" s="15" t="str">
        <f t="shared" si="11"/>
        <v>17.432.225/0001-10</v>
      </c>
      <c r="C727" s="12"/>
      <c r="D727" s="3" t="s">
        <v>3190</v>
      </c>
      <c r="E727" s="3" t="s">
        <v>3190</v>
      </c>
      <c r="F727" s="3" t="s">
        <v>20</v>
      </c>
      <c r="G727" s="4">
        <v>41284</v>
      </c>
      <c r="H727" s="3" t="s">
        <v>21</v>
      </c>
      <c r="I727" s="3" t="s">
        <v>33</v>
      </c>
      <c r="J727" s="5">
        <v>100000</v>
      </c>
      <c r="K727" s="3">
        <v>4713002</v>
      </c>
      <c r="L727" s="3" t="s">
        <v>3153</v>
      </c>
      <c r="M727" s="3" t="s">
        <v>3191</v>
      </c>
      <c r="N727" s="3">
        <v>6000</v>
      </c>
      <c r="P727" s="3" t="s">
        <v>3192</v>
      </c>
      <c r="Q727" s="3" t="s">
        <v>3193</v>
      </c>
      <c r="R727" s="3" t="s">
        <v>28</v>
      </c>
      <c r="S727" s="3">
        <v>8880500</v>
      </c>
      <c r="T727" s="3">
        <v>1147243011</v>
      </c>
      <c r="U727" s="3" t="s">
        <v>29</v>
      </c>
    </row>
    <row r="728" spans="1:21" ht="13.2" x14ac:dyDescent="0.25">
      <c r="A728" s="14">
        <v>21423586000177</v>
      </c>
      <c r="B728" s="15" t="str">
        <f t="shared" si="11"/>
        <v>21.423.586/0001-77</v>
      </c>
      <c r="C728" s="12"/>
      <c r="D728" s="3" t="s">
        <v>3194</v>
      </c>
      <c r="E728" s="3" t="s">
        <v>3194</v>
      </c>
      <c r="F728" s="3" t="s">
        <v>20</v>
      </c>
      <c r="G728" s="4">
        <v>41961</v>
      </c>
      <c r="H728" s="3" t="s">
        <v>21</v>
      </c>
      <c r="I728" s="3" t="s">
        <v>47</v>
      </c>
      <c r="J728" s="5">
        <v>100000</v>
      </c>
      <c r="K728" s="3">
        <v>3250701</v>
      </c>
      <c r="L728" s="3" t="s">
        <v>2195</v>
      </c>
      <c r="M728" s="3" t="s">
        <v>3195</v>
      </c>
      <c r="N728" s="3">
        <v>169</v>
      </c>
      <c r="O728" s="3" t="s">
        <v>1570</v>
      </c>
      <c r="P728" s="3" t="s">
        <v>3196</v>
      </c>
      <c r="Q728" s="3" t="s">
        <v>43</v>
      </c>
      <c r="R728" s="3" t="s">
        <v>28</v>
      </c>
      <c r="S728" s="3">
        <v>7836030</v>
      </c>
      <c r="T728" s="3">
        <v>1174957341</v>
      </c>
      <c r="U728" s="3" t="s">
        <v>29</v>
      </c>
    </row>
    <row r="729" spans="1:21" ht="13.2" x14ac:dyDescent="0.25">
      <c r="A729" s="14">
        <v>3622354000166</v>
      </c>
      <c r="B729" s="15" t="str">
        <f t="shared" si="11"/>
        <v>03.622.354/0001-66</v>
      </c>
      <c r="C729" s="12"/>
      <c r="D729" s="3" t="s">
        <v>3197</v>
      </c>
      <c r="E729" s="3" t="s">
        <v>3197</v>
      </c>
      <c r="F729" s="3" t="s">
        <v>20</v>
      </c>
      <c r="G729" s="4">
        <v>32077</v>
      </c>
      <c r="H729" s="3" t="s">
        <v>21</v>
      </c>
      <c r="I729" s="3" t="s">
        <v>33</v>
      </c>
      <c r="J729" s="5">
        <v>450000</v>
      </c>
      <c r="K729" s="3">
        <v>3299003</v>
      </c>
      <c r="L729" s="3" t="s">
        <v>2654</v>
      </c>
      <c r="M729" s="3" t="s">
        <v>3198</v>
      </c>
      <c r="N729" s="3">
        <v>70</v>
      </c>
      <c r="P729" s="3" t="s">
        <v>1456</v>
      </c>
      <c r="Q729" s="3" t="s">
        <v>631</v>
      </c>
      <c r="R729" s="3" t="s">
        <v>632</v>
      </c>
      <c r="S729" s="3">
        <v>71200201</v>
      </c>
      <c r="T729" s="3">
        <v>6130444550</v>
      </c>
      <c r="U729" s="3" t="s">
        <v>29</v>
      </c>
    </row>
    <row r="730" spans="1:21" ht="13.2" x14ac:dyDescent="0.25">
      <c r="A730" s="14">
        <v>17036466000140</v>
      </c>
      <c r="B730" s="15" t="str">
        <f t="shared" si="11"/>
        <v>17.036.466/0001-40</v>
      </c>
      <c r="C730" s="12"/>
      <c r="D730" s="3" t="s">
        <v>3199</v>
      </c>
      <c r="E730" s="3" t="s">
        <v>3199</v>
      </c>
      <c r="F730" s="3" t="s">
        <v>20</v>
      </c>
      <c r="G730" s="4">
        <v>41166</v>
      </c>
      <c r="H730" s="3" t="s">
        <v>21</v>
      </c>
      <c r="I730" s="3" t="s">
        <v>33</v>
      </c>
      <c r="J730" s="5">
        <v>60000</v>
      </c>
      <c r="K730" s="3">
        <v>7112000</v>
      </c>
      <c r="L730" s="3" t="s">
        <v>276</v>
      </c>
      <c r="M730" s="3" t="s">
        <v>3121</v>
      </c>
      <c r="N730" s="3">
        <v>892</v>
      </c>
      <c r="O730" s="3" t="s">
        <v>3200</v>
      </c>
      <c r="P730" s="3" t="s">
        <v>316</v>
      </c>
      <c r="Q730" s="3" t="s">
        <v>27</v>
      </c>
      <c r="R730" s="3" t="s">
        <v>28</v>
      </c>
      <c r="S730" s="3">
        <v>4547003</v>
      </c>
      <c r="T730" s="3">
        <v>1937097687</v>
      </c>
      <c r="U730" s="3" t="s">
        <v>29</v>
      </c>
    </row>
    <row r="731" spans="1:21" ht="13.2" x14ac:dyDescent="0.25">
      <c r="A731" s="14">
        <v>5144376000193</v>
      </c>
      <c r="B731" s="15" t="str">
        <f t="shared" si="11"/>
        <v>05.144.376/0001-93</v>
      </c>
      <c r="C731" s="12"/>
      <c r="D731" s="3" t="s">
        <v>3199</v>
      </c>
      <c r="E731" s="3" t="s">
        <v>3201</v>
      </c>
      <c r="F731" s="3" t="s">
        <v>20</v>
      </c>
      <c r="G731" s="4">
        <v>37442</v>
      </c>
      <c r="H731" s="3" t="s">
        <v>21</v>
      </c>
      <c r="I731" s="3" t="s">
        <v>22</v>
      </c>
      <c r="J731" s="5">
        <v>150000</v>
      </c>
      <c r="K731" s="3">
        <v>3292202</v>
      </c>
      <c r="L731" s="3" t="s">
        <v>1654</v>
      </c>
      <c r="M731" s="3" t="s">
        <v>3202</v>
      </c>
      <c r="N731" s="3">
        <v>2177</v>
      </c>
      <c r="P731" s="3" t="s">
        <v>3203</v>
      </c>
      <c r="Q731" s="3" t="s">
        <v>204</v>
      </c>
      <c r="R731" s="3" t="s">
        <v>187</v>
      </c>
      <c r="S731" s="3">
        <v>81730070</v>
      </c>
      <c r="T731" s="3">
        <v>4130935877</v>
      </c>
      <c r="U731" s="3" t="s">
        <v>29</v>
      </c>
    </row>
    <row r="732" spans="1:21" ht="13.2" x14ac:dyDescent="0.25">
      <c r="A732" s="14">
        <v>33342023000133</v>
      </c>
      <c r="B732" s="15" t="str">
        <f t="shared" si="11"/>
        <v>33.342.023/0001-33</v>
      </c>
      <c r="C732" s="12"/>
      <c r="D732" s="3" t="s">
        <v>3204</v>
      </c>
      <c r="E732" s="3" t="s">
        <v>3204</v>
      </c>
      <c r="F732" s="3" t="s">
        <v>20</v>
      </c>
      <c r="G732" s="4">
        <v>24366</v>
      </c>
      <c r="H732" s="3" t="s">
        <v>94</v>
      </c>
      <c r="I732" s="3" t="s">
        <v>33</v>
      </c>
      <c r="J732" s="5">
        <v>1090825900</v>
      </c>
      <c r="K732" s="3">
        <v>4120400</v>
      </c>
      <c r="L732" s="3" t="s">
        <v>87</v>
      </c>
      <c r="M732" s="3" t="s">
        <v>2071</v>
      </c>
      <c r="N732" s="3">
        <v>4430</v>
      </c>
      <c r="O732" s="3" t="s">
        <v>3205</v>
      </c>
      <c r="P732" s="3" t="s">
        <v>252</v>
      </c>
      <c r="Q732" s="3" t="s">
        <v>253</v>
      </c>
      <c r="R732" s="3" t="s">
        <v>78</v>
      </c>
      <c r="S732" s="3">
        <v>22640102</v>
      </c>
      <c r="U732" s="3" t="s">
        <v>29</v>
      </c>
    </row>
    <row r="733" spans="1:21" ht="13.2" x14ac:dyDescent="0.25">
      <c r="A733" s="14">
        <v>34164319000174</v>
      </c>
      <c r="B733" s="15" t="str">
        <f t="shared" si="11"/>
        <v>34.164.319/0001-74</v>
      </c>
      <c r="C733" s="12"/>
      <c r="D733" s="3" t="s">
        <v>3206</v>
      </c>
      <c r="E733" s="3" t="s">
        <v>3206</v>
      </c>
      <c r="F733" s="3" t="s">
        <v>20</v>
      </c>
      <c r="G733" s="4">
        <v>26043</v>
      </c>
      <c r="H733" s="3" t="s">
        <v>3061</v>
      </c>
      <c r="I733" s="3" t="s">
        <v>33</v>
      </c>
      <c r="J733" s="5">
        <v>0</v>
      </c>
      <c r="K733" s="3">
        <v>1812100</v>
      </c>
      <c r="L733" s="3" t="s">
        <v>3207</v>
      </c>
      <c r="M733" s="3" t="s">
        <v>3208</v>
      </c>
      <c r="N733" s="3" t="s">
        <v>82</v>
      </c>
      <c r="O733" s="3" t="s">
        <v>3209</v>
      </c>
      <c r="P733" s="3" t="s">
        <v>3210</v>
      </c>
      <c r="Q733" s="3" t="s">
        <v>631</v>
      </c>
      <c r="R733" s="3" t="s">
        <v>632</v>
      </c>
      <c r="S733" s="3">
        <v>70306908</v>
      </c>
      <c r="T733" s="3">
        <v>6132254345</v>
      </c>
      <c r="U733" s="3" t="s">
        <v>29</v>
      </c>
    </row>
    <row r="734" spans="1:21" ht="13.2" x14ac:dyDescent="0.25">
      <c r="A734" s="14">
        <v>1870495000172</v>
      </c>
      <c r="B734" s="15" t="str">
        <f t="shared" si="11"/>
        <v>01.870.495/0001-72</v>
      </c>
      <c r="C734" s="12"/>
      <c r="D734" s="3" t="s">
        <v>3211</v>
      </c>
      <c r="E734" s="3" t="s">
        <v>3211</v>
      </c>
      <c r="F734" s="3" t="s">
        <v>20</v>
      </c>
      <c r="G734" s="4">
        <v>35564</v>
      </c>
      <c r="H734" s="3" t="s">
        <v>21</v>
      </c>
      <c r="I734" s="3" t="s">
        <v>22</v>
      </c>
      <c r="J734" s="5">
        <v>300000</v>
      </c>
      <c r="K734" s="3">
        <v>4686902</v>
      </c>
      <c r="L734" s="3" t="s">
        <v>2027</v>
      </c>
      <c r="M734" s="3" t="s">
        <v>3212</v>
      </c>
      <c r="N734" s="3">
        <v>2209</v>
      </c>
      <c r="P734" s="3" t="s">
        <v>70</v>
      </c>
      <c r="Q734" s="3" t="s">
        <v>2066</v>
      </c>
      <c r="R734" s="3" t="s">
        <v>100</v>
      </c>
      <c r="S734" s="3">
        <v>38440062</v>
      </c>
      <c r="T734" s="3">
        <v>3432414308</v>
      </c>
      <c r="U734" s="3" t="s">
        <v>29</v>
      </c>
    </row>
    <row r="735" spans="1:21" ht="13.2" x14ac:dyDescent="0.25">
      <c r="A735" s="14">
        <v>61851929000119</v>
      </c>
      <c r="B735" s="15" t="str">
        <f t="shared" si="11"/>
        <v>61.851.929/0001-19</v>
      </c>
      <c r="C735" s="12"/>
      <c r="D735" s="3" t="s">
        <v>3213</v>
      </c>
      <c r="E735" s="3" t="s">
        <v>3214</v>
      </c>
      <c r="F735" s="3" t="s">
        <v>20</v>
      </c>
      <c r="G735" s="4">
        <v>25073</v>
      </c>
      <c r="H735" s="3" t="s">
        <v>21</v>
      </c>
      <c r="I735" s="3" t="s">
        <v>47</v>
      </c>
      <c r="J735" s="5">
        <v>177000</v>
      </c>
      <c r="K735" s="3">
        <v>7020400</v>
      </c>
      <c r="L735" s="3" t="s">
        <v>170</v>
      </c>
      <c r="M735" s="3" t="s">
        <v>3215</v>
      </c>
      <c r="N735" s="3">
        <v>541</v>
      </c>
      <c r="P735" s="3" t="s">
        <v>589</v>
      </c>
      <c r="Q735" s="3" t="s">
        <v>27</v>
      </c>
      <c r="R735" s="3" t="s">
        <v>28</v>
      </c>
      <c r="S735" s="3">
        <v>1237000</v>
      </c>
      <c r="T735" s="3">
        <v>1133578135</v>
      </c>
      <c r="U735" s="3" t="s">
        <v>29</v>
      </c>
    </row>
    <row r="736" spans="1:21" ht="13.2" x14ac:dyDescent="0.25">
      <c r="A736" s="14">
        <v>368000150</v>
      </c>
      <c r="B736" s="15" t="str">
        <f t="shared" si="11"/>
        <v>00.000.368/0001-50</v>
      </c>
      <c r="C736" s="12"/>
      <c r="D736" s="3" t="s">
        <v>3216</v>
      </c>
      <c r="E736" s="3" t="s">
        <v>3217</v>
      </c>
      <c r="F736" s="3" t="s">
        <v>20</v>
      </c>
      <c r="G736" s="4">
        <v>34520</v>
      </c>
      <c r="H736" s="3" t="s">
        <v>3218</v>
      </c>
      <c r="I736" s="3" t="s">
        <v>33</v>
      </c>
      <c r="J736" s="5">
        <v>0</v>
      </c>
      <c r="K736" s="3">
        <v>8411600</v>
      </c>
      <c r="L736" s="3" t="s">
        <v>621</v>
      </c>
      <c r="M736" s="3" t="s">
        <v>834</v>
      </c>
      <c r="N736" s="3">
        <v>4500</v>
      </c>
      <c r="O736" s="3" t="s">
        <v>3219</v>
      </c>
      <c r="P736" s="3" t="s">
        <v>834</v>
      </c>
      <c r="Q736" s="3" t="s">
        <v>27</v>
      </c>
      <c r="R736" s="3" t="s">
        <v>28</v>
      </c>
      <c r="S736" s="3">
        <v>5650000</v>
      </c>
      <c r="T736" s="3">
        <v>1121938346</v>
      </c>
      <c r="U736" s="3" t="s">
        <v>29</v>
      </c>
    </row>
    <row r="737" spans="1:21" ht="13.2" x14ac:dyDescent="0.25">
      <c r="A737" s="14">
        <v>52500287000112</v>
      </c>
      <c r="B737" s="15" t="str">
        <f t="shared" si="11"/>
        <v>52.500.287/0001-12</v>
      </c>
      <c r="C737" s="12" t="str">
        <f>VLOOKUP(B737,[1]Planilha1!$A:$B,2,0)</f>
        <v>Malu Montesino</v>
      </c>
      <c r="D737" s="3" t="s">
        <v>3220</v>
      </c>
      <c r="E737" s="3" t="s">
        <v>3220</v>
      </c>
      <c r="F737" s="3" t="s">
        <v>20</v>
      </c>
      <c r="G737" s="4">
        <v>24299</v>
      </c>
      <c r="H737" s="3" t="s">
        <v>94</v>
      </c>
      <c r="I737" s="3" t="s">
        <v>33</v>
      </c>
      <c r="J737" s="5">
        <v>5700000</v>
      </c>
      <c r="K737" s="3">
        <v>4661300</v>
      </c>
      <c r="L737" s="3" t="s">
        <v>595</v>
      </c>
      <c r="M737" s="3" t="s">
        <v>3221</v>
      </c>
      <c r="N737" s="3">
        <v>230</v>
      </c>
      <c r="P737" s="3" t="s">
        <v>3222</v>
      </c>
      <c r="Q737" s="3" t="s">
        <v>3223</v>
      </c>
      <c r="R737" s="3" t="s">
        <v>28</v>
      </c>
      <c r="S737" s="3">
        <v>13731400</v>
      </c>
      <c r="T737" s="3">
        <v>1936569400</v>
      </c>
      <c r="U737" s="3" t="s">
        <v>29</v>
      </c>
    </row>
    <row r="738" spans="1:21" ht="13.2" x14ac:dyDescent="0.25">
      <c r="A738" s="14">
        <v>59600643000119</v>
      </c>
      <c r="B738" s="15" t="str">
        <f t="shared" si="11"/>
        <v>59.600.643/0001-19</v>
      </c>
      <c r="C738" s="12"/>
      <c r="D738" s="3" t="s">
        <v>3224</v>
      </c>
      <c r="E738" s="3" t="s">
        <v>3224</v>
      </c>
      <c r="F738" s="3" t="s">
        <v>20</v>
      </c>
      <c r="G738" s="4">
        <v>26494</v>
      </c>
      <c r="H738" s="3" t="s">
        <v>21</v>
      </c>
      <c r="I738" s="3" t="s">
        <v>33</v>
      </c>
      <c r="J738" s="5">
        <v>907500</v>
      </c>
      <c r="K738" s="3">
        <v>2833000</v>
      </c>
      <c r="L738" s="3" t="s">
        <v>151</v>
      </c>
      <c r="M738" s="3" t="s">
        <v>329</v>
      </c>
      <c r="N738" s="3" t="s">
        <v>82</v>
      </c>
      <c r="O738" s="3" t="s">
        <v>3225</v>
      </c>
      <c r="P738" s="3" t="s">
        <v>153</v>
      </c>
      <c r="Q738" s="3" t="s">
        <v>2406</v>
      </c>
      <c r="R738" s="3" t="s">
        <v>28</v>
      </c>
      <c r="S738" s="3">
        <v>13565800</v>
      </c>
      <c r="T738" s="3">
        <v>1634115014</v>
      </c>
      <c r="U738" s="3" t="s">
        <v>29</v>
      </c>
    </row>
    <row r="739" spans="1:21" ht="13.2" x14ac:dyDescent="0.25">
      <c r="A739" s="14">
        <v>17875743000108</v>
      </c>
      <c r="B739" s="15" t="str">
        <f t="shared" si="11"/>
        <v>17.875.743/0001-08</v>
      </c>
      <c r="C739" s="12"/>
      <c r="D739" s="3" t="s">
        <v>3226</v>
      </c>
      <c r="E739" s="3" t="s">
        <v>3227</v>
      </c>
      <c r="F739" s="3" t="s">
        <v>20</v>
      </c>
      <c r="G739" s="4">
        <v>41311</v>
      </c>
      <c r="H739" s="3" t="s">
        <v>21</v>
      </c>
      <c r="I739" s="3" t="s">
        <v>22</v>
      </c>
      <c r="J739" s="5">
        <v>100000</v>
      </c>
      <c r="K739" s="3">
        <v>7111100</v>
      </c>
      <c r="L739" s="3" t="s">
        <v>1115</v>
      </c>
      <c r="M739" s="3" t="s">
        <v>3228</v>
      </c>
      <c r="N739" s="3">
        <v>531</v>
      </c>
      <c r="O739" s="3" t="s">
        <v>3229</v>
      </c>
      <c r="P739" s="3" t="s">
        <v>3230</v>
      </c>
      <c r="Q739" s="3" t="s">
        <v>273</v>
      </c>
      <c r="R739" s="3" t="s">
        <v>274</v>
      </c>
      <c r="S739" s="3">
        <v>74223060</v>
      </c>
      <c r="T739" s="3">
        <v>6281001618</v>
      </c>
      <c r="U739" s="3" t="s">
        <v>29</v>
      </c>
    </row>
    <row r="740" spans="1:21" ht="13.2" x14ac:dyDescent="0.25">
      <c r="A740" s="14">
        <v>78746773000109</v>
      </c>
      <c r="B740" s="15" t="str">
        <f t="shared" si="11"/>
        <v>78.746.773/0001-09</v>
      </c>
      <c r="C740" s="12"/>
      <c r="D740" s="3" t="s">
        <v>3231</v>
      </c>
      <c r="E740" s="3" t="s">
        <v>3232</v>
      </c>
      <c r="F740" s="3" t="s">
        <v>20</v>
      </c>
      <c r="G740" s="4">
        <v>31187</v>
      </c>
      <c r="H740" s="3" t="s">
        <v>21</v>
      </c>
      <c r="I740" s="3" t="s">
        <v>33</v>
      </c>
      <c r="J740" s="5">
        <v>5600000</v>
      </c>
      <c r="K740" s="3">
        <v>3250701</v>
      </c>
      <c r="L740" s="3" t="s">
        <v>2195</v>
      </c>
      <c r="M740" s="3" t="s">
        <v>3233</v>
      </c>
      <c r="N740" s="3">
        <v>4474</v>
      </c>
      <c r="P740" s="3" t="s">
        <v>3234</v>
      </c>
      <c r="Q740" s="3" t="s">
        <v>204</v>
      </c>
      <c r="R740" s="3" t="s">
        <v>187</v>
      </c>
      <c r="S740" s="3">
        <v>82410330</v>
      </c>
      <c r="T740" s="3">
        <v>4102735774</v>
      </c>
      <c r="U740" s="3" t="s">
        <v>29</v>
      </c>
    </row>
    <row r="741" spans="1:21" ht="13.2" x14ac:dyDescent="0.25">
      <c r="A741" s="14">
        <v>75400218000809</v>
      </c>
      <c r="B741" s="15" t="str">
        <f t="shared" si="11"/>
        <v>75.400.218/0008-09</v>
      </c>
      <c r="C741" s="12"/>
      <c r="D741" s="3" t="s">
        <v>3235</v>
      </c>
      <c r="E741" s="3" t="s">
        <v>3236</v>
      </c>
      <c r="F741" s="3" t="s">
        <v>20</v>
      </c>
      <c r="G741" s="4">
        <v>34527</v>
      </c>
      <c r="H741" s="3" t="s">
        <v>21</v>
      </c>
      <c r="I741" s="3" t="s">
        <v>33</v>
      </c>
      <c r="J741" s="5">
        <v>44230640</v>
      </c>
      <c r="K741" s="3">
        <v>4744099</v>
      </c>
      <c r="L741" s="3" t="s">
        <v>115</v>
      </c>
      <c r="M741" s="3" t="s">
        <v>3237</v>
      </c>
      <c r="N741" s="3" t="s">
        <v>82</v>
      </c>
      <c r="O741" s="3" t="s">
        <v>3238</v>
      </c>
      <c r="P741" s="3" t="s">
        <v>3239</v>
      </c>
      <c r="Q741" s="3" t="s">
        <v>536</v>
      </c>
      <c r="R741" s="3" t="s">
        <v>91</v>
      </c>
      <c r="S741" s="3">
        <v>88102700</v>
      </c>
      <c r="T741" s="3">
        <v>4830358001</v>
      </c>
      <c r="U741" s="3" t="s">
        <v>29</v>
      </c>
    </row>
    <row r="742" spans="1:21" ht="13.2" x14ac:dyDescent="0.25">
      <c r="A742" s="14">
        <v>7814284000107</v>
      </c>
      <c r="B742" s="15" t="str">
        <f t="shared" si="11"/>
        <v>07.814.284/0001-07</v>
      </c>
      <c r="C742" s="12"/>
      <c r="D742" s="3" t="s">
        <v>3240</v>
      </c>
      <c r="E742" s="3" t="s">
        <v>3241</v>
      </c>
      <c r="F742" s="3" t="s">
        <v>20</v>
      </c>
      <c r="G742" s="4">
        <v>38723</v>
      </c>
      <c r="H742" s="3" t="s">
        <v>94</v>
      </c>
      <c r="I742" s="3" t="s">
        <v>33</v>
      </c>
      <c r="J742" s="5">
        <v>46507000</v>
      </c>
      <c r="K742" s="3">
        <v>1099601</v>
      </c>
      <c r="L742" s="3" t="s">
        <v>3242</v>
      </c>
      <c r="M742" s="3" t="s">
        <v>3243</v>
      </c>
      <c r="N742" s="3">
        <v>480</v>
      </c>
      <c r="P742" s="3" t="s">
        <v>1795</v>
      </c>
      <c r="Q742" s="3" t="s">
        <v>567</v>
      </c>
      <c r="R742" s="3" t="s">
        <v>28</v>
      </c>
      <c r="S742" s="3">
        <v>13209500</v>
      </c>
      <c r="T742" s="3">
        <v>1145897070</v>
      </c>
      <c r="U742" s="3" t="s">
        <v>29</v>
      </c>
    </row>
    <row r="743" spans="1:21" ht="13.2" x14ac:dyDescent="0.25">
      <c r="A743" s="14">
        <v>33194978000190</v>
      </c>
      <c r="B743" s="15" t="str">
        <f t="shared" si="11"/>
        <v>33.194.978/0001-90</v>
      </c>
      <c r="C743" s="12"/>
      <c r="D743" s="3" t="s">
        <v>3244</v>
      </c>
      <c r="E743" s="3" t="s">
        <v>3245</v>
      </c>
      <c r="F743" s="3" t="s">
        <v>20</v>
      </c>
      <c r="G743" s="4">
        <v>20654</v>
      </c>
      <c r="H743" s="3" t="s">
        <v>21</v>
      </c>
      <c r="I743" s="3" t="s">
        <v>33</v>
      </c>
      <c r="J743" s="5">
        <v>222912200</v>
      </c>
      <c r="K743" s="3">
        <v>1922599</v>
      </c>
      <c r="L743" s="3" t="s">
        <v>3246</v>
      </c>
      <c r="M743" s="3" t="s">
        <v>2071</v>
      </c>
      <c r="N743" s="3">
        <v>3434</v>
      </c>
      <c r="O743" s="3" t="s">
        <v>3247</v>
      </c>
      <c r="P743" s="3" t="s">
        <v>252</v>
      </c>
      <c r="Q743" s="3" t="s">
        <v>253</v>
      </c>
      <c r="R743" s="3" t="s">
        <v>78</v>
      </c>
      <c r="S743" s="3">
        <v>22640102</v>
      </c>
      <c r="T743" s="3">
        <v>1141337800</v>
      </c>
      <c r="U743" s="3" t="s">
        <v>29</v>
      </c>
    </row>
    <row r="744" spans="1:21" ht="13.2" x14ac:dyDescent="0.25">
      <c r="A744" s="14">
        <v>61064911000177</v>
      </c>
      <c r="B744" s="15" t="str">
        <f t="shared" si="11"/>
        <v>61.064.911/0001-77</v>
      </c>
      <c r="C744" s="12" t="str">
        <f>VLOOKUP(B744,[1]Planilha1!$A:$B,2,0)</f>
        <v>Malu Montesino</v>
      </c>
      <c r="D744" s="3" t="s">
        <v>3248</v>
      </c>
      <c r="E744" s="3" t="s">
        <v>3248</v>
      </c>
      <c r="F744" s="3" t="s">
        <v>20</v>
      </c>
      <c r="G744" s="4">
        <v>26142</v>
      </c>
      <c r="H744" s="3" t="s">
        <v>21</v>
      </c>
      <c r="I744" s="3" t="s">
        <v>33</v>
      </c>
      <c r="J744" s="5">
        <v>811701570</v>
      </c>
      <c r="K744" s="3">
        <v>2853400</v>
      </c>
      <c r="L744" s="3" t="s">
        <v>3249</v>
      </c>
      <c r="M744" s="3" t="s">
        <v>3250</v>
      </c>
      <c r="N744" s="3" t="s">
        <v>82</v>
      </c>
      <c r="O744" s="3" t="s">
        <v>3251</v>
      </c>
      <c r="P744" s="3" t="s">
        <v>3252</v>
      </c>
      <c r="Q744" s="3" t="s">
        <v>367</v>
      </c>
      <c r="R744" s="3" t="s">
        <v>28</v>
      </c>
      <c r="S744" s="3">
        <v>13420900</v>
      </c>
      <c r="T744" s="3">
        <v>1921062100</v>
      </c>
      <c r="U744" s="3" t="s">
        <v>29</v>
      </c>
    </row>
    <row r="745" spans="1:21" ht="13.2" x14ac:dyDescent="0.25">
      <c r="A745" s="14">
        <v>25449857000114</v>
      </c>
      <c r="B745" s="15" t="str">
        <f t="shared" si="11"/>
        <v>25.449.857/0001-14</v>
      </c>
      <c r="C745" s="12" t="str">
        <f>VLOOKUP(B745,[1]Planilha1!$A:$B,2,0)</f>
        <v>Mariane Nascimento</v>
      </c>
      <c r="D745" s="3" t="s">
        <v>3253</v>
      </c>
      <c r="E745" s="3" t="s">
        <v>3253</v>
      </c>
      <c r="F745" s="3" t="s">
        <v>20</v>
      </c>
      <c r="G745" s="4">
        <v>42590</v>
      </c>
      <c r="H745" s="3" t="s">
        <v>21</v>
      </c>
      <c r="I745" s="3" t="s">
        <v>33</v>
      </c>
      <c r="J745" s="5">
        <v>600000</v>
      </c>
      <c r="K745" s="3">
        <v>7112000</v>
      </c>
      <c r="L745" s="3" t="s">
        <v>276</v>
      </c>
      <c r="M745" s="3" t="s">
        <v>2390</v>
      </c>
      <c r="N745" s="3">
        <v>2279</v>
      </c>
      <c r="O745" s="3" t="s">
        <v>3254</v>
      </c>
      <c r="P745" s="3" t="s">
        <v>1064</v>
      </c>
      <c r="Q745" s="3" t="s">
        <v>27</v>
      </c>
      <c r="R745" s="3" t="s">
        <v>28</v>
      </c>
      <c r="S745" s="3">
        <v>4101100</v>
      </c>
      <c r="T745" s="3">
        <v>1131701313</v>
      </c>
      <c r="U745" s="3" t="s">
        <v>29</v>
      </c>
    </row>
    <row r="746" spans="1:21" ht="13.2" x14ac:dyDescent="0.25">
      <c r="A746" s="14">
        <v>7353518000158</v>
      </c>
      <c r="B746" s="15" t="str">
        <f t="shared" si="11"/>
        <v>07.353.518/0001-58</v>
      </c>
      <c r="C746" s="12"/>
      <c r="D746" s="3" t="s">
        <v>3255</v>
      </c>
      <c r="E746" s="3" t="s">
        <v>3256</v>
      </c>
      <c r="F746" s="3" t="s">
        <v>20</v>
      </c>
      <c r="G746" s="4">
        <v>38449</v>
      </c>
      <c r="H746" s="3" t="s">
        <v>21</v>
      </c>
      <c r="I746" s="3" t="s">
        <v>33</v>
      </c>
      <c r="J746" s="5">
        <v>12000000</v>
      </c>
      <c r="K746" s="3">
        <v>4633801</v>
      </c>
      <c r="L746" s="3" t="s">
        <v>750</v>
      </c>
      <c r="M746" s="3" t="s">
        <v>3257</v>
      </c>
      <c r="N746" s="3">
        <v>128</v>
      </c>
      <c r="P746" s="3" t="s">
        <v>3258</v>
      </c>
      <c r="Q746" s="3" t="s">
        <v>2822</v>
      </c>
      <c r="R746" s="3" t="s">
        <v>28</v>
      </c>
      <c r="S746" s="3">
        <v>12236582</v>
      </c>
      <c r="T746" s="3">
        <v>1241411720</v>
      </c>
      <c r="U746" s="3" t="s">
        <v>29</v>
      </c>
    </row>
    <row r="747" spans="1:21" ht="13.2" x14ac:dyDescent="0.25">
      <c r="A747" s="14">
        <v>11972582000194</v>
      </c>
      <c r="B747" s="15" t="str">
        <f t="shared" si="11"/>
        <v>11.972.582/0001-94</v>
      </c>
      <c r="C747" s="12"/>
      <c r="D747" s="3" t="s">
        <v>3259</v>
      </c>
      <c r="E747" s="3" t="s">
        <v>3260</v>
      </c>
      <c r="F747" s="3" t="s">
        <v>45</v>
      </c>
      <c r="G747" s="4">
        <v>40309</v>
      </c>
      <c r="H747" s="3" t="s">
        <v>21</v>
      </c>
      <c r="I747" s="3" t="s">
        <v>47</v>
      </c>
      <c r="J747" s="5">
        <v>85000</v>
      </c>
      <c r="K747" s="3">
        <v>4751201</v>
      </c>
      <c r="L747" s="3" t="s">
        <v>23</v>
      </c>
      <c r="M747" s="3" t="s">
        <v>3261</v>
      </c>
      <c r="N747" s="3">
        <v>225</v>
      </c>
      <c r="P747" s="3" t="s">
        <v>3262</v>
      </c>
      <c r="Q747" s="3" t="s">
        <v>186</v>
      </c>
      <c r="R747" s="3" t="s">
        <v>187</v>
      </c>
      <c r="S747" s="3">
        <v>83050380</v>
      </c>
      <c r="T747" s="3">
        <v>4130581413</v>
      </c>
      <c r="U747" s="3" t="s">
        <v>29</v>
      </c>
    </row>
    <row r="748" spans="1:21" ht="13.2" x14ac:dyDescent="0.25">
      <c r="A748" s="14">
        <v>48539662000160</v>
      </c>
      <c r="B748" s="15" t="str">
        <f t="shared" si="11"/>
        <v>48.539.662/0001-60</v>
      </c>
      <c r="C748" s="12"/>
      <c r="D748" s="3" t="s">
        <v>3263</v>
      </c>
      <c r="E748" s="3" t="s">
        <v>3263</v>
      </c>
      <c r="F748" s="3" t="s">
        <v>20</v>
      </c>
      <c r="G748" s="4">
        <v>26687</v>
      </c>
      <c r="H748" s="3" t="s">
        <v>21</v>
      </c>
      <c r="I748" s="3" t="s">
        <v>47</v>
      </c>
      <c r="J748" s="5">
        <v>225000</v>
      </c>
      <c r="K748" s="3">
        <v>4712100</v>
      </c>
      <c r="L748" s="3" t="s">
        <v>3264</v>
      </c>
      <c r="M748" s="3" t="s">
        <v>3265</v>
      </c>
      <c r="N748" s="3">
        <v>42</v>
      </c>
      <c r="P748" s="3" t="s">
        <v>70</v>
      </c>
      <c r="Q748" s="3" t="s">
        <v>3266</v>
      </c>
      <c r="R748" s="3" t="s">
        <v>28</v>
      </c>
      <c r="S748" s="3">
        <v>12500200</v>
      </c>
      <c r="T748" s="3">
        <v>1231223869</v>
      </c>
      <c r="U748" s="3" t="s">
        <v>29</v>
      </c>
    </row>
    <row r="749" spans="1:21" ht="13.2" x14ac:dyDescent="0.25">
      <c r="A749" s="14">
        <v>33039181000119</v>
      </c>
      <c r="B749" s="15" t="str">
        <f t="shared" si="11"/>
        <v>33.039.181/0001-19</v>
      </c>
      <c r="C749" s="12" t="str">
        <f>VLOOKUP(B749,[1]Planilha1!$A:$B,2,0)</f>
        <v>Malu Montesino</v>
      </c>
      <c r="D749" s="3" t="s">
        <v>3267</v>
      </c>
      <c r="E749" s="3" t="s">
        <v>3268</v>
      </c>
      <c r="F749" s="3" t="s">
        <v>20</v>
      </c>
      <c r="G749" s="4">
        <v>24321</v>
      </c>
      <c r="H749" s="3" t="s">
        <v>94</v>
      </c>
      <c r="I749" s="3" t="s">
        <v>33</v>
      </c>
      <c r="J749" s="5">
        <v>34325580</v>
      </c>
      <c r="K749" s="3">
        <v>2330399</v>
      </c>
      <c r="L749" s="3" t="s">
        <v>3269</v>
      </c>
      <c r="M749" s="3" t="s">
        <v>3121</v>
      </c>
      <c r="N749" s="3">
        <v>892</v>
      </c>
      <c r="O749" s="3" t="s">
        <v>3270</v>
      </c>
      <c r="P749" s="3" t="s">
        <v>316</v>
      </c>
      <c r="Q749" s="3" t="s">
        <v>27</v>
      </c>
      <c r="R749" s="3" t="s">
        <v>28</v>
      </c>
      <c r="S749" s="3">
        <v>4547003</v>
      </c>
      <c r="T749" s="3">
        <v>1136314800</v>
      </c>
      <c r="U749" s="3" t="s">
        <v>29</v>
      </c>
    </row>
    <row r="750" spans="1:21" ht="13.2" x14ac:dyDescent="0.25">
      <c r="A750" s="14">
        <v>82381815000807</v>
      </c>
      <c r="B750" s="15" t="str">
        <f t="shared" si="11"/>
        <v>82.381.815/0008-07</v>
      </c>
      <c r="C750" s="12" t="str">
        <f>VLOOKUP(B750,[1]Planilha1!$A:$B,2,0)</f>
        <v>Malu Montesino</v>
      </c>
      <c r="D750" s="3" t="s">
        <v>3271</v>
      </c>
      <c r="E750" s="3" t="s">
        <v>3271</v>
      </c>
      <c r="F750" s="3" t="s">
        <v>20</v>
      </c>
      <c r="G750" s="4">
        <v>41982</v>
      </c>
      <c r="H750" s="3" t="s">
        <v>21</v>
      </c>
      <c r="I750" s="3" t="s">
        <v>33</v>
      </c>
      <c r="J750" s="5">
        <v>68700000</v>
      </c>
      <c r="K750" s="3">
        <v>2399199</v>
      </c>
      <c r="L750" s="3" t="s">
        <v>3272</v>
      </c>
      <c r="M750" s="3" t="s">
        <v>3273</v>
      </c>
      <c r="N750" s="3">
        <v>3268</v>
      </c>
      <c r="P750" s="3" t="s">
        <v>2825</v>
      </c>
      <c r="Q750" s="3" t="s">
        <v>2128</v>
      </c>
      <c r="R750" s="3" t="s">
        <v>28</v>
      </c>
      <c r="S750" s="3">
        <v>13146061</v>
      </c>
      <c r="T750" s="3">
        <v>1937055130</v>
      </c>
      <c r="U750" s="3" t="s">
        <v>29</v>
      </c>
    </row>
    <row r="751" spans="1:21" ht="13.2" x14ac:dyDescent="0.25">
      <c r="A751" s="14">
        <v>712814000159</v>
      </c>
      <c r="B751" s="15" t="str">
        <f t="shared" si="11"/>
        <v>00.712.814/0001-59</v>
      </c>
      <c r="C751" s="12"/>
      <c r="D751" s="3" t="s">
        <v>3274</v>
      </c>
      <c r="E751" s="3" t="s">
        <v>3274</v>
      </c>
      <c r="F751" s="3" t="s">
        <v>20</v>
      </c>
      <c r="G751" s="4">
        <v>34898</v>
      </c>
      <c r="H751" s="3" t="s">
        <v>21</v>
      </c>
      <c r="I751" s="3" t="s">
        <v>22</v>
      </c>
      <c r="J751" s="5">
        <v>1200000</v>
      </c>
      <c r="K751" s="3">
        <v>4120400</v>
      </c>
      <c r="L751" s="3" t="s">
        <v>87</v>
      </c>
      <c r="M751" s="3" t="s">
        <v>3275</v>
      </c>
      <c r="N751" s="3">
        <v>13223</v>
      </c>
      <c r="O751" s="3" t="s">
        <v>3276</v>
      </c>
      <c r="P751" s="3" t="s">
        <v>950</v>
      </c>
      <c r="Q751" s="3" t="s">
        <v>280</v>
      </c>
      <c r="R751" s="3" t="s">
        <v>281</v>
      </c>
      <c r="S751" s="3">
        <v>41500300</v>
      </c>
      <c r="T751" s="3">
        <v>7133673792</v>
      </c>
      <c r="U751" s="3" t="s">
        <v>29</v>
      </c>
    </row>
    <row r="752" spans="1:21" ht="13.2" x14ac:dyDescent="0.25">
      <c r="A752" s="14">
        <v>34245458000122</v>
      </c>
      <c r="B752" s="15" t="str">
        <f t="shared" si="11"/>
        <v>34.245.458/0001-22</v>
      </c>
      <c r="C752" s="12" t="str">
        <f>VLOOKUP(B752,[1]Planilha1!$A:$B,2,0)</f>
        <v>Malu Montesino</v>
      </c>
      <c r="D752" s="3" t="s">
        <v>3277</v>
      </c>
      <c r="E752" s="3" t="s">
        <v>3278</v>
      </c>
      <c r="F752" s="3" t="s">
        <v>20</v>
      </c>
      <c r="G752" s="4">
        <v>43663</v>
      </c>
      <c r="H752" s="3" t="s">
        <v>21</v>
      </c>
      <c r="I752" s="3" t="s">
        <v>33</v>
      </c>
      <c r="J752" s="5">
        <v>300000</v>
      </c>
      <c r="K752" s="3">
        <v>7020400</v>
      </c>
      <c r="L752" s="3" t="s">
        <v>170</v>
      </c>
      <c r="M752" s="3" t="s">
        <v>3279</v>
      </c>
      <c r="N752" s="3">
        <v>224</v>
      </c>
      <c r="O752" s="3" t="s">
        <v>3280</v>
      </c>
      <c r="P752" s="3" t="s">
        <v>1064</v>
      </c>
      <c r="Q752" s="3" t="s">
        <v>27</v>
      </c>
      <c r="R752" s="3" t="s">
        <v>28</v>
      </c>
      <c r="S752" s="3">
        <v>4007000</v>
      </c>
      <c r="T752" s="3">
        <v>1128425050</v>
      </c>
      <c r="U752" s="3" t="s">
        <v>29</v>
      </c>
    </row>
    <row r="753" spans="1:21" ht="13.2" x14ac:dyDescent="0.25">
      <c r="A753" s="14">
        <v>62463005000108</v>
      </c>
      <c r="B753" s="15" t="str">
        <f t="shared" si="11"/>
        <v>62.463.005/0001-08</v>
      </c>
      <c r="C753" s="12"/>
      <c r="D753" s="3" t="s">
        <v>3281</v>
      </c>
      <c r="E753" s="3" t="s">
        <v>3282</v>
      </c>
      <c r="F753" s="3" t="s">
        <v>20</v>
      </c>
      <c r="G753" s="4">
        <v>25373</v>
      </c>
      <c r="H753" s="3" t="s">
        <v>3061</v>
      </c>
      <c r="I753" s="3" t="s">
        <v>33</v>
      </c>
      <c r="J753" s="5">
        <v>142235140</v>
      </c>
      <c r="K753" s="3">
        <v>5211701</v>
      </c>
      <c r="L753" s="3" t="s">
        <v>1623</v>
      </c>
      <c r="M753" s="3" t="s">
        <v>751</v>
      </c>
      <c r="N753" s="3">
        <v>1946</v>
      </c>
      <c r="O753" s="3" t="s">
        <v>3283</v>
      </c>
      <c r="P753" s="3" t="s">
        <v>753</v>
      </c>
      <c r="Q753" s="3" t="s">
        <v>27</v>
      </c>
      <c r="R753" s="3" t="s">
        <v>28</v>
      </c>
      <c r="S753" s="3">
        <v>5316900</v>
      </c>
      <c r="T753" s="3">
        <v>1136433700</v>
      </c>
      <c r="U753" s="3" t="s">
        <v>29</v>
      </c>
    </row>
    <row r="754" spans="1:21" ht="13.2" x14ac:dyDescent="0.25">
      <c r="A754" s="14">
        <v>19991217000139</v>
      </c>
      <c r="B754" s="15" t="str">
        <f t="shared" si="11"/>
        <v>19.991.217/0001-39</v>
      </c>
      <c r="C754" s="12"/>
      <c r="D754" s="3" t="s">
        <v>3284</v>
      </c>
      <c r="E754" s="3" t="s">
        <v>3284</v>
      </c>
      <c r="F754" s="3" t="s">
        <v>20</v>
      </c>
      <c r="G754" s="4">
        <v>41730</v>
      </c>
      <c r="H754" s="3" t="s">
        <v>21</v>
      </c>
      <c r="I754" s="3" t="s">
        <v>33</v>
      </c>
      <c r="J754" s="5">
        <v>2050000</v>
      </c>
      <c r="K754" s="3">
        <v>2829199</v>
      </c>
      <c r="L754" s="3" t="s">
        <v>1514</v>
      </c>
      <c r="M754" s="3" t="s">
        <v>3285</v>
      </c>
      <c r="N754" s="3">
        <v>1100</v>
      </c>
      <c r="P754" s="3" t="s">
        <v>3286</v>
      </c>
      <c r="Q754" s="3" t="s">
        <v>854</v>
      </c>
      <c r="R754" s="3" t="s">
        <v>28</v>
      </c>
      <c r="S754" s="3">
        <v>13485295</v>
      </c>
      <c r="T754" s="3">
        <v>1921134100</v>
      </c>
      <c r="U754" s="3" t="s">
        <v>29</v>
      </c>
    </row>
    <row r="755" spans="1:21" ht="13.2" x14ac:dyDescent="0.25">
      <c r="A755" s="14">
        <v>2499851000156</v>
      </c>
      <c r="B755" s="15" t="str">
        <f t="shared" si="11"/>
        <v>02.499.851/0001-56</v>
      </c>
      <c r="C755" s="12"/>
      <c r="D755" s="3" t="s">
        <v>3287</v>
      </c>
      <c r="E755" s="3" t="s">
        <v>3288</v>
      </c>
      <c r="F755" s="3" t="s">
        <v>20</v>
      </c>
      <c r="G755" s="4">
        <v>35900</v>
      </c>
      <c r="H755" s="3" t="s">
        <v>21</v>
      </c>
      <c r="I755" s="3" t="s">
        <v>22</v>
      </c>
      <c r="J755" s="5">
        <v>6000</v>
      </c>
      <c r="K755" s="3">
        <v>6622300</v>
      </c>
      <c r="L755" s="3" t="s">
        <v>1324</v>
      </c>
      <c r="M755" s="3" t="s">
        <v>3289</v>
      </c>
      <c r="N755" s="3">
        <v>472</v>
      </c>
      <c r="O755" s="3" t="s">
        <v>3290</v>
      </c>
      <c r="P755" s="3" t="s">
        <v>2211</v>
      </c>
      <c r="Q755" s="3" t="s">
        <v>27</v>
      </c>
      <c r="R755" s="3" t="s">
        <v>28</v>
      </c>
      <c r="S755" s="3">
        <v>4711030</v>
      </c>
      <c r="T755" s="3">
        <v>1130789626</v>
      </c>
      <c r="U755" s="3" t="s">
        <v>29</v>
      </c>
    </row>
    <row r="756" spans="1:21" ht="13.2" x14ac:dyDescent="0.25">
      <c r="A756" s="14">
        <v>79540670000150</v>
      </c>
      <c r="B756" s="15" t="str">
        <f t="shared" si="11"/>
        <v>79.540.670/0001-50</v>
      </c>
      <c r="C756" s="12"/>
      <c r="D756" s="3" t="s">
        <v>3291</v>
      </c>
      <c r="E756" s="3" t="s">
        <v>3292</v>
      </c>
      <c r="F756" s="3" t="s">
        <v>20</v>
      </c>
      <c r="G756" s="4">
        <v>31629</v>
      </c>
      <c r="H756" s="3" t="s">
        <v>21</v>
      </c>
      <c r="I756" s="3" t="s">
        <v>33</v>
      </c>
      <c r="J756" s="5">
        <v>35199970</v>
      </c>
      <c r="K756" s="3">
        <v>4212000</v>
      </c>
      <c r="L756" s="3" t="s">
        <v>1040</v>
      </c>
      <c r="M756" s="3" t="s">
        <v>3293</v>
      </c>
      <c r="N756" s="3">
        <v>3032</v>
      </c>
      <c r="P756" s="3" t="s">
        <v>2254</v>
      </c>
      <c r="Q756" s="3" t="s">
        <v>204</v>
      </c>
      <c r="R756" s="3" t="s">
        <v>187</v>
      </c>
      <c r="S756" s="3">
        <v>81265210</v>
      </c>
      <c r="T756" s="3">
        <v>4132414000</v>
      </c>
      <c r="U756" s="3" t="s">
        <v>29</v>
      </c>
    </row>
    <row r="757" spans="1:21" ht="13.2" x14ac:dyDescent="0.25">
      <c r="A757" s="14">
        <v>22644977000184</v>
      </c>
      <c r="B757" s="15" t="str">
        <f t="shared" si="11"/>
        <v>22.644.977/0001-84</v>
      </c>
      <c r="C757" s="12"/>
      <c r="D757" s="3" t="s">
        <v>3294</v>
      </c>
      <c r="E757" s="3" t="s">
        <v>3294</v>
      </c>
      <c r="F757" s="3" t="s">
        <v>20</v>
      </c>
      <c r="G757" s="4">
        <v>42170</v>
      </c>
      <c r="H757" s="3" t="s">
        <v>21</v>
      </c>
      <c r="I757" s="3" t="s">
        <v>22</v>
      </c>
      <c r="J757" s="5">
        <v>28000</v>
      </c>
      <c r="K757" s="3">
        <v>7020400</v>
      </c>
      <c r="L757" s="3" t="s">
        <v>170</v>
      </c>
      <c r="M757" s="3" t="s">
        <v>3295</v>
      </c>
      <c r="N757" s="3">
        <v>348</v>
      </c>
      <c r="O757" s="3" t="s">
        <v>3296</v>
      </c>
      <c r="P757" s="3" t="s">
        <v>753</v>
      </c>
      <c r="Q757" s="3" t="s">
        <v>27</v>
      </c>
      <c r="R757" s="3" t="s">
        <v>28</v>
      </c>
      <c r="S757" s="3">
        <v>5311000</v>
      </c>
      <c r="T757" s="3">
        <v>1182174346</v>
      </c>
      <c r="U757" s="3" t="s">
        <v>29</v>
      </c>
    </row>
    <row r="758" spans="1:21" ht="13.2" x14ac:dyDescent="0.25">
      <c r="A758" s="14">
        <v>88320189000140</v>
      </c>
      <c r="B758" s="15" t="str">
        <f t="shared" si="11"/>
        <v>88.320.189/0001-40</v>
      </c>
      <c r="C758" s="12"/>
      <c r="D758" s="3" t="s">
        <v>3297</v>
      </c>
      <c r="E758" s="3" t="s">
        <v>3298</v>
      </c>
      <c r="F758" s="3" t="s">
        <v>20</v>
      </c>
      <c r="G758" s="4">
        <v>30175</v>
      </c>
      <c r="H758" s="3" t="s">
        <v>21</v>
      </c>
      <c r="I758" s="3" t="s">
        <v>22</v>
      </c>
      <c r="J758" s="5">
        <v>150250</v>
      </c>
      <c r="K758" s="3">
        <v>5250801</v>
      </c>
      <c r="L758" s="3" t="s">
        <v>3299</v>
      </c>
      <c r="M758" s="3" t="s">
        <v>1130</v>
      </c>
      <c r="N758" s="3">
        <v>469</v>
      </c>
      <c r="O758" s="3" t="s">
        <v>3300</v>
      </c>
      <c r="P758" s="3" t="s">
        <v>1480</v>
      </c>
      <c r="Q758" s="3" t="s">
        <v>437</v>
      </c>
      <c r="R758" s="3" t="s">
        <v>53</v>
      </c>
      <c r="S758" s="3">
        <v>90200290</v>
      </c>
      <c r="T758" s="3">
        <v>5133717500</v>
      </c>
      <c r="U758" s="3" t="s">
        <v>29</v>
      </c>
    </row>
    <row r="759" spans="1:21" ht="13.2" x14ac:dyDescent="0.25">
      <c r="A759" s="14">
        <v>29856228000160</v>
      </c>
      <c r="B759" s="15" t="str">
        <f t="shared" si="11"/>
        <v>29.856.228/0001-60</v>
      </c>
      <c r="C759" s="12"/>
      <c r="D759" s="3" t="s">
        <v>3301</v>
      </c>
      <c r="E759" s="3" t="s">
        <v>3302</v>
      </c>
      <c r="F759" s="3" t="s">
        <v>20</v>
      </c>
      <c r="G759" s="4">
        <v>43165</v>
      </c>
      <c r="H759" s="3" t="s">
        <v>21</v>
      </c>
      <c r="I759" s="3" t="s">
        <v>33</v>
      </c>
      <c r="J759" s="5">
        <v>1000000</v>
      </c>
      <c r="K759" s="3">
        <v>6202300</v>
      </c>
      <c r="L759" s="3" t="s">
        <v>103</v>
      </c>
      <c r="M759" s="3" t="s">
        <v>3303</v>
      </c>
      <c r="N759" s="3">
        <v>3100</v>
      </c>
      <c r="O759" s="3" t="s">
        <v>3304</v>
      </c>
      <c r="P759" s="3" t="s">
        <v>3305</v>
      </c>
      <c r="Q759" s="3" t="s">
        <v>199</v>
      </c>
      <c r="R759" s="3" t="s">
        <v>792</v>
      </c>
      <c r="S759" s="3">
        <v>66040033</v>
      </c>
      <c r="T759" s="3">
        <v>9191957878</v>
      </c>
      <c r="U759" s="3" t="s">
        <v>29</v>
      </c>
    </row>
    <row r="760" spans="1:21" ht="13.2" x14ac:dyDescent="0.25">
      <c r="A760" s="14">
        <v>64812373000140</v>
      </c>
      <c r="B760" s="15" t="str">
        <f t="shared" si="11"/>
        <v>64.812.373/0001-40</v>
      </c>
      <c r="C760" s="12"/>
      <c r="D760" s="3" t="s">
        <v>3306</v>
      </c>
      <c r="E760" s="3" t="s">
        <v>3306</v>
      </c>
      <c r="F760" s="3" t="s">
        <v>20</v>
      </c>
      <c r="G760" s="4">
        <v>33176</v>
      </c>
      <c r="H760" s="3" t="s">
        <v>21</v>
      </c>
      <c r="I760" s="3" t="s">
        <v>33</v>
      </c>
      <c r="J760" s="5">
        <v>33000000</v>
      </c>
      <c r="K760" s="3">
        <v>1099699</v>
      </c>
      <c r="L760" s="3" t="s">
        <v>3307</v>
      </c>
      <c r="M760" s="3" t="s">
        <v>3308</v>
      </c>
      <c r="N760" s="3" t="s">
        <v>82</v>
      </c>
      <c r="O760" s="3" t="s">
        <v>3309</v>
      </c>
      <c r="P760" s="3" t="s">
        <v>3310</v>
      </c>
      <c r="Q760" s="3" t="s">
        <v>3311</v>
      </c>
      <c r="R760" s="3" t="s">
        <v>28</v>
      </c>
      <c r="S760" s="3">
        <v>13358899</v>
      </c>
      <c r="T760" s="3">
        <v>1932730317</v>
      </c>
      <c r="U760" s="3" t="s">
        <v>29</v>
      </c>
    </row>
    <row r="761" spans="1:21" ht="13.2" x14ac:dyDescent="0.25">
      <c r="A761" s="14">
        <v>61936522000194</v>
      </c>
      <c r="B761" s="15" t="str">
        <f t="shared" si="11"/>
        <v>61.936.522/0001-94</v>
      </c>
      <c r="C761" s="12" t="str">
        <f>VLOOKUP(B761,[1]Planilha1!$A:$B,2,0)</f>
        <v>Malu Montesino</v>
      </c>
      <c r="D761" s="3" t="s">
        <v>3312</v>
      </c>
      <c r="E761" s="3" t="s">
        <v>3312</v>
      </c>
      <c r="F761" s="3" t="s">
        <v>20</v>
      </c>
      <c r="G761" s="4">
        <v>32833</v>
      </c>
      <c r="H761" s="3" t="s">
        <v>21</v>
      </c>
      <c r="I761" s="3" t="s">
        <v>33</v>
      </c>
      <c r="J761" s="5">
        <v>22000000</v>
      </c>
      <c r="K761" s="3">
        <v>4663000</v>
      </c>
      <c r="L761" s="3" t="s">
        <v>128</v>
      </c>
      <c r="M761" s="3" t="s">
        <v>3313</v>
      </c>
      <c r="N761" s="3">
        <v>930</v>
      </c>
      <c r="P761" s="3" t="s">
        <v>3314</v>
      </c>
      <c r="Q761" s="3" t="s">
        <v>27</v>
      </c>
      <c r="R761" s="3" t="s">
        <v>28</v>
      </c>
      <c r="S761" s="3">
        <v>3074000</v>
      </c>
      <c r="T761" s="3">
        <v>1120953119</v>
      </c>
      <c r="U761" s="3" t="s">
        <v>29</v>
      </c>
    </row>
    <row r="762" spans="1:21" ht="13.2" x14ac:dyDescent="0.25">
      <c r="A762" s="14">
        <v>42278796000199</v>
      </c>
      <c r="B762" s="15" t="str">
        <f t="shared" si="11"/>
        <v>42.278.796/0001-99</v>
      </c>
      <c r="C762" s="12"/>
      <c r="D762" s="3" t="s">
        <v>3315</v>
      </c>
      <c r="E762" s="3" t="s">
        <v>3315</v>
      </c>
      <c r="F762" s="3" t="s">
        <v>20</v>
      </c>
      <c r="G762" s="4">
        <v>26947</v>
      </c>
      <c r="H762" s="3" t="s">
        <v>94</v>
      </c>
      <c r="I762" s="3" t="s">
        <v>33</v>
      </c>
      <c r="J762" s="5">
        <v>665527100</v>
      </c>
      <c r="K762" s="3">
        <v>1710900</v>
      </c>
      <c r="L762" s="3" t="s">
        <v>2683</v>
      </c>
      <c r="M762" s="3" t="s">
        <v>3316</v>
      </c>
      <c r="N762" s="3" t="s">
        <v>82</v>
      </c>
      <c r="O762" s="3" t="s">
        <v>3317</v>
      </c>
      <c r="P762" s="3" t="s">
        <v>3318</v>
      </c>
      <c r="Q762" s="3" t="s">
        <v>3319</v>
      </c>
      <c r="R762" s="3" t="s">
        <v>100</v>
      </c>
      <c r="S762" s="3">
        <v>35196000</v>
      </c>
      <c r="T762" s="3">
        <v>3138295347</v>
      </c>
      <c r="U762" s="3" t="s">
        <v>29</v>
      </c>
    </row>
    <row r="763" spans="1:21" ht="13.2" x14ac:dyDescent="0.25">
      <c r="A763" s="14">
        <v>5387419000161</v>
      </c>
      <c r="B763" s="15" t="str">
        <f t="shared" si="11"/>
        <v>05.387.419/0001-61</v>
      </c>
      <c r="C763" s="12"/>
      <c r="D763" s="3" t="s">
        <v>3320</v>
      </c>
      <c r="E763" s="3" t="s">
        <v>3321</v>
      </c>
      <c r="F763" s="3" t="s">
        <v>20</v>
      </c>
      <c r="G763" s="4">
        <v>37539</v>
      </c>
      <c r="H763" s="3" t="s">
        <v>21</v>
      </c>
      <c r="I763" s="3" t="s">
        <v>47</v>
      </c>
      <c r="J763" s="5">
        <v>100000</v>
      </c>
      <c r="K763" s="3">
        <v>4322303</v>
      </c>
      <c r="L763" s="3" t="s">
        <v>2989</v>
      </c>
      <c r="M763" s="3" t="s">
        <v>3129</v>
      </c>
      <c r="N763" s="3">
        <v>614</v>
      </c>
      <c r="O763" s="3" t="s">
        <v>3322</v>
      </c>
      <c r="P763" s="3" t="s">
        <v>940</v>
      </c>
      <c r="Q763" s="3" t="s">
        <v>617</v>
      </c>
      <c r="R763" s="3" t="s">
        <v>28</v>
      </c>
      <c r="S763" s="3">
        <v>6454050</v>
      </c>
      <c r="T763" s="3">
        <v>1177123605</v>
      </c>
      <c r="U763" s="3" t="s">
        <v>29</v>
      </c>
    </row>
    <row r="764" spans="1:21" ht="13.2" x14ac:dyDescent="0.25">
      <c r="A764" s="14">
        <v>7392499000179</v>
      </c>
      <c r="B764" s="15" t="str">
        <f t="shared" si="11"/>
        <v>07.392.499/0001-79</v>
      </c>
      <c r="C764" s="12"/>
      <c r="D764" s="3" t="s">
        <v>3323</v>
      </c>
      <c r="E764" s="3" t="s">
        <v>3324</v>
      </c>
      <c r="F764" s="3" t="s">
        <v>20</v>
      </c>
      <c r="G764" s="4">
        <v>38457</v>
      </c>
      <c r="H764" s="3" t="s">
        <v>21</v>
      </c>
      <c r="I764" s="3" t="s">
        <v>22</v>
      </c>
      <c r="J764" s="5">
        <v>300000</v>
      </c>
      <c r="K764" s="3">
        <v>4742300</v>
      </c>
      <c r="L764" s="3" t="s">
        <v>1152</v>
      </c>
      <c r="M764" s="3" t="s">
        <v>3325</v>
      </c>
      <c r="N764" s="3">
        <v>312</v>
      </c>
      <c r="P764" s="3" t="s">
        <v>3326</v>
      </c>
      <c r="Q764" s="3" t="s">
        <v>27</v>
      </c>
      <c r="R764" s="3" t="s">
        <v>28</v>
      </c>
      <c r="S764" s="3">
        <v>2201000</v>
      </c>
      <c r="T764" s="3">
        <v>1129512550</v>
      </c>
      <c r="U764" s="3" t="s">
        <v>29</v>
      </c>
    </row>
    <row r="765" spans="1:21" ht="13.2" x14ac:dyDescent="0.25">
      <c r="A765" s="14">
        <v>6981180000116</v>
      </c>
      <c r="B765" s="15" t="str">
        <f t="shared" si="11"/>
        <v>06.981.180/0001-16</v>
      </c>
      <c r="C765" s="12"/>
      <c r="D765" s="3" t="s">
        <v>3327</v>
      </c>
      <c r="E765" s="3" t="s">
        <v>3328</v>
      </c>
      <c r="F765" s="3" t="s">
        <v>20</v>
      </c>
      <c r="G765" s="4">
        <v>38245</v>
      </c>
      <c r="H765" s="3" t="s">
        <v>377</v>
      </c>
      <c r="I765" s="3" t="s">
        <v>33</v>
      </c>
      <c r="J765" s="5">
        <v>6964105700</v>
      </c>
      <c r="K765" s="3">
        <v>3514000</v>
      </c>
      <c r="L765" s="3" t="s">
        <v>3329</v>
      </c>
      <c r="M765" s="3" t="s">
        <v>692</v>
      </c>
      <c r="N765" s="3">
        <v>1200</v>
      </c>
      <c r="O765" s="3" t="s">
        <v>3330</v>
      </c>
      <c r="P765" s="3" t="s">
        <v>924</v>
      </c>
      <c r="Q765" s="3" t="s">
        <v>476</v>
      </c>
      <c r="R765" s="3" t="s">
        <v>100</v>
      </c>
      <c r="S765" s="3">
        <v>30190924</v>
      </c>
      <c r="T765" s="3">
        <v>3135067500</v>
      </c>
      <c r="U765" s="3" t="s">
        <v>29</v>
      </c>
    </row>
    <row r="766" spans="1:21" ht="13.2" x14ac:dyDescent="0.25">
      <c r="A766" s="14">
        <v>7698801000111</v>
      </c>
      <c r="B766" s="15" t="str">
        <f t="shared" si="11"/>
        <v>07.698.801/0001-11</v>
      </c>
      <c r="C766" s="12"/>
      <c r="D766" s="3" t="s">
        <v>3331</v>
      </c>
      <c r="E766" s="3" t="s">
        <v>3331</v>
      </c>
      <c r="F766" s="3" t="s">
        <v>20</v>
      </c>
      <c r="G766" s="4">
        <v>38664</v>
      </c>
      <c r="H766" s="3" t="s">
        <v>94</v>
      </c>
      <c r="I766" s="3" t="s">
        <v>33</v>
      </c>
      <c r="J766" s="5">
        <v>28360512</v>
      </c>
      <c r="K766" s="3">
        <v>8299701</v>
      </c>
      <c r="L766" s="3" t="s">
        <v>3332</v>
      </c>
      <c r="M766" s="3" t="s">
        <v>3333</v>
      </c>
      <c r="N766" s="3">
        <v>555</v>
      </c>
      <c r="P766" s="3" t="s">
        <v>3334</v>
      </c>
      <c r="Q766" s="3" t="s">
        <v>3335</v>
      </c>
      <c r="R766" s="3" t="s">
        <v>301</v>
      </c>
      <c r="S766" s="3">
        <v>61880000</v>
      </c>
      <c r="T766" s="3">
        <v>8533926950</v>
      </c>
      <c r="U766" s="3" t="s">
        <v>29</v>
      </c>
    </row>
    <row r="767" spans="1:21" ht="13.2" x14ac:dyDescent="0.25">
      <c r="A767" s="14">
        <v>7799454000113</v>
      </c>
      <c r="B767" s="15" t="str">
        <f t="shared" si="11"/>
        <v>07.799.454/0001-13</v>
      </c>
      <c r="C767" s="12"/>
      <c r="D767" s="3" t="s">
        <v>3336</v>
      </c>
      <c r="E767" s="3" t="s">
        <v>3336</v>
      </c>
      <c r="F767" s="3" t="s">
        <v>20</v>
      </c>
      <c r="G767" s="4">
        <v>38721</v>
      </c>
      <c r="H767" s="3" t="s">
        <v>21</v>
      </c>
      <c r="I767" s="3" t="s">
        <v>33</v>
      </c>
      <c r="J767" s="5">
        <v>10000</v>
      </c>
      <c r="K767" s="3">
        <v>8599604</v>
      </c>
      <c r="L767" s="3" t="s">
        <v>55</v>
      </c>
      <c r="M767" s="3" t="s">
        <v>3337</v>
      </c>
      <c r="N767" s="3">
        <v>77</v>
      </c>
      <c r="O767" s="3" t="s">
        <v>3338</v>
      </c>
      <c r="P767" s="3" t="s">
        <v>461</v>
      </c>
      <c r="Q767" s="3" t="s">
        <v>27</v>
      </c>
      <c r="R767" s="3" t="s">
        <v>28</v>
      </c>
      <c r="S767" s="3">
        <v>1301000</v>
      </c>
      <c r="T767" s="3">
        <v>1148620489</v>
      </c>
      <c r="U767" s="3" t="s">
        <v>29</v>
      </c>
    </row>
    <row r="768" spans="1:21" ht="13.2" x14ac:dyDescent="0.25">
      <c r="A768" s="14">
        <v>3652030000170</v>
      </c>
      <c r="B768" s="15" t="str">
        <f t="shared" si="11"/>
        <v>03.652.030/0001-70</v>
      </c>
      <c r="C768" s="12"/>
      <c r="D768" s="3" t="s">
        <v>3339</v>
      </c>
      <c r="E768" s="3" t="s">
        <v>3340</v>
      </c>
      <c r="F768" s="3" t="s">
        <v>20</v>
      </c>
      <c r="G768" s="4">
        <v>36557</v>
      </c>
      <c r="H768" s="3" t="s">
        <v>21</v>
      </c>
      <c r="I768" s="3" t="s">
        <v>33</v>
      </c>
      <c r="J768" s="5">
        <v>2000000</v>
      </c>
      <c r="K768" s="3">
        <v>4644301</v>
      </c>
      <c r="L768" s="3" t="s">
        <v>326</v>
      </c>
      <c r="M768" s="3" t="s">
        <v>3341</v>
      </c>
      <c r="N768" s="3">
        <v>795</v>
      </c>
      <c r="P768" s="3" t="s">
        <v>70</v>
      </c>
      <c r="Q768" s="3" t="s">
        <v>3342</v>
      </c>
      <c r="R768" s="3" t="s">
        <v>53</v>
      </c>
      <c r="S768" s="3">
        <v>99740000</v>
      </c>
      <c r="T768" s="3">
        <v>5435232700</v>
      </c>
      <c r="U768" s="3" t="s">
        <v>29</v>
      </c>
    </row>
    <row r="769" spans="1:21" ht="13.2" x14ac:dyDescent="0.25">
      <c r="A769" s="14">
        <v>9432822000116</v>
      </c>
      <c r="B769" s="15" t="str">
        <f t="shared" si="11"/>
        <v>09.432.822/0001-16</v>
      </c>
      <c r="C769" s="12" t="str">
        <f>VLOOKUP(B769,[1]Planilha1!$A:$B,2,0)</f>
        <v>Malu Montesino</v>
      </c>
      <c r="D769" s="3" t="s">
        <v>3343</v>
      </c>
      <c r="E769" s="3" t="s">
        <v>3343</v>
      </c>
      <c r="F769" s="3" t="s">
        <v>20</v>
      </c>
      <c r="G769" s="4">
        <v>39497</v>
      </c>
      <c r="H769" s="3" t="s">
        <v>21</v>
      </c>
      <c r="I769" s="3" t="s">
        <v>33</v>
      </c>
      <c r="J769" s="5">
        <v>22000000</v>
      </c>
      <c r="K769" s="3">
        <v>4663000</v>
      </c>
      <c r="L769" s="3" t="s">
        <v>128</v>
      </c>
      <c r="M769" s="3" t="s">
        <v>3344</v>
      </c>
      <c r="N769" s="3">
        <v>1076</v>
      </c>
      <c r="P769" s="3" t="s">
        <v>3345</v>
      </c>
      <c r="Q769" s="3" t="s">
        <v>3346</v>
      </c>
      <c r="R769" s="3" t="s">
        <v>28</v>
      </c>
      <c r="S769" s="3">
        <v>14176123</v>
      </c>
      <c r="T769" s="3">
        <v>1621051222</v>
      </c>
      <c r="U769" s="3" t="s">
        <v>29</v>
      </c>
    </row>
    <row r="770" spans="1:21" ht="13.2" x14ac:dyDescent="0.25">
      <c r="A770" s="14">
        <v>13427835000174</v>
      </c>
      <c r="B770" s="15" t="str">
        <f t="shared" si="11"/>
        <v>13.427.835/0001-74</v>
      </c>
      <c r="C770" s="12"/>
      <c r="D770" s="3" t="s">
        <v>3347</v>
      </c>
      <c r="E770" s="3" t="s">
        <v>3347</v>
      </c>
      <c r="F770" s="3" t="s">
        <v>20</v>
      </c>
      <c r="G770" s="4">
        <v>40602</v>
      </c>
      <c r="H770" s="3" t="s">
        <v>21</v>
      </c>
      <c r="I770" s="3" t="s">
        <v>33</v>
      </c>
      <c r="J770" s="5">
        <v>200000</v>
      </c>
      <c r="K770" s="3">
        <v>4663000</v>
      </c>
      <c r="L770" s="3" t="s">
        <v>128</v>
      </c>
      <c r="M770" s="3" t="s">
        <v>3348</v>
      </c>
      <c r="N770" s="3">
        <v>95</v>
      </c>
      <c r="P770" s="3" t="s">
        <v>3349</v>
      </c>
      <c r="Q770" s="3" t="s">
        <v>3350</v>
      </c>
      <c r="R770" s="3" t="s">
        <v>28</v>
      </c>
      <c r="S770" s="3">
        <v>16058013</v>
      </c>
      <c r="T770" s="3">
        <v>1921051220</v>
      </c>
      <c r="U770" s="3" t="s">
        <v>29</v>
      </c>
    </row>
    <row r="771" spans="1:21" ht="13.2" x14ac:dyDescent="0.25">
      <c r="A771" s="14">
        <v>1180000126</v>
      </c>
      <c r="B771" s="15" t="str">
        <f t="shared" ref="B771:B834" si="12">TEXT(A771,"00\.000\.000\/0000\-00")</f>
        <v>00.001.180/0001-26</v>
      </c>
      <c r="C771" s="12"/>
      <c r="D771" s="3" t="s">
        <v>3351</v>
      </c>
      <c r="E771" s="3" t="s">
        <v>3352</v>
      </c>
      <c r="F771" s="3" t="s">
        <v>20</v>
      </c>
      <c r="G771" s="4">
        <v>24338</v>
      </c>
      <c r="H771" s="3" t="s">
        <v>377</v>
      </c>
      <c r="I771" s="3" t="s">
        <v>33</v>
      </c>
      <c r="J771" s="5">
        <v>70099830000</v>
      </c>
      <c r="K771" s="3">
        <v>6462000</v>
      </c>
      <c r="L771" s="3" t="s">
        <v>250</v>
      </c>
      <c r="M771" s="3" t="s">
        <v>2751</v>
      </c>
      <c r="N771" s="3">
        <v>26</v>
      </c>
      <c r="O771" s="3" t="s">
        <v>3353</v>
      </c>
      <c r="P771" s="3" t="s">
        <v>70</v>
      </c>
      <c r="Q771" s="3" t="s">
        <v>253</v>
      </c>
      <c r="R771" s="3" t="s">
        <v>78</v>
      </c>
      <c r="S771" s="3">
        <v>20030900</v>
      </c>
      <c r="T771" s="3">
        <v>2125145151</v>
      </c>
      <c r="U771" s="3" t="s">
        <v>29</v>
      </c>
    </row>
    <row r="772" spans="1:21" ht="13.2" x14ac:dyDescent="0.25">
      <c r="A772" s="14">
        <v>60493350000169</v>
      </c>
      <c r="B772" s="15" t="str">
        <f t="shared" si="12"/>
        <v>60.493.350/0001-69</v>
      </c>
      <c r="C772" s="12"/>
      <c r="D772" s="3" t="s">
        <v>3354</v>
      </c>
      <c r="E772" s="3" t="s">
        <v>3354</v>
      </c>
      <c r="F772" s="3" t="s">
        <v>20</v>
      </c>
      <c r="G772" s="4">
        <v>32650</v>
      </c>
      <c r="H772" s="3" t="s">
        <v>21</v>
      </c>
      <c r="I772" s="3" t="s">
        <v>33</v>
      </c>
      <c r="J772" s="5">
        <v>2500000</v>
      </c>
      <c r="K772" s="3">
        <v>7420005</v>
      </c>
      <c r="L772" s="3" t="s">
        <v>3355</v>
      </c>
      <c r="M772" s="3" t="s">
        <v>837</v>
      </c>
      <c r="N772" s="3">
        <v>524</v>
      </c>
      <c r="O772" s="3" t="s">
        <v>3356</v>
      </c>
      <c r="P772" s="3" t="s">
        <v>137</v>
      </c>
      <c r="Q772" s="3" t="s">
        <v>27</v>
      </c>
      <c r="R772" s="3" t="s">
        <v>28</v>
      </c>
      <c r="S772" s="3">
        <v>5001100</v>
      </c>
      <c r="U772" s="3" t="s">
        <v>29</v>
      </c>
    </row>
    <row r="773" spans="1:21" ht="13.2" x14ac:dyDescent="0.25">
      <c r="A773" s="14">
        <v>44930780000144</v>
      </c>
      <c r="B773" s="15" t="str">
        <f t="shared" si="12"/>
        <v>44.930.780/0001-44</v>
      </c>
      <c r="C773" s="12" t="str">
        <f>VLOOKUP(B773,[1]Planilha1!$A:$B,2,0)</f>
        <v>Malu Montesino</v>
      </c>
      <c r="D773" s="3" t="s">
        <v>3357</v>
      </c>
      <c r="E773" s="3" t="s">
        <v>3358</v>
      </c>
      <c r="F773" s="3" t="s">
        <v>20</v>
      </c>
      <c r="G773" s="4">
        <v>44517</v>
      </c>
      <c r="H773" s="3" t="s">
        <v>244</v>
      </c>
      <c r="I773" s="3" t="s">
        <v>33</v>
      </c>
      <c r="J773" s="5">
        <v>0</v>
      </c>
      <c r="K773" s="3">
        <v>8412400</v>
      </c>
      <c r="L773" s="3" t="s">
        <v>3359</v>
      </c>
      <c r="M773" s="3" t="s">
        <v>3360</v>
      </c>
      <c r="N773" s="3">
        <v>306</v>
      </c>
      <c r="P773" s="3" t="s">
        <v>3361</v>
      </c>
      <c r="Q773" s="3" t="s">
        <v>27</v>
      </c>
      <c r="R773" s="3" t="s">
        <v>28</v>
      </c>
      <c r="S773" s="3">
        <v>8121660</v>
      </c>
      <c r="T773" s="3">
        <v>1182315400</v>
      </c>
      <c r="U773" s="3" t="s">
        <v>29</v>
      </c>
    </row>
    <row r="774" spans="1:21" ht="13.2" x14ac:dyDescent="0.25">
      <c r="A774" s="14">
        <v>7086850000101</v>
      </c>
      <c r="B774" s="15" t="str">
        <f t="shared" si="12"/>
        <v>07.086.850/0001-01</v>
      </c>
      <c r="C774" s="12"/>
      <c r="D774" s="3" t="s">
        <v>3362</v>
      </c>
      <c r="E774" s="3" t="s">
        <v>3362</v>
      </c>
      <c r="F774" s="3" t="s">
        <v>20</v>
      </c>
      <c r="G774" s="4">
        <v>38296</v>
      </c>
      <c r="H774" s="3" t="s">
        <v>21</v>
      </c>
      <c r="I774" s="3" t="s">
        <v>22</v>
      </c>
      <c r="J774" s="5">
        <v>100000</v>
      </c>
      <c r="K774" s="3">
        <v>7420005</v>
      </c>
      <c r="L774" s="3" t="s">
        <v>3355</v>
      </c>
      <c r="M774" s="3" t="s">
        <v>1470</v>
      </c>
      <c r="N774" s="3">
        <v>422</v>
      </c>
      <c r="O774" s="3" t="s">
        <v>192</v>
      </c>
      <c r="P774" s="3" t="s">
        <v>3363</v>
      </c>
      <c r="Q774" s="3" t="s">
        <v>617</v>
      </c>
      <c r="R774" s="3" t="s">
        <v>28</v>
      </c>
      <c r="S774" s="3">
        <v>6411190</v>
      </c>
      <c r="T774" s="3">
        <v>1136631915</v>
      </c>
      <c r="U774" s="3" t="s">
        <v>29</v>
      </c>
    </row>
    <row r="775" spans="1:21" ht="13.2" x14ac:dyDescent="0.25">
      <c r="A775" s="14">
        <v>11211450000140</v>
      </c>
      <c r="B775" s="15" t="str">
        <f t="shared" si="12"/>
        <v>11.211.450/0001-40</v>
      </c>
      <c r="C775" s="12"/>
      <c r="D775" s="3" t="s">
        <v>3364</v>
      </c>
      <c r="E775" s="3" t="s">
        <v>3364</v>
      </c>
      <c r="F775" s="3" t="s">
        <v>20</v>
      </c>
      <c r="G775" s="4">
        <v>40071</v>
      </c>
      <c r="H775" s="3" t="s">
        <v>21</v>
      </c>
      <c r="I775" s="3" t="s">
        <v>47</v>
      </c>
      <c r="J775" s="5">
        <v>30000</v>
      </c>
      <c r="K775" s="3">
        <v>4520001</v>
      </c>
      <c r="L775" s="3" t="s">
        <v>993</v>
      </c>
      <c r="M775" s="3" t="s">
        <v>3365</v>
      </c>
      <c r="N775" s="3">
        <v>1293</v>
      </c>
      <c r="P775" s="3" t="s">
        <v>3112</v>
      </c>
      <c r="Q775" s="3" t="s">
        <v>611</v>
      </c>
      <c r="R775" s="3" t="s">
        <v>53</v>
      </c>
      <c r="S775" s="3">
        <v>92025840</v>
      </c>
      <c r="T775" s="3">
        <v>5134751300</v>
      </c>
      <c r="U775" s="3" t="s">
        <v>29</v>
      </c>
    </row>
    <row r="776" spans="1:21" ht="13.2" x14ac:dyDescent="0.25">
      <c r="A776" s="14">
        <v>62226170000901</v>
      </c>
      <c r="B776" s="15" t="str">
        <f t="shared" si="12"/>
        <v>62.226.170/0009-01</v>
      </c>
      <c r="C776" s="12"/>
      <c r="D776" s="3" t="s">
        <v>3366</v>
      </c>
      <c r="E776" s="3" t="s">
        <v>3366</v>
      </c>
      <c r="F776" s="3" t="s">
        <v>20</v>
      </c>
      <c r="G776" s="4">
        <v>25126</v>
      </c>
      <c r="H776" s="3" t="s">
        <v>244</v>
      </c>
      <c r="I776" s="3" t="s">
        <v>33</v>
      </c>
      <c r="J776" s="5">
        <v>0</v>
      </c>
      <c r="K776" s="3">
        <v>9411100</v>
      </c>
      <c r="L776" s="3" t="s">
        <v>1737</v>
      </c>
      <c r="M776" s="3" t="s">
        <v>3367</v>
      </c>
      <c r="N776" s="3">
        <v>37</v>
      </c>
      <c r="P776" s="3" t="s">
        <v>261</v>
      </c>
      <c r="Q776" s="3" t="s">
        <v>65</v>
      </c>
      <c r="R776" s="3" t="s">
        <v>28</v>
      </c>
      <c r="S776" s="3">
        <v>13070277</v>
      </c>
      <c r="T776" s="3">
        <v>1135493200</v>
      </c>
      <c r="U776" s="3" t="s">
        <v>29</v>
      </c>
    </row>
    <row r="777" spans="1:21" ht="13.2" x14ac:dyDescent="0.25">
      <c r="A777" s="14">
        <v>28383198000159</v>
      </c>
      <c r="B777" s="15" t="str">
        <f t="shared" si="12"/>
        <v>28.383.198/0001-59</v>
      </c>
      <c r="C777" s="12"/>
      <c r="D777" s="3" t="s">
        <v>3368</v>
      </c>
      <c r="E777" s="3" t="s">
        <v>3369</v>
      </c>
      <c r="F777" s="3" t="s">
        <v>20</v>
      </c>
      <c r="G777" s="4">
        <v>30760</v>
      </c>
      <c r="H777" s="3" t="s">
        <v>32</v>
      </c>
      <c r="I777" s="3" t="s">
        <v>33</v>
      </c>
      <c r="J777" s="5">
        <v>7500000</v>
      </c>
      <c r="K777" s="3">
        <v>7120100</v>
      </c>
      <c r="L777" s="3" t="s">
        <v>2807</v>
      </c>
      <c r="M777" s="3" t="s">
        <v>3370</v>
      </c>
      <c r="N777" s="3">
        <v>46</v>
      </c>
      <c r="O777" s="3" t="s">
        <v>3371</v>
      </c>
      <c r="P777" s="3" t="s">
        <v>3372</v>
      </c>
      <c r="Q777" s="3" t="s">
        <v>253</v>
      </c>
      <c r="R777" s="3" t="s">
        <v>78</v>
      </c>
      <c r="S777" s="3">
        <v>20250450</v>
      </c>
      <c r="T777" s="3">
        <v>2132937000</v>
      </c>
      <c r="U777" s="3" t="s">
        <v>29</v>
      </c>
    </row>
    <row r="778" spans="1:21" ht="13.2" x14ac:dyDescent="0.25">
      <c r="A778" s="14">
        <v>8029517000115</v>
      </c>
      <c r="B778" s="15" t="str">
        <f t="shared" si="12"/>
        <v>08.029.517/0001-15</v>
      </c>
      <c r="C778" s="12" t="str">
        <f>VLOOKUP(B778,[1]Planilha1!$A:$B,2,0)</f>
        <v>Malu Montesino</v>
      </c>
      <c r="D778" s="3" t="s">
        <v>3373</v>
      </c>
      <c r="E778" s="3" t="s">
        <v>3374</v>
      </c>
      <c r="F778" s="3" t="s">
        <v>20</v>
      </c>
      <c r="G778" s="4">
        <v>38855</v>
      </c>
      <c r="H778" s="3" t="s">
        <v>21</v>
      </c>
      <c r="I778" s="3" t="s">
        <v>33</v>
      </c>
      <c r="J778" s="5">
        <v>4042000</v>
      </c>
      <c r="K778" s="3">
        <v>7810800</v>
      </c>
      <c r="L778" s="3" t="s">
        <v>3375</v>
      </c>
      <c r="M778" s="3" t="s">
        <v>3376</v>
      </c>
      <c r="N778" s="3">
        <v>96</v>
      </c>
      <c r="O778" s="3" t="s">
        <v>3377</v>
      </c>
      <c r="P778" s="3" t="s">
        <v>1064</v>
      </c>
      <c r="Q778" s="3" t="s">
        <v>27</v>
      </c>
      <c r="R778" s="3" t="s">
        <v>28</v>
      </c>
      <c r="S778" s="3">
        <v>4011000</v>
      </c>
      <c r="T778" s="3">
        <v>1159069030</v>
      </c>
      <c r="U778" s="3" t="s">
        <v>29</v>
      </c>
    </row>
    <row r="779" spans="1:21" ht="13.2" x14ac:dyDescent="0.25">
      <c r="A779" s="14">
        <v>3233240000124</v>
      </c>
      <c r="B779" s="15" t="str">
        <f t="shared" si="12"/>
        <v>03.233.240/0001-24</v>
      </c>
      <c r="C779" s="12"/>
      <c r="D779" s="3" t="s">
        <v>3378</v>
      </c>
      <c r="E779" s="3" t="s">
        <v>3378</v>
      </c>
      <c r="F779" s="3" t="s">
        <v>20</v>
      </c>
      <c r="G779" s="4">
        <v>36334</v>
      </c>
      <c r="H779" s="3" t="s">
        <v>244</v>
      </c>
      <c r="I779" s="3" t="s">
        <v>33</v>
      </c>
      <c r="J779" s="5">
        <v>0</v>
      </c>
      <c r="K779" s="3">
        <v>8550302</v>
      </c>
      <c r="L779" s="3" t="s">
        <v>3379</v>
      </c>
      <c r="M779" s="3" t="s">
        <v>3380</v>
      </c>
      <c r="N779" s="3">
        <v>1369</v>
      </c>
      <c r="P779" s="3" t="s">
        <v>70</v>
      </c>
      <c r="Q779" s="3" t="s">
        <v>1078</v>
      </c>
      <c r="R779" s="3" t="s">
        <v>187</v>
      </c>
      <c r="S779" s="3">
        <v>85010200</v>
      </c>
      <c r="T779" s="3">
        <v>4236226799</v>
      </c>
      <c r="U779" s="3" t="s">
        <v>29</v>
      </c>
    </row>
    <row r="780" spans="1:21" ht="13.2" x14ac:dyDescent="0.25">
      <c r="A780" s="14">
        <v>61600839000155</v>
      </c>
      <c r="B780" s="15" t="str">
        <f t="shared" si="12"/>
        <v>61.600.839/0001-55</v>
      </c>
      <c r="C780" s="12"/>
      <c r="D780" s="3" t="s">
        <v>3381</v>
      </c>
      <c r="E780" s="3" t="s">
        <v>3381</v>
      </c>
      <c r="F780" s="3" t="s">
        <v>20</v>
      </c>
      <c r="G780" s="4">
        <v>24349</v>
      </c>
      <c r="H780" s="3" t="s">
        <v>244</v>
      </c>
      <c r="I780" s="3" t="s">
        <v>33</v>
      </c>
      <c r="J780" s="5">
        <v>0</v>
      </c>
      <c r="K780" s="3">
        <v>8800600</v>
      </c>
      <c r="L780" s="3" t="s">
        <v>264</v>
      </c>
      <c r="M780" s="3" t="s">
        <v>3046</v>
      </c>
      <c r="N780" s="3">
        <v>445</v>
      </c>
      <c r="P780" s="3" t="s">
        <v>1230</v>
      </c>
      <c r="Q780" s="3" t="s">
        <v>27</v>
      </c>
      <c r="R780" s="3" t="s">
        <v>28</v>
      </c>
      <c r="S780" s="3">
        <v>4533011</v>
      </c>
      <c r="T780" s="3">
        <v>1130409800</v>
      </c>
      <c r="U780" s="3" t="s">
        <v>29</v>
      </c>
    </row>
    <row r="781" spans="1:21" ht="13.2" x14ac:dyDescent="0.25">
      <c r="A781" s="14">
        <v>76610591000180</v>
      </c>
      <c r="B781" s="15" t="str">
        <f t="shared" si="12"/>
        <v>76.610.591/0001-80</v>
      </c>
      <c r="C781" s="12" t="str">
        <f>VLOOKUP(B781,[1]Planilha1!$A:$B,2,0)</f>
        <v>Malu Montesino</v>
      </c>
      <c r="D781" s="3" t="s">
        <v>3382</v>
      </c>
      <c r="E781" s="3" t="s">
        <v>3383</v>
      </c>
      <c r="F781" s="3" t="s">
        <v>20</v>
      </c>
      <c r="G781" s="4">
        <v>24774</v>
      </c>
      <c r="H781" s="3" t="s">
        <v>244</v>
      </c>
      <c r="I781" s="3" t="s">
        <v>33</v>
      </c>
      <c r="J781" s="5">
        <v>0</v>
      </c>
      <c r="K781" s="3">
        <v>9430800</v>
      </c>
      <c r="L781" s="3" t="s">
        <v>626</v>
      </c>
      <c r="M781" s="3" t="s">
        <v>3384</v>
      </c>
      <c r="N781" s="3">
        <v>42</v>
      </c>
      <c r="O781" s="3" t="s">
        <v>513</v>
      </c>
      <c r="P781" s="3" t="s">
        <v>3385</v>
      </c>
      <c r="Q781" s="3" t="s">
        <v>204</v>
      </c>
      <c r="R781" s="3" t="s">
        <v>187</v>
      </c>
      <c r="S781" s="3">
        <v>80030180</v>
      </c>
      <c r="T781" s="3">
        <v>413134300</v>
      </c>
      <c r="U781" s="3" t="s">
        <v>29</v>
      </c>
    </row>
    <row r="782" spans="1:21" ht="13.2" x14ac:dyDescent="0.25">
      <c r="A782" s="14">
        <v>42271262000130</v>
      </c>
      <c r="B782" s="15" t="str">
        <f t="shared" si="12"/>
        <v>42.271.262/0001-30</v>
      </c>
      <c r="C782" s="12"/>
      <c r="D782" s="3" t="s">
        <v>3386</v>
      </c>
      <c r="E782" s="3" t="s">
        <v>3386</v>
      </c>
      <c r="F782" s="3" t="s">
        <v>45</v>
      </c>
      <c r="G782" s="4">
        <v>26848</v>
      </c>
      <c r="H782" s="3" t="s">
        <v>21</v>
      </c>
      <c r="I782" s="3" t="s">
        <v>33</v>
      </c>
      <c r="J782" s="5">
        <v>3362000</v>
      </c>
      <c r="K782" s="3">
        <v>8640299</v>
      </c>
      <c r="L782" s="3" t="s">
        <v>1789</v>
      </c>
      <c r="M782" s="3" t="s">
        <v>3387</v>
      </c>
      <c r="N782" s="3">
        <v>68</v>
      </c>
      <c r="O782" s="3" t="s">
        <v>3388</v>
      </c>
      <c r="P782" s="3" t="s">
        <v>70</v>
      </c>
      <c r="Q782" s="3" t="s">
        <v>253</v>
      </c>
      <c r="R782" s="3" t="s">
        <v>78</v>
      </c>
      <c r="S782" s="3">
        <v>20070022</v>
      </c>
      <c r="T782" s="3">
        <v>212509003</v>
      </c>
      <c r="U782" s="3" t="s">
        <v>29</v>
      </c>
    </row>
    <row r="783" spans="1:21" ht="13.2" x14ac:dyDescent="0.25">
      <c r="A783" s="14">
        <v>31827304000150</v>
      </c>
      <c r="B783" s="15" t="str">
        <f t="shared" si="12"/>
        <v>31.827.304/0001-50</v>
      </c>
      <c r="C783" s="12"/>
      <c r="D783" s="3" t="s">
        <v>3389</v>
      </c>
      <c r="E783" s="3" t="s">
        <v>3390</v>
      </c>
      <c r="F783" s="3" t="s">
        <v>20</v>
      </c>
      <c r="G783" s="4">
        <v>43395</v>
      </c>
      <c r="H783" s="3" t="s">
        <v>21</v>
      </c>
      <c r="I783" s="3" t="s">
        <v>47</v>
      </c>
      <c r="J783" s="5">
        <v>10000</v>
      </c>
      <c r="K783" s="3">
        <v>7020400</v>
      </c>
      <c r="L783" s="3" t="s">
        <v>170</v>
      </c>
      <c r="M783" s="3" t="s">
        <v>3391</v>
      </c>
      <c r="N783" s="3">
        <v>2454</v>
      </c>
      <c r="O783" s="3" t="s">
        <v>3392</v>
      </c>
      <c r="P783" s="3" t="s">
        <v>3393</v>
      </c>
      <c r="Q783" s="3" t="s">
        <v>3394</v>
      </c>
      <c r="R783" s="3" t="s">
        <v>274</v>
      </c>
      <c r="S783" s="3">
        <v>75903290</v>
      </c>
      <c r="T783" s="3">
        <v>6492485605</v>
      </c>
      <c r="U783" s="3" t="s">
        <v>29</v>
      </c>
    </row>
    <row r="784" spans="1:21" ht="13.2" x14ac:dyDescent="0.25">
      <c r="A784" s="14">
        <v>62823257011488</v>
      </c>
      <c r="B784" s="15" t="str">
        <f t="shared" si="12"/>
        <v>62.823.257/0114-88</v>
      </c>
      <c r="C784" s="12"/>
      <c r="D784" s="3" t="s">
        <v>3395</v>
      </c>
      <c r="E784" s="3" t="s">
        <v>3396</v>
      </c>
      <c r="F784" s="3" t="s">
        <v>20</v>
      </c>
      <c r="G784" s="4">
        <v>37457</v>
      </c>
      <c r="H784" s="3" t="s">
        <v>620</v>
      </c>
      <c r="I784" s="3" t="s">
        <v>33</v>
      </c>
      <c r="J784" s="5">
        <v>0</v>
      </c>
      <c r="K784" s="3">
        <v>8542200</v>
      </c>
      <c r="L784" s="3" t="s">
        <v>3397</v>
      </c>
      <c r="M784" s="3" t="s">
        <v>3398</v>
      </c>
      <c r="N784" s="3">
        <v>1760</v>
      </c>
      <c r="P784" s="3" t="s">
        <v>70</v>
      </c>
      <c r="Q784" s="3" t="s">
        <v>567</v>
      </c>
      <c r="R784" s="3" t="s">
        <v>28</v>
      </c>
      <c r="S784" s="3">
        <v>13201160</v>
      </c>
      <c r="T784" s="3">
        <v>1133243571</v>
      </c>
      <c r="U784" s="3" t="s">
        <v>29</v>
      </c>
    </row>
    <row r="785" spans="1:21" ht="13.2" x14ac:dyDescent="0.25">
      <c r="A785" s="14">
        <v>7283885000122</v>
      </c>
      <c r="B785" s="15" t="str">
        <f t="shared" si="12"/>
        <v>07.283.885/0001-22</v>
      </c>
      <c r="C785" s="12"/>
      <c r="D785" s="3" t="s">
        <v>3399</v>
      </c>
      <c r="E785" s="3" t="s">
        <v>3399</v>
      </c>
      <c r="F785" s="3" t="s">
        <v>20</v>
      </c>
      <c r="G785" s="4">
        <v>38420</v>
      </c>
      <c r="H785" s="3" t="s">
        <v>21</v>
      </c>
      <c r="I785" s="3" t="s">
        <v>33</v>
      </c>
      <c r="J785" s="5">
        <v>2120000</v>
      </c>
      <c r="K785" s="3">
        <v>8011101</v>
      </c>
      <c r="L785" s="3" t="s">
        <v>943</v>
      </c>
      <c r="M785" s="3" t="s">
        <v>1448</v>
      </c>
      <c r="N785" s="3">
        <v>441</v>
      </c>
      <c r="P785" s="3" t="s">
        <v>241</v>
      </c>
      <c r="Q785" s="3" t="s">
        <v>27</v>
      </c>
      <c r="R785" s="3" t="s">
        <v>28</v>
      </c>
      <c r="S785" s="3">
        <v>4730000</v>
      </c>
      <c r="T785" s="3">
        <v>1130167988</v>
      </c>
      <c r="U785" s="3" t="s">
        <v>29</v>
      </c>
    </row>
    <row r="786" spans="1:21" ht="13.2" x14ac:dyDescent="0.25">
      <c r="A786" s="14">
        <v>67668194000179</v>
      </c>
      <c r="B786" s="15" t="str">
        <f t="shared" si="12"/>
        <v>67.668.194/0001-79</v>
      </c>
      <c r="C786" s="12"/>
      <c r="D786" s="3" t="s">
        <v>3400</v>
      </c>
      <c r="E786" s="3" t="s">
        <v>3400</v>
      </c>
      <c r="F786" s="3" t="s">
        <v>20</v>
      </c>
      <c r="G786" s="4">
        <v>33784</v>
      </c>
      <c r="H786" s="3" t="s">
        <v>21</v>
      </c>
      <c r="I786" s="3" t="s">
        <v>33</v>
      </c>
      <c r="J786" s="5">
        <v>6000000</v>
      </c>
      <c r="K786" s="3">
        <v>8011101</v>
      </c>
      <c r="L786" s="3" t="s">
        <v>943</v>
      </c>
      <c r="M786" s="3" t="s">
        <v>3401</v>
      </c>
      <c r="N786" s="3">
        <v>2251</v>
      </c>
      <c r="P786" s="3" t="s">
        <v>3402</v>
      </c>
      <c r="Q786" s="3" t="s">
        <v>27</v>
      </c>
      <c r="R786" s="3" t="s">
        <v>28</v>
      </c>
      <c r="S786" s="3">
        <v>5509006</v>
      </c>
      <c r="T786" s="3">
        <v>1130939500</v>
      </c>
      <c r="U786" s="3" t="s">
        <v>29</v>
      </c>
    </row>
    <row r="787" spans="1:21" ht="13.2" x14ac:dyDescent="0.25">
      <c r="A787" s="14">
        <v>32331864000182</v>
      </c>
      <c r="B787" s="15" t="str">
        <f t="shared" si="12"/>
        <v>32.331.864/0001-82</v>
      </c>
      <c r="C787" s="12" t="str">
        <f>VLOOKUP(B787,[1]Planilha1!$A:$B,2,0)</f>
        <v>Malu Montesino</v>
      </c>
      <c r="D787" s="3" t="s">
        <v>3403</v>
      </c>
      <c r="E787" s="3" t="s">
        <v>3404</v>
      </c>
      <c r="F787" s="3" t="s">
        <v>20</v>
      </c>
      <c r="G787" s="4">
        <v>43467</v>
      </c>
      <c r="H787" s="3" t="s">
        <v>21</v>
      </c>
      <c r="I787" s="3" t="s">
        <v>33</v>
      </c>
      <c r="J787" s="5">
        <v>100000</v>
      </c>
      <c r="K787" s="3">
        <v>6190601</v>
      </c>
      <c r="L787" s="3" t="s">
        <v>3405</v>
      </c>
      <c r="M787" s="3" t="s">
        <v>3406</v>
      </c>
      <c r="N787" s="3">
        <v>80</v>
      </c>
      <c r="O787" s="3" t="s">
        <v>3407</v>
      </c>
      <c r="P787" s="3" t="s">
        <v>2434</v>
      </c>
      <c r="Q787" s="3" t="s">
        <v>1701</v>
      </c>
      <c r="R787" s="3" t="s">
        <v>100</v>
      </c>
      <c r="S787" s="3">
        <v>32341590</v>
      </c>
      <c r="T787" s="3">
        <v>3135147800</v>
      </c>
      <c r="U787" s="3" t="s">
        <v>29</v>
      </c>
    </row>
    <row r="788" spans="1:21" ht="13.2" x14ac:dyDescent="0.25">
      <c r="A788" s="14">
        <v>38591447000155</v>
      </c>
      <c r="B788" s="15" t="str">
        <f t="shared" si="12"/>
        <v>38.591.447/0001-55</v>
      </c>
      <c r="C788" s="12" t="str">
        <f>VLOOKUP(B788,[1]Planilha1!$A:$B,2,0)</f>
        <v>Mariane Nascimento</v>
      </c>
      <c r="D788" s="3" t="s">
        <v>3408</v>
      </c>
      <c r="E788" s="3" t="s">
        <v>3408</v>
      </c>
      <c r="F788" s="3" t="s">
        <v>20</v>
      </c>
      <c r="G788" s="4">
        <v>44094</v>
      </c>
      <c r="H788" s="3" t="s">
        <v>21</v>
      </c>
      <c r="I788" s="3" t="s">
        <v>33</v>
      </c>
      <c r="J788" s="5">
        <v>4286000</v>
      </c>
      <c r="K788" s="3">
        <v>4637199</v>
      </c>
      <c r="L788" s="3" t="s">
        <v>3409</v>
      </c>
      <c r="M788" s="3" t="s">
        <v>3410</v>
      </c>
      <c r="N788" s="3">
        <v>2091</v>
      </c>
      <c r="O788" s="3" t="s">
        <v>3411</v>
      </c>
      <c r="P788" s="3" t="s">
        <v>3412</v>
      </c>
      <c r="Q788" s="3" t="s">
        <v>280</v>
      </c>
      <c r="R788" s="3" t="s">
        <v>281</v>
      </c>
      <c r="S788" s="3">
        <v>41505220</v>
      </c>
      <c r="T788" s="3">
        <v>7932462717</v>
      </c>
      <c r="U788" s="3" t="s">
        <v>29</v>
      </c>
    </row>
    <row r="789" spans="1:21" ht="13.2" x14ac:dyDescent="0.25">
      <c r="A789" s="14">
        <v>30964795000119</v>
      </c>
      <c r="B789" s="15" t="str">
        <f t="shared" si="12"/>
        <v>30.964.795/0001-19</v>
      </c>
      <c r="C789" s="12"/>
      <c r="D789" s="3" t="s">
        <v>3413</v>
      </c>
      <c r="E789" s="3" t="s">
        <v>3413</v>
      </c>
      <c r="F789" s="3" t="s">
        <v>20</v>
      </c>
      <c r="G789" s="4">
        <v>29488</v>
      </c>
      <c r="H789" s="3" t="s">
        <v>21</v>
      </c>
      <c r="I789" s="3" t="s">
        <v>33</v>
      </c>
      <c r="J789" s="5">
        <v>500000</v>
      </c>
      <c r="K789" s="3">
        <v>4321500</v>
      </c>
      <c r="L789" s="3" t="s">
        <v>964</v>
      </c>
      <c r="M789" s="3" t="s">
        <v>3414</v>
      </c>
      <c r="N789" s="3">
        <v>387</v>
      </c>
      <c r="O789" s="3" t="s">
        <v>3415</v>
      </c>
      <c r="P789" s="3" t="s">
        <v>3416</v>
      </c>
      <c r="Q789" s="3" t="s">
        <v>1253</v>
      </c>
      <c r="R789" s="3" t="s">
        <v>765</v>
      </c>
      <c r="S789" s="3">
        <v>29066370</v>
      </c>
      <c r="T789" s="3">
        <v>2733457306</v>
      </c>
      <c r="U789" s="3" t="s">
        <v>29</v>
      </c>
    </row>
    <row r="790" spans="1:21" ht="13.2" x14ac:dyDescent="0.25">
      <c r="A790" s="14">
        <v>2248312000144</v>
      </c>
      <c r="B790" s="15" t="str">
        <f t="shared" si="12"/>
        <v>02.248.312/0001-44</v>
      </c>
      <c r="C790" s="12" t="str">
        <f>VLOOKUP(B790,[1]Planilha1!$A:$B,2,0)</f>
        <v>Malu Montesino</v>
      </c>
      <c r="D790" s="3" t="s">
        <v>3417</v>
      </c>
      <c r="E790" s="3" t="s">
        <v>3418</v>
      </c>
      <c r="F790" s="3" t="s">
        <v>20</v>
      </c>
      <c r="G790" s="4">
        <v>35726</v>
      </c>
      <c r="H790" s="3" t="s">
        <v>94</v>
      </c>
      <c r="I790" s="3" t="s">
        <v>33</v>
      </c>
      <c r="J790" s="5">
        <v>500000</v>
      </c>
      <c r="K790" s="3">
        <v>4645101</v>
      </c>
      <c r="L790" s="3" t="s">
        <v>135</v>
      </c>
      <c r="M790" s="3" t="s">
        <v>529</v>
      </c>
      <c r="N790" s="3">
        <v>104</v>
      </c>
      <c r="P790" s="3" t="s">
        <v>3419</v>
      </c>
      <c r="Q790" s="3" t="s">
        <v>3420</v>
      </c>
      <c r="R790" s="3" t="s">
        <v>100</v>
      </c>
      <c r="S790" s="3">
        <v>33350000</v>
      </c>
      <c r="T790" s="3">
        <v>3134861771</v>
      </c>
      <c r="U790" s="3" t="s">
        <v>29</v>
      </c>
    </row>
    <row r="791" spans="1:21" ht="13.2" x14ac:dyDescent="0.25">
      <c r="A791" s="14">
        <v>11367967000122</v>
      </c>
      <c r="B791" s="15" t="str">
        <f t="shared" si="12"/>
        <v>11.367.967/0001-22</v>
      </c>
      <c r="C791" s="12"/>
      <c r="D791" s="3" t="s">
        <v>3421</v>
      </c>
      <c r="E791" s="3" t="s">
        <v>3422</v>
      </c>
      <c r="F791" s="3" t="s">
        <v>20</v>
      </c>
      <c r="G791" s="4">
        <v>40134</v>
      </c>
      <c r="H791" s="3" t="s">
        <v>21</v>
      </c>
      <c r="I791" s="3" t="s">
        <v>33</v>
      </c>
      <c r="J791" s="5">
        <v>800000</v>
      </c>
      <c r="K791" s="3">
        <v>4644301</v>
      </c>
      <c r="L791" s="3" t="s">
        <v>326</v>
      </c>
      <c r="M791" s="3" t="s">
        <v>3423</v>
      </c>
      <c r="N791" s="3">
        <v>6</v>
      </c>
      <c r="O791" s="3" t="s">
        <v>3424</v>
      </c>
      <c r="P791" s="3" t="s">
        <v>3425</v>
      </c>
      <c r="Q791" s="3" t="s">
        <v>2477</v>
      </c>
      <c r="R791" s="3" t="s">
        <v>1725</v>
      </c>
      <c r="S791" s="3">
        <v>59063240</v>
      </c>
      <c r="T791" s="3">
        <v>8432189060</v>
      </c>
      <c r="U791" s="3" t="s">
        <v>29</v>
      </c>
    </row>
    <row r="792" spans="1:21" ht="13.2" x14ac:dyDescent="0.25">
      <c r="A792" s="14">
        <v>19900000000176</v>
      </c>
      <c r="B792" s="15" t="str">
        <f t="shared" si="12"/>
        <v>19.900.000/0001-76</v>
      </c>
      <c r="C792" s="12"/>
      <c r="D792" s="3" t="s">
        <v>3426</v>
      </c>
      <c r="E792" s="3" t="s">
        <v>3427</v>
      </c>
      <c r="F792" s="3" t="s">
        <v>45</v>
      </c>
      <c r="G792" s="4">
        <v>28416</v>
      </c>
      <c r="H792" s="3" t="s">
        <v>21</v>
      </c>
      <c r="I792" s="3" t="s">
        <v>33</v>
      </c>
      <c r="J792" s="5">
        <v>3285143300</v>
      </c>
      <c r="K792" s="3">
        <v>1113502</v>
      </c>
      <c r="L792" s="3" t="s">
        <v>1227</v>
      </c>
      <c r="M792" s="3" t="s">
        <v>3428</v>
      </c>
      <c r="N792" s="3">
        <v>2911</v>
      </c>
      <c r="O792" s="3" t="s">
        <v>3429</v>
      </c>
      <c r="P792" s="3" t="s">
        <v>2904</v>
      </c>
      <c r="Q792" s="3" t="s">
        <v>375</v>
      </c>
      <c r="R792" s="3" t="s">
        <v>28</v>
      </c>
      <c r="S792" s="3">
        <v>12321150</v>
      </c>
      <c r="T792" s="3">
        <v>1121189500</v>
      </c>
      <c r="U792" s="3" t="s">
        <v>29</v>
      </c>
    </row>
    <row r="793" spans="1:21" ht="13.2" x14ac:dyDescent="0.25">
      <c r="A793" s="14">
        <v>3541496000107</v>
      </c>
      <c r="B793" s="15" t="str">
        <f t="shared" si="12"/>
        <v>03.541.496/0001-07</v>
      </c>
      <c r="C793" s="12"/>
      <c r="D793" s="3" t="s">
        <v>3430</v>
      </c>
      <c r="E793" s="3" t="s">
        <v>3430</v>
      </c>
      <c r="F793" s="3" t="s">
        <v>20</v>
      </c>
      <c r="G793" s="4">
        <v>36497</v>
      </c>
      <c r="H793" s="3" t="s">
        <v>21</v>
      </c>
      <c r="I793" s="3" t="s">
        <v>22</v>
      </c>
      <c r="J793" s="5">
        <v>380000</v>
      </c>
      <c r="K793" s="3">
        <v>4771704</v>
      </c>
      <c r="L793" s="3" t="s">
        <v>3431</v>
      </c>
      <c r="M793" s="3" t="s">
        <v>3432</v>
      </c>
      <c r="N793" s="3">
        <v>1700</v>
      </c>
      <c r="P793" s="3" t="s">
        <v>1064</v>
      </c>
      <c r="Q793" s="3" t="s">
        <v>27</v>
      </c>
      <c r="R793" s="3" t="s">
        <v>28</v>
      </c>
      <c r="S793" s="3">
        <v>4260000</v>
      </c>
      <c r="U793" s="3" t="s">
        <v>29</v>
      </c>
    </row>
    <row r="794" spans="1:21" ht="13.2" x14ac:dyDescent="0.25">
      <c r="A794" s="14">
        <v>60933603000178</v>
      </c>
      <c r="B794" s="15" t="str">
        <f t="shared" si="12"/>
        <v>60.933.603/0001-78</v>
      </c>
      <c r="C794" s="12"/>
      <c r="D794" s="3" t="s">
        <v>3433</v>
      </c>
      <c r="E794" s="3" t="s">
        <v>3433</v>
      </c>
      <c r="F794" s="3" t="s">
        <v>20</v>
      </c>
      <c r="G794" s="4">
        <v>24859</v>
      </c>
      <c r="H794" s="3" t="s">
        <v>377</v>
      </c>
      <c r="I794" s="3" t="s">
        <v>33</v>
      </c>
      <c r="J794" s="5">
        <v>6471508000</v>
      </c>
      <c r="K794" s="3">
        <v>3511501</v>
      </c>
      <c r="L794" s="3" t="s">
        <v>1917</v>
      </c>
      <c r="M794" s="3" t="s">
        <v>2281</v>
      </c>
      <c r="N794" s="3">
        <v>8501</v>
      </c>
      <c r="O794" s="3" t="s">
        <v>3434</v>
      </c>
      <c r="P794" s="3" t="s">
        <v>1740</v>
      </c>
      <c r="Q794" s="3" t="s">
        <v>27</v>
      </c>
      <c r="R794" s="3" t="s">
        <v>28</v>
      </c>
      <c r="S794" s="3">
        <v>5425070</v>
      </c>
      <c r="T794" s="3">
        <v>4133885160</v>
      </c>
      <c r="U794" s="3" t="s">
        <v>29</v>
      </c>
    </row>
    <row r="795" spans="1:21" ht="13.2" x14ac:dyDescent="0.25">
      <c r="A795" s="14">
        <v>61550497000106</v>
      </c>
      <c r="B795" s="15" t="str">
        <f t="shared" si="12"/>
        <v>61.550.497/0001-06</v>
      </c>
      <c r="C795" s="12"/>
      <c r="D795" s="3" t="s">
        <v>3435</v>
      </c>
      <c r="E795" s="3" t="s">
        <v>3436</v>
      </c>
      <c r="F795" s="3" t="s">
        <v>20</v>
      </c>
      <c r="G795" s="4">
        <v>24322</v>
      </c>
      <c r="H795" s="3" t="s">
        <v>94</v>
      </c>
      <c r="I795" s="3" t="s">
        <v>33</v>
      </c>
      <c r="J795" s="5">
        <v>182116400</v>
      </c>
      <c r="K795" s="3">
        <v>4211101</v>
      </c>
      <c r="L795" s="3" t="s">
        <v>313</v>
      </c>
      <c r="M795" s="3" t="s">
        <v>3437</v>
      </c>
      <c r="N795" s="3">
        <v>36</v>
      </c>
      <c r="O795" s="3" t="s">
        <v>3438</v>
      </c>
      <c r="P795" s="3" t="s">
        <v>248</v>
      </c>
      <c r="Q795" s="3" t="s">
        <v>27</v>
      </c>
      <c r="R795" s="3" t="s">
        <v>28</v>
      </c>
      <c r="S795" s="3">
        <v>1319000</v>
      </c>
      <c r="T795" s="3">
        <v>1133207000</v>
      </c>
      <c r="U795" s="3" t="s">
        <v>29</v>
      </c>
    </row>
    <row r="796" spans="1:21" ht="13.2" x14ac:dyDescent="0.25">
      <c r="A796" s="14">
        <v>43776491000170</v>
      </c>
      <c r="B796" s="15" t="str">
        <f t="shared" si="12"/>
        <v>43.776.491/0001-70</v>
      </c>
      <c r="C796" s="12"/>
      <c r="D796" s="3" t="s">
        <v>3439</v>
      </c>
      <c r="E796" s="3" t="s">
        <v>3439</v>
      </c>
      <c r="F796" s="3" t="s">
        <v>20</v>
      </c>
      <c r="G796" s="4">
        <v>26945</v>
      </c>
      <c r="H796" s="3" t="s">
        <v>3061</v>
      </c>
      <c r="I796" s="3" t="s">
        <v>33</v>
      </c>
      <c r="J796" s="5">
        <v>170376560</v>
      </c>
      <c r="K796" s="3">
        <v>8411600</v>
      </c>
      <c r="L796" s="3" t="s">
        <v>621</v>
      </c>
      <c r="M796" s="3" t="s">
        <v>3440</v>
      </c>
      <c r="N796" s="3">
        <v>345</v>
      </c>
      <c r="P796" s="3" t="s">
        <v>1688</v>
      </c>
      <c r="Q796" s="3" t="s">
        <v>27</v>
      </c>
      <c r="R796" s="3" t="s">
        <v>28</v>
      </c>
      <c r="S796" s="3">
        <v>5459010</v>
      </c>
      <c r="U796" s="3" t="s">
        <v>29</v>
      </c>
    </row>
    <row r="797" spans="1:21" ht="13.2" x14ac:dyDescent="0.25">
      <c r="A797" s="14">
        <v>82660440000130</v>
      </c>
      <c r="B797" s="15" t="str">
        <f t="shared" si="12"/>
        <v>82.660.440/0001-30</v>
      </c>
      <c r="C797" s="12"/>
      <c r="D797" s="3" t="s">
        <v>3441</v>
      </c>
      <c r="E797" s="3" t="s">
        <v>3441</v>
      </c>
      <c r="F797" s="3" t="s">
        <v>20</v>
      </c>
      <c r="G797" s="4">
        <v>26422</v>
      </c>
      <c r="H797" s="3" t="s">
        <v>94</v>
      </c>
      <c r="I797" s="3" t="s">
        <v>33</v>
      </c>
      <c r="J797" s="5">
        <v>0</v>
      </c>
      <c r="K797" s="3">
        <v>6202300</v>
      </c>
      <c r="L797" s="3" t="s">
        <v>103</v>
      </c>
      <c r="M797" s="3" t="s">
        <v>3442</v>
      </c>
      <c r="N797" s="3">
        <v>220</v>
      </c>
      <c r="O797" s="3" t="s">
        <v>3443</v>
      </c>
      <c r="P797" s="3" t="s">
        <v>3444</v>
      </c>
      <c r="Q797" s="3" t="s">
        <v>2015</v>
      </c>
      <c r="R797" s="3" t="s">
        <v>91</v>
      </c>
      <c r="S797" s="3">
        <v>89010390</v>
      </c>
      <c r="T797" s="3">
        <v>4784217000</v>
      </c>
      <c r="U797" s="3" t="s">
        <v>29</v>
      </c>
    </row>
    <row r="798" spans="1:21" ht="13.2" x14ac:dyDescent="0.25">
      <c r="A798" s="14">
        <v>14414973000181</v>
      </c>
      <c r="B798" s="15" t="str">
        <f t="shared" si="12"/>
        <v>14.414.973/0001-81</v>
      </c>
      <c r="C798" s="12" t="str">
        <f>VLOOKUP(B798,[1]Planilha1!$A:$B,2,0)</f>
        <v>Malu Montesino</v>
      </c>
      <c r="D798" s="3" t="s">
        <v>3445</v>
      </c>
      <c r="E798" s="3" t="s">
        <v>3446</v>
      </c>
      <c r="F798" s="3" t="s">
        <v>20</v>
      </c>
      <c r="G798" s="4">
        <v>28446</v>
      </c>
      <c r="H798" s="3" t="s">
        <v>94</v>
      </c>
      <c r="I798" s="3" t="s">
        <v>33</v>
      </c>
      <c r="J798" s="5">
        <v>240021820</v>
      </c>
      <c r="K798" s="3">
        <v>3702900</v>
      </c>
      <c r="L798" s="3" t="s">
        <v>3447</v>
      </c>
      <c r="M798" s="3" t="s">
        <v>3448</v>
      </c>
      <c r="N798" s="3" t="s">
        <v>111</v>
      </c>
      <c r="P798" s="3" t="s">
        <v>2779</v>
      </c>
      <c r="Q798" s="3" t="s">
        <v>2780</v>
      </c>
      <c r="R798" s="3" t="s">
        <v>281</v>
      </c>
      <c r="S798" s="3">
        <v>42816280</v>
      </c>
      <c r="T798" s="3">
        <v>7136346979</v>
      </c>
      <c r="U798" s="3" t="s">
        <v>29</v>
      </c>
    </row>
    <row r="799" spans="1:21" ht="13.2" x14ac:dyDescent="0.25">
      <c r="A799" s="14">
        <v>40284011000165</v>
      </c>
      <c r="B799" s="15" t="str">
        <f t="shared" si="12"/>
        <v>40.284.011/0001-65</v>
      </c>
      <c r="C799" s="12"/>
      <c r="D799" s="3" t="s">
        <v>3449</v>
      </c>
      <c r="E799" s="3" t="s">
        <v>3450</v>
      </c>
      <c r="F799" s="3" t="s">
        <v>45</v>
      </c>
      <c r="G799" s="4">
        <v>44202</v>
      </c>
      <c r="H799" s="3" t="s">
        <v>21</v>
      </c>
      <c r="I799" s="3" t="s">
        <v>33</v>
      </c>
      <c r="J799" s="5">
        <v>50000</v>
      </c>
      <c r="K799" s="3">
        <v>7020400</v>
      </c>
      <c r="L799" s="3" t="s">
        <v>170</v>
      </c>
      <c r="M799" s="3" t="s">
        <v>3451</v>
      </c>
      <c r="N799" s="3">
        <v>705</v>
      </c>
      <c r="O799" s="3" t="s">
        <v>3452</v>
      </c>
      <c r="P799" s="3" t="s">
        <v>2994</v>
      </c>
      <c r="Q799" s="3" t="s">
        <v>2287</v>
      </c>
      <c r="R799" s="3" t="s">
        <v>91</v>
      </c>
      <c r="S799" s="3">
        <v>88308001</v>
      </c>
      <c r="T799" s="3">
        <v>4735150880</v>
      </c>
      <c r="U799" s="3" t="s">
        <v>29</v>
      </c>
    </row>
    <row r="800" spans="1:21" ht="13.2" x14ac:dyDescent="0.25">
      <c r="A800" s="14">
        <v>12324762000122</v>
      </c>
      <c r="B800" s="15" t="str">
        <f t="shared" si="12"/>
        <v>12.324.762/0001-22</v>
      </c>
      <c r="C800" s="12"/>
      <c r="D800" s="3" t="s">
        <v>3453</v>
      </c>
      <c r="E800" s="3" t="s">
        <v>3453</v>
      </c>
      <c r="F800" s="3" t="s">
        <v>31</v>
      </c>
      <c r="G800" s="4">
        <v>40393</v>
      </c>
      <c r="H800" s="3" t="s">
        <v>21</v>
      </c>
      <c r="I800" s="3" t="s">
        <v>22</v>
      </c>
      <c r="J800" s="5">
        <v>500000</v>
      </c>
      <c r="K800" s="3">
        <v>6209100</v>
      </c>
      <c r="L800" s="3" t="s">
        <v>303</v>
      </c>
      <c r="M800" s="3" t="s">
        <v>3454</v>
      </c>
      <c r="N800" s="3">
        <v>61</v>
      </c>
      <c r="O800" s="3" t="s">
        <v>3455</v>
      </c>
      <c r="P800" s="3" t="s">
        <v>70</v>
      </c>
      <c r="Q800" s="3" t="s">
        <v>3456</v>
      </c>
      <c r="R800" s="3" t="s">
        <v>78</v>
      </c>
      <c r="S800" s="3">
        <v>25870000</v>
      </c>
      <c r="T800" s="3">
        <v>2141092226</v>
      </c>
      <c r="U800" s="3" t="s">
        <v>29</v>
      </c>
    </row>
    <row r="801" spans="1:21" ht="13.2" x14ac:dyDescent="0.25">
      <c r="A801" s="14">
        <v>18626636000109</v>
      </c>
      <c r="B801" s="15" t="str">
        <f t="shared" si="12"/>
        <v>18.626.636/0001-09</v>
      </c>
      <c r="C801" s="12"/>
      <c r="D801" s="3" t="s">
        <v>3457</v>
      </c>
      <c r="E801" s="3" t="s">
        <v>3458</v>
      </c>
      <c r="F801" s="3" t="s">
        <v>20</v>
      </c>
      <c r="G801" s="4">
        <v>41487</v>
      </c>
      <c r="H801" s="3" t="s">
        <v>21</v>
      </c>
      <c r="I801" s="3" t="s">
        <v>47</v>
      </c>
      <c r="J801" s="5">
        <v>110000</v>
      </c>
      <c r="K801" s="3">
        <v>4789099</v>
      </c>
      <c r="L801" s="3" t="s">
        <v>774</v>
      </c>
      <c r="M801" s="3" t="s">
        <v>3459</v>
      </c>
      <c r="N801" s="3">
        <v>1156</v>
      </c>
      <c r="O801" s="3" t="s">
        <v>2854</v>
      </c>
      <c r="P801" s="3" t="s">
        <v>3460</v>
      </c>
      <c r="Q801" s="3" t="s">
        <v>3461</v>
      </c>
      <c r="R801" s="3" t="s">
        <v>765</v>
      </c>
      <c r="S801" s="3">
        <v>29100020</v>
      </c>
      <c r="T801" s="3">
        <v>2730610803</v>
      </c>
      <c r="U801" s="3" t="s">
        <v>29</v>
      </c>
    </row>
    <row r="802" spans="1:21" ht="13.2" x14ac:dyDescent="0.25">
      <c r="A802" s="14">
        <v>13080626000105</v>
      </c>
      <c r="B802" s="15" t="str">
        <f t="shared" si="12"/>
        <v>13.080.626/0001-05</v>
      </c>
      <c r="C802" s="12"/>
      <c r="D802" s="3" t="s">
        <v>3462</v>
      </c>
      <c r="E802" s="3" t="s">
        <v>3463</v>
      </c>
      <c r="F802" s="3" t="s">
        <v>20</v>
      </c>
      <c r="G802" s="4">
        <v>40550</v>
      </c>
      <c r="H802" s="3" t="s">
        <v>21</v>
      </c>
      <c r="I802" s="3" t="s">
        <v>47</v>
      </c>
      <c r="J802" s="5">
        <v>500000</v>
      </c>
      <c r="K802" s="3">
        <v>2330305</v>
      </c>
      <c r="L802" s="3" t="s">
        <v>1344</v>
      </c>
      <c r="M802" s="3" t="s">
        <v>3464</v>
      </c>
      <c r="N802" s="3">
        <v>100</v>
      </c>
      <c r="O802" s="3" t="s">
        <v>3465</v>
      </c>
      <c r="P802" s="3" t="s">
        <v>70</v>
      </c>
      <c r="Q802" s="3" t="s">
        <v>2287</v>
      </c>
      <c r="R802" s="3" t="s">
        <v>91</v>
      </c>
      <c r="S802" s="3">
        <v>88301060</v>
      </c>
      <c r="T802" s="3">
        <v>4733192098</v>
      </c>
      <c r="U802" s="3" t="s">
        <v>29</v>
      </c>
    </row>
    <row r="803" spans="1:21" ht="13.2" x14ac:dyDescent="0.25">
      <c r="A803" s="14">
        <v>37866100000105</v>
      </c>
      <c r="B803" s="15" t="str">
        <f t="shared" si="12"/>
        <v>37.866.100/0001-05</v>
      </c>
      <c r="C803" s="12"/>
      <c r="D803" s="3" t="s">
        <v>3466</v>
      </c>
      <c r="E803" s="3" t="s">
        <v>3467</v>
      </c>
      <c r="F803" s="3" t="s">
        <v>20</v>
      </c>
      <c r="G803" s="4">
        <v>34197</v>
      </c>
      <c r="H803" s="3" t="s">
        <v>21</v>
      </c>
      <c r="I803" s="3" t="s">
        <v>33</v>
      </c>
      <c r="J803" s="5">
        <v>13870000</v>
      </c>
      <c r="K803" s="3">
        <v>2110600</v>
      </c>
      <c r="L803" s="3" t="s">
        <v>1425</v>
      </c>
      <c r="M803" s="3" t="s">
        <v>3468</v>
      </c>
      <c r="N803" s="3" t="s">
        <v>111</v>
      </c>
      <c r="O803" s="3" t="s">
        <v>3469</v>
      </c>
      <c r="P803" s="3" t="s">
        <v>2383</v>
      </c>
      <c r="Q803" s="3" t="s">
        <v>2384</v>
      </c>
      <c r="R803" s="3" t="s">
        <v>274</v>
      </c>
      <c r="S803" s="3">
        <v>75132000</v>
      </c>
      <c r="T803" s="3">
        <v>6240150700</v>
      </c>
      <c r="U803" s="3" t="s">
        <v>29</v>
      </c>
    </row>
    <row r="804" spans="1:21" ht="13.2" x14ac:dyDescent="0.25">
      <c r="A804" s="14">
        <v>5158344000147</v>
      </c>
      <c r="B804" s="15" t="str">
        <f t="shared" si="12"/>
        <v>05.158.344/0001-47</v>
      </c>
      <c r="C804" s="12" t="str">
        <f>VLOOKUP(B804,[1]Planilha1!$A:$B,2,0)</f>
        <v>Malu Montesino</v>
      </c>
      <c r="D804" s="3" t="s">
        <v>3470</v>
      </c>
      <c r="E804" s="3" t="s">
        <v>3470</v>
      </c>
      <c r="F804" s="3" t="s">
        <v>20</v>
      </c>
      <c r="G804" s="4">
        <v>37431</v>
      </c>
      <c r="H804" s="3" t="s">
        <v>21</v>
      </c>
      <c r="I804" s="3" t="s">
        <v>33</v>
      </c>
      <c r="J804" s="5">
        <v>1075000</v>
      </c>
      <c r="K804" s="3">
        <v>7732201</v>
      </c>
      <c r="L804" s="3" t="s">
        <v>1620</v>
      </c>
      <c r="M804" s="3" t="s">
        <v>3471</v>
      </c>
      <c r="N804" s="3">
        <v>163</v>
      </c>
      <c r="P804" s="3" t="s">
        <v>3472</v>
      </c>
      <c r="Q804" s="3" t="s">
        <v>357</v>
      </c>
      <c r="R804" s="3" t="s">
        <v>28</v>
      </c>
      <c r="S804" s="3">
        <v>7075180</v>
      </c>
      <c r="T804" s="3">
        <v>1129091757</v>
      </c>
      <c r="U804" s="3" t="s">
        <v>29</v>
      </c>
    </row>
    <row r="805" spans="1:21" ht="13.2" x14ac:dyDescent="0.25">
      <c r="A805" s="14">
        <v>1724535000178</v>
      </c>
      <c r="B805" s="15" t="str">
        <f t="shared" si="12"/>
        <v>01.724.535/0001-78</v>
      </c>
      <c r="C805" s="12" t="str">
        <f>VLOOKUP(B805,[1]Planilha1!$A:$B,2,0)</f>
        <v>Malu Montesino</v>
      </c>
      <c r="D805" s="3" t="s">
        <v>3473</v>
      </c>
      <c r="E805" s="3" t="s">
        <v>3473</v>
      </c>
      <c r="F805" s="3" t="s">
        <v>20</v>
      </c>
      <c r="G805" s="4">
        <v>35514</v>
      </c>
      <c r="H805" s="3" t="s">
        <v>21</v>
      </c>
      <c r="I805" s="3" t="s">
        <v>33</v>
      </c>
      <c r="J805" s="5">
        <v>6676960</v>
      </c>
      <c r="K805" s="3">
        <v>2829199</v>
      </c>
      <c r="L805" s="3" t="s">
        <v>1514</v>
      </c>
      <c r="M805" s="3" t="s">
        <v>3474</v>
      </c>
      <c r="N805" s="3">
        <v>1235</v>
      </c>
      <c r="P805" s="3" t="s">
        <v>1865</v>
      </c>
      <c r="Q805" s="3" t="s">
        <v>217</v>
      </c>
      <c r="R805" s="3" t="s">
        <v>28</v>
      </c>
      <c r="S805" s="3">
        <v>9862000</v>
      </c>
      <c r="T805" s="3">
        <v>1133824933</v>
      </c>
      <c r="U805" s="3" t="s">
        <v>29</v>
      </c>
    </row>
    <row r="806" spans="1:21" ht="13.2" x14ac:dyDescent="0.25">
      <c r="A806" s="14">
        <v>61363032000146</v>
      </c>
      <c r="B806" s="15" t="str">
        <f t="shared" si="12"/>
        <v>61.363.032/0001-46</v>
      </c>
      <c r="C806" s="12" t="str">
        <f>VLOOKUP(B806,[1]Planilha1!$A:$B,2,0)</f>
        <v>Malu Montesino</v>
      </c>
      <c r="D806" s="3" t="s">
        <v>3475</v>
      </c>
      <c r="E806" s="3" t="s">
        <v>3475</v>
      </c>
      <c r="F806" s="3" t="s">
        <v>20</v>
      </c>
      <c r="G806" s="4">
        <v>28184</v>
      </c>
      <c r="H806" s="3" t="s">
        <v>21</v>
      </c>
      <c r="I806" s="3" t="s">
        <v>33</v>
      </c>
      <c r="J806" s="5">
        <v>39689788</v>
      </c>
      <c r="K806" s="3">
        <v>2121101</v>
      </c>
      <c r="L806" s="3" t="s">
        <v>233</v>
      </c>
      <c r="M806" s="3" t="s">
        <v>3476</v>
      </c>
      <c r="N806" s="3">
        <v>151</v>
      </c>
      <c r="O806" s="3" t="s">
        <v>3477</v>
      </c>
      <c r="P806" s="3" t="s">
        <v>3478</v>
      </c>
      <c r="Q806" s="3" t="s">
        <v>929</v>
      </c>
      <c r="R806" s="3" t="s">
        <v>28</v>
      </c>
      <c r="S806" s="3">
        <v>6513005</v>
      </c>
      <c r="T806" s="3">
        <v>1130952300</v>
      </c>
      <c r="U806" s="3" t="s">
        <v>29</v>
      </c>
    </row>
    <row r="807" spans="1:21" ht="13.2" x14ac:dyDescent="0.25">
      <c r="A807" s="14">
        <v>93652030000163</v>
      </c>
      <c r="B807" s="15" t="str">
        <f t="shared" si="12"/>
        <v>93.652.030/0001-63</v>
      </c>
      <c r="C807" s="12"/>
      <c r="D807" s="3" t="s">
        <v>3479</v>
      </c>
      <c r="E807" s="3" t="s">
        <v>3479</v>
      </c>
      <c r="F807" s="3" t="s">
        <v>20</v>
      </c>
      <c r="G807" s="4">
        <v>33177</v>
      </c>
      <c r="H807" s="3" t="s">
        <v>21</v>
      </c>
      <c r="I807" s="3" t="s">
        <v>47</v>
      </c>
      <c r="J807" s="5">
        <v>0</v>
      </c>
      <c r="K807" s="3">
        <v>4744005</v>
      </c>
      <c r="L807" s="3" t="s">
        <v>1483</v>
      </c>
      <c r="M807" s="3" t="s">
        <v>3480</v>
      </c>
      <c r="N807" s="3">
        <v>520</v>
      </c>
      <c r="P807" s="3" t="s">
        <v>3481</v>
      </c>
      <c r="Q807" s="3" t="s">
        <v>3482</v>
      </c>
      <c r="R807" s="3" t="s">
        <v>53</v>
      </c>
      <c r="S807" s="3">
        <v>96130000</v>
      </c>
      <c r="T807" s="3">
        <v>5332260035</v>
      </c>
      <c r="U807" s="3" t="s">
        <v>29</v>
      </c>
    </row>
    <row r="808" spans="1:21" ht="13.2" x14ac:dyDescent="0.25">
      <c r="A808" s="14">
        <v>4570771000175</v>
      </c>
      <c r="B808" s="15" t="str">
        <f t="shared" si="12"/>
        <v>04.570.771/0001-75</v>
      </c>
      <c r="C808" s="12" t="str">
        <f>VLOOKUP(B808,[1]Planilha1!$A:$B,2,0)</f>
        <v>Malu Montesino</v>
      </c>
      <c r="D808" s="3" t="s">
        <v>3483</v>
      </c>
      <c r="E808" s="3" t="s">
        <v>3483</v>
      </c>
      <c r="F808" s="3" t="s">
        <v>20</v>
      </c>
      <c r="G808" s="4">
        <v>37078</v>
      </c>
      <c r="H808" s="3" t="s">
        <v>21</v>
      </c>
      <c r="I808" s="3" t="s">
        <v>47</v>
      </c>
      <c r="J808" s="5">
        <v>0</v>
      </c>
      <c r="K808" s="3">
        <v>4619200</v>
      </c>
      <c r="L808" s="3" t="s">
        <v>3484</v>
      </c>
      <c r="M808" s="3" t="s">
        <v>1023</v>
      </c>
      <c r="N808" s="3">
        <v>240</v>
      </c>
      <c r="O808" s="3" t="s">
        <v>3485</v>
      </c>
      <c r="P808" s="3" t="s">
        <v>248</v>
      </c>
      <c r="Q808" s="3" t="s">
        <v>27</v>
      </c>
      <c r="R808" s="3" t="s">
        <v>28</v>
      </c>
      <c r="S808" s="3">
        <v>1332000</v>
      </c>
      <c r="T808" s="3">
        <v>1132620821</v>
      </c>
      <c r="U808" s="3" t="s">
        <v>29</v>
      </c>
    </row>
    <row r="809" spans="1:21" ht="13.2" x14ac:dyDescent="0.25">
      <c r="A809" s="14">
        <v>32113192000139</v>
      </c>
      <c r="B809" s="15" t="str">
        <f t="shared" si="12"/>
        <v>32.113.192/0001-39</v>
      </c>
      <c r="C809" s="12" t="str">
        <f>VLOOKUP(B809,[1]Planilha1!$A:$B,2,0)</f>
        <v>Malu Montesino</v>
      </c>
      <c r="D809" s="3" t="s">
        <v>3486</v>
      </c>
      <c r="E809" s="3" t="s">
        <v>3486</v>
      </c>
      <c r="F809" s="3" t="s">
        <v>20</v>
      </c>
      <c r="G809" s="4">
        <v>43431</v>
      </c>
      <c r="H809" s="3" t="s">
        <v>21</v>
      </c>
      <c r="I809" s="3" t="s">
        <v>33</v>
      </c>
      <c r="J809" s="5">
        <v>51319816</v>
      </c>
      <c r="K809" s="3">
        <v>7020400</v>
      </c>
      <c r="L809" s="3" t="s">
        <v>170</v>
      </c>
      <c r="M809" s="3" t="s">
        <v>3487</v>
      </c>
      <c r="N809" s="3">
        <v>936</v>
      </c>
      <c r="O809" s="3" t="s">
        <v>3488</v>
      </c>
      <c r="P809" s="3" t="s">
        <v>1740</v>
      </c>
      <c r="Q809" s="3" t="s">
        <v>27</v>
      </c>
      <c r="R809" s="3" t="s">
        <v>28</v>
      </c>
      <c r="S809" s="3">
        <v>5417001</v>
      </c>
      <c r="T809" s="3">
        <v>1123073955</v>
      </c>
      <c r="U809" s="3" t="s">
        <v>29</v>
      </c>
    </row>
    <row r="810" spans="1:21" ht="13.2" x14ac:dyDescent="0.25">
      <c r="A810" s="14">
        <v>22208295000129</v>
      </c>
      <c r="B810" s="15" t="str">
        <f t="shared" si="12"/>
        <v>22.208.295/0001-29</v>
      </c>
      <c r="C810" s="12"/>
      <c r="D810" s="3" t="s">
        <v>3489</v>
      </c>
      <c r="E810" s="3" t="s">
        <v>3490</v>
      </c>
      <c r="F810" s="3" t="s">
        <v>20</v>
      </c>
      <c r="G810" s="4">
        <v>42102</v>
      </c>
      <c r="H810" s="3" t="s">
        <v>21</v>
      </c>
      <c r="I810" s="3" t="s">
        <v>33</v>
      </c>
      <c r="J810" s="5">
        <v>300000</v>
      </c>
      <c r="K810" s="3">
        <v>4645101</v>
      </c>
      <c r="L810" s="3" t="s">
        <v>135</v>
      </c>
      <c r="M810" s="3" t="s">
        <v>3491</v>
      </c>
      <c r="N810" s="3">
        <v>1099</v>
      </c>
      <c r="P810" s="3" t="s">
        <v>3492</v>
      </c>
      <c r="Q810" s="3" t="s">
        <v>1141</v>
      </c>
      <c r="R810" s="3" t="s">
        <v>1142</v>
      </c>
      <c r="S810" s="3">
        <v>79034450</v>
      </c>
      <c r="T810" s="3">
        <v>6730228098</v>
      </c>
      <c r="U810" s="3" t="s">
        <v>29</v>
      </c>
    </row>
    <row r="811" spans="1:21" ht="13.2" x14ac:dyDescent="0.25">
      <c r="A811" s="14">
        <v>47684386000161</v>
      </c>
      <c r="B811" s="15" t="str">
        <f t="shared" si="12"/>
        <v>47.684.386/0001-61</v>
      </c>
      <c r="C811" s="12"/>
      <c r="D811" s="3" t="s">
        <v>3493</v>
      </c>
      <c r="E811" s="3" t="s">
        <v>3493</v>
      </c>
      <c r="F811" s="3" t="s">
        <v>20</v>
      </c>
      <c r="G811" s="4">
        <v>27858</v>
      </c>
      <c r="H811" s="3" t="s">
        <v>21</v>
      </c>
      <c r="I811" s="3" t="s">
        <v>33</v>
      </c>
      <c r="J811" s="5">
        <v>15899162</v>
      </c>
      <c r="K811" s="3">
        <v>2099199</v>
      </c>
      <c r="L811" s="3" t="s">
        <v>80</v>
      </c>
      <c r="M811" s="3" t="s">
        <v>3494</v>
      </c>
      <c r="N811" s="3">
        <v>980</v>
      </c>
      <c r="P811" s="3" t="s">
        <v>2659</v>
      </c>
      <c r="Q811" s="3" t="s">
        <v>2365</v>
      </c>
      <c r="R811" s="3" t="s">
        <v>28</v>
      </c>
      <c r="S811" s="3">
        <v>7776400</v>
      </c>
      <c r="T811" s="3">
        <v>1133188900</v>
      </c>
      <c r="U811" s="3" t="s">
        <v>29</v>
      </c>
    </row>
    <row r="812" spans="1:21" ht="13.2" x14ac:dyDescent="0.25">
      <c r="A812" s="14">
        <v>17245234000100</v>
      </c>
      <c r="B812" s="15" t="str">
        <f t="shared" si="12"/>
        <v>17.245.234/0001-00</v>
      </c>
      <c r="C812" s="12"/>
      <c r="D812" s="3" t="s">
        <v>3495</v>
      </c>
      <c r="E812" s="3" t="s">
        <v>3495</v>
      </c>
      <c r="F812" s="3" t="s">
        <v>20</v>
      </c>
      <c r="G812" s="4">
        <v>24114</v>
      </c>
      <c r="H812" s="3" t="s">
        <v>377</v>
      </c>
      <c r="I812" s="3" t="s">
        <v>33</v>
      </c>
      <c r="J812" s="5">
        <v>151350000</v>
      </c>
      <c r="K812" s="3">
        <v>8211300</v>
      </c>
      <c r="L812" s="3" t="s">
        <v>166</v>
      </c>
      <c r="M812" s="3" t="s">
        <v>3496</v>
      </c>
      <c r="N812" s="3">
        <v>330</v>
      </c>
      <c r="O812" s="3" t="s">
        <v>2716</v>
      </c>
      <c r="P812" s="3" t="s">
        <v>1462</v>
      </c>
      <c r="Q812" s="3" t="s">
        <v>476</v>
      </c>
      <c r="R812" s="3" t="s">
        <v>100</v>
      </c>
      <c r="S812" s="3">
        <v>30130917</v>
      </c>
      <c r="T812" s="3">
        <v>3132355229</v>
      </c>
      <c r="U812" s="3" t="s">
        <v>29</v>
      </c>
    </row>
    <row r="813" spans="1:21" ht="13.2" x14ac:dyDescent="0.25">
      <c r="A813" s="14">
        <v>76484161000160</v>
      </c>
      <c r="B813" s="15" t="str">
        <f t="shared" si="12"/>
        <v>76.484.161/0001-60</v>
      </c>
      <c r="C813" s="12"/>
      <c r="D813" s="3" t="s">
        <v>3497</v>
      </c>
      <c r="E813" s="3" t="s">
        <v>3497</v>
      </c>
      <c r="F813" s="3" t="s">
        <v>20</v>
      </c>
      <c r="G813" s="4">
        <v>26402</v>
      </c>
      <c r="H813" s="3" t="s">
        <v>94</v>
      </c>
      <c r="I813" s="3" t="s">
        <v>33</v>
      </c>
      <c r="J813" s="5">
        <v>0</v>
      </c>
      <c r="K813" s="3">
        <v>6810202</v>
      </c>
      <c r="L813" s="3" t="s">
        <v>2714</v>
      </c>
      <c r="M813" s="3" t="s">
        <v>3498</v>
      </c>
      <c r="N813" s="3">
        <v>3878</v>
      </c>
      <c r="P813" s="3" t="s">
        <v>3499</v>
      </c>
      <c r="Q813" s="3" t="s">
        <v>204</v>
      </c>
      <c r="R813" s="3" t="s">
        <v>187</v>
      </c>
      <c r="S813" s="3">
        <v>80610012</v>
      </c>
      <c r="T813" s="3">
        <v>4130278675</v>
      </c>
      <c r="U813" s="3" t="s">
        <v>29</v>
      </c>
    </row>
    <row r="814" spans="1:21" ht="13.2" x14ac:dyDescent="0.25">
      <c r="A814" s="14">
        <v>1201289000170</v>
      </c>
      <c r="B814" s="15" t="str">
        <f t="shared" si="12"/>
        <v>01.201.289/0001-70</v>
      </c>
      <c r="C814" s="12" t="str">
        <f>VLOOKUP(B814,[1]Planilha1!$A:$B,2,0)</f>
        <v>Malu Montesino</v>
      </c>
      <c r="D814" s="3" t="s">
        <v>3500</v>
      </c>
      <c r="E814" s="3" t="s">
        <v>3500</v>
      </c>
      <c r="F814" s="3" t="s">
        <v>20</v>
      </c>
      <c r="G814" s="4">
        <v>35167</v>
      </c>
      <c r="H814" s="3" t="s">
        <v>94</v>
      </c>
      <c r="I814" s="3" t="s">
        <v>33</v>
      </c>
      <c r="J814" s="5">
        <v>10200000</v>
      </c>
      <c r="K814" s="3">
        <v>3701100</v>
      </c>
      <c r="L814" s="3" t="s">
        <v>2425</v>
      </c>
      <c r="M814" s="3" t="s">
        <v>3501</v>
      </c>
      <c r="N814" s="3">
        <v>4520</v>
      </c>
      <c r="O814" s="3" t="s">
        <v>198</v>
      </c>
      <c r="P814" s="3" t="s">
        <v>3502</v>
      </c>
      <c r="Q814" s="3" t="s">
        <v>567</v>
      </c>
      <c r="R814" s="3" t="s">
        <v>28</v>
      </c>
      <c r="S814" s="3">
        <v>13212590</v>
      </c>
      <c r="T814" s="3">
        <v>1141951789</v>
      </c>
      <c r="U814" s="3" t="s">
        <v>29</v>
      </c>
    </row>
    <row r="815" spans="1:21" ht="13.2" x14ac:dyDescent="0.25">
      <c r="A815" s="14">
        <v>3728628000104</v>
      </c>
      <c r="B815" s="15" t="str">
        <f t="shared" si="12"/>
        <v>03.728.628/0001-04</v>
      </c>
      <c r="C815" s="12"/>
      <c r="D815" s="3" t="s">
        <v>3503</v>
      </c>
      <c r="E815" s="3" t="s">
        <v>3503</v>
      </c>
      <c r="F815" s="3" t="s">
        <v>45</v>
      </c>
      <c r="G815" s="4">
        <v>36619</v>
      </c>
      <c r="H815" s="3" t="s">
        <v>21</v>
      </c>
      <c r="I815" s="3" t="s">
        <v>33</v>
      </c>
      <c r="J815" s="5">
        <v>0</v>
      </c>
      <c r="K815" s="3">
        <v>1821100</v>
      </c>
      <c r="L815" s="3" t="s">
        <v>3504</v>
      </c>
      <c r="M815" s="3" t="s">
        <v>2298</v>
      </c>
      <c r="N815" s="3">
        <v>1377</v>
      </c>
      <c r="P815" s="3" t="s">
        <v>436</v>
      </c>
      <c r="Q815" s="3" t="s">
        <v>437</v>
      </c>
      <c r="R815" s="3" t="s">
        <v>53</v>
      </c>
      <c r="S815" s="3">
        <v>90550005</v>
      </c>
      <c r="U815" s="3" t="s">
        <v>29</v>
      </c>
    </row>
    <row r="816" spans="1:21" ht="13.2" x14ac:dyDescent="0.25">
      <c r="A816" s="14">
        <v>5782733000149</v>
      </c>
      <c r="B816" s="15" t="str">
        <f t="shared" si="12"/>
        <v>05.782.733/0001-49</v>
      </c>
      <c r="C816" s="12"/>
      <c r="D816" s="3" t="s">
        <v>3505</v>
      </c>
      <c r="E816" s="3" t="s">
        <v>3505</v>
      </c>
      <c r="F816" s="3" t="s">
        <v>20</v>
      </c>
      <c r="G816" s="4">
        <v>37830</v>
      </c>
      <c r="H816" s="3" t="s">
        <v>21</v>
      </c>
      <c r="I816" s="3" t="s">
        <v>33</v>
      </c>
      <c r="J816" s="5">
        <v>3000000</v>
      </c>
      <c r="K816" s="3">
        <v>4644301</v>
      </c>
      <c r="L816" s="3" t="s">
        <v>326</v>
      </c>
      <c r="M816" s="3" t="s">
        <v>2669</v>
      </c>
      <c r="N816" s="3">
        <v>560</v>
      </c>
      <c r="P816" s="3" t="s">
        <v>2670</v>
      </c>
      <c r="Q816" s="3" t="s">
        <v>2671</v>
      </c>
      <c r="R816" s="3" t="s">
        <v>53</v>
      </c>
      <c r="S816" s="3">
        <v>95960000</v>
      </c>
      <c r="T816" s="3">
        <v>5137519300</v>
      </c>
      <c r="U816" s="3" t="s">
        <v>29</v>
      </c>
    </row>
    <row r="817" spans="1:21" ht="13.2" x14ac:dyDescent="0.25">
      <c r="A817" s="14">
        <v>7580887000183</v>
      </c>
      <c r="B817" s="15" t="str">
        <f t="shared" si="12"/>
        <v>07.580.887/0001-83</v>
      </c>
      <c r="C817" s="12"/>
      <c r="D817" s="3" t="s">
        <v>3506</v>
      </c>
      <c r="E817" s="3" t="s">
        <v>3507</v>
      </c>
      <c r="F817" s="3" t="s">
        <v>20</v>
      </c>
      <c r="G817" s="4">
        <v>38595</v>
      </c>
      <c r="H817" s="3" t="s">
        <v>21</v>
      </c>
      <c r="I817" s="3" t="s">
        <v>33</v>
      </c>
      <c r="J817" s="5">
        <v>2000000</v>
      </c>
      <c r="K817" s="3">
        <v>4645101</v>
      </c>
      <c r="L817" s="3" t="s">
        <v>135</v>
      </c>
      <c r="M817" s="3" t="s">
        <v>3508</v>
      </c>
      <c r="N817" s="3">
        <v>1</v>
      </c>
      <c r="P817" s="3" t="s">
        <v>3509</v>
      </c>
      <c r="Q817" s="3" t="s">
        <v>2063</v>
      </c>
      <c r="R817" s="3" t="s">
        <v>382</v>
      </c>
      <c r="S817" s="3">
        <v>65071701</v>
      </c>
      <c r="T817" s="3">
        <v>9833122390</v>
      </c>
      <c r="U817" s="3" t="s">
        <v>29</v>
      </c>
    </row>
    <row r="818" spans="1:21" ht="13.2" x14ac:dyDescent="0.25">
      <c r="A818" s="14">
        <v>3197321000116</v>
      </c>
      <c r="B818" s="15" t="str">
        <f t="shared" si="12"/>
        <v>03.197.321/0001-16</v>
      </c>
      <c r="C818" s="12"/>
      <c r="D818" s="3" t="s">
        <v>3510</v>
      </c>
      <c r="E818" s="3" t="s">
        <v>3510</v>
      </c>
      <c r="F818" s="3" t="s">
        <v>31</v>
      </c>
      <c r="G818" s="4">
        <v>36308</v>
      </c>
      <c r="H818" s="3" t="s">
        <v>21</v>
      </c>
      <c r="I818" s="3" t="s">
        <v>33</v>
      </c>
      <c r="J818" s="5">
        <v>450000</v>
      </c>
      <c r="K818" s="3">
        <v>8011101</v>
      </c>
      <c r="L818" s="3" t="s">
        <v>943</v>
      </c>
      <c r="M818" s="3" t="s">
        <v>3391</v>
      </c>
      <c r="N818" s="3">
        <v>2547</v>
      </c>
      <c r="P818" s="3" t="s">
        <v>3511</v>
      </c>
      <c r="Q818" s="3" t="s">
        <v>524</v>
      </c>
      <c r="R818" s="3" t="s">
        <v>28</v>
      </c>
      <c r="S818" s="3">
        <v>14020260</v>
      </c>
      <c r="T818" s="3">
        <v>1636208737</v>
      </c>
      <c r="U818" s="3" t="s">
        <v>29</v>
      </c>
    </row>
    <row r="819" spans="1:21" ht="13.2" x14ac:dyDescent="0.25">
      <c r="A819" s="14">
        <v>1211015000161</v>
      </c>
      <c r="B819" s="15" t="str">
        <f t="shared" si="12"/>
        <v>01.211.015/0001-61</v>
      </c>
      <c r="C819" s="12"/>
      <c r="D819" s="3" t="s">
        <v>3512</v>
      </c>
      <c r="E819" s="3" t="s">
        <v>3513</v>
      </c>
      <c r="F819" s="3" t="s">
        <v>20</v>
      </c>
      <c r="G819" s="4">
        <v>35081</v>
      </c>
      <c r="H819" s="3" t="s">
        <v>21</v>
      </c>
      <c r="I819" s="3" t="s">
        <v>22</v>
      </c>
      <c r="J819" s="5">
        <v>300000</v>
      </c>
      <c r="K819" s="3">
        <v>4120400</v>
      </c>
      <c r="L819" s="3" t="s">
        <v>87</v>
      </c>
      <c r="M819" s="3" t="s">
        <v>3514</v>
      </c>
      <c r="N819" s="3">
        <v>76</v>
      </c>
      <c r="O819" s="3" t="s">
        <v>3515</v>
      </c>
      <c r="P819" s="3" t="s">
        <v>3516</v>
      </c>
      <c r="Q819" s="3" t="s">
        <v>567</v>
      </c>
      <c r="R819" s="3" t="s">
        <v>28</v>
      </c>
      <c r="S819" s="3">
        <v>13218041</v>
      </c>
      <c r="T819" s="3">
        <v>1130885226</v>
      </c>
      <c r="U819" s="3" t="s">
        <v>29</v>
      </c>
    </row>
    <row r="820" spans="1:21" ht="13.2" x14ac:dyDescent="0.25">
      <c r="A820" s="14">
        <v>72073117000106</v>
      </c>
      <c r="B820" s="15" t="str">
        <f t="shared" si="12"/>
        <v>72.073.117/0001-06</v>
      </c>
      <c r="C820" s="12"/>
      <c r="D820" s="3" t="s">
        <v>3517</v>
      </c>
      <c r="E820" s="3" t="s">
        <v>3518</v>
      </c>
      <c r="F820" s="3" t="s">
        <v>20</v>
      </c>
      <c r="G820" s="4">
        <v>34058</v>
      </c>
      <c r="H820" s="3" t="s">
        <v>21</v>
      </c>
      <c r="I820" s="3" t="s">
        <v>33</v>
      </c>
      <c r="J820" s="5">
        <v>4000000</v>
      </c>
      <c r="K820" s="3">
        <v>4921302</v>
      </c>
      <c r="L820" s="3" t="s">
        <v>3519</v>
      </c>
      <c r="M820" s="3" t="s">
        <v>3520</v>
      </c>
      <c r="N820" s="3">
        <v>421</v>
      </c>
      <c r="P820" s="3" t="s">
        <v>3521</v>
      </c>
      <c r="Q820" s="3" t="s">
        <v>2521</v>
      </c>
      <c r="R820" s="3" t="s">
        <v>187</v>
      </c>
      <c r="S820" s="3">
        <v>87112550</v>
      </c>
      <c r="T820" s="3">
        <v>1114076241</v>
      </c>
      <c r="U820" s="3" t="s">
        <v>29</v>
      </c>
    </row>
    <row r="821" spans="1:21" ht="13.2" x14ac:dyDescent="0.25">
      <c r="A821" s="14">
        <v>3642197000150</v>
      </c>
      <c r="B821" s="15" t="str">
        <f t="shared" si="12"/>
        <v>03.642.197/0001-50</v>
      </c>
      <c r="C821" s="12"/>
      <c r="D821" s="3" t="s">
        <v>3522</v>
      </c>
      <c r="E821" s="3" t="s">
        <v>3523</v>
      </c>
      <c r="F821" s="3" t="s">
        <v>20</v>
      </c>
      <c r="G821" s="4">
        <v>36474</v>
      </c>
      <c r="H821" s="3" t="s">
        <v>244</v>
      </c>
      <c r="I821" s="3" t="s">
        <v>33</v>
      </c>
      <c r="J821" s="5">
        <v>0</v>
      </c>
      <c r="K821" s="3">
        <v>9430800</v>
      </c>
      <c r="L821" s="3" t="s">
        <v>626</v>
      </c>
      <c r="M821" s="3" t="s">
        <v>3524</v>
      </c>
      <c r="N821" s="3">
        <v>1910</v>
      </c>
      <c r="P821" s="3" t="s">
        <v>3525</v>
      </c>
      <c r="Q821" s="3" t="s">
        <v>448</v>
      </c>
      <c r="R821" s="3" t="s">
        <v>449</v>
      </c>
      <c r="S821" s="3">
        <v>69073177</v>
      </c>
      <c r="T821" s="3">
        <v>9230700060</v>
      </c>
      <c r="U821" s="3" t="s">
        <v>29</v>
      </c>
    </row>
    <row r="822" spans="1:21" ht="13.2" x14ac:dyDescent="0.25">
      <c r="A822" s="14">
        <v>1027058000191</v>
      </c>
      <c r="B822" s="15" t="str">
        <f t="shared" si="12"/>
        <v>01.027.058/0001-91</v>
      </c>
      <c r="C822" s="12"/>
      <c r="D822" s="3" t="s">
        <v>3526</v>
      </c>
      <c r="E822" s="3" t="s">
        <v>3526</v>
      </c>
      <c r="F822" s="3" t="s">
        <v>20</v>
      </c>
      <c r="G822" s="4">
        <v>35060</v>
      </c>
      <c r="H822" s="3" t="s">
        <v>377</v>
      </c>
      <c r="I822" s="3" t="s">
        <v>33</v>
      </c>
      <c r="J822" s="5">
        <v>5700000000</v>
      </c>
      <c r="K822" s="3">
        <v>6613400</v>
      </c>
      <c r="L822" s="3" t="s">
        <v>2962</v>
      </c>
      <c r="M822" s="3" t="s">
        <v>938</v>
      </c>
      <c r="N822" s="3">
        <v>512</v>
      </c>
      <c r="O822" s="3" t="s">
        <v>3527</v>
      </c>
      <c r="P822" s="3" t="s">
        <v>940</v>
      </c>
      <c r="Q822" s="3" t="s">
        <v>617</v>
      </c>
      <c r="R822" s="3" t="s">
        <v>28</v>
      </c>
      <c r="S822" s="3">
        <v>6455030</v>
      </c>
      <c r="T822" s="3">
        <v>1121847600</v>
      </c>
      <c r="U822" s="3" t="s">
        <v>29</v>
      </c>
    </row>
    <row r="823" spans="1:21" ht="13.2" x14ac:dyDescent="0.25">
      <c r="A823" s="14">
        <v>2814497000107</v>
      </c>
      <c r="B823" s="15" t="str">
        <f t="shared" si="12"/>
        <v>02.814.497/0001-07</v>
      </c>
      <c r="C823" s="12" t="str">
        <f>VLOOKUP(B823,[1]Planilha1!$A:$B,2,0)</f>
        <v>Malu Montesino</v>
      </c>
      <c r="D823" s="3" t="s">
        <v>3528</v>
      </c>
      <c r="E823" s="3" t="s">
        <v>3528</v>
      </c>
      <c r="F823" s="3" t="s">
        <v>20</v>
      </c>
      <c r="G823" s="4">
        <v>36088</v>
      </c>
      <c r="H823" s="3" t="s">
        <v>94</v>
      </c>
      <c r="I823" s="3" t="s">
        <v>33</v>
      </c>
      <c r="J823" s="5">
        <v>56186390</v>
      </c>
      <c r="K823" s="3">
        <v>2121101</v>
      </c>
      <c r="L823" s="3" t="s">
        <v>233</v>
      </c>
      <c r="M823" s="3" t="s">
        <v>2694</v>
      </c>
      <c r="N823" s="3">
        <v>2248</v>
      </c>
      <c r="O823" s="3" t="s">
        <v>3529</v>
      </c>
      <c r="P823" s="3" t="s">
        <v>461</v>
      </c>
      <c r="Q823" s="3" t="s">
        <v>27</v>
      </c>
      <c r="R823" s="3" t="s">
        <v>28</v>
      </c>
      <c r="S823" s="3">
        <v>1228200</v>
      </c>
      <c r="T823" s="3">
        <v>1135447200</v>
      </c>
      <c r="U823" s="3" t="s">
        <v>29</v>
      </c>
    </row>
    <row r="824" spans="1:21" ht="13.2" x14ac:dyDescent="0.25">
      <c r="A824" s="14">
        <v>56727795000199</v>
      </c>
      <c r="B824" s="15" t="str">
        <f t="shared" si="12"/>
        <v>56.727.795/0001-99</v>
      </c>
      <c r="C824" s="12"/>
      <c r="D824" s="3" t="s">
        <v>3530</v>
      </c>
      <c r="E824" s="3" t="s">
        <v>3530</v>
      </c>
      <c r="F824" s="3" t="s">
        <v>20</v>
      </c>
      <c r="G824" s="4">
        <v>31742</v>
      </c>
      <c r="H824" s="3" t="s">
        <v>21</v>
      </c>
      <c r="I824" s="3" t="s">
        <v>33</v>
      </c>
      <c r="J824" s="5">
        <v>69090</v>
      </c>
      <c r="K824" s="3">
        <v>4674500</v>
      </c>
      <c r="L824" s="3" t="s">
        <v>3531</v>
      </c>
      <c r="M824" s="3" t="s">
        <v>3532</v>
      </c>
      <c r="N824" s="3">
        <v>1691</v>
      </c>
      <c r="P824" s="3" t="s">
        <v>2703</v>
      </c>
      <c r="Q824" s="3" t="s">
        <v>27</v>
      </c>
      <c r="R824" s="3" t="s">
        <v>28</v>
      </c>
      <c r="S824" s="3">
        <v>8270001</v>
      </c>
      <c r="T824" s="3">
        <v>1130502176</v>
      </c>
      <c r="U824" s="3" t="s">
        <v>29</v>
      </c>
    </row>
    <row r="825" spans="1:21" ht="13.2" x14ac:dyDescent="0.25">
      <c r="A825" s="14">
        <v>7009980000132</v>
      </c>
      <c r="B825" s="15" t="str">
        <f t="shared" si="12"/>
        <v>07.009.980/0001-32</v>
      </c>
      <c r="C825" s="12" t="str">
        <f>VLOOKUP(B825,[1]Planilha1!$A:$B,2,0)</f>
        <v>Malu Montesino</v>
      </c>
      <c r="D825" s="3" t="s">
        <v>3533</v>
      </c>
      <c r="E825" s="3" t="s">
        <v>3534</v>
      </c>
      <c r="F825" s="3" t="s">
        <v>20</v>
      </c>
      <c r="G825" s="4">
        <v>38232</v>
      </c>
      <c r="H825" s="3" t="s">
        <v>21</v>
      </c>
      <c r="I825" s="3" t="s">
        <v>33</v>
      </c>
      <c r="J825" s="5">
        <v>4500000</v>
      </c>
      <c r="K825" s="3">
        <v>2229399</v>
      </c>
      <c r="L825" s="3" t="s">
        <v>414</v>
      </c>
      <c r="M825" s="3">
        <v>2</v>
      </c>
      <c r="N825" s="3">
        <v>61</v>
      </c>
      <c r="P825" s="3" t="s">
        <v>1529</v>
      </c>
      <c r="Q825" s="3" t="s">
        <v>1289</v>
      </c>
      <c r="R825" s="3" t="s">
        <v>187</v>
      </c>
      <c r="S825" s="3">
        <v>87065112</v>
      </c>
      <c r="T825" s="3">
        <v>4432666846</v>
      </c>
      <c r="U825" s="3" t="s">
        <v>29</v>
      </c>
    </row>
    <row r="826" spans="1:21" ht="13.2" x14ac:dyDescent="0.25">
      <c r="A826" s="14">
        <v>24878421000188</v>
      </c>
      <c r="B826" s="15" t="str">
        <f t="shared" si="12"/>
        <v>24.878.421/0001-88</v>
      </c>
      <c r="C826" s="12"/>
      <c r="D826" s="3" t="s">
        <v>3535</v>
      </c>
      <c r="E826" s="3" t="s">
        <v>3536</v>
      </c>
      <c r="F826" s="3" t="s">
        <v>20</v>
      </c>
      <c r="G826" s="4">
        <v>42515</v>
      </c>
      <c r="H826" s="3" t="s">
        <v>46</v>
      </c>
      <c r="I826" s="3" t="s">
        <v>47</v>
      </c>
      <c r="J826" s="5">
        <v>10000</v>
      </c>
      <c r="K826" s="3">
        <v>4789099</v>
      </c>
      <c r="L826" s="3" t="s">
        <v>774</v>
      </c>
      <c r="M826" s="3" t="s">
        <v>3537</v>
      </c>
      <c r="N826" s="3">
        <v>23</v>
      </c>
      <c r="O826" s="3" t="s">
        <v>3538</v>
      </c>
      <c r="P826" s="3" t="s">
        <v>216</v>
      </c>
      <c r="Q826" s="3" t="s">
        <v>217</v>
      </c>
      <c r="R826" s="3" t="s">
        <v>28</v>
      </c>
      <c r="S826" s="3">
        <v>9830255</v>
      </c>
      <c r="T826" s="3">
        <v>1173220175</v>
      </c>
      <c r="U826" s="3" t="s">
        <v>29</v>
      </c>
    </row>
    <row r="827" spans="1:21" ht="13.2" x14ac:dyDescent="0.25">
      <c r="A827" s="14">
        <v>1851716000165</v>
      </c>
      <c r="B827" s="15" t="str">
        <f t="shared" si="12"/>
        <v>01.851.716/0001-65</v>
      </c>
      <c r="C827" s="12" t="str">
        <f>VLOOKUP(B827,[1]Planilha1!$A:$B,2,0)</f>
        <v>Mariane Nascimento</v>
      </c>
      <c r="D827" s="3" t="s">
        <v>3539</v>
      </c>
      <c r="E827" s="3" t="s">
        <v>3540</v>
      </c>
      <c r="F827" s="3" t="s">
        <v>20</v>
      </c>
      <c r="G827" s="4">
        <v>31526</v>
      </c>
      <c r="H827" s="3" t="s">
        <v>21</v>
      </c>
      <c r="I827" s="3" t="s">
        <v>33</v>
      </c>
      <c r="J827" s="5">
        <v>736638660</v>
      </c>
      <c r="K827" s="3">
        <v>1092900</v>
      </c>
      <c r="L827" s="3" t="s">
        <v>3541</v>
      </c>
      <c r="M827" s="3" t="s">
        <v>3542</v>
      </c>
      <c r="N827" s="3" t="s">
        <v>82</v>
      </c>
      <c r="O827" s="3" t="s">
        <v>3543</v>
      </c>
      <c r="P827" s="3" t="s">
        <v>3544</v>
      </c>
      <c r="Q827" s="3" t="s">
        <v>573</v>
      </c>
      <c r="R827" s="3" t="s">
        <v>274</v>
      </c>
      <c r="S827" s="3">
        <v>74984431</v>
      </c>
      <c r="T827" s="3">
        <v>1130399462</v>
      </c>
      <c r="U827" s="3" t="s">
        <v>29</v>
      </c>
    </row>
    <row r="828" spans="1:21" ht="13.2" x14ac:dyDescent="0.25">
      <c r="A828" s="14">
        <v>72843212000141</v>
      </c>
      <c r="B828" s="15" t="str">
        <f t="shared" si="12"/>
        <v>72.843.212/0001-41</v>
      </c>
      <c r="C828" s="12"/>
      <c r="D828" s="3" t="s">
        <v>3545</v>
      </c>
      <c r="E828" s="3" t="s">
        <v>3545</v>
      </c>
      <c r="F828" s="3" t="s">
        <v>20</v>
      </c>
      <c r="G828" s="4">
        <v>34240</v>
      </c>
      <c r="H828" s="3" t="s">
        <v>21</v>
      </c>
      <c r="I828" s="3" t="s">
        <v>33</v>
      </c>
      <c r="J828" s="5">
        <v>626876100</v>
      </c>
      <c r="K828" s="3">
        <v>6110803</v>
      </c>
      <c r="L828" s="3" t="s">
        <v>339</v>
      </c>
      <c r="M828" s="3" t="s">
        <v>3546</v>
      </c>
      <c r="N828" s="3">
        <v>666</v>
      </c>
      <c r="O828" s="3" t="s">
        <v>3547</v>
      </c>
      <c r="P828" s="3" t="s">
        <v>3548</v>
      </c>
      <c r="Q828" s="3" t="s">
        <v>688</v>
      </c>
      <c r="R828" s="3" t="s">
        <v>28</v>
      </c>
      <c r="S828" s="3">
        <v>6708070</v>
      </c>
      <c r="T828" s="3">
        <v>1139572200</v>
      </c>
      <c r="U828" s="3" t="s">
        <v>29</v>
      </c>
    </row>
    <row r="829" spans="1:21" ht="13.2" x14ac:dyDescent="0.25">
      <c r="A829" s="14">
        <v>18258209000115</v>
      </c>
      <c r="B829" s="15" t="str">
        <f t="shared" si="12"/>
        <v>18.258.209/0001-15</v>
      </c>
      <c r="C829" s="12" t="str">
        <f>VLOOKUP(B829,[1]Planilha1!$A:$B,2,0)</f>
        <v>Mariane Nascimento</v>
      </c>
      <c r="D829" s="3" t="s">
        <v>3549</v>
      </c>
      <c r="E829" s="3" t="s">
        <v>3550</v>
      </c>
      <c r="F829" s="3" t="s">
        <v>20</v>
      </c>
      <c r="G829" s="4">
        <v>41430</v>
      </c>
      <c r="H829" s="3" t="s">
        <v>21</v>
      </c>
      <c r="I829" s="3" t="s">
        <v>22</v>
      </c>
      <c r="J829" s="5">
        <v>1772868</v>
      </c>
      <c r="K829" s="3">
        <v>4664800</v>
      </c>
      <c r="L829" s="3" t="s">
        <v>691</v>
      </c>
      <c r="M829" s="3" t="s">
        <v>3551</v>
      </c>
      <c r="N829" s="3">
        <v>50</v>
      </c>
      <c r="O829" s="3" t="s">
        <v>3552</v>
      </c>
      <c r="P829" s="3" t="s">
        <v>3553</v>
      </c>
      <c r="Q829" s="3" t="s">
        <v>1572</v>
      </c>
      <c r="R829" s="3" t="s">
        <v>91</v>
      </c>
      <c r="S829" s="3">
        <v>88132230</v>
      </c>
      <c r="T829" s="3">
        <v>4833420121</v>
      </c>
      <c r="U829" s="3" t="s">
        <v>29</v>
      </c>
    </row>
    <row r="830" spans="1:21" ht="13.2" x14ac:dyDescent="0.25">
      <c r="A830" s="14">
        <v>7120917000179</v>
      </c>
      <c r="B830" s="15" t="str">
        <f t="shared" si="12"/>
        <v>07.120.917/0001-79</v>
      </c>
      <c r="C830" s="12"/>
      <c r="D830" s="3" t="s">
        <v>3554</v>
      </c>
      <c r="E830" s="3" t="s">
        <v>3555</v>
      </c>
      <c r="F830" s="3" t="s">
        <v>20</v>
      </c>
      <c r="G830" s="4">
        <v>38308</v>
      </c>
      <c r="H830" s="3" t="s">
        <v>21</v>
      </c>
      <c r="I830" s="3" t="s">
        <v>33</v>
      </c>
      <c r="J830" s="5">
        <v>250000</v>
      </c>
      <c r="K830" s="3">
        <v>4773300</v>
      </c>
      <c r="L830" s="3" t="s">
        <v>706</v>
      </c>
      <c r="M830" s="3" t="s">
        <v>3556</v>
      </c>
      <c r="N830" s="3">
        <v>156</v>
      </c>
      <c r="P830" s="3" t="s">
        <v>3557</v>
      </c>
      <c r="Q830" s="3" t="s">
        <v>3558</v>
      </c>
      <c r="R830" s="3" t="s">
        <v>187</v>
      </c>
      <c r="S830" s="3">
        <v>83401000</v>
      </c>
      <c r="T830" s="3">
        <v>4132322161</v>
      </c>
      <c r="U830" s="3" t="s">
        <v>29</v>
      </c>
    </row>
    <row r="831" spans="1:21" ht="13.2" x14ac:dyDescent="0.25">
      <c r="A831" s="14">
        <v>61418042000131</v>
      </c>
      <c r="B831" s="15" t="str">
        <f t="shared" si="12"/>
        <v>61.418.042/0001-31</v>
      </c>
      <c r="C831" s="12" t="str">
        <f>VLOOKUP(B831,[1]Planilha1!$A:$B,2,0)</f>
        <v>Malu Montesino</v>
      </c>
      <c r="D831" s="3" t="s">
        <v>3559</v>
      </c>
      <c r="E831" s="3" t="s">
        <v>3560</v>
      </c>
      <c r="F831" s="3" t="s">
        <v>20</v>
      </c>
      <c r="G831" s="4">
        <v>24314</v>
      </c>
      <c r="H831" s="3" t="s">
        <v>21</v>
      </c>
      <c r="I831" s="3" t="s">
        <v>33</v>
      </c>
      <c r="J831" s="5">
        <v>115511530</v>
      </c>
      <c r="K831" s="3">
        <v>4645101</v>
      </c>
      <c r="L831" s="3" t="s">
        <v>135</v>
      </c>
      <c r="M831" s="3" t="s">
        <v>3561</v>
      </c>
      <c r="N831" s="3">
        <v>570</v>
      </c>
      <c r="O831" s="3" t="s">
        <v>3562</v>
      </c>
      <c r="P831" s="3" t="s">
        <v>616</v>
      </c>
      <c r="Q831" s="3" t="s">
        <v>929</v>
      </c>
      <c r="R831" s="3" t="s">
        <v>28</v>
      </c>
      <c r="S831" s="3">
        <v>6543306</v>
      </c>
      <c r="T831" s="3">
        <v>1141520534</v>
      </c>
      <c r="U831" s="3" t="s">
        <v>29</v>
      </c>
    </row>
    <row r="832" spans="1:21" ht="13.2" x14ac:dyDescent="0.25">
      <c r="A832" s="14">
        <v>17166059000157</v>
      </c>
      <c r="B832" s="15" t="str">
        <f t="shared" si="12"/>
        <v>17.166.059/0001-57</v>
      </c>
      <c r="C832" s="12"/>
      <c r="D832" s="3" t="s">
        <v>3563</v>
      </c>
      <c r="E832" s="3" t="s">
        <v>3563</v>
      </c>
      <c r="F832" s="3" t="s">
        <v>20</v>
      </c>
      <c r="G832" s="4">
        <v>24321</v>
      </c>
      <c r="H832" s="3" t="s">
        <v>21</v>
      </c>
      <c r="I832" s="3" t="s">
        <v>33</v>
      </c>
      <c r="J832" s="5">
        <v>1000000</v>
      </c>
      <c r="K832" s="3">
        <v>4773300</v>
      </c>
      <c r="L832" s="3" t="s">
        <v>706</v>
      </c>
      <c r="M832" s="3" t="s">
        <v>3564</v>
      </c>
      <c r="N832" s="3">
        <v>561</v>
      </c>
      <c r="P832" s="3" t="s">
        <v>3565</v>
      </c>
      <c r="Q832" s="3" t="s">
        <v>476</v>
      </c>
      <c r="R832" s="3" t="s">
        <v>100</v>
      </c>
      <c r="S832" s="3">
        <v>30270400</v>
      </c>
      <c r="T832" s="3">
        <v>3132395050</v>
      </c>
      <c r="U832" s="3" t="s">
        <v>29</v>
      </c>
    </row>
    <row r="833" spans="1:21" ht="13.2" x14ac:dyDescent="0.25">
      <c r="A833" s="14">
        <v>9238605000190</v>
      </c>
      <c r="B833" s="15" t="str">
        <f t="shared" si="12"/>
        <v>09.238.605/0001-90</v>
      </c>
      <c r="C833" s="12"/>
      <c r="D833" s="3" t="s">
        <v>3566</v>
      </c>
      <c r="E833" s="3" t="s">
        <v>3567</v>
      </c>
      <c r="F833" s="3" t="s">
        <v>20</v>
      </c>
      <c r="G833" s="4">
        <v>39391</v>
      </c>
      <c r="H833" s="3" t="s">
        <v>21</v>
      </c>
      <c r="I833" s="3" t="s">
        <v>22</v>
      </c>
      <c r="J833" s="5">
        <v>100000</v>
      </c>
      <c r="K833" s="3">
        <v>4773300</v>
      </c>
      <c r="L833" s="3" t="s">
        <v>706</v>
      </c>
      <c r="M833" s="3" t="s">
        <v>3568</v>
      </c>
      <c r="N833" s="3">
        <v>551</v>
      </c>
      <c r="P833" s="3" t="s">
        <v>1409</v>
      </c>
      <c r="Q833" s="3" t="s">
        <v>1410</v>
      </c>
      <c r="R833" s="3" t="s">
        <v>28</v>
      </c>
      <c r="S833" s="3">
        <v>9080110</v>
      </c>
      <c r="T833" s="3">
        <v>1149940333</v>
      </c>
      <c r="U833" s="3" t="s">
        <v>29</v>
      </c>
    </row>
    <row r="834" spans="1:21" ht="13.2" x14ac:dyDescent="0.25">
      <c r="A834" s="14">
        <v>21112395000194</v>
      </c>
      <c r="B834" s="15" t="str">
        <f t="shared" si="12"/>
        <v>21.112.395/0001-94</v>
      </c>
      <c r="C834" s="12"/>
      <c r="D834" s="3" t="s">
        <v>3569</v>
      </c>
      <c r="E834" s="3" t="s">
        <v>3570</v>
      </c>
      <c r="F834" s="3" t="s">
        <v>20</v>
      </c>
      <c r="G834" s="4">
        <v>41907</v>
      </c>
      <c r="H834" s="3" t="s">
        <v>21</v>
      </c>
      <c r="I834" s="3" t="s">
        <v>22</v>
      </c>
      <c r="J834" s="5">
        <v>110000</v>
      </c>
      <c r="K834" s="3">
        <v>4645101</v>
      </c>
      <c r="L834" s="3" t="s">
        <v>135</v>
      </c>
      <c r="M834" s="3" t="s">
        <v>3571</v>
      </c>
      <c r="N834" s="3">
        <v>496</v>
      </c>
      <c r="O834" s="3" t="s">
        <v>3572</v>
      </c>
      <c r="P834" s="3" t="s">
        <v>3573</v>
      </c>
      <c r="Q834" s="3" t="s">
        <v>3574</v>
      </c>
      <c r="R834" s="3" t="s">
        <v>53</v>
      </c>
      <c r="S834" s="3">
        <v>95900626</v>
      </c>
      <c r="T834" s="3">
        <v>5137295641</v>
      </c>
      <c r="U834" s="3" t="s">
        <v>29</v>
      </c>
    </row>
    <row r="835" spans="1:21" ht="13.2" x14ac:dyDescent="0.25">
      <c r="A835" s="14">
        <v>20419709000133</v>
      </c>
      <c r="B835" s="15" t="str">
        <f t="shared" ref="B835:B898" si="13">TEXT(A835,"00\.000\.000\/0000\-00")</f>
        <v>20.419.709/0001-33</v>
      </c>
      <c r="C835" s="12"/>
      <c r="D835" s="3" t="s">
        <v>3575</v>
      </c>
      <c r="E835" s="3" t="s">
        <v>3575</v>
      </c>
      <c r="F835" s="3" t="s">
        <v>20</v>
      </c>
      <c r="G835" s="4">
        <v>41775</v>
      </c>
      <c r="H835" s="3" t="s">
        <v>21</v>
      </c>
      <c r="I835" s="3" t="s">
        <v>22</v>
      </c>
      <c r="J835" s="5">
        <v>150000</v>
      </c>
      <c r="K835" s="3">
        <v>4644301</v>
      </c>
      <c r="L835" s="3" t="s">
        <v>326</v>
      </c>
      <c r="M835" s="3" t="s">
        <v>3576</v>
      </c>
      <c r="N835" s="3">
        <v>1220</v>
      </c>
      <c r="O835" s="3" t="s">
        <v>3577</v>
      </c>
      <c r="P835" s="3" t="s">
        <v>3578</v>
      </c>
      <c r="Q835" s="3" t="s">
        <v>3579</v>
      </c>
      <c r="R835" s="3" t="s">
        <v>187</v>
      </c>
      <c r="S835" s="3">
        <v>86702590</v>
      </c>
      <c r="T835" s="3">
        <v>4331525250</v>
      </c>
      <c r="U835" s="3" t="s">
        <v>29</v>
      </c>
    </row>
    <row r="836" spans="1:21" ht="13.2" x14ac:dyDescent="0.25">
      <c r="A836" s="14">
        <v>64623291000157</v>
      </c>
      <c r="B836" s="15" t="str">
        <f t="shared" si="13"/>
        <v>64.623.291/0001-57</v>
      </c>
      <c r="C836" s="12"/>
      <c r="D836" s="3" t="s">
        <v>3580</v>
      </c>
      <c r="E836" s="3" t="s">
        <v>3581</v>
      </c>
      <c r="F836" s="3" t="s">
        <v>20</v>
      </c>
      <c r="G836" s="4">
        <v>33147</v>
      </c>
      <c r="H836" s="3" t="s">
        <v>21</v>
      </c>
      <c r="I836" s="3" t="s">
        <v>22</v>
      </c>
      <c r="J836" s="5">
        <v>110000</v>
      </c>
      <c r="K836" s="3">
        <v>4644301</v>
      </c>
      <c r="L836" s="3" t="s">
        <v>326</v>
      </c>
      <c r="M836" s="3" t="s">
        <v>3582</v>
      </c>
      <c r="N836" s="3">
        <v>2135</v>
      </c>
      <c r="P836" s="3" t="s">
        <v>70</v>
      </c>
      <c r="Q836" s="3" t="s">
        <v>2548</v>
      </c>
      <c r="R836" s="3" t="s">
        <v>28</v>
      </c>
      <c r="S836" s="3">
        <v>13631005</v>
      </c>
      <c r="T836" s="3">
        <v>1935615966</v>
      </c>
      <c r="U836" s="3" t="s">
        <v>29</v>
      </c>
    </row>
    <row r="837" spans="1:21" ht="13.2" x14ac:dyDescent="0.25">
      <c r="A837" s="14">
        <v>4063331000121</v>
      </c>
      <c r="B837" s="15" t="str">
        <f t="shared" si="13"/>
        <v>04.063.331/0001-21</v>
      </c>
      <c r="C837" s="12"/>
      <c r="D837" s="3" t="s">
        <v>3583</v>
      </c>
      <c r="E837" s="3" t="s">
        <v>3583</v>
      </c>
      <c r="F837" s="3" t="s">
        <v>20</v>
      </c>
      <c r="G837" s="4">
        <v>36788</v>
      </c>
      <c r="H837" s="3" t="s">
        <v>21</v>
      </c>
      <c r="I837" s="3" t="s">
        <v>33</v>
      </c>
      <c r="J837" s="5">
        <v>500000</v>
      </c>
      <c r="K837" s="3">
        <v>4645101</v>
      </c>
      <c r="L837" s="3" t="s">
        <v>135</v>
      </c>
      <c r="M837" s="3">
        <v>25</v>
      </c>
      <c r="N837" s="3">
        <v>1908</v>
      </c>
      <c r="O837" s="3">
        <v>1928</v>
      </c>
      <c r="P837" s="3" t="s">
        <v>3584</v>
      </c>
      <c r="Q837" s="3" t="s">
        <v>2721</v>
      </c>
      <c r="R837" s="3" t="s">
        <v>28</v>
      </c>
      <c r="S837" s="3">
        <v>13503010</v>
      </c>
      <c r="T837" s="3">
        <v>1935337000</v>
      </c>
      <c r="U837" s="3" t="s">
        <v>29</v>
      </c>
    </row>
    <row r="838" spans="1:21" ht="13.2" x14ac:dyDescent="0.25">
      <c r="A838" s="14">
        <v>5120289000104</v>
      </c>
      <c r="B838" s="15" t="str">
        <f t="shared" si="13"/>
        <v>05.120.289/0001-04</v>
      </c>
      <c r="C838" s="12"/>
      <c r="D838" s="3" t="s">
        <v>3585</v>
      </c>
      <c r="E838" s="3" t="s">
        <v>3585</v>
      </c>
      <c r="F838" s="3" t="s">
        <v>20</v>
      </c>
      <c r="G838" s="4">
        <v>37434</v>
      </c>
      <c r="H838" s="3" t="s">
        <v>21</v>
      </c>
      <c r="I838" s="3" t="s">
        <v>33</v>
      </c>
      <c r="J838" s="5">
        <v>28855072</v>
      </c>
      <c r="K838" s="3">
        <v>2869100</v>
      </c>
      <c r="L838" s="3" t="s">
        <v>1416</v>
      </c>
      <c r="M838" s="3" t="s">
        <v>3586</v>
      </c>
      <c r="N838" s="3">
        <v>8300</v>
      </c>
      <c r="O838" s="3" t="s">
        <v>3587</v>
      </c>
      <c r="P838" s="3" t="s">
        <v>153</v>
      </c>
      <c r="Q838" s="3" t="s">
        <v>423</v>
      </c>
      <c r="R838" s="3" t="s">
        <v>91</v>
      </c>
      <c r="S838" s="3">
        <v>89219600</v>
      </c>
      <c r="T838" s="3">
        <v>4738019053</v>
      </c>
      <c r="U838" s="3" t="s">
        <v>29</v>
      </c>
    </row>
    <row r="839" spans="1:21" ht="13.2" x14ac:dyDescent="0.25">
      <c r="A839" s="14">
        <v>28666000158</v>
      </c>
      <c r="B839" s="15" t="str">
        <f t="shared" si="13"/>
        <v>00.028.666/0001-58</v>
      </c>
      <c r="C839" s="12"/>
      <c r="D839" s="3" t="s">
        <v>3588</v>
      </c>
      <c r="E839" s="3" t="s">
        <v>3588</v>
      </c>
      <c r="F839" s="3" t="s">
        <v>20</v>
      </c>
      <c r="G839" s="4">
        <v>34554</v>
      </c>
      <c r="H839" s="3" t="s">
        <v>21</v>
      </c>
      <c r="I839" s="3" t="s">
        <v>33</v>
      </c>
      <c r="J839" s="5">
        <v>21152962</v>
      </c>
      <c r="K839" s="3">
        <v>4651601</v>
      </c>
      <c r="L839" s="3" t="s">
        <v>684</v>
      </c>
      <c r="M839" s="3" t="s">
        <v>308</v>
      </c>
      <c r="N839" s="3">
        <v>12901</v>
      </c>
      <c r="O839" s="3" t="s">
        <v>3589</v>
      </c>
      <c r="P839" s="3" t="s">
        <v>1397</v>
      </c>
      <c r="Q839" s="3" t="s">
        <v>27</v>
      </c>
      <c r="R839" s="3" t="s">
        <v>28</v>
      </c>
      <c r="S839" s="3">
        <v>4578910</v>
      </c>
      <c r="T839" s="3">
        <v>1126669295</v>
      </c>
      <c r="U839" s="3" t="s">
        <v>29</v>
      </c>
    </row>
    <row r="840" spans="1:21" ht="13.2" x14ac:dyDescent="0.25">
      <c r="A840" s="14">
        <v>18933677000490</v>
      </c>
      <c r="B840" s="15" t="str">
        <f t="shared" si="13"/>
        <v>18.933.677/0004-90</v>
      </c>
      <c r="C840" s="12" t="str">
        <f>VLOOKUP(B840,[1]Planilha1!$A:$B,2,0)</f>
        <v>Malu Montesino</v>
      </c>
      <c r="D840" s="3" t="s">
        <v>3590</v>
      </c>
      <c r="E840" s="3" t="s">
        <v>3591</v>
      </c>
      <c r="F840" s="3" t="s">
        <v>20</v>
      </c>
      <c r="G840" s="4">
        <v>45338</v>
      </c>
      <c r="H840" s="3" t="s">
        <v>94</v>
      </c>
      <c r="I840" s="3" t="s">
        <v>33</v>
      </c>
      <c r="J840" s="5">
        <v>7000000</v>
      </c>
      <c r="K840" s="3">
        <v>4683400</v>
      </c>
      <c r="L840" s="3" t="s">
        <v>3002</v>
      </c>
      <c r="M840" s="3" t="s">
        <v>3592</v>
      </c>
      <c r="N840" s="3" t="s">
        <v>111</v>
      </c>
      <c r="O840" s="3" t="s">
        <v>3593</v>
      </c>
      <c r="P840" s="3" t="s">
        <v>153</v>
      </c>
      <c r="Q840" s="3" t="s">
        <v>3594</v>
      </c>
      <c r="R840" s="3" t="s">
        <v>28</v>
      </c>
      <c r="S840" s="3">
        <v>13833591</v>
      </c>
      <c r="T840" s="3">
        <v>1192228846</v>
      </c>
      <c r="U840" s="3" t="s">
        <v>29</v>
      </c>
    </row>
    <row r="841" spans="1:21" ht="13.2" x14ac:dyDescent="0.25">
      <c r="A841" s="14">
        <v>1640262000183</v>
      </c>
      <c r="B841" s="15" t="str">
        <f t="shared" si="13"/>
        <v>01.640.262/0001-83</v>
      </c>
      <c r="C841" s="12"/>
      <c r="D841" s="3" t="s">
        <v>3595</v>
      </c>
      <c r="E841" s="3" t="s">
        <v>3596</v>
      </c>
      <c r="F841" s="3" t="s">
        <v>20</v>
      </c>
      <c r="G841" s="4">
        <v>35454</v>
      </c>
      <c r="H841" s="3" t="s">
        <v>21</v>
      </c>
      <c r="I841" s="3" t="s">
        <v>33</v>
      </c>
      <c r="J841" s="5">
        <v>200000</v>
      </c>
      <c r="K841" s="3">
        <v>8650099</v>
      </c>
      <c r="L841" s="3" t="s">
        <v>3597</v>
      </c>
      <c r="M841" s="3" t="s">
        <v>3598</v>
      </c>
      <c r="N841" s="3">
        <v>531</v>
      </c>
      <c r="P841" s="3" t="s">
        <v>3599</v>
      </c>
      <c r="Q841" s="3" t="s">
        <v>476</v>
      </c>
      <c r="R841" s="3" t="s">
        <v>100</v>
      </c>
      <c r="S841" s="3">
        <v>30130090</v>
      </c>
      <c r="T841" s="3">
        <v>3131156000</v>
      </c>
      <c r="U841" s="3" t="s">
        <v>29</v>
      </c>
    </row>
    <row r="842" spans="1:21" ht="13.2" x14ac:dyDescent="0.25">
      <c r="A842" s="14">
        <v>33010786000187</v>
      </c>
      <c r="B842" s="15" t="str">
        <f t="shared" si="13"/>
        <v>33.010.786/0001-87</v>
      </c>
      <c r="C842" s="12" t="str">
        <f>VLOOKUP(B842,[1]Planilha1!$A:$B,2,0)</f>
        <v>Malu Montesino</v>
      </c>
      <c r="D842" s="3" t="s">
        <v>3600</v>
      </c>
      <c r="E842" s="3" t="s">
        <v>3601</v>
      </c>
      <c r="F842" s="3" t="s">
        <v>20</v>
      </c>
      <c r="G842" s="4">
        <v>24327</v>
      </c>
      <c r="H842" s="3" t="s">
        <v>94</v>
      </c>
      <c r="I842" s="3" t="s">
        <v>33</v>
      </c>
      <c r="J842" s="5">
        <v>2025716700</v>
      </c>
      <c r="K842" s="3">
        <v>1033301</v>
      </c>
      <c r="L842" s="3" t="s">
        <v>3602</v>
      </c>
      <c r="M842" s="3" t="s">
        <v>3603</v>
      </c>
      <c r="N842" s="3">
        <v>305</v>
      </c>
      <c r="P842" s="3" t="s">
        <v>70</v>
      </c>
      <c r="Q842" s="3" t="s">
        <v>1443</v>
      </c>
      <c r="R842" s="3" t="s">
        <v>28</v>
      </c>
      <c r="S842" s="3">
        <v>15990902</v>
      </c>
      <c r="T842" s="3">
        <v>1633838500</v>
      </c>
      <c r="U842" s="3" t="s">
        <v>29</v>
      </c>
    </row>
    <row r="843" spans="1:21" ht="13.2" x14ac:dyDescent="0.25">
      <c r="A843" s="14">
        <v>37077716000105</v>
      </c>
      <c r="B843" s="15" t="str">
        <f t="shared" si="13"/>
        <v>37.077.716/0001-05</v>
      </c>
      <c r="C843" s="12"/>
      <c r="D843" s="3" t="s">
        <v>3604</v>
      </c>
      <c r="E843" s="3" t="s">
        <v>3604</v>
      </c>
      <c r="F843" s="3" t="s">
        <v>20</v>
      </c>
      <c r="G843" s="4">
        <v>33576</v>
      </c>
      <c r="H843" s="3" t="s">
        <v>21</v>
      </c>
      <c r="I843" s="3" t="s">
        <v>33</v>
      </c>
      <c r="J843" s="5">
        <v>800000</v>
      </c>
      <c r="K843" s="3">
        <v>8011101</v>
      </c>
      <c r="L843" s="3" t="s">
        <v>943</v>
      </c>
      <c r="M843" s="3" t="s">
        <v>3605</v>
      </c>
      <c r="N843" s="3">
        <v>14</v>
      </c>
      <c r="P843" s="3" t="s">
        <v>3606</v>
      </c>
      <c r="Q843" s="3" t="s">
        <v>631</v>
      </c>
      <c r="R843" s="3" t="s">
        <v>632</v>
      </c>
      <c r="S843" s="3">
        <v>71250730</v>
      </c>
      <c r="T843" s="3">
        <v>6130223501</v>
      </c>
      <c r="U843" s="3" t="s">
        <v>29</v>
      </c>
    </row>
    <row r="844" spans="1:21" ht="13.2" x14ac:dyDescent="0.25">
      <c r="A844" s="14">
        <v>19009885000703</v>
      </c>
      <c r="B844" s="15" t="str">
        <f t="shared" si="13"/>
        <v>19.009.885/0007-03</v>
      </c>
      <c r="C844" s="12"/>
      <c r="D844" s="3" t="s">
        <v>3607</v>
      </c>
      <c r="E844" s="3" t="s">
        <v>3607</v>
      </c>
      <c r="F844" s="3" t="s">
        <v>31</v>
      </c>
      <c r="G844" s="4">
        <v>36686</v>
      </c>
      <c r="H844" s="3" t="s">
        <v>21</v>
      </c>
      <c r="I844" s="3" t="s">
        <v>33</v>
      </c>
      <c r="J844" s="5">
        <v>8000000</v>
      </c>
      <c r="K844" s="3">
        <v>8011101</v>
      </c>
      <c r="L844" s="3" t="s">
        <v>943</v>
      </c>
      <c r="M844" s="3" t="s">
        <v>3608</v>
      </c>
      <c r="N844" s="3">
        <v>120</v>
      </c>
      <c r="P844" s="3" t="s">
        <v>137</v>
      </c>
      <c r="Q844" s="3" t="s">
        <v>27</v>
      </c>
      <c r="R844" s="3" t="s">
        <v>28</v>
      </c>
      <c r="S844" s="3">
        <v>5002070</v>
      </c>
      <c r="T844" s="3">
        <v>3221018488</v>
      </c>
      <c r="U844" s="3" t="s">
        <v>29</v>
      </c>
    </row>
    <row r="845" spans="1:21" ht="13.2" x14ac:dyDescent="0.25">
      <c r="A845" s="14">
        <v>13441051000281</v>
      </c>
      <c r="B845" s="15" t="str">
        <f t="shared" si="13"/>
        <v>13.441.051/0002-81</v>
      </c>
      <c r="C845" s="12"/>
      <c r="D845" s="3" t="s">
        <v>3609</v>
      </c>
      <c r="E845" s="3" t="s">
        <v>3610</v>
      </c>
      <c r="F845" s="3" t="s">
        <v>20</v>
      </c>
      <c r="G845" s="4">
        <v>41038</v>
      </c>
      <c r="H845" s="3" t="s">
        <v>21</v>
      </c>
      <c r="I845" s="3" t="s">
        <v>22</v>
      </c>
      <c r="J845" s="5">
        <v>200000</v>
      </c>
      <c r="K845" s="3">
        <v>4639701</v>
      </c>
      <c r="L845" s="3" t="s">
        <v>3611</v>
      </c>
      <c r="M845" s="3" t="s">
        <v>3612</v>
      </c>
      <c r="N845" s="3">
        <v>145</v>
      </c>
      <c r="P845" s="3" t="s">
        <v>3613</v>
      </c>
      <c r="Q845" s="3" t="s">
        <v>1339</v>
      </c>
      <c r="R845" s="3" t="s">
        <v>456</v>
      </c>
      <c r="S845" s="3">
        <v>52061030</v>
      </c>
      <c r="T845" s="3">
        <v>8130310180</v>
      </c>
      <c r="U845" s="3" t="s">
        <v>29</v>
      </c>
    </row>
    <row r="846" spans="1:21" ht="13.2" x14ac:dyDescent="0.25">
      <c r="A846" s="14">
        <v>31452113000151</v>
      </c>
      <c r="B846" s="15" t="str">
        <f t="shared" si="13"/>
        <v>31.452.113/0001-51</v>
      </c>
      <c r="C846" s="12"/>
      <c r="D846" s="3" t="s">
        <v>3614</v>
      </c>
      <c r="E846" s="3" t="s">
        <v>3614</v>
      </c>
      <c r="F846" s="3" t="s">
        <v>20</v>
      </c>
      <c r="G846" s="4">
        <v>24148</v>
      </c>
      <c r="H846" s="3" t="s">
        <v>21</v>
      </c>
      <c r="I846" s="3" t="s">
        <v>33</v>
      </c>
      <c r="J846" s="5">
        <v>184862980</v>
      </c>
      <c r="K846" s="3">
        <v>2029100</v>
      </c>
      <c r="L846" s="3" t="s">
        <v>3615</v>
      </c>
      <c r="M846" s="3" t="s">
        <v>1448</v>
      </c>
      <c r="N846" s="3">
        <v>691</v>
      </c>
      <c r="O846" s="3" t="s">
        <v>3616</v>
      </c>
      <c r="P846" s="3" t="s">
        <v>1450</v>
      </c>
      <c r="Q846" s="3" t="s">
        <v>27</v>
      </c>
      <c r="R846" s="3" t="s">
        <v>28</v>
      </c>
      <c r="S846" s="3">
        <v>4730903</v>
      </c>
      <c r="T846" s="3">
        <v>1156837536</v>
      </c>
      <c r="U846" s="3" t="s">
        <v>29</v>
      </c>
    </row>
    <row r="847" spans="1:21" ht="13.2" x14ac:dyDescent="0.25">
      <c r="A847" s="14">
        <v>33033101000118</v>
      </c>
      <c r="B847" s="15" t="str">
        <f t="shared" si="13"/>
        <v>33.033.101/0001-18</v>
      </c>
      <c r="C847" s="12"/>
      <c r="D847" s="3" t="s">
        <v>3617</v>
      </c>
      <c r="E847" s="3" t="s">
        <v>3617</v>
      </c>
      <c r="F847" s="3" t="s">
        <v>20</v>
      </c>
      <c r="G847" s="4">
        <v>26654</v>
      </c>
      <c r="H847" s="3" t="s">
        <v>21</v>
      </c>
      <c r="I847" s="3" t="s">
        <v>33</v>
      </c>
      <c r="J847" s="5">
        <v>1647686</v>
      </c>
      <c r="K847" s="3">
        <v>7740300</v>
      </c>
      <c r="L847" s="3" t="s">
        <v>3618</v>
      </c>
      <c r="M847" s="3" t="s">
        <v>2980</v>
      </c>
      <c r="N847" s="3">
        <v>65</v>
      </c>
      <c r="O847" s="3" t="s">
        <v>3619</v>
      </c>
      <c r="P847" s="3" t="s">
        <v>70</v>
      </c>
      <c r="Q847" s="3" t="s">
        <v>253</v>
      </c>
      <c r="R847" s="3" t="s">
        <v>78</v>
      </c>
      <c r="S847" s="3">
        <v>20031040</v>
      </c>
      <c r="T847" s="3">
        <v>2125061697</v>
      </c>
      <c r="U847" s="3" t="s">
        <v>29</v>
      </c>
    </row>
    <row r="848" spans="1:21" ht="13.2" x14ac:dyDescent="0.25">
      <c r="A848" s="14">
        <v>40432544000147</v>
      </c>
      <c r="B848" s="15" t="str">
        <f t="shared" si="13"/>
        <v>40.432.544/0001-47</v>
      </c>
      <c r="C848" s="12"/>
      <c r="D848" s="3" t="s">
        <v>3620</v>
      </c>
      <c r="E848" s="3" t="s">
        <v>3621</v>
      </c>
      <c r="F848" s="3" t="s">
        <v>20</v>
      </c>
      <c r="G848" s="4">
        <v>33717</v>
      </c>
      <c r="H848" s="3" t="s">
        <v>94</v>
      </c>
      <c r="I848" s="3" t="s">
        <v>33</v>
      </c>
      <c r="J848" s="5">
        <v>18694396000</v>
      </c>
      <c r="K848" s="3">
        <v>6120501</v>
      </c>
      <c r="L848" s="3" t="s">
        <v>3622</v>
      </c>
      <c r="M848" s="3" t="s">
        <v>3623</v>
      </c>
      <c r="N848" s="3">
        <v>780</v>
      </c>
      <c r="O848" s="3" t="s">
        <v>3624</v>
      </c>
      <c r="P848" s="3" t="s">
        <v>241</v>
      </c>
      <c r="Q848" s="3" t="s">
        <v>27</v>
      </c>
      <c r="R848" s="3" t="s">
        <v>28</v>
      </c>
      <c r="S848" s="3">
        <v>4709110</v>
      </c>
      <c r="T848" s="3">
        <v>1143134620</v>
      </c>
      <c r="U848" s="3" t="s">
        <v>29</v>
      </c>
    </row>
    <row r="849" spans="1:21" ht="13.2" x14ac:dyDescent="0.25">
      <c r="A849" s="14">
        <v>41123648000132</v>
      </c>
      <c r="B849" s="15" t="str">
        <f t="shared" si="13"/>
        <v>41.123.648/0001-32</v>
      </c>
      <c r="C849" s="12"/>
      <c r="D849" s="3" t="s">
        <v>3625</v>
      </c>
      <c r="E849" s="3" t="s">
        <v>3625</v>
      </c>
      <c r="F849" s="3" t="s">
        <v>20</v>
      </c>
      <c r="G849" s="4">
        <v>44262</v>
      </c>
      <c r="H849" s="3" t="s">
        <v>46</v>
      </c>
      <c r="I849" s="3" t="s">
        <v>47</v>
      </c>
      <c r="J849" s="5">
        <v>1</v>
      </c>
      <c r="K849" s="3">
        <v>8129000</v>
      </c>
      <c r="L849" s="3" t="s">
        <v>3626</v>
      </c>
      <c r="M849" s="3" t="s">
        <v>3627</v>
      </c>
      <c r="N849" s="3">
        <v>359</v>
      </c>
      <c r="P849" s="3" t="s">
        <v>3628</v>
      </c>
      <c r="Q849" s="3" t="s">
        <v>443</v>
      </c>
      <c r="R849" s="3" t="s">
        <v>28</v>
      </c>
      <c r="S849" s="3">
        <v>17523440</v>
      </c>
      <c r="T849" s="3">
        <v>1434177943</v>
      </c>
      <c r="U849" s="3" t="s">
        <v>29</v>
      </c>
    </row>
    <row r="850" spans="1:21" ht="13.2" x14ac:dyDescent="0.25">
      <c r="A850" s="14">
        <v>13890656000179</v>
      </c>
      <c r="B850" s="15" t="str">
        <f t="shared" si="13"/>
        <v>13.890.656/0001-79</v>
      </c>
      <c r="C850" s="12" t="str">
        <f>VLOOKUP(B850,[1]Planilha1!$A:$B,2,0)</f>
        <v>Malu Montesino</v>
      </c>
      <c r="D850" s="3" t="s">
        <v>3629</v>
      </c>
      <c r="E850" s="3" t="s">
        <v>3629</v>
      </c>
      <c r="F850" s="3" t="s">
        <v>20</v>
      </c>
      <c r="G850" s="4">
        <v>40724</v>
      </c>
      <c r="H850" s="3" t="s">
        <v>21</v>
      </c>
      <c r="I850" s="3" t="s">
        <v>33</v>
      </c>
      <c r="J850" s="5">
        <v>6000000</v>
      </c>
      <c r="K850" s="3">
        <v>4649401</v>
      </c>
      <c r="L850" s="3" t="s">
        <v>2257</v>
      </c>
      <c r="M850" s="3" t="s">
        <v>3630</v>
      </c>
      <c r="N850" s="3">
        <v>280</v>
      </c>
      <c r="P850" s="3" t="s">
        <v>1983</v>
      </c>
      <c r="Q850" s="3" t="s">
        <v>90</v>
      </c>
      <c r="R850" s="3" t="s">
        <v>91</v>
      </c>
      <c r="S850" s="3">
        <v>89254620</v>
      </c>
      <c r="T850" s="3">
        <v>4732730101</v>
      </c>
      <c r="U850" s="3" t="s">
        <v>29</v>
      </c>
    </row>
    <row r="851" spans="1:21" ht="13.2" x14ac:dyDescent="0.25">
      <c r="A851" s="14">
        <v>55996615000101</v>
      </c>
      <c r="B851" s="15" t="str">
        <f t="shared" si="13"/>
        <v>55.996.615/0001-01</v>
      </c>
      <c r="C851" s="12" t="str">
        <f>VLOOKUP(B851,[1]Planilha1!$A:$B,2,0)</f>
        <v>Mariane Nascimento</v>
      </c>
      <c r="D851" s="3" t="s">
        <v>3631</v>
      </c>
      <c r="E851" s="3" t="s">
        <v>3631</v>
      </c>
      <c r="F851" s="3" t="s">
        <v>20</v>
      </c>
      <c r="G851" s="4">
        <v>31596</v>
      </c>
      <c r="H851" s="3" t="s">
        <v>21</v>
      </c>
      <c r="I851" s="3" t="s">
        <v>33</v>
      </c>
      <c r="J851" s="5">
        <v>494000000</v>
      </c>
      <c r="K851" s="3">
        <v>4120400</v>
      </c>
      <c r="L851" s="3" t="s">
        <v>87</v>
      </c>
      <c r="M851" s="3" t="s">
        <v>3632</v>
      </c>
      <c r="N851" s="3">
        <v>240</v>
      </c>
      <c r="O851" s="3" t="s">
        <v>3633</v>
      </c>
      <c r="P851" s="3" t="s">
        <v>3634</v>
      </c>
      <c r="Q851" s="3" t="s">
        <v>217</v>
      </c>
      <c r="R851" s="3" t="s">
        <v>28</v>
      </c>
      <c r="S851" s="3">
        <v>9770271</v>
      </c>
      <c r="T851" s="3">
        <v>1143322828</v>
      </c>
      <c r="U851" s="3" t="s">
        <v>29</v>
      </c>
    </row>
    <row r="852" spans="1:21" ht="13.2" x14ac:dyDescent="0.25">
      <c r="A852" s="14">
        <v>58245994000196</v>
      </c>
      <c r="B852" s="15" t="str">
        <f t="shared" si="13"/>
        <v>58.245.994/0001-96</v>
      </c>
      <c r="C852" s="12"/>
      <c r="D852" s="3" t="s">
        <v>3635</v>
      </c>
      <c r="E852" s="3" t="s">
        <v>3635</v>
      </c>
      <c r="F852" s="3" t="s">
        <v>20</v>
      </c>
      <c r="G852" s="4">
        <v>32091</v>
      </c>
      <c r="H852" s="3" t="s">
        <v>21</v>
      </c>
      <c r="I852" s="3" t="s">
        <v>33</v>
      </c>
      <c r="J852" s="5">
        <v>500000</v>
      </c>
      <c r="K852" s="3">
        <v>8129000</v>
      </c>
      <c r="L852" s="3" t="s">
        <v>3626</v>
      </c>
      <c r="M852" s="3" t="s">
        <v>3636</v>
      </c>
      <c r="N852" s="3">
        <v>1150</v>
      </c>
      <c r="P852" s="3" t="s">
        <v>3637</v>
      </c>
      <c r="Q852" s="3" t="s">
        <v>3193</v>
      </c>
      <c r="R852" s="3" t="s">
        <v>28</v>
      </c>
      <c r="S852" s="3">
        <v>8750560</v>
      </c>
      <c r="T852" s="3">
        <v>1146745074</v>
      </c>
      <c r="U852" s="3" t="s">
        <v>29</v>
      </c>
    </row>
    <row r="853" spans="1:21" ht="13.2" x14ac:dyDescent="0.25">
      <c r="A853" s="14">
        <v>11957593000103</v>
      </c>
      <c r="B853" s="15" t="str">
        <f t="shared" si="13"/>
        <v>11.957.593/0001-03</v>
      </c>
      <c r="C853" s="12" t="str">
        <f>VLOOKUP(B853,[1]Planilha1!$A:$B,2,0)</f>
        <v>Malu Montesino</v>
      </c>
      <c r="D853" s="3" t="s">
        <v>3638</v>
      </c>
      <c r="E853" s="3" t="s">
        <v>3638</v>
      </c>
      <c r="F853" s="3" t="s">
        <v>20</v>
      </c>
      <c r="G853" s="4">
        <v>40304</v>
      </c>
      <c r="H853" s="3" t="s">
        <v>94</v>
      </c>
      <c r="I853" s="3" t="s">
        <v>33</v>
      </c>
      <c r="J853" s="5">
        <v>35575864</v>
      </c>
      <c r="K853" s="3">
        <v>7739002</v>
      </c>
      <c r="L853" s="3" t="s">
        <v>3639</v>
      </c>
      <c r="M853" s="3" t="s">
        <v>3640</v>
      </c>
      <c r="N853" s="3">
        <v>543</v>
      </c>
      <c r="O853" s="3" t="s">
        <v>3641</v>
      </c>
      <c r="P853" s="3" t="s">
        <v>3642</v>
      </c>
      <c r="Q853" s="3" t="s">
        <v>27</v>
      </c>
      <c r="R853" s="3" t="s">
        <v>28</v>
      </c>
      <c r="S853" s="3">
        <v>4383050</v>
      </c>
      <c r="T853" s="3">
        <v>1150180044</v>
      </c>
      <c r="U853" s="3" t="s">
        <v>29</v>
      </c>
    </row>
    <row r="854" spans="1:21" ht="13.2" x14ac:dyDescent="0.25">
      <c r="A854" s="14">
        <v>19428087000120</v>
      </c>
      <c r="B854" s="15" t="str">
        <f t="shared" si="13"/>
        <v>19.428.087/0001-20</v>
      </c>
      <c r="C854" s="12" t="str">
        <f>VLOOKUP(B854,[1]Planilha1!$A:$B,2,0)</f>
        <v>Malu Montesino</v>
      </c>
      <c r="D854" s="3" t="s">
        <v>3643</v>
      </c>
      <c r="E854" s="3" t="s">
        <v>3643</v>
      </c>
      <c r="F854" s="3" t="s">
        <v>20</v>
      </c>
      <c r="G854" s="4">
        <v>41626</v>
      </c>
      <c r="H854" s="3" t="s">
        <v>21</v>
      </c>
      <c r="I854" s="3" t="s">
        <v>33</v>
      </c>
      <c r="J854" s="5">
        <v>2500000</v>
      </c>
      <c r="K854" s="3">
        <v>8121400</v>
      </c>
      <c r="L854" s="3" t="s">
        <v>494</v>
      </c>
      <c r="M854" s="3" t="s">
        <v>3644</v>
      </c>
      <c r="N854" s="3">
        <v>708</v>
      </c>
      <c r="P854" s="3" t="s">
        <v>2326</v>
      </c>
      <c r="Q854" s="3" t="s">
        <v>27</v>
      </c>
      <c r="R854" s="3" t="s">
        <v>28</v>
      </c>
      <c r="S854" s="3">
        <v>4773010</v>
      </c>
      <c r="T854" s="3">
        <v>1125011033</v>
      </c>
      <c r="U854" s="3" t="s">
        <v>29</v>
      </c>
    </row>
    <row r="855" spans="1:21" ht="13.2" x14ac:dyDescent="0.25">
      <c r="A855" s="14">
        <v>18881431000170</v>
      </c>
      <c r="B855" s="15" t="str">
        <f t="shared" si="13"/>
        <v>18.881.431/0001-70</v>
      </c>
      <c r="C855" s="12"/>
      <c r="D855" s="3" t="s">
        <v>3645</v>
      </c>
      <c r="E855" s="3" t="s">
        <v>3646</v>
      </c>
      <c r="F855" s="3" t="s">
        <v>20</v>
      </c>
      <c r="G855" s="4">
        <v>41533</v>
      </c>
      <c r="H855" s="3" t="s">
        <v>21</v>
      </c>
      <c r="I855" s="3" t="s">
        <v>47</v>
      </c>
      <c r="J855" s="5">
        <v>50000</v>
      </c>
      <c r="K855" s="3">
        <v>7740300</v>
      </c>
      <c r="L855" s="3" t="s">
        <v>3618</v>
      </c>
      <c r="M855" s="3" t="s">
        <v>543</v>
      </c>
      <c r="N855" s="3">
        <v>5157</v>
      </c>
      <c r="O855" s="3" t="s">
        <v>3647</v>
      </c>
      <c r="P855" s="3" t="s">
        <v>3648</v>
      </c>
      <c r="Q855" s="3" t="s">
        <v>148</v>
      </c>
      <c r="R855" s="3" t="s">
        <v>28</v>
      </c>
      <c r="S855" s="3">
        <v>15090000</v>
      </c>
      <c r="T855" s="3">
        <v>1123110381</v>
      </c>
      <c r="U855" s="3" t="s">
        <v>29</v>
      </c>
    </row>
    <row r="856" spans="1:21" ht="13.2" x14ac:dyDescent="0.25">
      <c r="A856" s="14">
        <v>3802115000198</v>
      </c>
      <c r="B856" s="15" t="str">
        <f t="shared" si="13"/>
        <v>03.802.115/0001-98</v>
      </c>
      <c r="C856" s="12"/>
      <c r="D856" s="3" t="s">
        <v>3649</v>
      </c>
      <c r="E856" s="3" t="s">
        <v>3649</v>
      </c>
      <c r="F856" s="3" t="s">
        <v>20</v>
      </c>
      <c r="G856" s="4">
        <v>36640</v>
      </c>
      <c r="H856" s="3" t="s">
        <v>94</v>
      </c>
      <c r="I856" s="3" t="s">
        <v>33</v>
      </c>
      <c r="J856" s="5">
        <v>819218750</v>
      </c>
      <c r="K856" s="3">
        <v>6202300</v>
      </c>
      <c r="L856" s="3" t="s">
        <v>103</v>
      </c>
      <c r="M856" s="3" t="s">
        <v>906</v>
      </c>
      <c r="N856" s="3">
        <v>939</v>
      </c>
      <c r="O856" s="3" t="s">
        <v>3650</v>
      </c>
      <c r="P856" s="3" t="s">
        <v>616</v>
      </c>
      <c r="Q856" s="3" t="s">
        <v>617</v>
      </c>
      <c r="R856" s="3" t="s">
        <v>28</v>
      </c>
      <c r="S856" s="3">
        <v>6460040</v>
      </c>
      <c r="T856" s="3">
        <v>1137288788</v>
      </c>
      <c r="U856" s="3" t="s">
        <v>29</v>
      </c>
    </row>
    <row r="857" spans="1:21" ht="13.2" x14ac:dyDescent="0.25">
      <c r="A857" s="14">
        <v>25244508000166</v>
      </c>
      <c r="B857" s="15" t="str">
        <f t="shared" si="13"/>
        <v>25.244.508/0001-66</v>
      </c>
      <c r="C857" s="12"/>
      <c r="D857" s="3" t="s">
        <v>3651</v>
      </c>
      <c r="E857" s="3" t="s">
        <v>3651</v>
      </c>
      <c r="F857" s="3" t="s">
        <v>45</v>
      </c>
      <c r="G857" s="4">
        <v>42571</v>
      </c>
      <c r="H857" s="3" t="s">
        <v>46</v>
      </c>
      <c r="I857" s="3" t="s">
        <v>47</v>
      </c>
      <c r="J857" s="5">
        <v>3000</v>
      </c>
      <c r="K857" s="3">
        <v>8230001</v>
      </c>
      <c r="L857" s="3" t="s">
        <v>2141</v>
      </c>
      <c r="M857" s="3" t="s">
        <v>1759</v>
      </c>
      <c r="N857" s="3">
        <v>540</v>
      </c>
      <c r="P857" s="3" t="s">
        <v>1760</v>
      </c>
      <c r="Q857" s="3" t="s">
        <v>262</v>
      </c>
      <c r="R857" s="3" t="s">
        <v>28</v>
      </c>
      <c r="S857" s="3">
        <v>6086045</v>
      </c>
      <c r="T857" s="3">
        <v>1196169091</v>
      </c>
      <c r="U857" s="3" t="s">
        <v>29</v>
      </c>
    </row>
    <row r="858" spans="1:21" ht="13.2" x14ac:dyDescent="0.25">
      <c r="A858" s="14">
        <v>18707234000139</v>
      </c>
      <c r="B858" s="15" t="str">
        <f t="shared" si="13"/>
        <v>18.707.234/0001-39</v>
      </c>
      <c r="C858" s="12"/>
      <c r="D858" s="3" t="s">
        <v>3652</v>
      </c>
      <c r="E858" s="3" t="s">
        <v>3653</v>
      </c>
      <c r="F858" s="3" t="s">
        <v>20</v>
      </c>
      <c r="G858" s="4">
        <v>41505</v>
      </c>
      <c r="H858" s="3" t="s">
        <v>21</v>
      </c>
      <c r="I858" s="3" t="s">
        <v>22</v>
      </c>
      <c r="J858" s="5">
        <v>500000</v>
      </c>
      <c r="K858" s="3">
        <v>4530703</v>
      </c>
      <c r="L858" s="3" t="s">
        <v>768</v>
      </c>
      <c r="M858" s="3" t="s">
        <v>3654</v>
      </c>
      <c r="N858" s="3">
        <v>138</v>
      </c>
      <c r="P858" s="3" t="s">
        <v>3655</v>
      </c>
      <c r="Q858" s="3" t="s">
        <v>27</v>
      </c>
      <c r="R858" s="3" t="s">
        <v>28</v>
      </c>
      <c r="S858" s="3">
        <v>2863040</v>
      </c>
      <c r="T858" s="3">
        <v>1136433616</v>
      </c>
      <c r="U858" s="3" t="s">
        <v>29</v>
      </c>
    </row>
    <row r="859" spans="1:21" ht="13.2" x14ac:dyDescent="0.25">
      <c r="A859" s="14">
        <v>7316445000124</v>
      </c>
      <c r="B859" s="15" t="str">
        <f t="shared" si="13"/>
        <v>07.316.445/0001-24</v>
      </c>
      <c r="C859" s="12"/>
      <c r="D859" s="3" t="s">
        <v>3656</v>
      </c>
      <c r="E859" s="3" t="s">
        <v>3656</v>
      </c>
      <c r="F859" s="3" t="s">
        <v>20</v>
      </c>
      <c r="G859" s="4">
        <v>38443</v>
      </c>
      <c r="H859" s="3" t="s">
        <v>21</v>
      </c>
      <c r="I859" s="3" t="s">
        <v>47</v>
      </c>
      <c r="J859" s="5">
        <v>100000</v>
      </c>
      <c r="K859" s="3">
        <v>2219600</v>
      </c>
      <c r="L859" s="3" t="s">
        <v>613</v>
      </c>
      <c r="M859" s="3" t="s">
        <v>3657</v>
      </c>
      <c r="N859" s="3">
        <v>320</v>
      </c>
      <c r="P859" s="3" t="s">
        <v>1977</v>
      </c>
      <c r="Q859" s="3" t="s">
        <v>3658</v>
      </c>
      <c r="R859" s="3" t="s">
        <v>28</v>
      </c>
      <c r="S859" s="3">
        <v>13517492</v>
      </c>
      <c r="T859" s="3">
        <v>1992072885</v>
      </c>
      <c r="U859" s="3" t="s">
        <v>29</v>
      </c>
    </row>
    <row r="860" spans="1:21" ht="13.2" x14ac:dyDescent="0.25">
      <c r="A860" s="14">
        <v>12774226000129</v>
      </c>
      <c r="B860" s="15" t="str">
        <f t="shared" si="13"/>
        <v>12.774.226/0001-29</v>
      </c>
      <c r="C860" s="12"/>
      <c r="D860" s="3" t="s">
        <v>3659</v>
      </c>
      <c r="E860" s="3" t="s">
        <v>3660</v>
      </c>
      <c r="F860" s="3" t="s">
        <v>45</v>
      </c>
      <c r="G860" s="4">
        <v>40381</v>
      </c>
      <c r="H860" s="3" t="s">
        <v>1329</v>
      </c>
      <c r="I860" s="3" t="s">
        <v>22</v>
      </c>
      <c r="J860" s="5">
        <v>257238</v>
      </c>
      <c r="K860" s="3">
        <v>8219999</v>
      </c>
      <c r="L860" s="3" t="s">
        <v>121</v>
      </c>
      <c r="M860" s="3" t="s">
        <v>3661</v>
      </c>
      <c r="N860" s="3">
        <v>71</v>
      </c>
      <c r="P860" s="3" t="s">
        <v>3662</v>
      </c>
      <c r="Q860" s="3" t="s">
        <v>217</v>
      </c>
      <c r="R860" s="3" t="s">
        <v>28</v>
      </c>
      <c r="S860" s="3">
        <v>9892370</v>
      </c>
      <c r="T860" s="3">
        <v>1143654948</v>
      </c>
      <c r="U860" s="3" t="s">
        <v>29</v>
      </c>
    </row>
    <row r="861" spans="1:21" ht="13.2" x14ac:dyDescent="0.25">
      <c r="A861" s="14">
        <v>92458413000132</v>
      </c>
      <c r="B861" s="15" t="str">
        <f t="shared" si="13"/>
        <v>92.458.413/0001-32</v>
      </c>
      <c r="C861" s="12"/>
      <c r="D861" s="3" t="s">
        <v>3663</v>
      </c>
      <c r="E861" s="3" t="s">
        <v>3664</v>
      </c>
      <c r="F861" s="3" t="s">
        <v>20</v>
      </c>
      <c r="G861" s="4">
        <v>32741</v>
      </c>
      <c r="H861" s="3" t="s">
        <v>21</v>
      </c>
      <c r="I861" s="3" t="s">
        <v>33</v>
      </c>
      <c r="J861" s="5">
        <v>500000</v>
      </c>
      <c r="K861" s="3">
        <v>8640299</v>
      </c>
      <c r="L861" s="3" t="s">
        <v>1789</v>
      </c>
      <c r="M861" s="3" t="s">
        <v>3391</v>
      </c>
      <c r="N861" s="3">
        <v>2291</v>
      </c>
      <c r="P861" s="3" t="s">
        <v>70</v>
      </c>
      <c r="Q861" s="3" t="s">
        <v>748</v>
      </c>
      <c r="R861" s="3" t="s">
        <v>53</v>
      </c>
      <c r="S861" s="3">
        <v>97015513</v>
      </c>
      <c r="T861" s="3">
        <v>5521033090</v>
      </c>
      <c r="U861" s="3" t="s">
        <v>29</v>
      </c>
    </row>
    <row r="862" spans="1:21" ht="13.2" x14ac:dyDescent="0.25">
      <c r="A862" s="14">
        <v>24146202000104</v>
      </c>
      <c r="B862" s="15" t="str">
        <f t="shared" si="13"/>
        <v>24.146.202/0001-04</v>
      </c>
      <c r="C862" s="12"/>
      <c r="D862" s="3" t="s">
        <v>3665</v>
      </c>
      <c r="E862" s="3" t="s">
        <v>3666</v>
      </c>
      <c r="F862" s="3" t="s">
        <v>20</v>
      </c>
      <c r="G862" s="4">
        <v>42396</v>
      </c>
      <c r="H862" s="3" t="s">
        <v>21</v>
      </c>
      <c r="I862" s="3" t="s">
        <v>33</v>
      </c>
      <c r="J862" s="5">
        <v>10000</v>
      </c>
      <c r="K862" s="3">
        <v>6920601</v>
      </c>
      <c r="L862" s="3" t="s">
        <v>1507</v>
      </c>
      <c r="M862" s="3" t="s">
        <v>3667</v>
      </c>
      <c r="N862" s="3">
        <v>122</v>
      </c>
      <c r="P862" s="3" t="s">
        <v>3668</v>
      </c>
      <c r="Q862" s="3" t="s">
        <v>27</v>
      </c>
      <c r="R862" s="3" t="s">
        <v>28</v>
      </c>
      <c r="S862" s="3">
        <v>5060020</v>
      </c>
      <c r="T862" s="3">
        <v>1136435600</v>
      </c>
      <c r="U862" s="3" t="s">
        <v>29</v>
      </c>
    </row>
    <row r="863" spans="1:21" ht="13.2" x14ac:dyDescent="0.25">
      <c r="A863" s="14">
        <v>17217977000168</v>
      </c>
      <c r="B863" s="15" t="str">
        <f t="shared" si="13"/>
        <v>17.217.977/0001-68</v>
      </c>
      <c r="C863" s="12"/>
      <c r="D863" s="3" t="s">
        <v>3669</v>
      </c>
      <c r="E863" s="3" t="s">
        <v>3670</v>
      </c>
      <c r="F863" s="3" t="s">
        <v>20</v>
      </c>
      <c r="G863" s="4">
        <v>24441</v>
      </c>
      <c r="H863" s="3" t="s">
        <v>244</v>
      </c>
      <c r="I863" s="3" t="s">
        <v>33</v>
      </c>
      <c r="J863" s="5">
        <v>0</v>
      </c>
      <c r="K863" s="3">
        <v>9312300</v>
      </c>
      <c r="L863" s="3" t="s">
        <v>3671</v>
      </c>
      <c r="M863" s="3" t="s">
        <v>3672</v>
      </c>
      <c r="N863" s="3">
        <v>1516</v>
      </c>
      <c r="P863" s="3" t="s">
        <v>3673</v>
      </c>
      <c r="Q863" s="3" t="s">
        <v>476</v>
      </c>
      <c r="R863" s="3" t="s">
        <v>100</v>
      </c>
      <c r="S863" s="3">
        <v>30180111</v>
      </c>
      <c r="U863" s="3" t="s">
        <v>29</v>
      </c>
    </row>
    <row r="864" spans="1:21" ht="13.2" x14ac:dyDescent="0.25">
      <c r="A864" s="14">
        <v>81887838000140</v>
      </c>
      <c r="B864" s="15" t="str">
        <f t="shared" si="13"/>
        <v>81.887.838/0001-40</v>
      </c>
      <c r="C864" s="12"/>
      <c r="D864" s="3" t="s">
        <v>3674</v>
      </c>
      <c r="E864" s="3" t="s">
        <v>3674</v>
      </c>
      <c r="F864" s="3" t="s">
        <v>45</v>
      </c>
      <c r="G864" s="4">
        <v>32960</v>
      </c>
      <c r="H864" s="3" t="s">
        <v>94</v>
      </c>
      <c r="I864" s="3" t="s">
        <v>33</v>
      </c>
      <c r="J864" s="5">
        <v>255843790</v>
      </c>
      <c r="K864" s="3">
        <v>4644301</v>
      </c>
      <c r="L864" s="3" t="s">
        <v>326</v>
      </c>
      <c r="M864" s="3" t="s">
        <v>3675</v>
      </c>
      <c r="N864" s="3">
        <v>127</v>
      </c>
      <c r="O864" s="3" t="s">
        <v>3676</v>
      </c>
      <c r="P864" s="3" t="s">
        <v>306</v>
      </c>
      <c r="Q864" s="3" t="s">
        <v>27</v>
      </c>
      <c r="R864" s="3" t="s">
        <v>28</v>
      </c>
      <c r="S864" s="3">
        <v>4719030</v>
      </c>
      <c r="T864" s="3">
        <v>1135723500</v>
      </c>
      <c r="U864" s="3" t="s">
        <v>29</v>
      </c>
    </row>
    <row r="865" spans="1:21" ht="13.2" x14ac:dyDescent="0.25">
      <c r="A865" s="14">
        <v>68948652000196</v>
      </c>
      <c r="B865" s="15" t="str">
        <f t="shared" si="13"/>
        <v>68.948.652/0001-96</v>
      </c>
      <c r="C865" s="12"/>
      <c r="D865" s="3" t="s">
        <v>3677</v>
      </c>
      <c r="E865" s="3" t="s">
        <v>3678</v>
      </c>
      <c r="F865" s="3" t="s">
        <v>31</v>
      </c>
      <c r="G865" s="4">
        <v>33891</v>
      </c>
      <c r="H865" s="3" t="s">
        <v>46</v>
      </c>
      <c r="I865" s="3" t="s">
        <v>33</v>
      </c>
      <c r="J865" s="5">
        <v>10000</v>
      </c>
      <c r="K865" s="3">
        <v>9003500</v>
      </c>
      <c r="L865" s="3" t="s">
        <v>3679</v>
      </c>
      <c r="M865" s="3" t="s">
        <v>3680</v>
      </c>
      <c r="N865" s="3">
        <v>160</v>
      </c>
      <c r="O865" s="3" t="s">
        <v>3681</v>
      </c>
      <c r="P865" s="3" t="s">
        <v>3648</v>
      </c>
      <c r="Q865" s="3" t="s">
        <v>1915</v>
      </c>
      <c r="R865" s="3" t="s">
        <v>28</v>
      </c>
      <c r="S865" s="3">
        <v>13224360</v>
      </c>
      <c r="T865" s="3">
        <v>1146061468</v>
      </c>
      <c r="U865" s="3" t="s">
        <v>29</v>
      </c>
    </row>
    <row r="866" spans="1:21" ht="13.2" x14ac:dyDescent="0.25">
      <c r="A866" s="14">
        <v>18244356000136</v>
      </c>
      <c r="B866" s="15" t="str">
        <f t="shared" si="13"/>
        <v>18.244.356/0001-36</v>
      </c>
      <c r="C866" s="12"/>
      <c r="D866" s="3" t="s">
        <v>3682</v>
      </c>
      <c r="E866" s="3" t="s">
        <v>3683</v>
      </c>
      <c r="F866" s="3" t="s">
        <v>20</v>
      </c>
      <c r="G866" s="4">
        <v>41430</v>
      </c>
      <c r="H866" s="3" t="s">
        <v>21</v>
      </c>
      <c r="I866" s="3" t="s">
        <v>22</v>
      </c>
      <c r="J866" s="5">
        <v>200000</v>
      </c>
      <c r="K866" s="3">
        <v>4742300</v>
      </c>
      <c r="L866" s="3" t="s">
        <v>1152</v>
      </c>
      <c r="M866" s="3" t="s">
        <v>3684</v>
      </c>
      <c r="N866" s="3">
        <v>329</v>
      </c>
      <c r="O866" s="3" t="s">
        <v>3685</v>
      </c>
      <c r="P866" s="3" t="s">
        <v>436</v>
      </c>
      <c r="Q866" s="3" t="s">
        <v>476</v>
      </c>
      <c r="R866" s="3" t="s">
        <v>100</v>
      </c>
      <c r="S866" s="3">
        <v>31050640</v>
      </c>
      <c r="T866" s="3">
        <v>3134850859</v>
      </c>
      <c r="U866" s="3" t="s">
        <v>29</v>
      </c>
    </row>
    <row r="867" spans="1:21" ht="13.2" x14ac:dyDescent="0.25">
      <c r="A867" s="14">
        <v>3620716000180</v>
      </c>
      <c r="B867" s="15" t="str">
        <f t="shared" si="13"/>
        <v>03.620.716/0001-80</v>
      </c>
      <c r="C867" s="12" t="str">
        <f>VLOOKUP(B867,[1]Planilha1!$A:$B,2,0)</f>
        <v>Malu Montesino</v>
      </c>
      <c r="D867" s="3" t="s">
        <v>3686</v>
      </c>
      <c r="E867" s="3" t="s">
        <v>3687</v>
      </c>
      <c r="F867" s="3" t="s">
        <v>20</v>
      </c>
      <c r="G867" s="4">
        <v>36557</v>
      </c>
      <c r="H867" s="3" t="s">
        <v>94</v>
      </c>
      <c r="I867" s="3" t="s">
        <v>33</v>
      </c>
      <c r="J867" s="5">
        <v>9000000</v>
      </c>
      <c r="K867" s="3">
        <v>2660400</v>
      </c>
      <c r="L867" s="3" t="s">
        <v>953</v>
      </c>
      <c r="M867" s="3" t="s">
        <v>2457</v>
      </c>
      <c r="N867" s="3">
        <v>600</v>
      </c>
      <c r="P867" s="3" t="s">
        <v>2459</v>
      </c>
      <c r="Q867" s="3" t="s">
        <v>99</v>
      </c>
      <c r="R867" s="3" t="s">
        <v>100</v>
      </c>
      <c r="S867" s="3">
        <v>34018000</v>
      </c>
      <c r="T867" s="3">
        <v>3135473969</v>
      </c>
      <c r="U867" s="3" t="s">
        <v>29</v>
      </c>
    </row>
    <row r="868" spans="1:21" ht="13.2" x14ac:dyDescent="0.25">
      <c r="A868" s="14">
        <v>1844555002398</v>
      </c>
      <c r="B868" s="15" t="str">
        <f t="shared" si="13"/>
        <v>01.844.555/0023-98</v>
      </c>
      <c r="C868" s="12"/>
      <c r="D868" s="3" t="s">
        <v>3688</v>
      </c>
      <c r="E868" s="3" t="s">
        <v>3689</v>
      </c>
      <c r="F868" s="3" t="s">
        <v>20</v>
      </c>
      <c r="G868" s="4">
        <v>42629</v>
      </c>
      <c r="H868" s="3" t="s">
        <v>21</v>
      </c>
      <c r="I868" s="3" t="s">
        <v>33</v>
      </c>
      <c r="J868" s="5">
        <v>3512501500</v>
      </c>
      <c r="K868" s="3">
        <v>2831300</v>
      </c>
      <c r="L868" s="3" t="s">
        <v>608</v>
      </c>
      <c r="M868" s="3" t="s">
        <v>3690</v>
      </c>
      <c r="N868" s="3">
        <v>11825</v>
      </c>
      <c r="P868" s="3" t="s">
        <v>2254</v>
      </c>
      <c r="Q868" s="3" t="s">
        <v>204</v>
      </c>
      <c r="R868" s="3" t="s">
        <v>187</v>
      </c>
      <c r="S868" s="3">
        <v>81170300</v>
      </c>
      <c r="T868" s="3">
        <v>4121077111</v>
      </c>
      <c r="U868" s="3" t="s">
        <v>29</v>
      </c>
    </row>
    <row r="869" spans="1:21" ht="13.2" x14ac:dyDescent="0.25">
      <c r="A869" s="14">
        <v>1844555000182</v>
      </c>
      <c r="B869" s="15" t="str">
        <f t="shared" si="13"/>
        <v>01.844.555/0001-82</v>
      </c>
      <c r="C869" s="12" t="str">
        <f>VLOOKUP(B869,[1]Planilha1!$A:$B,2,0)</f>
        <v>Malu Montesino</v>
      </c>
      <c r="D869" s="3" t="s">
        <v>3688</v>
      </c>
      <c r="E869" s="3" t="s">
        <v>3688</v>
      </c>
      <c r="F869" s="3" t="s">
        <v>20</v>
      </c>
      <c r="G869" s="4">
        <v>35548</v>
      </c>
      <c r="H869" s="3" t="s">
        <v>21</v>
      </c>
      <c r="I869" s="3" t="s">
        <v>33</v>
      </c>
      <c r="J869" s="5">
        <v>3512501500</v>
      </c>
      <c r="K869" s="3">
        <v>2831300</v>
      </c>
      <c r="L869" s="3" t="s">
        <v>608</v>
      </c>
      <c r="M869" s="3" t="s">
        <v>2252</v>
      </c>
      <c r="N869" s="3">
        <v>2237</v>
      </c>
      <c r="O869" s="3" t="s">
        <v>3691</v>
      </c>
      <c r="P869" s="3" t="s">
        <v>2254</v>
      </c>
      <c r="Q869" s="3" t="s">
        <v>1701</v>
      </c>
      <c r="R869" s="3" t="s">
        <v>100</v>
      </c>
      <c r="S869" s="3">
        <v>32210900</v>
      </c>
      <c r="T869" s="3">
        <v>3121043392</v>
      </c>
      <c r="U869" s="3" t="s">
        <v>29</v>
      </c>
    </row>
    <row r="870" spans="1:21" ht="13.2" x14ac:dyDescent="0.25">
      <c r="A870" s="14">
        <v>58248352000140</v>
      </c>
      <c r="B870" s="15" t="str">
        <f t="shared" si="13"/>
        <v>58.248.352/0001-40</v>
      </c>
      <c r="C870" s="12"/>
      <c r="D870" s="3" t="s">
        <v>3692</v>
      </c>
      <c r="E870" s="3" t="s">
        <v>3692</v>
      </c>
      <c r="F870" s="3" t="s">
        <v>20</v>
      </c>
      <c r="G870" s="4">
        <v>32090</v>
      </c>
      <c r="H870" s="3" t="s">
        <v>94</v>
      </c>
      <c r="I870" s="3" t="s">
        <v>33</v>
      </c>
      <c r="J870" s="5">
        <v>31182604</v>
      </c>
      <c r="K870" s="3">
        <v>4530701</v>
      </c>
      <c r="L870" s="3" t="s">
        <v>2176</v>
      </c>
      <c r="M870" s="3" t="s">
        <v>3693</v>
      </c>
      <c r="N870" s="3">
        <v>329</v>
      </c>
      <c r="O870" s="3">
        <v>294</v>
      </c>
      <c r="P870" s="3" t="s">
        <v>241</v>
      </c>
      <c r="Q870" s="3" t="s">
        <v>27</v>
      </c>
      <c r="R870" s="3" t="s">
        <v>28</v>
      </c>
      <c r="S870" s="3">
        <v>4755050</v>
      </c>
      <c r="T870" s="3">
        <v>1150336513</v>
      </c>
      <c r="U870" s="3" t="s">
        <v>29</v>
      </c>
    </row>
    <row r="871" spans="1:21" ht="13.2" x14ac:dyDescent="0.25">
      <c r="A871" s="14">
        <v>45997418000153</v>
      </c>
      <c r="B871" s="15" t="str">
        <f t="shared" si="13"/>
        <v>45.997.418/0001-53</v>
      </c>
      <c r="C871" s="12"/>
      <c r="D871" s="3" t="s">
        <v>3694</v>
      </c>
      <c r="E871" s="3" t="s">
        <v>3694</v>
      </c>
      <c r="F871" s="3" t="s">
        <v>20</v>
      </c>
      <c r="G871" s="4">
        <v>26291</v>
      </c>
      <c r="H871" s="3" t="s">
        <v>21</v>
      </c>
      <c r="I871" s="3" t="s">
        <v>33</v>
      </c>
      <c r="J871" s="5">
        <v>150458420</v>
      </c>
      <c r="K871" s="3">
        <v>1099699</v>
      </c>
      <c r="L871" s="3" t="s">
        <v>3307</v>
      </c>
      <c r="M871" s="3" t="s">
        <v>3695</v>
      </c>
      <c r="N871" s="3">
        <v>374</v>
      </c>
      <c r="O871" s="3" t="s">
        <v>3696</v>
      </c>
      <c r="P871" s="3" t="s">
        <v>3697</v>
      </c>
      <c r="Q871" s="3" t="s">
        <v>253</v>
      </c>
      <c r="R871" s="3" t="s">
        <v>78</v>
      </c>
      <c r="S871" s="3">
        <v>22250040</v>
      </c>
      <c r="T871" s="3">
        <v>2125591000</v>
      </c>
      <c r="U871" s="3" t="s">
        <v>29</v>
      </c>
    </row>
    <row r="872" spans="1:21" ht="13.2" x14ac:dyDescent="0.25">
      <c r="A872" s="14">
        <v>79114450000165</v>
      </c>
      <c r="B872" s="15" t="str">
        <f t="shared" si="13"/>
        <v>79.114.450/0001-65</v>
      </c>
      <c r="C872" s="12"/>
      <c r="D872" s="3" t="s">
        <v>3698</v>
      </c>
      <c r="E872" s="3" t="s">
        <v>3699</v>
      </c>
      <c r="F872" s="3" t="s">
        <v>20</v>
      </c>
      <c r="G872" s="4">
        <v>24498</v>
      </c>
      <c r="H872" s="3" t="s">
        <v>3700</v>
      </c>
      <c r="I872" s="3" t="s">
        <v>33</v>
      </c>
      <c r="J872" s="5">
        <v>319967780</v>
      </c>
      <c r="K872" s="3">
        <v>4689399</v>
      </c>
      <c r="L872" s="3" t="s">
        <v>783</v>
      </c>
      <c r="M872" s="3" t="s">
        <v>3701</v>
      </c>
      <c r="N872" s="3">
        <v>1000</v>
      </c>
      <c r="P872" s="3" t="s">
        <v>1529</v>
      </c>
      <c r="Q872" s="3" t="s">
        <v>1289</v>
      </c>
      <c r="R872" s="3" t="s">
        <v>187</v>
      </c>
      <c r="S872" s="3">
        <v>87065590</v>
      </c>
      <c r="T872" s="3">
        <v>4432213007</v>
      </c>
      <c r="U872" s="3" t="s">
        <v>29</v>
      </c>
    </row>
    <row r="873" spans="1:21" ht="13.2" x14ac:dyDescent="0.25">
      <c r="A873" s="14">
        <v>51017713000107</v>
      </c>
      <c r="B873" s="15" t="str">
        <f t="shared" si="13"/>
        <v>51.017.713/0001-07</v>
      </c>
      <c r="C873" s="12" t="str">
        <f>VLOOKUP(B873,[1]Planilha1!$A:$B,2,0)</f>
        <v>Malu Montesino</v>
      </c>
      <c r="D873" s="3" t="s">
        <v>3702</v>
      </c>
      <c r="E873" s="3" t="s">
        <v>3702</v>
      </c>
      <c r="F873" s="3" t="s">
        <v>20</v>
      </c>
      <c r="G873" s="4">
        <v>30190</v>
      </c>
      <c r="H873" s="3" t="s">
        <v>21</v>
      </c>
      <c r="I873" s="3" t="s">
        <v>22</v>
      </c>
      <c r="J873" s="5">
        <v>30000</v>
      </c>
      <c r="K873" s="3">
        <v>4744001</v>
      </c>
      <c r="L873" s="3" t="s">
        <v>396</v>
      </c>
      <c r="M873" s="3" t="s">
        <v>3703</v>
      </c>
      <c r="N873" s="3">
        <v>435</v>
      </c>
      <c r="P873" s="3" t="s">
        <v>3314</v>
      </c>
      <c r="Q873" s="3" t="s">
        <v>27</v>
      </c>
      <c r="R873" s="3" t="s">
        <v>28</v>
      </c>
      <c r="S873" s="3">
        <v>3089000</v>
      </c>
      <c r="U873" s="3" t="s">
        <v>29</v>
      </c>
    </row>
    <row r="874" spans="1:21" ht="13.2" x14ac:dyDescent="0.25">
      <c r="A874" s="14">
        <v>69194454000147</v>
      </c>
      <c r="B874" s="15" t="str">
        <f t="shared" si="13"/>
        <v>69.194.454/0001-47</v>
      </c>
      <c r="C874" s="12"/>
      <c r="D874" s="3" t="s">
        <v>3704</v>
      </c>
      <c r="E874" s="3" t="s">
        <v>3705</v>
      </c>
      <c r="F874" s="3" t="s">
        <v>20</v>
      </c>
      <c r="G874" s="4">
        <v>33948</v>
      </c>
      <c r="H874" s="3" t="s">
        <v>21</v>
      </c>
      <c r="I874" s="3" t="s">
        <v>33</v>
      </c>
      <c r="J874" s="5">
        <v>18860000</v>
      </c>
      <c r="K874" s="3">
        <v>4672900</v>
      </c>
      <c r="L874" s="3" t="s">
        <v>1389</v>
      </c>
      <c r="M874" s="3" t="s">
        <v>3706</v>
      </c>
      <c r="N874" s="3">
        <v>3241</v>
      </c>
      <c r="P874" s="3" t="s">
        <v>3707</v>
      </c>
      <c r="Q874" s="3" t="s">
        <v>27</v>
      </c>
      <c r="R874" s="3" t="s">
        <v>28</v>
      </c>
      <c r="S874" s="3">
        <v>3527000</v>
      </c>
      <c r="T874" s="3">
        <v>1127826000</v>
      </c>
      <c r="U874" s="3" t="s">
        <v>29</v>
      </c>
    </row>
    <row r="875" spans="1:21" ht="13.2" x14ac:dyDescent="0.25">
      <c r="A875" s="14">
        <v>44878981000140</v>
      </c>
      <c r="B875" s="15" t="str">
        <f t="shared" si="13"/>
        <v>44.878.981/0001-40</v>
      </c>
      <c r="C875" s="12"/>
      <c r="D875" s="3" t="s">
        <v>3708</v>
      </c>
      <c r="E875" s="3" t="s">
        <v>3709</v>
      </c>
      <c r="F875" s="3" t="s">
        <v>20</v>
      </c>
      <c r="G875" s="4">
        <v>27044</v>
      </c>
      <c r="H875" s="3" t="s">
        <v>21</v>
      </c>
      <c r="I875" s="3" t="s">
        <v>33</v>
      </c>
      <c r="J875" s="5">
        <v>7000000</v>
      </c>
      <c r="K875" s="3">
        <v>2833000</v>
      </c>
      <c r="L875" s="3" t="s">
        <v>151</v>
      </c>
      <c r="M875" s="3" t="s">
        <v>3710</v>
      </c>
      <c r="N875" s="3">
        <v>605</v>
      </c>
      <c r="P875" s="3" t="s">
        <v>3711</v>
      </c>
      <c r="Q875" s="3" t="s">
        <v>3712</v>
      </c>
      <c r="R875" s="3" t="s">
        <v>28</v>
      </c>
      <c r="S875" s="3">
        <v>17910116</v>
      </c>
      <c r="T875" s="3">
        <v>1838219900</v>
      </c>
      <c r="U875" s="3" t="s">
        <v>29</v>
      </c>
    </row>
    <row r="876" spans="1:21" ht="13.2" x14ac:dyDescent="0.25">
      <c r="A876" s="14">
        <v>11499545000100</v>
      </c>
      <c r="B876" s="15" t="str">
        <f t="shared" si="13"/>
        <v>11.499.545/0001-00</v>
      </c>
      <c r="C876" s="12"/>
      <c r="D876" s="3" t="s">
        <v>3713</v>
      </c>
      <c r="E876" s="3" t="s">
        <v>3714</v>
      </c>
      <c r="F876" s="3" t="s">
        <v>20</v>
      </c>
      <c r="G876" s="4">
        <v>40206</v>
      </c>
      <c r="H876" s="3" t="s">
        <v>21</v>
      </c>
      <c r="I876" s="3" t="s">
        <v>33</v>
      </c>
      <c r="J876" s="5">
        <v>1050000</v>
      </c>
      <c r="K876" s="3">
        <v>8011101</v>
      </c>
      <c r="L876" s="3" t="s">
        <v>943</v>
      </c>
      <c r="M876" s="3" t="s">
        <v>3715</v>
      </c>
      <c r="N876" s="3">
        <v>39</v>
      </c>
      <c r="O876" s="3" t="s">
        <v>1682</v>
      </c>
      <c r="P876" s="3" t="s">
        <v>3716</v>
      </c>
      <c r="Q876" s="3" t="s">
        <v>476</v>
      </c>
      <c r="R876" s="3" t="s">
        <v>100</v>
      </c>
      <c r="S876" s="3">
        <v>31365050</v>
      </c>
      <c r="T876" s="3">
        <v>3134739005</v>
      </c>
      <c r="U876" s="3" t="s">
        <v>29</v>
      </c>
    </row>
    <row r="877" spans="1:21" ht="13.2" x14ac:dyDescent="0.25">
      <c r="A877" s="14">
        <v>109393000176</v>
      </c>
      <c r="B877" s="15" t="str">
        <f t="shared" si="13"/>
        <v>00.109.393/0001-76</v>
      </c>
      <c r="C877" s="12"/>
      <c r="D877" s="3" t="s">
        <v>3717</v>
      </c>
      <c r="E877" s="3" t="s">
        <v>3717</v>
      </c>
      <c r="F877" s="3" t="s">
        <v>20</v>
      </c>
      <c r="G877" s="4">
        <v>34526</v>
      </c>
      <c r="H877" s="3" t="s">
        <v>21</v>
      </c>
      <c r="I877" s="3" t="s">
        <v>33</v>
      </c>
      <c r="J877" s="5">
        <v>3000000</v>
      </c>
      <c r="K877" s="3">
        <v>8219999</v>
      </c>
      <c r="L877" s="3" t="s">
        <v>121</v>
      </c>
      <c r="M877" s="3" t="s">
        <v>3715</v>
      </c>
      <c r="N877" s="3">
        <v>39</v>
      </c>
      <c r="P877" s="3" t="s">
        <v>3716</v>
      </c>
      <c r="Q877" s="3" t="s">
        <v>476</v>
      </c>
      <c r="R877" s="3" t="s">
        <v>100</v>
      </c>
      <c r="S877" s="3">
        <v>31365050</v>
      </c>
      <c r="T877" s="3">
        <v>3134739005</v>
      </c>
      <c r="U877" s="3" t="s">
        <v>29</v>
      </c>
    </row>
    <row r="878" spans="1:21" ht="13.2" x14ac:dyDescent="0.25">
      <c r="A878" s="14">
        <v>52273785000170</v>
      </c>
      <c r="B878" s="15" t="str">
        <f t="shared" si="13"/>
        <v>52.273.785/0001-70</v>
      </c>
      <c r="C878" s="12" t="str">
        <f>VLOOKUP(B878,[1]Planilha1!$A:$B,2,0)</f>
        <v>Malu Montesino</v>
      </c>
      <c r="D878" s="3" t="s">
        <v>3718</v>
      </c>
      <c r="E878" s="3" t="s">
        <v>3719</v>
      </c>
      <c r="F878" s="3" t="s">
        <v>45</v>
      </c>
      <c r="G878" s="4">
        <v>45190</v>
      </c>
      <c r="H878" s="3" t="s">
        <v>2634</v>
      </c>
      <c r="I878" s="3" t="s">
        <v>33</v>
      </c>
      <c r="J878" s="5">
        <v>0</v>
      </c>
      <c r="K878" s="3">
        <v>6462000</v>
      </c>
      <c r="L878" s="3" t="s">
        <v>250</v>
      </c>
      <c r="M878" s="3" t="s">
        <v>3720</v>
      </c>
      <c r="N878" s="3" t="s">
        <v>82</v>
      </c>
      <c r="O878" s="3">
        <v>2038</v>
      </c>
      <c r="P878" s="3" t="s">
        <v>3721</v>
      </c>
      <c r="R878" s="3" t="s">
        <v>2637</v>
      </c>
      <c r="U878" s="3" t="s">
        <v>29</v>
      </c>
    </row>
    <row r="879" spans="1:21" ht="13.2" x14ac:dyDescent="0.25">
      <c r="A879" s="14">
        <v>382468000198</v>
      </c>
      <c r="B879" s="15" t="str">
        <f t="shared" si="13"/>
        <v>00.382.468/0001-98</v>
      </c>
      <c r="C879" s="12"/>
      <c r="D879" s="3" t="s">
        <v>3722</v>
      </c>
      <c r="E879" s="3" t="s">
        <v>3722</v>
      </c>
      <c r="F879" s="3" t="s">
        <v>20</v>
      </c>
      <c r="G879" s="4">
        <v>34702</v>
      </c>
      <c r="H879" s="3" t="s">
        <v>21</v>
      </c>
      <c r="I879" s="3" t="s">
        <v>33</v>
      </c>
      <c r="J879" s="5">
        <v>100276200</v>
      </c>
      <c r="K879" s="3">
        <v>4646002</v>
      </c>
      <c r="L879" s="3" t="s">
        <v>139</v>
      </c>
      <c r="M879" s="3" t="s">
        <v>216</v>
      </c>
      <c r="N879" s="3">
        <v>752</v>
      </c>
      <c r="P879" s="3" t="s">
        <v>1064</v>
      </c>
      <c r="Q879" s="3" t="s">
        <v>27</v>
      </c>
      <c r="R879" s="3" t="s">
        <v>28</v>
      </c>
      <c r="S879" s="3">
        <v>4018002</v>
      </c>
      <c r="T879" s="3">
        <v>1150885000</v>
      </c>
      <c r="U879" s="3" t="s">
        <v>29</v>
      </c>
    </row>
    <row r="880" spans="1:21" ht="13.2" x14ac:dyDescent="0.25">
      <c r="A880" s="14">
        <v>35594665000155</v>
      </c>
      <c r="B880" s="15" t="str">
        <f t="shared" si="13"/>
        <v>35.594.665/0001-55</v>
      </c>
      <c r="C880" s="12"/>
      <c r="D880" s="3" t="s">
        <v>3723</v>
      </c>
      <c r="E880" s="3" t="s">
        <v>3723</v>
      </c>
      <c r="F880" s="3" t="s">
        <v>20</v>
      </c>
      <c r="G880" s="4">
        <v>43791</v>
      </c>
      <c r="H880" s="3" t="s">
        <v>21</v>
      </c>
      <c r="I880" s="3" t="s">
        <v>22</v>
      </c>
      <c r="J880" s="5">
        <v>1000</v>
      </c>
      <c r="K880" s="3">
        <v>6209100</v>
      </c>
      <c r="L880" s="3" t="s">
        <v>303</v>
      </c>
      <c r="M880" s="3" t="s">
        <v>1228</v>
      </c>
      <c r="N880" s="3">
        <v>618</v>
      </c>
      <c r="P880" s="3" t="s">
        <v>1230</v>
      </c>
      <c r="Q880" s="3" t="s">
        <v>27</v>
      </c>
      <c r="R880" s="3" t="s">
        <v>28</v>
      </c>
      <c r="S880" s="3">
        <v>4530000</v>
      </c>
      <c r="T880" s="3">
        <v>1187213845</v>
      </c>
      <c r="U880" s="3" t="s">
        <v>29</v>
      </c>
    </row>
    <row r="881" spans="1:21" ht="13.2" x14ac:dyDescent="0.25">
      <c r="A881" s="14">
        <v>2794555000188</v>
      </c>
      <c r="B881" s="15" t="str">
        <f t="shared" si="13"/>
        <v>02.794.555/0001-88</v>
      </c>
      <c r="C881" s="12" t="str">
        <f>VLOOKUP(B881,[1]Planilha1!$A:$B,2,0)</f>
        <v>Malu Montesino</v>
      </c>
      <c r="D881" s="3" t="s">
        <v>3724</v>
      </c>
      <c r="E881" s="3" t="s">
        <v>3724</v>
      </c>
      <c r="F881" s="3" t="s">
        <v>20</v>
      </c>
      <c r="G881" s="4">
        <v>36081</v>
      </c>
      <c r="H881" s="3" t="s">
        <v>21</v>
      </c>
      <c r="I881" s="3" t="s">
        <v>33</v>
      </c>
      <c r="J881" s="5">
        <v>87620530</v>
      </c>
      <c r="K881" s="3">
        <v>8211300</v>
      </c>
      <c r="L881" s="3" t="s">
        <v>166</v>
      </c>
      <c r="M881" s="3" t="s">
        <v>3725</v>
      </c>
      <c r="N881" s="3">
        <v>92</v>
      </c>
      <c r="O881" s="3" t="s">
        <v>3726</v>
      </c>
      <c r="P881" s="3" t="s">
        <v>593</v>
      </c>
      <c r="Q881" s="3" t="s">
        <v>27</v>
      </c>
      <c r="R881" s="3" t="s">
        <v>28</v>
      </c>
      <c r="S881" s="3">
        <v>4726220</v>
      </c>
      <c r="T881" s="3">
        <v>1130746402</v>
      </c>
      <c r="U881" s="3" t="s">
        <v>29</v>
      </c>
    </row>
    <row r="882" spans="1:21" ht="13.2" x14ac:dyDescent="0.25">
      <c r="A882" s="14">
        <v>85342780000100</v>
      </c>
      <c r="B882" s="15" t="str">
        <f t="shared" si="13"/>
        <v>85.342.780/0001-00</v>
      </c>
      <c r="C882" s="12"/>
      <c r="D882" s="3" t="s">
        <v>3727</v>
      </c>
      <c r="E882" s="3" t="s">
        <v>3728</v>
      </c>
      <c r="F882" s="3" t="s">
        <v>20</v>
      </c>
      <c r="G882" s="4">
        <v>33793</v>
      </c>
      <c r="H882" s="3" t="s">
        <v>94</v>
      </c>
      <c r="I882" s="3" t="s">
        <v>33</v>
      </c>
      <c r="J882" s="5">
        <v>19000000</v>
      </c>
      <c r="K882" s="3">
        <v>2093200</v>
      </c>
      <c r="L882" s="3" t="s">
        <v>913</v>
      </c>
      <c r="M882" s="3" t="s">
        <v>3729</v>
      </c>
      <c r="N882" s="3">
        <v>5175</v>
      </c>
      <c r="O882" s="3" t="s">
        <v>3730</v>
      </c>
      <c r="P882" s="3" t="s">
        <v>3731</v>
      </c>
      <c r="Q882" s="3" t="s">
        <v>2969</v>
      </c>
      <c r="R882" s="3" t="s">
        <v>91</v>
      </c>
      <c r="S882" s="3">
        <v>89117455</v>
      </c>
      <c r="T882" s="3">
        <v>4732318900</v>
      </c>
      <c r="U882" s="3" t="s">
        <v>29</v>
      </c>
    </row>
    <row r="883" spans="1:21" ht="13.2" x14ac:dyDescent="0.25">
      <c r="A883" s="14">
        <v>4397676000111</v>
      </c>
      <c r="B883" s="15" t="str">
        <f t="shared" si="13"/>
        <v>04.397.676/0001-11</v>
      </c>
      <c r="C883" s="12"/>
      <c r="D883" s="3" t="s">
        <v>3732</v>
      </c>
      <c r="E883" s="3" t="s">
        <v>3732</v>
      </c>
      <c r="F883" s="3" t="s">
        <v>20</v>
      </c>
      <c r="G883" s="4">
        <v>36979</v>
      </c>
      <c r="H883" s="3" t="s">
        <v>21</v>
      </c>
      <c r="I883" s="3" t="s">
        <v>33</v>
      </c>
      <c r="J883" s="5">
        <v>0</v>
      </c>
      <c r="K883" s="3">
        <v>4619200</v>
      </c>
      <c r="L883" s="3" t="s">
        <v>3484</v>
      </c>
      <c r="M883" s="3" t="s">
        <v>3733</v>
      </c>
      <c r="N883" s="3">
        <v>60</v>
      </c>
      <c r="O883" s="3" t="s">
        <v>3734</v>
      </c>
      <c r="P883" s="3" t="s">
        <v>3735</v>
      </c>
      <c r="Q883" s="3" t="s">
        <v>27</v>
      </c>
      <c r="R883" s="3" t="s">
        <v>28</v>
      </c>
      <c r="S883" s="3">
        <v>5029060</v>
      </c>
      <c r="T883" s="3">
        <v>1193093804</v>
      </c>
      <c r="U883" s="3" t="s">
        <v>29</v>
      </c>
    </row>
    <row r="884" spans="1:21" ht="13.2" x14ac:dyDescent="0.25">
      <c r="A884" s="14">
        <v>10378106000187</v>
      </c>
      <c r="B884" s="15" t="str">
        <f t="shared" si="13"/>
        <v>10.378.106/0001-87</v>
      </c>
      <c r="C884" s="12"/>
      <c r="D884" s="3" t="s">
        <v>3736</v>
      </c>
      <c r="E884" s="3" t="s">
        <v>3737</v>
      </c>
      <c r="F884" s="3" t="s">
        <v>20</v>
      </c>
      <c r="G884" s="4">
        <v>39715</v>
      </c>
      <c r="H884" s="3" t="s">
        <v>21</v>
      </c>
      <c r="I884" s="3" t="s">
        <v>22</v>
      </c>
      <c r="J884" s="5">
        <v>300000</v>
      </c>
      <c r="K884" s="3">
        <v>4773300</v>
      </c>
      <c r="L884" s="3" t="s">
        <v>706</v>
      </c>
      <c r="M884" s="3" t="s">
        <v>3738</v>
      </c>
      <c r="N884" s="3">
        <v>171</v>
      </c>
      <c r="O884" s="3" t="s">
        <v>3739</v>
      </c>
      <c r="P884" s="3" t="s">
        <v>3740</v>
      </c>
      <c r="Q884" s="3" t="s">
        <v>204</v>
      </c>
      <c r="R884" s="3" t="s">
        <v>187</v>
      </c>
      <c r="S884" s="3">
        <v>81510040</v>
      </c>
      <c r="T884" s="3">
        <v>4130683671</v>
      </c>
      <c r="U884" s="3" t="s">
        <v>29</v>
      </c>
    </row>
    <row r="885" spans="1:21" ht="13.2" x14ac:dyDescent="0.25">
      <c r="A885" s="14">
        <v>37534492000105</v>
      </c>
      <c r="B885" s="15" t="str">
        <f t="shared" si="13"/>
        <v>37.534.492/0001-05</v>
      </c>
      <c r="C885" s="12"/>
      <c r="D885" s="3" t="s">
        <v>3741</v>
      </c>
      <c r="E885" s="3" t="s">
        <v>3741</v>
      </c>
      <c r="F885" s="3" t="s">
        <v>20</v>
      </c>
      <c r="G885" s="4">
        <v>33904</v>
      </c>
      <c r="H885" s="3" t="s">
        <v>21</v>
      </c>
      <c r="I885" s="3" t="s">
        <v>22</v>
      </c>
      <c r="J885" s="5">
        <v>1000000</v>
      </c>
      <c r="K885" s="3">
        <v>4744001</v>
      </c>
      <c r="L885" s="3" t="s">
        <v>396</v>
      </c>
      <c r="M885" s="3" t="s">
        <v>3742</v>
      </c>
      <c r="N885" s="3">
        <v>1400</v>
      </c>
      <c r="P885" s="3" t="s">
        <v>3743</v>
      </c>
      <c r="Q885" s="3" t="s">
        <v>3744</v>
      </c>
      <c r="R885" s="3" t="s">
        <v>1142</v>
      </c>
      <c r="S885" s="3">
        <v>79332090</v>
      </c>
      <c r="T885" s="3">
        <v>6732347412</v>
      </c>
      <c r="U885" s="3" t="s">
        <v>29</v>
      </c>
    </row>
    <row r="886" spans="1:21" ht="13.2" x14ac:dyDescent="0.25">
      <c r="A886" s="14">
        <v>10787920000155</v>
      </c>
      <c r="B886" s="15" t="str">
        <f t="shared" si="13"/>
        <v>10.787.920/0001-55</v>
      </c>
      <c r="C886" s="12"/>
      <c r="D886" s="3" t="s">
        <v>3745</v>
      </c>
      <c r="E886" s="3" t="s">
        <v>3746</v>
      </c>
      <c r="F886" s="3" t="s">
        <v>20</v>
      </c>
      <c r="G886" s="4">
        <v>39930</v>
      </c>
      <c r="H886" s="3" t="s">
        <v>21</v>
      </c>
      <c r="I886" s="3" t="s">
        <v>22</v>
      </c>
      <c r="J886" s="5">
        <v>900000</v>
      </c>
      <c r="K886" s="3">
        <v>4639701</v>
      </c>
      <c r="L886" s="3" t="s">
        <v>3611</v>
      </c>
      <c r="M886" s="3" t="s">
        <v>3747</v>
      </c>
      <c r="N886" s="3">
        <v>149</v>
      </c>
      <c r="P886" s="3" t="s">
        <v>3748</v>
      </c>
      <c r="Q886" s="3" t="s">
        <v>253</v>
      </c>
      <c r="R886" s="3" t="s">
        <v>78</v>
      </c>
      <c r="S886" s="3">
        <v>21021020</v>
      </c>
      <c r="T886" s="3">
        <v>2138826083</v>
      </c>
      <c r="U886" s="3" t="s">
        <v>29</v>
      </c>
    </row>
    <row r="887" spans="1:21" ht="13.2" x14ac:dyDescent="0.25">
      <c r="A887" s="14">
        <v>394502000144</v>
      </c>
      <c r="B887" s="15" t="str">
        <f t="shared" si="13"/>
        <v>00.394.502/0001-44</v>
      </c>
      <c r="C887" s="12"/>
      <c r="D887" s="3" t="s">
        <v>3749</v>
      </c>
      <c r="E887" s="3" t="s">
        <v>3750</v>
      </c>
      <c r="F887" s="3" t="s">
        <v>20</v>
      </c>
      <c r="G887" s="4">
        <v>27362</v>
      </c>
      <c r="H887" s="3" t="s">
        <v>3751</v>
      </c>
      <c r="I887" s="3" t="s">
        <v>33</v>
      </c>
      <c r="J887" s="5">
        <v>0</v>
      </c>
      <c r="K887" s="3">
        <v>8422100</v>
      </c>
      <c r="L887" s="3" t="s">
        <v>3752</v>
      </c>
      <c r="M887" s="3" t="s">
        <v>3753</v>
      </c>
      <c r="N887" s="3" t="s">
        <v>82</v>
      </c>
      <c r="O887" s="3" t="s">
        <v>3754</v>
      </c>
      <c r="P887" s="3" t="s">
        <v>3755</v>
      </c>
      <c r="Q887" s="3" t="s">
        <v>631</v>
      </c>
      <c r="R887" s="3" t="s">
        <v>632</v>
      </c>
      <c r="S887" s="3">
        <v>70055900</v>
      </c>
      <c r="T887" s="3">
        <v>2121046234</v>
      </c>
      <c r="U887" s="3" t="s">
        <v>29</v>
      </c>
    </row>
    <row r="888" spans="1:21" ht="13.2" x14ac:dyDescent="0.25">
      <c r="A888" s="14">
        <v>65010415000191</v>
      </c>
      <c r="B888" s="15" t="str">
        <f t="shared" si="13"/>
        <v>65.010.415/0001-91</v>
      </c>
      <c r="C888" s="12" t="str">
        <f>VLOOKUP(B888,[1]Planilha1!$A:$B,2,0)</f>
        <v>Mariane Nascimento</v>
      </c>
      <c r="D888" s="3" t="s">
        <v>3756</v>
      </c>
      <c r="E888" s="3" t="s">
        <v>3756</v>
      </c>
      <c r="F888" s="3" t="s">
        <v>20</v>
      </c>
      <c r="G888" s="4">
        <v>33235</v>
      </c>
      <c r="H888" s="3" t="s">
        <v>21</v>
      </c>
      <c r="I888" s="3" t="s">
        <v>33</v>
      </c>
      <c r="J888" s="5">
        <v>3250000</v>
      </c>
      <c r="K888" s="3">
        <v>7112000</v>
      </c>
      <c r="L888" s="3" t="s">
        <v>276</v>
      </c>
      <c r="M888" s="3" t="s">
        <v>459</v>
      </c>
      <c r="N888" s="3">
        <v>91</v>
      </c>
      <c r="O888" s="3" t="s">
        <v>3757</v>
      </c>
      <c r="P888" s="3" t="s">
        <v>461</v>
      </c>
      <c r="Q888" s="3" t="s">
        <v>27</v>
      </c>
      <c r="R888" s="3" t="s">
        <v>28</v>
      </c>
      <c r="S888" s="3">
        <v>1307001</v>
      </c>
      <c r="T888" s="3">
        <v>1132316060</v>
      </c>
      <c r="U888" s="3" t="s">
        <v>29</v>
      </c>
    </row>
    <row r="889" spans="1:21" ht="13.2" x14ac:dyDescent="0.25">
      <c r="A889" s="14">
        <v>34203752000171</v>
      </c>
      <c r="B889" s="15" t="str">
        <f t="shared" si="13"/>
        <v>34.203.752/0001-71</v>
      </c>
      <c r="C889" s="12"/>
      <c r="D889" s="3" t="s">
        <v>3758</v>
      </c>
      <c r="E889" s="3" t="s">
        <v>3758</v>
      </c>
      <c r="F889" s="3" t="s">
        <v>20</v>
      </c>
      <c r="G889" s="4">
        <v>32861</v>
      </c>
      <c r="H889" s="3" t="s">
        <v>21</v>
      </c>
      <c r="I889" s="3" t="s">
        <v>33</v>
      </c>
      <c r="J889" s="5">
        <v>10000000</v>
      </c>
      <c r="K889" s="3">
        <v>4652400</v>
      </c>
      <c r="L889" s="3" t="s">
        <v>1031</v>
      </c>
      <c r="M889" s="3" t="s">
        <v>3410</v>
      </c>
      <c r="N889" s="3">
        <v>1559</v>
      </c>
      <c r="O889" s="3" t="s">
        <v>3759</v>
      </c>
      <c r="P889" s="3" t="s">
        <v>3412</v>
      </c>
      <c r="Q889" s="3" t="s">
        <v>280</v>
      </c>
      <c r="R889" s="3" t="s">
        <v>281</v>
      </c>
      <c r="S889" s="3">
        <v>41505220</v>
      </c>
      <c r="T889" s="3">
        <v>7122082838</v>
      </c>
      <c r="U889" s="3" t="s">
        <v>29</v>
      </c>
    </row>
    <row r="890" spans="1:21" ht="13.2" x14ac:dyDescent="0.25">
      <c r="A890" s="14">
        <v>7252146000173</v>
      </c>
      <c r="B890" s="15" t="str">
        <f t="shared" si="13"/>
        <v>07.252.146/0001-73</v>
      </c>
      <c r="C890" s="12"/>
      <c r="D890" s="3" t="s">
        <v>3760</v>
      </c>
      <c r="E890" s="3" t="s">
        <v>3760</v>
      </c>
      <c r="F890" s="3" t="s">
        <v>45</v>
      </c>
      <c r="G890" s="4">
        <v>38401</v>
      </c>
      <c r="H890" s="3" t="s">
        <v>21</v>
      </c>
      <c r="I890" s="3" t="s">
        <v>33</v>
      </c>
      <c r="J890" s="5">
        <v>26075334</v>
      </c>
      <c r="K890" s="3">
        <v>7020400</v>
      </c>
      <c r="L890" s="3" t="s">
        <v>170</v>
      </c>
      <c r="M890" s="3" t="s">
        <v>3761</v>
      </c>
      <c r="N890" s="3">
        <v>1909</v>
      </c>
      <c r="O890" s="3" t="s">
        <v>3762</v>
      </c>
      <c r="P890" s="3" t="s">
        <v>1049</v>
      </c>
      <c r="Q890" s="3" t="s">
        <v>27</v>
      </c>
      <c r="R890" s="3" t="s">
        <v>28</v>
      </c>
      <c r="S890" s="3">
        <v>4543907</v>
      </c>
      <c r="T890" s="3">
        <v>1162833466</v>
      </c>
      <c r="U890" s="3" t="s">
        <v>29</v>
      </c>
    </row>
    <row r="891" spans="1:21" ht="13.2" x14ac:dyDescent="0.25">
      <c r="A891" s="14">
        <v>20248824000192</v>
      </c>
      <c r="B891" s="15" t="str">
        <f t="shared" si="13"/>
        <v>20.248.824/0001-92</v>
      </c>
      <c r="C891" s="12"/>
      <c r="D891" s="3" t="s">
        <v>3763</v>
      </c>
      <c r="E891" s="3" t="s">
        <v>3764</v>
      </c>
      <c r="F891" s="3" t="s">
        <v>20</v>
      </c>
      <c r="G891" s="4">
        <v>41773</v>
      </c>
      <c r="H891" s="3" t="s">
        <v>21</v>
      </c>
      <c r="I891" s="3" t="s">
        <v>47</v>
      </c>
      <c r="J891" s="5">
        <v>350000</v>
      </c>
      <c r="K891" s="3">
        <v>4729699</v>
      </c>
      <c r="L891" s="3" t="s">
        <v>2864</v>
      </c>
      <c r="M891" s="3" t="s">
        <v>3765</v>
      </c>
      <c r="N891" s="3" t="s">
        <v>111</v>
      </c>
      <c r="O891" s="3" t="s">
        <v>3766</v>
      </c>
      <c r="P891" s="3" t="s">
        <v>3767</v>
      </c>
      <c r="Q891" s="3" t="s">
        <v>1846</v>
      </c>
      <c r="R891" s="3" t="s">
        <v>1847</v>
      </c>
      <c r="S891" s="3">
        <v>57083655</v>
      </c>
      <c r="T891" s="3">
        <v>8234353526</v>
      </c>
      <c r="U891" s="3" t="s">
        <v>29</v>
      </c>
    </row>
    <row r="892" spans="1:21" ht="13.2" x14ac:dyDescent="0.25">
      <c r="A892" s="14">
        <v>74400052000191</v>
      </c>
      <c r="B892" s="15" t="str">
        <f t="shared" si="13"/>
        <v>74.400.052/0001-91</v>
      </c>
      <c r="C892" s="12"/>
      <c r="D892" s="3" t="s">
        <v>3768</v>
      </c>
      <c r="E892" s="3" t="s">
        <v>3768</v>
      </c>
      <c r="F892" s="3" t="s">
        <v>20</v>
      </c>
      <c r="G892" s="4">
        <v>34376</v>
      </c>
      <c r="H892" s="3" t="s">
        <v>21</v>
      </c>
      <c r="I892" s="3" t="s">
        <v>33</v>
      </c>
      <c r="J892" s="5">
        <v>2000000</v>
      </c>
      <c r="K892" s="3">
        <v>4644301</v>
      </c>
      <c r="L892" s="3" t="s">
        <v>326</v>
      </c>
      <c r="M892" s="3" t="s">
        <v>3769</v>
      </c>
      <c r="N892" s="3">
        <v>745</v>
      </c>
      <c r="O892" s="3" t="s">
        <v>3770</v>
      </c>
      <c r="P892" s="3" t="s">
        <v>3771</v>
      </c>
      <c r="Q892" s="3" t="s">
        <v>27</v>
      </c>
      <c r="R892" s="3" t="s">
        <v>28</v>
      </c>
      <c r="S892" s="3">
        <v>5847000</v>
      </c>
      <c r="T892" s="3">
        <v>1155134022</v>
      </c>
      <c r="U892" s="3" t="s">
        <v>29</v>
      </c>
    </row>
    <row r="893" spans="1:21" ht="13.2" x14ac:dyDescent="0.25">
      <c r="A893" s="14">
        <v>42706116000190</v>
      </c>
      <c r="B893" s="15" t="str">
        <f t="shared" si="13"/>
        <v>42.706.116/0001-90</v>
      </c>
      <c r="C893" s="12"/>
      <c r="D893" s="3" t="s">
        <v>3772</v>
      </c>
      <c r="E893" s="3" t="s">
        <v>3773</v>
      </c>
      <c r="F893" s="3" t="s">
        <v>45</v>
      </c>
      <c r="G893" s="4">
        <v>44391</v>
      </c>
      <c r="H893" s="3" t="s">
        <v>21</v>
      </c>
      <c r="I893" s="3" t="s">
        <v>22</v>
      </c>
      <c r="J893" s="5">
        <v>150000</v>
      </c>
      <c r="K893" s="3">
        <v>4755501</v>
      </c>
      <c r="L893" s="3" t="s">
        <v>3774</v>
      </c>
      <c r="M893" s="3" t="s">
        <v>3775</v>
      </c>
      <c r="N893" s="3">
        <v>72</v>
      </c>
      <c r="P893" s="3" t="s">
        <v>70</v>
      </c>
      <c r="Q893" s="3" t="s">
        <v>3776</v>
      </c>
      <c r="R893" s="3" t="s">
        <v>100</v>
      </c>
      <c r="S893" s="3">
        <v>35570112</v>
      </c>
      <c r="T893" s="3">
        <v>3733221120</v>
      </c>
      <c r="U893" s="3" t="s">
        <v>29</v>
      </c>
    </row>
    <row r="894" spans="1:21" ht="13.2" x14ac:dyDescent="0.25">
      <c r="A894" s="14">
        <v>13597348000150</v>
      </c>
      <c r="B894" s="15" t="str">
        <f t="shared" si="13"/>
        <v>13.597.348/0001-50</v>
      </c>
      <c r="C894" s="12"/>
      <c r="D894" s="3" t="s">
        <v>3777</v>
      </c>
      <c r="E894" s="3" t="s">
        <v>3778</v>
      </c>
      <c r="F894" s="3" t="s">
        <v>31</v>
      </c>
      <c r="G894" s="4">
        <v>40665</v>
      </c>
      <c r="H894" s="3" t="s">
        <v>21</v>
      </c>
      <c r="I894" s="3" t="s">
        <v>22</v>
      </c>
      <c r="J894" s="5">
        <v>202000</v>
      </c>
      <c r="K894" s="3">
        <v>4649408</v>
      </c>
      <c r="L894" s="3" t="s">
        <v>464</v>
      </c>
      <c r="M894" s="3" t="s">
        <v>3779</v>
      </c>
      <c r="N894" s="3" t="s">
        <v>111</v>
      </c>
      <c r="O894" s="3" t="s">
        <v>3780</v>
      </c>
      <c r="P894" s="3" t="s">
        <v>2834</v>
      </c>
      <c r="Q894" s="3" t="s">
        <v>631</v>
      </c>
      <c r="R894" s="3" t="s">
        <v>632</v>
      </c>
      <c r="S894" s="3">
        <v>71710560</v>
      </c>
      <c r="T894" s="3">
        <v>6130214582</v>
      </c>
      <c r="U894" s="3" t="s">
        <v>29</v>
      </c>
    </row>
    <row r="895" spans="1:21" ht="13.2" x14ac:dyDescent="0.25">
      <c r="A895" s="14">
        <v>45987005000198</v>
      </c>
      <c r="B895" s="15" t="str">
        <f t="shared" si="13"/>
        <v>45.987.005/0001-98</v>
      </c>
      <c r="C895" s="12" t="str">
        <f>VLOOKUP(B895,[1]Planilha1!$A:$B,2,0)</f>
        <v>Malu Montesino</v>
      </c>
      <c r="D895" s="3" t="s">
        <v>3781</v>
      </c>
      <c r="E895" s="3" t="s">
        <v>3782</v>
      </c>
      <c r="F895" s="3" t="s">
        <v>20</v>
      </c>
      <c r="G895" s="4">
        <v>24294</v>
      </c>
      <c r="H895" s="3" t="s">
        <v>94</v>
      </c>
      <c r="I895" s="3" t="s">
        <v>33</v>
      </c>
      <c r="J895" s="5">
        <v>314479040</v>
      </c>
      <c r="K895" s="3">
        <v>4530705</v>
      </c>
      <c r="L895" s="3" t="s">
        <v>1488</v>
      </c>
      <c r="M895" s="3" t="s">
        <v>3783</v>
      </c>
      <c r="N895" s="3">
        <v>2155</v>
      </c>
      <c r="P895" s="3" t="s">
        <v>536</v>
      </c>
      <c r="Q895" s="3" t="s">
        <v>65</v>
      </c>
      <c r="R895" s="3" t="s">
        <v>28</v>
      </c>
      <c r="S895" s="3">
        <v>13051900</v>
      </c>
      <c r="T895" s="3">
        <v>1937288206</v>
      </c>
      <c r="U895" s="3" t="s">
        <v>29</v>
      </c>
    </row>
    <row r="896" spans="1:21" ht="13.2" x14ac:dyDescent="0.25">
      <c r="A896" s="14">
        <v>3145640000188</v>
      </c>
      <c r="B896" s="15" t="str">
        <f t="shared" si="13"/>
        <v>03.145.640/0001-88</v>
      </c>
      <c r="C896" s="12"/>
      <c r="D896" s="3" t="s">
        <v>3784</v>
      </c>
      <c r="E896" s="3" t="s">
        <v>3785</v>
      </c>
      <c r="F896" s="3" t="s">
        <v>20</v>
      </c>
      <c r="G896" s="4">
        <v>36291</v>
      </c>
      <c r="H896" s="3" t="s">
        <v>21</v>
      </c>
      <c r="I896" s="3" t="s">
        <v>22</v>
      </c>
      <c r="J896" s="5">
        <v>2000000</v>
      </c>
      <c r="K896" s="3">
        <v>4744099</v>
      </c>
      <c r="L896" s="3" t="s">
        <v>115</v>
      </c>
      <c r="M896" s="3" t="s">
        <v>3786</v>
      </c>
      <c r="N896" s="3">
        <v>282</v>
      </c>
      <c r="O896" s="3" t="s">
        <v>3787</v>
      </c>
      <c r="P896" s="3" t="s">
        <v>3788</v>
      </c>
      <c r="Q896" s="3" t="s">
        <v>529</v>
      </c>
      <c r="R896" s="3" t="s">
        <v>100</v>
      </c>
      <c r="S896" s="3">
        <v>35041440</v>
      </c>
      <c r="T896" s="3">
        <v>3330150900</v>
      </c>
      <c r="U896" s="3" t="s">
        <v>29</v>
      </c>
    </row>
    <row r="897" spans="1:21" ht="13.2" x14ac:dyDescent="0.25">
      <c r="A897" s="14">
        <v>9113843000179</v>
      </c>
      <c r="B897" s="15" t="str">
        <f t="shared" si="13"/>
        <v>09.113.843/0001-79</v>
      </c>
      <c r="C897" s="12"/>
      <c r="D897" s="3" t="s">
        <v>3789</v>
      </c>
      <c r="E897" s="3" t="s">
        <v>3790</v>
      </c>
      <c r="F897" s="3" t="s">
        <v>20</v>
      </c>
      <c r="G897" s="4">
        <v>39363</v>
      </c>
      <c r="H897" s="3" t="s">
        <v>21</v>
      </c>
      <c r="I897" s="3" t="s">
        <v>33</v>
      </c>
      <c r="J897" s="5">
        <v>8898450</v>
      </c>
      <c r="K897" s="3">
        <v>4651601</v>
      </c>
      <c r="L897" s="3" t="s">
        <v>684</v>
      </c>
      <c r="M897" s="3" t="s">
        <v>3791</v>
      </c>
      <c r="N897" s="3">
        <v>2004</v>
      </c>
      <c r="O897" s="3" t="s">
        <v>3792</v>
      </c>
      <c r="P897" s="3" t="s">
        <v>3793</v>
      </c>
      <c r="Q897" s="3" t="s">
        <v>667</v>
      </c>
      <c r="R897" s="3" t="s">
        <v>301</v>
      </c>
      <c r="S897" s="3">
        <v>60440214</v>
      </c>
      <c r="T897" s="3">
        <v>8599224715</v>
      </c>
      <c r="U897" s="3" t="s">
        <v>29</v>
      </c>
    </row>
    <row r="898" spans="1:21" ht="13.2" x14ac:dyDescent="0.25">
      <c r="A898" s="14">
        <v>8491274000213</v>
      </c>
      <c r="B898" s="15" t="str">
        <f t="shared" si="13"/>
        <v>08.491.274/0002-13</v>
      </c>
      <c r="C898" s="12"/>
      <c r="D898" s="3" t="s">
        <v>3794</v>
      </c>
      <c r="E898" s="3" t="s">
        <v>3795</v>
      </c>
      <c r="F898" s="3" t="s">
        <v>45</v>
      </c>
      <c r="G898" s="4">
        <v>42636</v>
      </c>
      <c r="H898" s="3" t="s">
        <v>21</v>
      </c>
      <c r="I898" s="3" t="s">
        <v>22</v>
      </c>
      <c r="J898" s="5">
        <v>500000</v>
      </c>
      <c r="K898" s="3">
        <v>4641901</v>
      </c>
      <c r="L898" s="3" t="s">
        <v>3796</v>
      </c>
      <c r="M898" s="3" t="s">
        <v>3797</v>
      </c>
      <c r="N898" s="3">
        <v>901</v>
      </c>
      <c r="P898" s="3" t="s">
        <v>3798</v>
      </c>
      <c r="Q898" s="3" t="s">
        <v>27</v>
      </c>
      <c r="R898" s="3" t="s">
        <v>28</v>
      </c>
      <c r="S898" s="3">
        <v>2611003</v>
      </c>
      <c r="T898" s="3">
        <v>1126937222</v>
      </c>
      <c r="U898" s="3" t="s">
        <v>29</v>
      </c>
    </row>
    <row r="899" spans="1:21" ht="13.2" x14ac:dyDescent="0.25">
      <c r="A899" s="14">
        <v>9514658000196</v>
      </c>
      <c r="B899" s="15" t="str">
        <f t="shared" ref="B899:B962" si="14">TEXT(A899,"00\.000\.000\/0000\-00")</f>
        <v>09.514.658/0001-96</v>
      </c>
      <c r="C899" s="12"/>
      <c r="D899" s="3" t="s">
        <v>3799</v>
      </c>
      <c r="E899" s="3" t="s">
        <v>3800</v>
      </c>
      <c r="F899" s="3" t="s">
        <v>20</v>
      </c>
      <c r="G899" s="4">
        <v>39518</v>
      </c>
      <c r="H899" s="3" t="s">
        <v>21</v>
      </c>
      <c r="I899" s="3" t="s">
        <v>33</v>
      </c>
      <c r="J899" s="5">
        <v>120000</v>
      </c>
      <c r="K899" s="3">
        <v>4635402</v>
      </c>
      <c r="L899" s="3" t="s">
        <v>3801</v>
      </c>
      <c r="M899" s="3" t="s">
        <v>3802</v>
      </c>
      <c r="N899" s="3">
        <v>2105</v>
      </c>
      <c r="P899" s="3" t="s">
        <v>3803</v>
      </c>
      <c r="Q899" s="3" t="s">
        <v>881</v>
      </c>
      <c r="R899" s="3" t="s">
        <v>28</v>
      </c>
      <c r="S899" s="3">
        <v>9370800</v>
      </c>
      <c r="T899" s="3">
        <v>1145147460</v>
      </c>
      <c r="U899" s="3" t="s">
        <v>29</v>
      </c>
    </row>
    <row r="900" spans="1:21" ht="13.2" x14ac:dyDescent="0.25">
      <c r="A900" s="14">
        <v>1970853000119</v>
      </c>
      <c r="B900" s="15" t="str">
        <f t="shared" si="14"/>
        <v>01.970.853/0001-19</v>
      </c>
      <c r="C900" s="12"/>
      <c r="D900" s="3" t="s">
        <v>3804</v>
      </c>
      <c r="E900" s="3" t="s">
        <v>3804</v>
      </c>
      <c r="F900" s="3" t="s">
        <v>20</v>
      </c>
      <c r="G900" s="4">
        <v>35626</v>
      </c>
      <c r="H900" s="3" t="s">
        <v>21</v>
      </c>
      <c r="I900" s="3" t="s">
        <v>22</v>
      </c>
      <c r="J900" s="5">
        <v>150000</v>
      </c>
      <c r="K900" s="3">
        <v>4645103</v>
      </c>
      <c r="L900" s="3" t="s">
        <v>1568</v>
      </c>
      <c r="M900" s="3" t="s">
        <v>2691</v>
      </c>
      <c r="N900" s="3">
        <v>41</v>
      </c>
      <c r="P900" s="3" t="s">
        <v>3805</v>
      </c>
      <c r="Q900" s="3" t="s">
        <v>881</v>
      </c>
      <c r="R900" s="3" t="s">
        <v>28</v>
      </c>
      <c r="S900" s="3">
        <v>9370660</v>
      </c>
      <c r="U900" s="3" t="s">
        <v>29</v>
      </c>
    </row>
    <row r="901" spans="1:21" ht="13.2" x14ac:dyDescent="0.25">
      <c r="A901" s="14">
        <v>73041188000190</v>
      </c>
      <c r="B901" s="15" t="str">
        <f t="shared" si="14"/>
        <v>73.041.188/0001-90</v>
      </c>
      <c r="C901" s="12" t="str">
        <f>VLOOKUP(B901,[1]Planilha1!$A:$B,2,0)</f>
        <v>Malu Montesino</v>
      </c>
      <c r="D901" s="3" t="s">
        <v>3806</v>
      </c>
      <c r="E901" s="3" t="s">
        <v>3807</v>
      </c>
      <c r="F901" s="3" t="s">
        <v>20</v>
      </c>
      <c r="G901" s="4">
        <v>34285</v>
      </c>
      <c r="H901" s="3" t="s">
        <v>21</v>
      </c>
      <c r="I901" s="3" t="s">
        <v>33</v>
      </c>
      <c r="J901" s="5">
        <v>25000000</v>
      </c>
      <c r="K901" s="3">
        <v>4313400</v>
      </c>
      <c r="L901" s="3" t="s">
        <v>3808</v>
      </c>
      <c r="M901" s="3" t="s">
        <v>3809</v>
      </c>
      <c r="N901" s="3">
        <v>810</v>
      </c>
      <c r="O901" s="3" t="s">
        <v>3810</v>
      </c>
      <c r="P901" s="3" t="s">
        <v>3811</v>
      </c>
      <c r="Q901" s="3" t="s">
        <v>1960</v>
      </c>
      <c r="R901" s="3" t="s">
        <v>28</v>
      </c>
      <c r="S901" s="3">
        <v>7700360</v>
      </c>
      <c r="T901" s="3">
        <v>1144417141</v>
      </c>
      <c r="U901" s="3" t="s">
        <v>29</v>
      </c>
    </row>
    <row r="902" spans="1:21" ht="13.2" x14ac:dyDescent="0.25">
      <c r="A902" s="14">
        <v>57158057000130</v>
      </c>
      <c r="B902" s="15" t="str">
        <f t="shared" si="14"/>
        <v>57.158.057/0001-30</v>
      </c>
      <c r="C902" s="12"/>
      <c r="D902" s="3" t="s">
        <v>3812</v>
      </c>
      <c r="E902" s="3" t="s">
        <v>3812</v>
      </c>
      <c r="F902" s="3" t="s">
        <v>20</v>
      </c>
      <c r="G902" s="4">
        <v>31831</v>
      </c>
      <c r="H902" s="3" t="s">
        <v>21</v>
      </c>
      <c r="I902" s="3" t="s">
        <v>33</v>
      </c>
      <c r="J902" s="5">
        <v>6825646</v>
      </c>
      <c r="K902" s="3">
        <v>4673700</v>
      </c>
      <c r="L902" s="3" t="s">
        <v>861</v>
      </c>
      <c r="M902" s="3" t="s">
        <v>3813</v>
      </c>
      <c r="N902" s="3">
        <v>192</v>
      </c>
      <c r="O902" s="3" t="s">
        <v>2253</v>
      </c>
      <c r="P902" s="3" t="s">
        <v>753</v>
      </c>
      <c r="Q902" s="3" t="s">
        <v>27</v>
      </c>
      <c r="R902" s="3" t="s">
        <v>28</v>
      </c>
      <c r="S902" s="3">
        <v>5311030</v>
      </c>
      <c r="T902" s="3">
        <v>1136499800</v>
      </c>
      <c r="U902" s="3" t="s">
        <v>29</v>
      </c>
    </row>
    <row r="903" spans="1:21" ht="13.2" x14ac:dyDescent="0.25">
      <c r="A903" s="14">
        <v>3576719000163</v>
      </c>
      <c r="B903" s="15" t="str">
        <f t="shared" si="14"/>
        <v>03.576.719/0001-63</v>
      </c>
      <c r="C903" s="12"/>
      <c r="D903" s="3" t="s">
        <v>3814</v>
      </c>
      <c r="E903" s="3" t="s">
        <v>3814</v>
      </c>
      <c r="F903" s="3" t="s">
        <v>20</v>
      </c>
      <c r="G903" s="4">
        <v>36528</v>
      </c>
      <c r="H903" s="3" t="s">
        <v>21</v>
      </c>
      <c r="I903" s="3" t="s">
        <v>33</v>
      </c>
      <c r="J903" s="5">
        <v>3000000</v>
      </c>
      <c r="K903" s="3">
        <v>4693100</v>
      </c>
      <c r="L903" s="3" t="s">
        <v>238</v>
      </c>
      <c r="M903" s="3" t="s">
        <v>3815</v>
      </c>
      <c r="N903" s="3">
        <v>362</v>
      </c>
      <c r="O903" s="3" t="s">
        <v>3816</v>
      </c>
      <c r="P903" s="3" t="s">
        <v>3817</v>
      </c>
      <c r="Q903" s="3" t="s">
        <v>357</v>
      </c>
      <c r="R903" s="3" t="s">
        <v>28</v>
      </c>
      <c r="S903" s="3">
        <v>7260294</v>
      </c>
      <c r="T903" s="3">
        <v>1123035122</v>
      </c>
      <c r="U903" s="3" t="s">
        <v>29</v>
      </c>
    </row>
    <row r="904" spans="1:21" ht="13.2" x14ac:dyDescent="0.25">
      <c r="A904" s="14">
        <v>8285109000124</v>
      </c>
      <c r="B904" s="15" t="str">
        <f t="shared" si="14"/>
        <v>08.285.109/0001-24</v>
      </c>
      <c r="C904" s="12"/>
      <c r="D904" s="3" t="s">
        <v>3818</v>
      </c>
      <c r="E904" s="3" t="s">
        <v>3819</v>
      </c>
      <c r="F904" s="3" t="s">
        <v>45</v>
      </c>
      <c r="G904" s="4">
        <v>38972</v>
      </c>
      <c r="H904" s="3" t="s">
        <v>21</v>
      </c>
      <c r="I904" s="3" t="s">
        <v>47</v>
      </c>
      <c r="J904" s="5">
        <v>210000</v>
      </c>
      <c r="K904" s="3">
        <v>4642701</v>
      </c>
      <c r="L904" s="3" t="s">
        <v>1174</v>
      </c>
      <c r="M904" s="3" t="s">
        <v>2816</v>
      </c>
      <c r="N904" s="3">
        <v>7</v>
      </c>
      <c r="P904" s="3" t="s">
        <v>3767</v>
      </c>
      <c r="Q904" s="3" t="s">
        <v>1846</v>
      </c>
      <c r="R904" s="3" t="s">
        <v>1847</v>
      </c>
      <c r="S904" s="3">
        <v>57083410</v>
      </c>
      <c r="T904" s="3">
        <v>8233242686</v>
      </c>
      <c r="U904" s="3" t="s">
        <v>29</v>
      </c>
    </row>
    <row r="905" spans="1:21" ht="13.2" x14ac:dyDescent="0.25">
      <c r="A905" s="14">
        <v>3734219000102</v>
      </c>
      <c r="B905" s="15" t="str">
        <f t="shared" si="14"/>
        <v>03.734.219/0001-02</v>
      </c>
      <c r="C905" s="12"/>
      <c r="D905" s="3" t="s">
        <v>3820</v>
      </c>
      <c r="E905" s="3" t="s">
        <v>3821</v>
      </c>
      <c r="F905" s="3" t="s">
        <v>20</v>
      </c>
      <c r="G905" s="4">
        <v>36616</v>
      </c>
      <c r="H905" s="3" t="s">
        <v>21</v>
      </c>
      <c r="I905" s="3" t="s">
        <v>33</v>
      </c>
      <c r="J905" s="5">
        <v>200000</v>
      </c>
      <c r="K905" s="3">
        <v>4744099</v>
      </c>
      <c r="L905" s="3" t="s">
        <v>115</v>
      </c>
      <c r="M905" s="3" t="s">
        <v>3822</v>
      </c>
      <c r="N905" s="3">
        <v>5588</v>
      </c>
      <c r="P905" s="3" t="s">
        <v>70</v>
      </c>
      <c r="Q905" s="3" t="s">
        <v>3823</v>
      </c>
      <c r="R905" s="3" t="s">
        <v>91</v>
      </c>
      <c r="S905" s="3">
        <v>89275000</v>
      </c>
      <c r="T905" s="3">
        <v>4733741116</v>
      </c>
      <c r="U905" s="3" t="s">
        <v>29</v>
      </c>
    </row>
    <row r="906" spans="1:21" ht="13.2" x14ac:dyDescent="0.25">
      <c r="A906" s="14">
        <v>40874844000186</v>
      </c>
      <c r="B906" s="15" t="str">
        <f t="shared" si="14"/>
        <v>40.874.844/0001-86</v>
      </c>
      <c r="C906" s="12"/>
      <c r="D906" s="3" t="s">
        <v>3824</v>
      </c>
      <c r="E906" s="3" t="s">
        <v>3824</v>
      </c>
      <c r="F906" s="3" t="s">
        <v>45</v>
      </c>
      <c r="G906" s="4">
        <v>33619</v>
      </c>
      <c r="H906" s="3" t="s">
        <v>21</v>
      </c>
      <c r="I906" s="3" t="s">
        <v>33</v>
      </c>
      <c r="J906" s="5">
        <v>0</v>
      </c>
      <c r="K906" s="3">
        <v>4755501</v>
      </c>
      <c r="L906" s="3" t="s">
        <v>3774</v>
      </c>
      <c r="M906" s="3" t="s">
        <v>3825</v>
      </c>
      <c r="N906" s="3">
        <v>223</v>
      </c>
      <c r="O906" s="3" t="s">
        <v>3826</v>
      </c>
      <c r="P906" s="3" t="s">
        <v>3827</v>
      </c>
      <c r="Q906" s="3" t="s">
        <v>515</v>
      </c>
      <c r="R906" s="3" t="s">
        <v>456</v>
      </c>
      <c r="S906" s="3">
        <v>54310600</v>
      </c>
      <c r="U906" s="3" t="s">
        <v>29</v>
      </c>
    </row>
    <row r="907" spans="1:21" ht="13.2" x14ac:dyDescent="0.25">
      <c r="A907" s="14">
        <v>21249311000169</v>
      </c>
      <c r="B907" s="15" t="str">
        <f t="shared" si="14"/>
        <v>21.249.311/0001-69</v>
      </c>
      <c r="C907" s="12"/>
      <c r="D907" s="3" t="s">
        <v>3828</v>
      </c>
      <c r="E907" s="3" t="s">
        <v>3829</v>
      </c>
      <c r="F907" s="3" t="s">
        <v>20</v>
      </c>
      <c r="G907" s="4">
        <v>41929</v>
      </c>
      <c r="H907" s="3" t="s">
        <v>21</v>
      </c>
      <c r="I907" s="3" t="s">
        <v>22</v>
      </c>
      <c r="J907" s="5">
        <v>600000</v>
      </c>
      <c r="K907" s="3">
        <v>4633801</v>
      </c>
      <c r="L907" s="3" t="s">
        <v>750</v>
      </c>
      <c r="M907" s="3" t="s">
        <v>3830</v>
      </c>
      <c r="N907" s="3">
        <v>66</v>
      </c>
      <c r="P907" s="3" t="s">
        <v>3831</v>
      </c>
      <c r="Q907" s="3" t="s">
        <v>231</v>
      </c>
      <c r="R907" s="3" t="s">
        <v>28</v>
      </c>
      <c r="S907" s="3">
        <v>18074480</v>
      </c>
      <c r="T907" s="3">
        <v>1591309390</v>
      </c>
      <c r="U907" s="3" t="s">
        <v>29</v>
      </c>
    </row>
    <row r="908" spans="1:21" ht="13.2" x14ac:dyDescent="0.25">
      <c r="A908" s="14">
        <v>18387904000187</v>
      </c>
      <c r="B908" s="15" t="str">
        <f t="shared" si="14"/>
        <v>18.387.904/0001-87</v>
      </c>
      <c r="C908" s="12"/>
      <c r="D908" s="3" t="s">
        <v>3832</v>
      </c>
      <c r="E908" s="3" t="s">
        <v>3833</v>
      </c>
      <c r="F908" s="3" t="s">
        <v>20</v>
      </c>
      <c r="G908" s="4">
        <v>41453</v>
      </c>
      <c r="H908" s="3" t="s">
        <v>21</v>
      </c>
      <c r="I908" s="3" t="s">
        <v>22</v>
      </c>
      <c r="J908" s="5">
        <v>2000000</v>
      </c>
      <c r="K908" s="3">
        <v>5611201</v>
      </c>
      <c r="L908" s="3" t="s">
        <v>3834</v>
      </c>
      <c r="M908" s="3" t="s">
        <v>3835</v>
      </c>
      <c r="N908" s="3">
        <v>300</v>
      </c>
      <c r="P908" s="3" t="s">
        <v>3169</v>
      </c>
      <c r="Q908" s="3" t="s">
        <v>2822</v>
      </c>
      <c r="R908" s="3" t="s">
        <v>28</v>
      </c>
      <c r="S908" s="3">
        <v>12238573</v>
      </c>
      <c r="T908" s="3">
        <v>1233462504</v>
      </c>
      <c r="U908" s="3" t="s">
        <v>29</v>
      </c>
    </row>
    <row r="909" spans="1:21" ht="13.2" x14ac:dyDescent="0.25">
      <c r="A909" s="14">
        <v>36066440000199</v>
      </c>
      <c r="B909" s="15" t="str">
        <f t="shared" si="14"/>
        <v>36.066.440/0001-99</v>
      </c>
      <c r="C909" s="12"/>
      <c r="D909" s="3" t="s">
        <v>3836</v>
      </c>
      <c r="E909" s="3" t="s">
        <v>3836</v>
      </c>
      <c r="F909" s="3" t="s">
        <v>20</v>
      </c>
      <c r="G909" s="4">
        <v>43850</v>
      </c>
      <c r="H909" s="3" t="s">
        <v>21</v>
      </c>
      <c r="I909" s="3" t="s">
        <v>47</v>
      </c>
      <c r="J909" s="5">
        <v>1500000</v>
      </c>
      <c r="K909" s="3">
        <v>4639701</v>
      </c>
      <c r="L909" s="3" t="s">
        <v>3611</v>
      </c>
      <c r="M909" s="3" t="s">
        <v>3837</v>
      </c>
      <c r="N909" s="3">
        <v>972</v>
      </c>
      <c r="O909" s="3" t="s">
        <v>222</v>
      </c>
      <c r="P909" s="3" t="s">
        <v>3838</v>
      </c>
      <c r="Q909" s="3" t="s">
        <v>27</v>
      </c>
      <c r="R909" s="3" t="s">
        <v>28</v>
      </c>
      <c r="S909" s="3">
        <v>1121000</v>
      </c>
      <c r="T909" s="3">
        <v>1133114197</v>
      </c>
      <c r="U909" s="3" t="s">
        <v>29</v>
      </c>
    </row>
    <row r="910" spans="1:21" ht="13.2" x14ac:dyDescent="0.25">
      <c r="A910" s="14">
        <v>2600770000109</v>
      </c>
      <c r="B910" s="15" t="str">
        <f t="shared" si="14"/>
        <v>02.600.770/0001-09</v>
      </c>
      <c r="C910" s="12"/>
      <c r="D910" s="3" t="s">
        <v>3839</v>
      </c>
      <c r="E910" s="3" t="s">
        <v>3839</v>
      </c>
      <c r="F910" s="3" t="s">
        <v>20</v>
      </c>
      <c r="G910" s="4">
        <v>35975</v>
      </c>
      <c r="H910" s="3" t="s">
        <v>21</v>
      </c>
      <c r="I910" s="3" t="s">
        <v>33</v>
      </c>
      <c r="J910" s="5">
        <v>10000000</v>
      </c>
      <c r="K910" s="3">
        <v>4644301</v>
      </c>
      <c r="L910" s="3" t="s">
        <v>326</v>
      </c>
      <c r="M910" s="3" t="s">
        <v>3840</v>
      </c>
      <c r="N910" s="3">
        <v>455</v>
      </c>
      <c r="O910" s="3" t="s">
        <v>3841</v>
      </c>
      <c r="P910" s="3" t="s">
        <v>3842</v>
      </c>
      <c r="Q910" s="3" t="s">
        <v>667</v>
      </c>
      <c r="R910" s="3" t="s">
        <v>301</v>
      </c>
      <c r="S910" s="3">
        <v>60842120</v>
      </c>
      <c r="T910" s="3">
        <v>8530369090</v>
      </c>
      <c r="U910" s="3" t="s">
        <v>29</v>
      </c>
    </row>
    <row r="911" spans="1:21" ht="13.2" x14ac:dyDescent="0.25">
      <c r="A911" s="14">
        <v>12117445000135</v>
      </c>
      <c r="B911" s="15" t="str">
        <f t="shared" si="14"/>
        <v>12.117.445/0001-35</v>
      </c>
      <c r="C911" s="12"/>
      <c r="D911" s="3" t="s">
        <v>3843</v>
      </c>
      <c r="E911" s="3" t="s">
        <v>3844</v>
      </c>
      <c r="F911" s="3" t="s">
        <v>20</v>
      </c>
      <c r="G911" s="4">
        <v>39952</v>
      </c>
      <c r="H911" s="3" t="s">
        <v>21</v>
      </c>
      <c r="I911" s="3" t="s">
        <v>33</v>
      </c>
      <c r="J911" s="5">
        <v>5000000</v>
      </c>
      <c r="K911" s="3">
        <v>4731800</v>
      </c>
      <c r="L911" s="3" t="s">
        <v>1930</v>
      </c>
      <c r="M911" s="3" t="s">
        <v>3845</v>
      </c>
      <c r="N911" s="3" t="s">
        <v>82</v>
      </c>
      <c r="P911" s="3" t="s">
        <v>3846</v>
      </c>
      <c r="Q911" s="3" t="s">
        <v>3847</v>
      </c>
      <c r="R911" s="3" t="s">
        <v>28</v>
      </c>
      <c r="S911" s="3">
        <v>14550000</v>
      </c>
      <c r="T911" s="3">
        <v>1637012032</v>
      </c>
      <c r="U911" s="3" t="s">
        <v>29</v>
      </c>
    </row>
    <row r="912" spans="1:21" ht="13.2" x14ac:dyDescent="0.25">
      <c r="A912" s="14">
        <v>95433397000111</v>
      </c>
      <c r="B912" s="15" t="str">
        <f t="shared" si="14"/>
        <v>95.433.397/0001-11</v>
      </c>
      <c r="C912" s="12" t="str">
        <f>VLOOKUP(B912,[1]Planilha1!$A:$B,2,0)</f>
        <v>Malu Montesino</v>
      </c>
      <c r="D912" s="3" t="s">
        <v>3848</v>
      </c>
      <c r="E912" s="3" t="s">
        <v>3848</v>
      </c>
      <c r="F912" s="3" t="s">
        <v>20</v>
      </c>
      <c r="G912" s="4">
        <v>33984</v>
      </c>
      <c r="H912" s="3" t="s">
        <v>21</v>
      </c>
      <c r="I912" s="3" t="s">
        <v>33</v>
      </c>
      <c r="J912" s="5">
        <v>3000000</v>
      </c>
      <c r="K912" s="3">
        <v>4664800</v>
      </c>
      <c r="L912" s="3" t="s">
        <v>691</v>
      </c>
      <c r="M912" s="3" t="s">
        <v>3849</v>
      </c>
      <c r="N912" s="3">
        <v>270</v>
      </c>
      <c r="P912" s="3" t="s">
        <v>1316</v>
      </c>
      <c r="Q912" s="3" t="s">
        <v>204</v>
      </c>
      <c r="R912" s="3" t="s">
        <v>187</v>
      </c>
      <c r="S912" s="3">
        <v>82600070</v>
      </c>
      <c r="T912" s="3">
        <v>4121028344</v>
      </c>
      <c r="U912" s="3" t="s">
        <v>29</v>
      </c>
    </row>
    <row r="913" spans="1:21" ht="13.2" x14ac:dyDescent="0.25">
      <c r="A913" s="14">
        <v>88212113000100</v>
      </c>
      <c r="B913" s="15" t="str">
        <f t="shared" si="14"/>
        <v>88.212.113/0001-00</v>
      </c>
      <c r="C913" s="12"/>
      <c r="D913" s="3" t="s">
        <v>3850</v>
      </c>
      <c r="E913" s="3" t="s">
        <v>3851</v>
      </c>
      <c r="F913" s="3" t="s">
        <v>20</v>
      </c>
      <c r="G913" s="4">
        <v>30111</v>
      </c>
      <c r="H913" s="3" t="s">
        <v>21</v>
      </c>
      <c r="I913" s="3" t="s">
        <v>33</v>
      </c>
      <c r="J913" s="5">
        <v>9000</v>
      </c>
      <c r="K913" s="3">
        <v>4771702</v>
      </c>
      <c r="L913" s="3" t="s">
        <v>3852</v>
      </c>
      <c r="M913" s="3" t="s">
        <v>3853</v>
      </c>
      <c r="N913" s="3">
        <v>665</v>
      </c>
      <c r="P913" s="3" t="s">
        <v>70</v>
      </c>
      <c r="Q913" s="3" t="s">
        <v>3854</v>
      </c>
      <c r="R913" s="3" t="s">
        <v>53</v>
      </c>
      <c r="S913" s="3">
        <v>99025001</v>
      </c>
      <c r="T913" s="3">
        <v>5496757576</v>
      </c>
      <c r="U913" s="3" t="s">
        <v>29</v>
      </c>
    </row>
    <row r="914" spans="1:21" ht="13.2" x14ac:dyDescent="0.25">
      <c r="A914" s="14">
        <v>64654650000133</v>
      </c>
      <c r="B914" s="15" t="str">
        <f t="shared" si="14"/>
        <v>64.654.650/0001-33</v>
      </c>
      <c r="C914" s="12"/>
      <c r="D914" s="3" t="s">
        <v>3855</v>
      </c>
      <c r="E914" s="3" t="s">
        <v>3855</v>
      </c>
      <c r="F914" s="3" t="s">
        <v>20</v>
      </c>
      <c r="G914" s="4">
        <v>33142</v>
      </c>
      <c r="H914" s="3" t="s">
        <v>21</v>
      </c>
      <c r="I914" s="3" t="s">
        <v>33</v>
      </c>
      <c r="J914" s="5">
        <v>250000</v>
      </c>
      <c r="K914" s="3">
        <v>1020101</v>
      </c>
      <c r="L914" s="3" t="s">
        <v>3856</v>
      </c>
      <c r="M914" s="3" t="s">
        <v>3857</v>
      </c>
      <c r="N914" s="3">
        <v>52</v>
      </c>
      <c r="P914" s="3" t="s">
        <v>3858</v>
      </c>
      <c r="Q914" s="3" t="s">
        <v>294</v>
      </c>
      <c r="R914" s="3" t="s">
        <v>28</v>
      </c>
      <c r="S914" s="3">
        <v>11015535</v>
      </c>
      <c r="U914" s="3" t="s">
        <v>29</v>
      </c>
    </row>
    <row r="915" spans="1:21" ht="13.2" x14ac:dyDescent="0.25">
      <c r="A915" s="14">
        <v>8673325000147</v>
      </c>
      <c r="B915" s="15" t="str">
        <f t="shared" si="14"/>
        <v>08.673.325/0001-47</v>
      </c>
      <c r="C915" s="12" t="str">
        <f>VLOOKUP(B915,[1]Planilha1!$A:$B,2,0)</f>
        <v>Malu Montesino</v>
      </c>
      <c r="D915" s="3" t="s">
        <v>3859</v>
      </c>
      <c r="E915" s="3" t="s">
        <v>3859</v>
      </c>
      <c r="F915" s="3" t="s">
        <v>20</v>
      </c>
      <c r="G915" s="4">
        <v>39126</v>
      </c>
      <c r="H915" s="3" t="s">
        <v>21</v>
      </c>
      <c r="I915" s="3" t="s">
        <v>47</v>
      </c>
      <c r="J915" s="5">
        <v>240000</v>
      </c>
      <c r="K915" s="3">
        <v>9529199</v>
      </c>
      <c r="L915" s="3" t="s">
        <v>2800</v>
      </c>
      <c r="M915" s="3" t="s">
        <v>3860</v>
      </c>
      <c r="N915" s="3">
        <v>1219</v>
      </c>
      <c r="P915" s="3" t="s">
        <v>3861</v>
      </c>
      <c r="Q915" s="3" t="s">
        <v>688</v>
      </c>
      <c r="R915" s="3" t="s">
        <v>28</v>
      </c>
      <c r="S915" s="3">
        <v>6703000</v>
      </c>
      <c r="T915" s="3">
        <v>1146152160</v>
      </c>
      <c r="U915" s="3" t="s">
        <v>29</v>
      </c>
    </row>
    <row r="916" spans="1:21" ht="13.2" x14ac:dyDescent="0.25">
      <c r="A916" s="14">
        <v>940956000173</v>
      </c>
      <c r="B916" s="15" t="str">
        <f t="shared" si="14"/>
        <v>00.940.956/0001-73</v>
      </c>
      <c r="C916" s="12"/>
      <c r="D916" s="3" t="s">
        <v>3862</v>
      </c>
      <c r="E916" s="3" t="s">
        <v>3863</v>
      </c>
      <c r="F916" s="3" t="s">
        <v>20</v>
      </c>
      <c r="G916" s="4">
        <v>35032</v>
      </c>
      <c r="H916" s="3" t="s">
        <v>94</v>
      </c>
      <c r="I916" s="3" t="s">
        <v>33</v>
      </c>
      <c r="J916" s="5">
        <v>30000000</v>
      </c>
      <c r="K916" s="3">
        <v>2930102</v>
      </c>
      <c r="L916" s="3" t="s">
        <v>3053</v>
      </c>
      <c r="M916" s="3" t="s">
        <v>3864</v>
      </c>
      <c r="N916" s="3">
        <v>1382</v>
      </c>
      <c r="P916" s="3" t="s">
        <v>610</v>
      </c>
      <c r="Q916" s="3" t="s">
        <v>3865</v>
      </c>
      <c r="R916" s="3" t="s">
        <v>53</v>
      </c>
      <c r="S916" s="3">
        <v>99706404</v>
      </c>
      <c r="U916" s="3" t="s">
        <v>29</v>
      </c>
    </row>
    <row r="917" spans="1:21" ht="13.2" x14ac:dyDescent="0.25">
      <c r="A917" s="14">
        <v>3813799000123</v>
      </c>
      <c r="B917" s="15" t="str">
        <f t="shared" si="14"/>
        <v>03.813.799/0001-23</v>
      </c>
      <c r="C917" s="12" t="str">
        <f>VLOOKUP(B917,[1]Planilha1!$A:$B,2,0)</f>
        <v>Malu Montesino</v>
      </c>
      <c r="D917" s="3" t="s">
        <v>3866</v>
      </c>
      <c r="E917" s="3" t="s">
        <v>3866</v>
      </c>
      <c r="F917" s="3" t="s">
        <v>20</v>
      </c>
      <c r="G917" s="4">
        <v>36662</v>
      </c>
      <c r="H917" s="3" t="s">
        <v>94</v>
      </c>
      <c r="I917" s="3" t="s">
        <v>33</v>
      </c>
      <c r="J917" s="5">
        <v>90000</v>
      </c>
      <c r="K917" s="3">
        <v>6202300</v>
      </c>
      <c r="L917" s="3" t="s">
        <v>103</v>
      </c>
      <c r="M917" s="3" t="s">
        <v>3867</v>
      </c>
      <c r="N917" s="3">
        <v>435</v>
      </c>
      <c r="P917" s="3" t="s">
        <v>3150</v>
      </c>
      <c r="Q917" s="3" t="s">
        <v>524</v>
      </c>
      <c r="R917" s="3" t="s">
        <v>28</v>
      </c>
      <c r="S917" s="3">
        <v>14026583</v>
      </c>
      <c r="T917" s="3">
        <v>1621014000</v>
      </c>
      <c r="U917" s="3" t="s">
        <v>29</v>
      </c>
    </row>
    <row r="918" spans="1:21" ht="13.2" x14ac:dyDescent="0.25">
      <c r="A918" s="14">
        <v>7662932000149</v>
      </c>
      <c r="B918" s="15" t="str">
        <f t="shared" si="14"/>
        <v>07.662.932/0001-49</v>
      </c>
      <c r="C918" s="12" t="str">
        <f>VLOOKUP(B918,[1]Planilha1!$A:$B,2,0)</f>
        <v>Malu Montesino</v>
      </c>
      <c r="D918" s="3" t="s">
        <v>3868</v>
      </c>
      <c r="E918" s="3" t="s">
        <v>3868</v>
      </c>
      <c r="F918" s="3" t="s">
        <v>20</v>
      </c>
      <c r="G918" s="4">
        <v>38650</v>
      </c>
      <c r="H918" s="3" t="s">
        <v>21</v>
      </c>
      <c r="I918" s="3" t="s">
        <v>22</v>
      </c>
      <c r="J918" s="5">
        <v>1300000</v>
      </c>
      <c r="K918" s="3">
        <v>2610800</v>
      </c>
      <c r="L918" s="3" t="s">
        <v>548</v>
      </c>
      <c r="M918" s="3" t="s">
        <v>3869</v>
      </c>
      <c r="N918" s="3">
        <v>222</v>
      </c>
      <c r="O918" s="3" t="s">
        <v>3870</v>
      </c>
      <c r="P918" s="3" t="s">
        <v>3871</v>
      </c>
      <c r="Q918" s="3" t="s">
        <v>437</v>
      </c>
      <c r="R918" s="3" t="s">
        <v>53</v>
      </c>
      <c r="S918" s="3">
        <v>91330010</v>
      </c>
      <c r="T918" s="3">
        <v>5130262300</v>
      </c>
      <c r="U918" s="3" t="s">
        <v>29</v>
      </c>
    </row>
    <row r="919" spans="1:21" ht="13.2" x14ac:dyDescent="0.25">
      <c r="A919" s="14">
        <v>66607219000161</v>
      </c>
      <c r="B919" s="15" t="str">
        <f t="shared" si="14"/>
        <v>66.607.219/0001-61</v>
      </c>
      <c r="C919" s="12"/>
      <c r="D919" s="3" t="s">
        <v>3872</v>
      </c>
      <c r="E919" s="3" t="s">
        <v>3873</v>
      </c>
      <c r="F919" s="3" t="s">
        <v>20</v>
      </c>
      <c r="G919" s="4">
        <v>33444</v>
      </c>
      <c r="H919" s="3" t="s">
        <v>21</v>
      </c>
      <c r="I919" s="3" t="s">
        <v>33</v>
      </c>
      <c r="J919" s="5">
        <v>1000000</v>
      </c>
      <c r="K919" s="3">
        <v>4662100</v>
      </c>
      <c r="L919" s="3" t="s">
        <v>2324</v>
      </c>
      <c r="M919" s="3" t="s">
        <v>3874</v>
      </c>
      <c r="N919" s="3" t="s">
        <v>3875</v>
      </c>
      <c r="P919" s="3" t="s">
        <v>3876</v>
      </c>
      <c r="Q919" s="3" t="s">
        <v>324</v>
      </c>
      <c r="R919" s="3" t="s">
        <v>28</v>
      </c>
      <c r="S919" s="3">
        <v>17012648</v>
      </c>
      <c r="T919" s="3">
        <v>1433120001</v>
      </c>
      <c r="U919" s="3" t="s">
        <v>29</v>
      </c>
    </row>
    <row r="920" spans="1:21" ht="13.2" x14ac:dyDescent="0.25">
      <c r="A920" s="14">
        <v>7226794000155</v>
      </c>
      <c r="B920" s="15" t="str">
        <f t="shared" si="14"/>
        <v>07.226.794/0001-55</v>
      </c>
      <c r="C920" s="12"/>
      <c r="D920" s="3" t="s">
        <v>3877</v>
      </c>
      <c r="E920" s="3" t="s">
        <v>3877</v>
      </c>
      <c r="F920" s="3" t="s">
        <v>20</v>
      </c>
      <c r="G920" s="4">
        <v>38398</v>
      </c>
      <c r="H920" s="3" t="s">
        <v>3061</v>
      </c>
      <c r="I920" s="3" t="s">
        <v>33</v>
      </c>
      <c r="J920" s="5">
        <v>548055740</v>
      </c>
      <c r="K920" s="3">
        <v>3600601</v>
      </c>
      <c r="L920" s="3" t="s">
        <v>788</v>
      </c>
      <c r="M920" s="3" t="s">
        <v>3037</v>
      </c>
      <c r="N920" s="3">
        <v>3950</v>
      </c>
      <c r="P920" s="3" t="s">
        <v>3878</v>
      </c>
      <c r="Q920" s="3" t="s">
        <v>423</v>
      </c>
      <c r="R920" s="3" t="s">
        <v>91</v>
      </c>
      <c r="S920" s="3">
        <v>89216202</v>
      </c>
      <c r="T920" s="3">
        <v>4721051600</v>
      </c>
      <c r="U920" s="3" t="s">
        <v>29</v>
      </c>
    </row>
    <row r="921" spans="1:21" ht="13.2" x14ac:dyDescent="0.25">
      <c r="A921" s="14">
        <v>82508433000117</v>
      </c>
      <c r="B921" s="15" t="str">
        <f t="shared" si="14"/>
        <v>82.508.433/0001-17</v>
      </c>
      <c r="C921" s="12"/>
      <c r="D921" s="3" t="s">
        <v>3879</v>
      </c>
      <c r="E921" s="3" t="s">
        <v>3880</v>
      </c>
      <c r="F921" s="3" t="s">
        <v>20</v>
      </c>
      <c r="G921" s="4">
        <v>26141</v>
      </c>
      <c r="H921" s="3" t="s">
        <v>3881</v>
      </c>
      <c r="I921" s="3" t="s">
        <v>33</v>
      </c>
      <c r="J921" s="5">
        <v>1355289000</v>
      </c>
      <c r="K921" s="3">
        <v>3600601</v>
      </c>
      <c r="L921" s="3" t="s">
        <v>788</v>
      </c>
      <c r="M921" s="3" t="s">
        <v>3882</v>
      </c>
      <c r="N921" s="3">
        <v>83</v>
      </c>
      <c r="O921" s="3" t="s">
        <v>2747</v>
      </c>
      <c r="P921" s="3" t="s">
        <v>70</v>
      </c>
      <c r="Q921" s="3" t="s">
        <v>107</v>
      </c>
      <c r="R921" s="3" t="s">
        <v>91</v>
      </c>
      <c r="S921" s="3">
        <v>88020010</v>
      </c>
      <c r="T921" s="3">
        <v>4832215000</v>
      </c>
      <c r="U921" s="3" t="s">
        <v>29</v>
      </c>
    </row>
    <row r="922" spans="1:21" ht="13.2" x14ac:dyDescent="0.25">
      <c r="A922" s="14">
        <v>7040108000157</v>
      </c>
      <c r="B922" s="15" t="str">
        <f t="shared" si="14"/>
        <v>07.040.108/0001-57</v>
      </c>
      <c r="C922" s="12"/>
      <c r="D922" s="3" t="s">
        <v>3883</v>
      </c>
      <c r="E922" s="3" t="s">
        <v>3884</v>
      </c>
      <c r="F922" s="3" t="s">
        <v>20</v>
      </c>
      <c r="G922" s="4">
        <v>26184</v>
      </c>
      <c r="H922" s="3" t="s">
        <v>3881</v>
      </c>
      <c r="I922" s="3" t="s">
        <v>33</v>
      </c>
      <c r="J922" s="5">
        <v>2913810400</v>
      </c>
      <c r="K922" s="3">
        <v>3600601</v>
      </c>
      <c r="L922" s="3" t="s">
        <v>788</v>
      </c>
      <c r="M922" s="3" t="s">
        <v>3885</v>
      </c>
      <c r="N922" s="3">
        <v>1030</v>
      </c>
      <c r="P922" s="3" t="s">
        <v>3743</v>
      </c>
      <c r="Q922" s="3" t="s">
        <v>667</v>
      </c>
      <c r="R922" s="3" t="s">
        <v>301</v>
      </c>
      <c r="S922" s="3">
        <v>60422700</v>
      </c>
      <c r="T922" s="3">
        <v>8531011768</v>
      </c>
      <c r="U922" s="3" t="s">
        <v>29</v>
      </c>
    </row>
    <row r="923" spans="1:21" ht="13.2" x14ac:dyDescent="0.25">
      <c r="A923" s="14">
        <v>5976311000104</v>
      </c>
      <c r="B923" s="15" t="str">
        <f t="shared" si="14"/>
        <v>05.976.311/0001-04</v>
      </c>
      <c r="C923" s="12"/>
      <c r="D923" s="3" t="s">
        <v>3886</v>
      </c>
      <c r="E923" s="3" t="s">
        <v>3886</v>
      </c>
      <c r="F923" s="3" t="s">
        <v>20</v>
      </c>
      <c r="G923" s="4">
        <v>26758</v>
      </c>
      <c r="H923" s="3" t="s">
        <v>3881</v>
      </c>
      <c r="I923" s="3" t="s">
        <v>33</v>
      </c>
      <c r="J923" s="5">
        <v>251482880</v>
      </c>
      <c r="K923" s="3">
        <v>3600601</v>
      </c>
      <c r="L923" s="3" t="s">
        <v>788</v>
      </c>
      <c r="M923" s="3" t="s">
        <v>3887</v>
      </c>
      <c r="N923" s="3">
        <v>222</v>
      </c>
      <c r="P923" s="3" t="s">
        <v>3888</v>
      </c>
      <c r="Q923" s="3" t="s">
        <v>1650</v>
      </c>
      <c r="R923" s="3" t="s">
        <v>1651</v>
      </c>
      <c r="S923" s="3">
        <v>68908198</v>
      </c>
      <c r="T923" s="3">
        <v>9688019031</v>
      </c>
      <c r="U923" s="3" t="s">
        <v>29</v>
      </c>
    </row>
    <row r="924" spans="1:21" ht="13.2" x14ac:dyDescent="0.25">
      <c r="A924" s="14">
        <v>8334385000305</v>
      </c>
      <c r="B924" s="15" t="str">
        <f t="shared" si="14"/>
        <v>08.334.385/0003-05</v>
      </c>
      <c r="C924" s="12"/>
      <c r="D924" s="3" t="s">
        <v>3889</v>
      </c>
      <c r="E924" s="3" t="s">
        <v>3890</v>
      </c>
      <c r="F924" s="3" t="s">
        <v>20</v>
      </c>
      <c r="G924" s="4">
        <v>38212</v>
      </c>
      <c r="H924" s="3" t="s">
        <v>3881</v>
      </c>
      <c r="I924" s="3" t="s">
        <v>33</v>
      </c>
      <c r="J924" s="5">
        <v>1727568300</v>
      </c>
      <c r="K924" s="3">
        <v>3600601</v>
      </c>
      <c r="L924" s="3" t="s">
        <v>788</v>
      </c>
      <c r="M924" s="3" t="s">
        <v>3891</v>
      </c>
      <c r="N924" s="3">
        <v>198</v>
      </c>
      <c r="P924" s="3" t="s">
        <v>3892</v>
      </c>
      <c r="Q924" s="3" t="s">
        <v>2477</v>
      </c>
      <c r="R924" s="3" t="s">
        <v>1725</v>
      </c>
      <c r="S924" s="3">
        <v>59012430</v>
      </c>
      <c r="T924" s="3">
        <v>842324239</v>
      </c>
      <c r="U924" s="3" t="s">
        <v>29</v>
      </c>
    </row>
    <row r="925" spans="1:21" ht="13.2" x14ac:dyDescent="0.25">
      <c r="A925" s="14">
        <v>30742555000170</v>
      </c>
      <c r="B925" s="15" t="str">
        <f t="shared" si="14"/>
        <v>30.742.555/0001-70</v>
      </c>
      <c r="C925" s="12"/>
      <c r="D925" s="3" t="s">
        <v>3893</v>
      </c>
      <c r="E925" s="3" t="s">
        <v>3894</v>
      </c>
      <c r="F925" s="3" t="s">
        <v>20</v>
      </c>
      <c r="G925" s="4">
        <v>24324</v>
      </c>
      <c r="H925" s="3" t="s">
        <v>94</v>
      </c>
      <c r="I925" s="3" t="s">
        <v>33</v>
      </c>
      <c r="J925" s="5">
        <v>0</v>
      </c>
      <c r="K925" s="3">
        <v>3299002</v>
      </c>
      <c r="L925" s="3" t="s">
        <v>3895</v>
      </c>
      <c r="M925" s="3" t="s">
        <v>354</v>
      </c>
      <c r="N925" s="3">
        <v>17501</v>
      </c>
      <c r="O925" s="3" t="s">
        <v>3896</v>
      </c>
      <c r="P925" s="3" t="s">
        <v>3897</v>
      </c>
      <c r="Q925" s="3" t="s">
        <v>77</v>
      </c>
      <c r="R925" s="3" t="s">
        <v>78</v>
      </c>
      <c r="S925" s="3">
        <v>26280000</v>
      </c>
      <c r="T925" s="3">
        <v>2127651144</v>
      </c>
      <c r="U925" s="3" t="s">
        <v>29</v>
      </c>
    </row>
    <row r="926" spans="1:21" ht="13.2" x14ac:dyDescent="0.25">
      <c r="A926" s="14">
        <v>28732006000172</v>
      </c>
      <c r="B926" s="15" t="str">
        <f t="shared" si="14"/>
        <v>28.732.006/0001-72</v>
      </c>
      <c r="C926" s="12"/>
      <c r="D926" s="3" t="s">
        <v>3898</v>
      </c>
      <c r="E926" s="3" t="s">
        <v>3898</v>
      </c>
      <c r="F926" s="3" t="s">
        <v>20</v>
      </c>
      <c r="G926" s="4">
        <v>27009</v>
      </c>
      <c r="H926" s="3" t="s">
        <v>3881</v>
      </c>
      <c r="I926" s="3" t="s">
        <v>33</v>
      </c>
      <c r="J926" s="5">
        <v>8915000</v>
      </c>
      <c r="K926" s="3">
        <v>8411600</v>
      </c>
      <c r="L926" s="3" t="s">
        <v>621</v>
      </c>
      <c r="M926" s="3" t="s">
        <v>3899</v>
      </c>
      <c r="N926" s="3">
        <v>812</v>
      </c>
      <c r="O926" s="3" t="s">
        <v>835</v>
      </c>
      <c r="P926" s="3" t="s">
        <v>70</v>
      </c>
      <c r="Q926" s="3" t="s">
        <v>77</v>
      </c>
      <c r="R926" s="3" t="s">
        <v>78</v>
      </c>
      <c r="S926" s="3">
        <v>26221030</v>
      </c>
      <c r="T926" s="3">
        <v>2137933922</v>
      </c>
      <c r="U926" s="3" t="s">
        <v>29</v>
      </c>
    </row>
    <row r="927" spans="1:21" ht="13.2" x14ac:dyDescent="0.25">
      <c r="A927" s="14">
        <v>399857000126</v>
      </c>
      <c r="B927" s="15" t="str">
        <f t="shared" si="14"/>
        <v>00.399.857/0001-26</v>
      </c>
      <c r="C927" s="12"/>
      <c r="D927" s="3" t="s">
        <v>3900</v>
      </c>
      <c r="E927" s="3" t="s">
        <v>3901</v>
      </c>
      <c r="F927" s="3" t="s">
        <v>20</v>
      </c>
      <c r="G927" s="4">
        <v>27457</v>
      </c>
      <c r="H927" s="3" t="s">
        <v>3061</v>
      </c>
      <c r="I927" s="3" t="s">
        <v>33</v>
      </c>
      <c r="J927" s="5">
        <v>8221851600</v>
      </c>
      <c r="K927" s="3">
        <v>8411600</v>
      </c>
      <c r="L927" s="3" t="s">
        <v>621</v>
      </c>
      <c r="M927" s="3" t="s">
        <v>3902</v>
      </c>
      <c r="N927" s="3" t="s">
        <v>111</v>
      </c>
      <c r="O927" s="3" t="s">
        <v>3903</v>
      </c>
      <c r="P927" s="3" t="s">
        <v>630</v>
      </c>
      <c r="Q927" s="3" t="s">
        <v>631</v>
      </c>
      <c r="R927" s="3" t="s">
        <v>632</v>
      </c>
      <c r="S927" s="3">
        <v>70310500</v>
      </c>
      <c r="U927" s="3" t="s">
        <v>29</v>
      </c>
    </row>
    <row r="928" spans="1:21" ht="13.2" x14ac:dyDescent="0.25">
      <c r="A928" s="14">
        <v>47865597000109</v>
      </c>
      <c r="B928" s="15" t="str">
        <f t="shared" si="14"/>
        <v>47.865.597/0001-09</v>
      </c>
      <c r="C928" s="12"/>
      <c r="D928" s="3" t="s">
        <v>3904</v>
      </c>
      <c r="E928" s="3" t="s">
        <v>3905</v>
      </c>
      <c r="F928" s="3" t="s">
        <v>20</v>
      </c>
      <c r="G928" s="4">
        <v>27880</v>
      </c>
      <c r="H928" s="3" t="s">
        <v>3061</v>
      </c>
      <c r="I928" s="3" t="s">
        <v>33</v>
      </c>
      <c r="J928" s="5">
        <v>18570420000</v>
      </c>
      <c r="K928" s="3">
        <v>8412400</v>
      </c>
      <c r="L928" s="3" t="s">
        <v>3359</v>
      </c>
      <c r="M928" s="3" t="s">
        <v>370</v>
      </c>
      <c r="N928" s="3">
        <v>170</v>
      </c>
      <c r="O928" s="3" t="s">
        <v>3906</v>
      </c>
      <c r="P928" s="3" t="s">
        <v>70</v>
      </c>
      <c r="Q928" s="3" t="s">
        <v>27</v>
      </c>
      <c r="R928" s="3" t="s">
        <v>28</v>
      </c>
      <c r="S928" s="3">
        <v>1014000</v>
      </c>
      <c r="T928" s="3">
        <v>1125052000</v>
      </c>
      <c r="U928" s="3" t="s">
        <v>29</v>
      </c>
    </row>
    <row r="929" spans="1:21" ht="13.2" x14ac:dyDescent="0.25">
      <c r="A929" s="14">
        <v>47902648000117</v>
      </c>
      <c r="B929" s="15" t="str">
        <f t="shared" si="14"/>
        <v>47.902.648/0001-17</v>
      </c>
      <c r="C929" s="12"/>
      <c r="D929" s="3" t="s">
        <v>3907</v>
      </c>
      <c r="E929" s="3" t="s">
        <v>3908</v>
      </c>
      <c r="F929" s="3" t="s">
        <v>20</v>
      </c>
      <c r="G929" s="4">
        <v>27956</v>
      </c>
      <c r="H929" s="3" t="s">
        <v>3881</v>
      </c>
      <c r="I929" s="3" t="s">
        <v>33</v>
      </c>
      <c r="J929" s="5">
        <v>105715960</v>
      </c>
      <c r="K929" s="3">
        <v>7112000</v>
      </c>
      <c r="L929" s="3" t="s">
        <v>276</v>
      </c>
      <c r="M929" s="3" t="s">
        <v>265</v>
      </c>
      <c r="N929" s="3">
        <v>18</v>
      </c>
      <c r="O929" s="3" t="s">
        <v>3909</v>
      </c>
      <c r="P929" s="3" t="s">
        <v>3910</v>
      </c>
      <c r="Q929" s="3" t="s">
        <v>27</v>
      </c>
      <c r="R929" s="3" t="s">
        <v>28</v>
      </c>
      <c r="S929" s="3">
        <v>1042000</v>
      </c>
      <c r="T929" s="3">
        <v>1131209920</v>
      </c>
      <c r="U929" s="3" t="s">
        <v>29</v>
      </c>
    </row>
    <row r="930" spans="1:21" ht="13.2" x14ac:dyDescent="0.25">
      <c r="A930" s="14">
        <v>86864543000172</v>
      </c>
      <c r="B930" s="15" t="str">
        <f t="shared" si="14"/>
        <v>86.864.543/0001-72</v>
      </c>
      <c r="C930" s="12"/>
      <c r="D930" s="3" t="s">
        <v>3911</v>
      </c>
      <c r="E930" s="3" t="s">
        <v>3912</v>
      </c>
      <c r="F930" s="3" t="s">
        <v>20</v>
      </c>
      <c r="G930" s="4">
        <v>34403</v>
      </c>
      <c r="H930" s="3" t="s">
        <v>3881</v>
      </c>
      <c r="I930" s="3" t="s">
        <v>33</v>
      </c>
      <c r="J930" s="5">
        <v>442382940</v>
      </c>
      <c r="K930" s="3">
        <v>3520401</v>
      </c>
      <c r="L930" s="3" t="s">
        <v>3913</v>
      </c>
      <c r="M930" s="3" t="s">
        <v>3914</v>
      </c>
      <c r="N930" s="3">
        <v>255</v>
      </c>
      <c r="O930" s="3" t="s">
        <v>3915</v>
      </c>
      <c r="P930" s="3" t="s">
        <v>70</v>
      </c>
      <c r="Q930" s="3" t="s">
        <v>107</v>
      </c>
      <c r="R930" s="3" t="s">
        <v>91</v>
      </c>
      <c r="S930" s="3">
        <v>88010410</v>
      </c>
      <c r="T930" s="3">
        <v>482291200</v>
      </c>
      <c r="U930" s="3" t="s">
        <v>29</v>
      </c>
    </row>
    <row r="931" spans="1:21" ht="13.2" x14ac:dyDescent="0.25">
      <c r="A931" s="14">
        <v>61856571000117</v>
      </c>
      <c r="B931" s="15" t="str">
        <f t="shared" si="14"/>
        <v>61.856.571/0001-17</v>
      </c>
      <c r="C931" s="12"/>
      <c r="D931" s="3" t="s">
        <v>3916</v>
      </c>
      <c r="E931" s="3" t="s">
        <v>3916</v>
      </c>
      <c r="F931" s="3" t="s">
        <v>20</v>
      </c>
      <c r="G931" s="4">
        <v>26462</v>
      </c>
      <c r="H931" s="3" t="s">
        <v>377</v>
      </c>
      <c r="I931" s="3" t="s">
        <v>33</v>
      </c>
      <c r="J931" s="5">
        <v>536315500</v>
      </c>
      <c r="K931" s="3">
        <v>3520402</v>
      </c>
      <c r="L931" s="3" t="s">
        <v>3917</v>
      </c>
      <c r="M931" s="3" t="s">
        <v>2340</v>
      </c>
      <c r="N931" s="3">
        <v>3732</v>
      </c>
      <c r="O931" s="3" t="s">
        <v>3918</v>
      </c>
      <c r="P931" s="3" t="s">
        <v>1230</v>
      </c>
      <c r="Q931" s="3" t="s">
        <v>27</v>
      </c>
      <c r="R931" s="3" t="s">
        <v>28</v>
      </c>
      <c r="S931" s="3">
        <v>4538132</v>
      </c>
      <c r="T931" s="3">
        <v>1934238000</v>
      </c>
      <c r="U931" s="3" t="s">
        <v>29</v>
      </c>
    </row>
    <row r="932" spans="1:21" ht="13.2" x14ac:dyDescent="0.25">
      <c r="A932" s="14">
        <v>33127002000103</v>
      </c>
      <c r="B932" s="15" t="str">
        <f t="shared" si="14"/>
        <v>33.127.002/0001-03</v>
      </c>
      <c r="C932" s="12"/>
      <c r="D932" s="3" t="s">
        <v>3919</v>
      </c>
      <c r="E932" s="3" t="s">
        <v>3919</v>
      </c>
      <c r="F932" s="3" t="s">
        <v>20</v>
      </c>
      <c r="G932" s="4">
        <v>23442</v>
      </c>
      <c r="H932" s="3" t="s">
        <v>94</v>
      </c>
      <c r="I932" s="3" t="s">
        <v>33</v>
      </c>
      <c r="J932" s="5">
        <v>426128600</v>
      </c>
      <c r="K932" s="3">
        <v>5011401</v>
      </c>
      <c r="L932" s="3" t="s">
        <v>3920</v>
      </c>
      <c r="M932" s="3" t="s">
        <v>334</v>
      </c>
      <c r="N932" s="3">
        <v>231</v>
      </c>
      <c r="O932" s="3" t="s">
        <v>3921</v>
      </c>
      <c r="P932" s="3" t="s">
        <v>70</v>
      </c>
      <c r="Q932" s="3" t="s">
        <v>253</v>
      </c>
      <c r="R932" s="3" t="s">
        <v>78</v>
      </c>
      <c r="S932" s="3">
        <v>20030905</v>
      </c>
      <c r="T932" s="3">
        <v>2121390590</v>
      </c>
      <c r="U932" s="3" t="s">
        <v>29</v>
      </c>
    </row>
    <row r="933" spans="1:21" ht="13.2" x14ac:dyDescent="0.25">
      <c r="A933" s="14">
        <v>62577929000135</v>
      </c>
      <c r="B933" s="15" t="str">
        <f t="shared" si="14"/>
        <v>62.577.929/0001-35</v>
      </c>
      <c r="C933" s="12"/>
      <c r="D933" s="3" t="s">
        <v>3922</v>
      </c>
      <c r="E933" s="3" t="s">
        <v>3923</v>
      </c>
      <c r="F933" s="3" t="s">
        <v>20</v>
      </c>
      <c r="G933" s="4">
        <v>25513</v>
      </c>
      <c r="H933" s="3" t="s">
        <v>3061</v>
      </c>
      <c r="I933" s="3" t="s">
        <v>33</v>
      </c>
      <c r="J933" s="5">
        <v>668231940</v>
      </c>
      <c r="K933" s="3">
        <v>6311900</v>
      </c>
      <c r="L933" s="3" t="s">
        <v>3132</v>
      </c>
      <c r="M933" s="3" t="s">
        <v>3924</v>
      </c>
      <c r="N933" s="3">
        <v>240</v>
      </c>
      <c r="P933" s="3" t="s">
        <v>3925</v>
      </c>
      <c r="Q933" s="3" t="s">
        <v>1284</v>
      </c>
      <c r="R933" s="3" t="s">
        <v>28</v>
      </c>
      <c r="S933" s="3">
        <v>6760900</v>
      </c>
      <c r="T933" s="3">
        <v>1128456000</v>
      </c>
      <c r="U933" s="3" t="s">
        <v>29</v>
      </c>
    </row>
    <row r="934" spans="1:21" ht="13.2" x14ac:dyDescent="0.25">
      <c r="A934" s="14">
        <v>82024000137</v>
      </c>
      <c r="B934" s="15" t="str">
        <f t="shared" si="14"/>
        <v>00.082.024/0001-37</v>
      </c>
      <c r="C934" s="12"/>
      <c r="D934" s="3" t="s">
        <v>3926</v>
      </c>
      <c r="E934" s="3" t="s">
        <v>3927</v>
      </c>
      <c r="F934" s="3" t="s">
        <v>20</v>
      </c>
      <c r="G934" s="4">
        <v>25419</v>
      </c>
      <c r="H934" s="3" t="s">
        <v>3881</v>
      </c>
      <c r="I934" s="3" t="s">
        <v>33</v>
      </c>
      <c r="J934" s="5">
        <v>2074068700</v>
      </c>
      <c r="K934" s="3">
        <v>3600601</v>
      </c>
      <c r="L934" s="3" t="s">
        <v>788</v>
      </c>
      <c r="M934" s="3" t="s">
        <v>3928</v>
      </c>
      <c r="N934" s="3">
        <v>15</v>
      </c>
      <c r="O934" s="3" t="s">
        <v>3929</v>
      </c>
      <c r="P934" s="3" t="s">
        <v>3930</v>
      </c>
      <c r="Q934" s="3" t="s">
        <v>631</v>
      </c>
      <c r="R934" s="3" t="s">
        <v>632</v>
      </c>
      <c r="S934" s="3">
        <v>71928720</v>
      </c>
      <c r="T934" s="3">
        <v>6132137236</v>
      </c>
      <c r="U934" s="3" t="s">
        <v>29</v>
      </c>
    </row>
    <row r="935" spans="1:21" ht="13.2" x14ac:dyDescent="0.25">
      <c r="A935" s="14">
        <v>6274757000150</v>
      </c>
      <c r="B935" s="15" t="str">
        <f t="shared" si="14"/>
        <v>06.274.757/0001-50</v>
      </c>
      <c r="C935" s="12"/>
      <c r="D935" s="3" t="s">
        <v>3931</v>
      </c>
      <c r="E935" s="3" t="s">
        <v>3932</v>
      </c>
      <c r="F935" s="3" t="s">
        <v>20</v>
      </c>
      <c r="G935" s="4">
        <v>26295</v>
      </c>
      <c r="H935" s="3" t="s">
        <v>3881</v>
      </c>
      <c r="I935" s="3" t="s">
        <v>33</v>
      </c>
      <c r="J935" s="5">
        <v>3000000000</v>
      </c>
      <c r="K935" s="3">
        <v>3600601</v>
      </c>
      <c r="L935" s="3" t="s">
        <v>788</v>
      </c>
      <c r="M935" s="3" t="s">
        <v>2865</v>
      </c>
      <c r="N935" s="3">
        <v>307</v>
      </c>
      <c r="P935" s="3" t="s">
        <v>70</v>
      </c>
      <c r="Q935" s="3" t="s">
        <v>2063</v>
      </c>
      <c r="R935" s="3" t="s">
        <v>382</v>
      </c>
      <c r="S935" s="3">
        <v>65020560</v>
      </c>
      <c r="U935" s="3" t="s">
        <v>29</v>
      </c>
    </row>
    <row r="936" spans="1:21" ht="13.2" x14ac:dyDescent="0.25">
      <c r="A936" s="14">
        <v>43776517042001</v>
      </c>
      <c r="B936" s="15" t="str">
        <f t="shared" si="14"/>
        <v>43.776.517/0420-01</v>
      </c>
      <c r="C936" s="12"/>
      <c r="D936" s="3" t="s">
        <v>3933</v>
      </c>
      <c r="E936" s="3" t="s">
        <v>3933</v>
      </c>
      <c r="F936" s="3" t="s">
        <v>20</v>
      </c>
      <c r="G936" s="4">
        <v>28387</v>
      </c>
      <c r="H936" s="3" t="s">
        <v>377</v>
      </c>
      <c r="I936" s="3" t="s">
        <v>33</v>
      </c>
      <c r="J936" s="5">
        <v>15000000000</v>
      </c>
      <c r="K936" s="3">
        <v>3600601</v>
      </c>
      <c r="L936" s="3" t="s">
        <v>788</v>
      </c>
      <c r="M936" s="3" t="s">
        <v>3934</v>
      </c>
      <c r="N936" s="3">
        <v>2445</v>
      </c>
      <c r="P936" s="3" t="s">
        <v>3935</v>
      </c>
      <c r="Q936" s="3" t="s">
        <v>27</v>
      </c>
      <c r="R936" s="3" t="s">
        <v>28</v>
      </c>
      <c r="S936" s="3">
        <v>5119000</v>
      </c>
      <c r="U936" s="3" t="s">
        <v>29</v>
      </c>
    </row>
    <row r="937" spans="1:21" ht="13.2" x14ac:dyDescent="0.25">
      <c r="A937" s="14">
        <v>43776517059583</v>
      </c>
      <c r="B937" s="15" t="str">
        <f t="shared" si="14"/>
        <v>43.776.517/0595-83</v>
      </c>
      <c r="C937" s="12"/>
      <c r="D937" s="3" t="s">
        <v>3933</v>
      </c>
      <c r="E937" s="3" t="s">
        <v>3936</v>
      </c>
      <c r="F937" s="3" t="s">
        <v>20</v>
      </c>
      <c r="G937" s="4">
        <v>29936</v>
      </c>
      <c r="H937" s="3" t="s">
        <v>377</v>
      </c>
      <c r="I937" s="3" t="s">
        <v>33</v>
      </c>
      <c r="J937" s="5">
        <v>15000000000</v>
      </c>
      <c r="K937" s="3">
        <v>3600601</v>
      </c>
      <c r="L937" s="3" t="s">
        <v>788</v>
      </c>
      <c r="M937" s="3" t="s">
        <v>3937</v>
      </c>
      <c r="N937" s="3">
        <v>39</v>
      </c>
      <c r="O937" s="3" t="s">
        <v>3938</v>
      </c>
      <c r="P937" s="3" t="s">
        <v>3939</v>
      </c>
      <c r="Q937" s="3" t="s">
        <v>2556</v>
      </c>
      <c r="R937" s="3" t="s">
        <v>28</v>
      </c>
      <c r="S937" s="3">
        <v>12030800</v>
      </c>
      <c r="U937" s="3" t="s">
        <v>29</v>
      </c>
    </row>
    <row r="938" spans="1:21" ht="13.2" x14ac:dyDescent="0.25">
      <c r="A938" s="14">
        <v>43776517021934</v>
      </c>
      <c r="B938" s="15" t="str">
        <f t="shared" si="14"/>
        <v>43.776.517/0219-34</v>
      </c>
      <c r="C938" s="12"/>
      <c r="D938" s="3" t="s">
        <v>3933</v>
      </c>
      <c r="E938" s="3" t="s">
        <v>3933</v>
      </c>
      <c r="F938" s="3" t="s">
        <v>20</v>
      </c>
      <c r="G938" s="4">
        <v>27975</v>
      </c>
      <c r="H938" s="3" t="s">
        <v>377</v>
      </c>
      <c r="I938" s="3" t="s">
        <v>33</v>
      </c>
      <c r="J938" s="5">
        <v>15000000000</v>
      </c>
      <c r="K938" s="3">
        <v>3600601</v>
      </c>
      <c r="L938" s="3" t="s">
        <v>788</v>
      </c>
      <c r="M938" s="3" t="s">
        <v>3037</v>
      </c>
      <c r="N938" s="3">
        <v>2431</v>
      </c>
      <c r="P938" s="3" t="s">
        <v>3940</v>
      </c>
      <c r="Q938" s="3" t="s">
        <v>3941</v>
      </c>
      <c r="R938" s="3" t="s">
        <v>28</v>
      </c>
      <c r="S938" s="3">
        <v>18276010</v>
      </c>
      <c r="U938" s="3" t="s">
        <v>29</v>
      </c>
    </row>
    <row r="939" spans="1:21" ht="13.2" x14ac:dyDescent="0.25">
      <c r="A939" s="14">
        <v>43776517042699</v>
      </c>
      <c r="B939" s="15" t="str">
        <f t="shared" si="14"/>
        <v>43.776.517/0426-99</v>
      </c>
      <c r="C939" s="12"/>
      <c r="D939" s="3" t="s">
        <v>3933</v>
      </c>
      <c r="E939" s="3" t="s">
        <v>3933</v>
      </c>
      <c r="F939" s="3" t="s">
        <v>20</v>
      </c>
      <c r="G939" s="4">
        <v>28394</v>
      </c>
      <c r="H939" s="3" t="s">
        <v>377</v>
      </c>
      <c r="I939" s="3" t="s">
        <v>33</v>
      </c>
      <c r="J939" s="5">
        <v>15000000000</v>
      </c>
      <c r="K939" s="3">
        <v>3600601</v>
      </c>
      <c r="L939" s="3" t="s">
        <v>788</v>
      </c>
      <c r="M939" s="3" t="s">
        <v>3942</v>
      </c>
      <c r="N939" s="3">
        <v>758</v>
      </c>
      <c r="P939" s="3" t="s">
        <v>70</v>
      </c>
      <c r="Q939" s="3" t="s">
        <v>3943</v>
      </c>
      <c r="R939" s="3" t="s">
        <v>28</v>
      </c>
      <c r="S939" s="3">
        <v>18650000</v>
      </c>
      <c r="U939" s="3" t="s">
        <v>29</v>
      </c>
    </row>
    <row r="940" spans="1:21" ht="13.2" x14ac:dyDescent="0.25">
      <c r="A940" s="14">
        <v>43776517059150</v>
      </c>
      <c r="B940" s="15" t="str">
        <f t="shared" si="14"/>
        <v>43.776.517/0591-50</v>
      </c>
      <c r="C940" s="12"/>
      <c r="D940" s="3" t="s">
        <v>3933</v>
      </c>
      <c r="E940" s="3" t="s">
        <v>3936</v>
      </c>
      <c r="F940" s="3" t="s">
        <v>20</v>
      </c>
      <c r="G940" s="4">
        <v>29872</v>
      </c>
      <c r="H940" s="3" t="s">
        <v>377</v>
      </c>
      <c r="I940" s="3" t="s">
        <v>33</v>
      </c>
      <c r="J940" s="5">
        <v>15000000000</v>
      </c>
      <c r="K940" s="3">
        <v>3600601</v>
      </c>
      <c r="L940" s="3" t="s">
        <v>788</v>
      </c>
      <c r="M940" s="3" t="s">
        <v>3944</v>
      </c>
      <c r="N940" s="3">
        <v>1229</v>
      </c>
      <c r="P940" s="3" t="s">
        <v>3945</v>
      </c>
      <c r="Q940" s="3" t="s">
        <v>2822</v>
      </c>
      <c r="R940" s="3" t="s">
        <v>28</v>
      </c>
      <c r="S940" s="3">
        <v>12243260</v>
      </c>
      <c r="T940" s="3">
        <v>1130613200</v>
      </c>
      <c r="U940" s="3" t="s">
        <v>29</v>
      </c>
    </row>
    <row r="941" spans="1:21" ht="13.2" x14ac:dyDescent="0.25">
      <c r="A941" s="14">
        <v>43776517073810</v>
      </c>
      <c r="B941" s="15" t="str">
        <f t="shared" si="14"/>
        <v>43.776.517/0738-10</v>
      </c>
      <c r="C941" s="12"/>
      <c r="D941" s="3" t="s">
        <v>3933</v>
      </c>
      <c r="E941" s="3" t="s">
        <v>3936</v>
      </c>
      <c r="F941" s="3" t="s">
        <v>20</v>
      </c>
      <c r="G941" s="4">
        <v>35201</v>
      </c>
      <c r="H941" s="3" t="s">
        <v>377</v>
      </c>
      <c r="I941" s="3" t="s">
        <v>33</v>
      </c>
      <c r="J941" s="5">
        <v>15000000000</v>
      </c>
      <c r="K941" s="3">
        <v>3600601</v>
      </c>
      <c r="L941" s="3" t="s">
        <v>788</v>
      </c>
      <c r="M941" s="3" t="s">
        <v>3946</v>
      </c>
      <c r="N941" s="3">
        <v>980</v>
      </c>
      <c r="P941" s="3" t="s">
        <v>3947</v>
      </c>
      <c r="Q941" s="3" t="s">
        <v>1410</v>
      </c>
      <c r="R941" s="3" t="s">
        <v>28</v>
      </c>
      <c r="S941" s="3">
        <v>9290730</v>
      </c>
      <c r="U941" s="3" t="s">
        <v>29</v>
      </c>
    </row>
    <row r="942" spans="1:21" ht="13.2" x14ac:dyDescent="0.25">
      <c r="A942" s="14">
        <v>43776517098996</v>
      </c>
      <c r="B942" s="15" t="str">
        <f t="shared" si="14"/>
        <v>43.776.517/0989-96</v>
      </c>
      <c r="C942" s="12"/>
      <c r="D942" s="3" t="s">
        <v>3933</v>
      </c>
      <c r="E942" s="3" t="s">
        <v>3936</v>
      </c>
      <c r="F942" s="3" t="s">
        <v>20</v>
      </c>
      <c r="G942" s="4">
        <v>43214</v>
      </c>
      <c r="H942" s="3" t="s">
        <v>377</v>
      </c>
      <c r="I942" s="3" t="s">
        <v>33</v>
      </c>
      <c r="J942" s="5">
        <v>15000000000</v>
      </c>
      <c r="K942" s="3">
        <v>3600601</v>
      </c>
      <c r="L942" s="3" t="s">
        <v>788</v>
      </c>
      <c r="M942" s="3" t="s">
        <v>3948</v>
      </c>
      <c r="N942" s="3">
        <v>700</v>
      </c>
      <c r="P942" s="3" t="s">
        <v>3949</v>
      </c>
      <c r="Q942" s="3" t="s">
        <v>2978</v>
      </c>
      <c r="R942" s="3" t="s">
        <v>28</v>
      </c>
      <c r="S942" s="3">
        <v>7500000</v>
      </c>
      <c r="T942" s="3">
        <v>1133887164</v>
      </c>
      <c r="U942" s="3" t="s">
        <v>29</v>
      </c>
    </row>
    <row r="943" spans="1:21" ht="13.2" x14ac:dyDescent="0.25">
      <c r="A943" s="14">
        <v>43776517012358</v>
      </c>
      <c r="B943" s="15" t="str">
        <f t="shared" si="14"/>
        <v>43.776.517/0123-58</v>
      </c>
      <c r="C943" s="12"/>
      <c r="D943" s="3" t="s">
        <v>3933</v>
      </c>
      <c r="E943" s="3" t="s">
        <v>3936</v>
      </c>
      <c r="F943" s="3" t="s">
        <v>20</v>
      </c>
      <c r="G943" s="4">
        <v>27732</v>
      </c>
      <c r="H943" s="3" t="s">
        <v>377</v>
      </c>
      <c r="I943" s="3" t="s">
        <v>33</v>
      </c>
      <c r="J943" s="5">
        <v>15000000000</v>
      </c>
      <c r="K943" s="3">
        <v>3600601</v>
      </c>
      <c r="L943" s="3" t="s">
        <v>788</v>
      </c>
      <c r="M943" s="3" t="s">
        <v>3950</v>
      </c>
      <c r="N943" s="3">
        <v>10</v>
      </c>
      <c r="P943" s="3" t="s">
        <v>3951</v>
      </c>
      <c r="Q943" s="3" t="s">
        <v>262</v>
      </c>
      <c r="R943" s="3" t="s">
        <v>28</v>
      </c>
      <c r="S943" s="3">
        <v>6220030</v>
      </c>
      <c r="T943" s="3">
        <v>1130613200</v>
      </c>
      <c r="U943" s="3" t="s">
        <v>29</v>
      </c>
    </row>
    <row r="944" spans="1:21" ht="13.2" x14ac:dyDescent="0.25">
      <c r="A944" s="14">
        <v>43776517015454</v>
      </c>
      <c r="B944" s="15" t="str">
        <f t="shared" si="14"/>
        <v>43.776.517/0154-54</v>
      </c>
      <c r="C944" s="12"/>
      <c r="D944" s="3" t="s">
        <v>3933</v>
      </c>
      <c r="E944" s="3" t="s">
        <v>3952</v>
      </c>
      <c r="F944" s="3" t="s">
        <v>20</v>
      </c>
      <c r="G944" s="4">
        <v>27710</v>
      </c>
      <c r="H944" s="3" t="s">
        <v>377</v>
      </c>
      <c r="I944" s="3" t="s">
        <v>33</v>
      </c>
      <c r="J944" s="5">
        <v>15000000000</v>
      </c>
      <c r="K944" s="3">
        <v>3600601</v>
      </c>
      <c r="L944" s="3" t="s">
        <v>788</v>
      </c>
      <c r="M944" s="3" t="s">
        <v>1648</v>
      </c>
      <c r="N944" s="3">
        <v>128</v>
      </c>
      <c r="P944" s="3" t="s">
        <v>70</v>
      </c>
      <c r="Q944" s="3" t="s">
        <v>294</v>
      </c>
      <c r="R944" s="3" t="s">
        <v>28</v>
      </c>
      <c r="S944" s="3">
        <v>11013917</v>
      </c>
      <c r="U944" s="3" t="s">
        <v>29</v>
      </c>
    </row>
    <row r="945" spans="1:21" ht="13.2" x14ac:dyDescent="0.25">
      <c r="A945" s="14">
        <v>43776517079002</v>
      </c>
      <c r="B945" s="15" t="str">
        <f t="shared" si="14"/>
        <v>43.776.517/0790-02</v>
      </c>
      <c r="C945" s="12" t="str">
        <f>VLOOKUP(B945,[1]Planilha1!$A:$B,2,0)</f>
        <v>Malu Montesino</v>
      </c>
      <c r="D945" s="3" t="s">
        <v>3933</v>
      </c>
      <c r="E945" s="3" t="s">
        <v>3936</v>
      </c>
      <c r="F945" s="3" t="s">
        <v>20</v>
      </c>
      <c r="G945" s="4">
        <v>36201</v>
      </c>
      <c r="H945" s="3" t="s">
        <v>377</v>
      </c>
      <c r="I945" s="3" t="s">
        <v>33</v>
      </c>
      <c r="J945" s="5">
        <v>15000000000</v>
      </c>
      <c r="K945" s="3">
        <v>3600601</v>
      </c>
      <c r="L945" s="3" t="s">
        <v>788</v>
      </c>
      <c r="M945" s="3" t="s">
        <v>3953</v>
      </c>
      <c r="N945" s="3">
        <v>3891</v>
      </c>
      <c r="P945" s="3" t="s">
        <v>3954</v>
      </c>
      <c r="Q945" s="3" t="s">
        <v>617</v>
      </c>
      <c r="R945" s="3" t="s">
        <v>28</v>
      </c>
      <c r="S945" s="3">
        <v>6440185</v>
      </c>
      <c r="T945" s="3">
        <v>1133887164</v>
      </c>
      <c r="U945" s="3" t="s">
        <v>29</v>
      </c>
    </row>
    <row r="946" spans="1:21" ht="13.2" x14ac:dyDescent="0.25">
      <c r="A946" s="14">
        <v>43776517019956</v>
      </c>
      <c r="B946" s="15" t="str">
        <f t="shared" si="14"/>
        <v>43.776.517/0199-56</v>
      </c>
      <c r="C946" s="12"/>
      <c r="D946" s="3" t="s">
        <v>3933</v>
      </c>
      <c r="E946" s="3" t="s">
        <v>3933</v>
      </c>
      <c r="F946" s="3" t="s">
        <v>20</v>
      </c>
      <c r="G946" s="4">
        <v>27883</v>
      </c>
      <c r="H946" s="3" t="s">
        <v>377</v>
      </c>
      <c r="I946" s="3" t="s">
        <v>33</v>
      </c>
      <c r="J946" s="5">
        <v>15000000000</v>
      </c>
      <c r="K946" s="3">
        <v>3600601</v>
      </c>
      <c r="L946" s="3" t="s">
        <v>788</v>
      </c>
      <c r="M946" s="3" t="s">
        <v>3955</v>
      </c>
      <c r="N946" s="3">
        <v>528</v>
      </c>
      <c r="P946" s="3" t="s">
        <v>70</v>
      </c>
      <c r="Q946" s="3" t="s">
        <v>180</v>
      </c>
      <c r="R946" s="3" t="s">
        <v>28</v>
      </c>
      <c r="S946" s="3">
        <v>11390001</v>
      </c>
      <c r="U946" s="3" t="s">
        <v>29</v>
      </c>
    </row>
    <row r="947" spans="1:21" ht="13.2" x14ac:dyDescent="0.25">
      <c r="A947" s="14">
        <v>43776517001232</v>
      </c>
      <c r="B947" s="15" t="str">
        <f t="shared" si="14"/>
        <v>43.776.517/0012-32</v>
      </c>
      <c r="C947" s="12"/>
      <c r="D947" s="3" t="s">
        <v>3933</v>
      </c>
      <c r="E947" s="3" t="s">
        <v>3936</v>
      </c>
      <c r="F947" s="3" t="s">
        <v>20</v>
      </c>
      <c r="G947" s="4">
        <v>37144</v>
      </c>
      <c r="H947" s="3" t="s">
        <v>377</v>
      </c>
      <c r="I947" s="3" t="s">
        <v>33</v>
      </c>
      <c r="J947" s="5">
        <v>15000000000</v>
      </c>
      <c r="K947" s="3">
        <v>3600601</v>
      </c>
      <c r="L947" s="3" t="s">
        <v>788</v>
      </c>
      <c r="M947" s="3" t="s">
        <v>3956</v>
      </c>
      <c r="N947" s="3">
        <v>78</v>
      </c>
      <c r="P947" s="3" t="s">
        <v>3957</v>
      </c>
      <c r="Q947" s="3" t="s">
        <v>2365</v>
      </c>
      <c r="R947" s="3" t="s">
        <v>28</v>
      </c>
      <c r="S947" s="3">
        <v>7785540</v>
      </c>
      <c r="T947" s="3">
        <v>1133887164</v>
      </c>
      <c r="U947" s="3" t="s">
        <v>29</v>
      </c>
    </row>
    <row r="948" spans="1:21" ht="13.2" x14ac:dyDescent="0.25">
      <c r="A948" s="14">
        <v>43776517058935</v>
      </c>
      <c r="B948" s="15" t="str">
        <f t="shared" si="14"/>
        <v>43.776.517/0589-35</v>
      </c>
      <c r="C948" s="12"/>
      <c r="D948" s="3" t="s">
        <v>3933</v>
      </c>
      <c r="E948" s="3" t="s">
        <v>3936</v>
      </c>
      <c r="F948" s="3" t="s">
        <v>20</v>
      </c>
      <c r="G948" s="4">
        <v>29872</v>
      </c>
      <c r="H948" s="3" t="s">
        <v>377</v>
      </c>
      <c r="I948" s="3" t="s">
        <v>33</v>
      </c>
      <c r="J948" s="5">
        <v>15000000000</v>
      </c>
      <c r="K948" s="3">
        <v>3600601</v>
      </c>
      <c r="L948" s="3" t="s">
        <v>788</v>
      </c>
      <c r="M948" s="3" t="s">
        <v>3958</v>
      </c>
      <c r="N948" s="3">
        <v>300</v>
      </c>
      <c r="P948" s="3" t="s">
        <v>3959</v>
      </c>
      <c r="Q948" s="3" t="s">
        <v>1960</v>
      </c>
      <c r="R948" s="3" t="s">
        <v>28</v>
      </c>
      <c r="S948" s="3">
        <v>7700001</v>
      </c>
      <c r="U948" s="3" t="s">
        <v>29</v>
      </c>
    </row>
    <row r="949" spans="1:21" ht="13.2" x14ac:dyDescent="0.25">
      <c r="A949" s="14">
        <v>43776517021187</v>
      </c>
      <c r="B949" s="15" t="str">
        <f t="shared" si="14"/>
        <v>43.776.517/0211-87</v>
      </c>
      <c r="C949" s="12"/>
      <c r="D949" s="3" t="s">
        <v>3933</v>
      </c>
      <c r="E949" s="3" t="s">
        <v>3933</v>
      </c>
      <c r="F949" s="3" t="s">
        <v>20</v>
      </c>
      <c r="G949" s="4">
        <v>27918</v>
      </c>
      <c r="H949" s="3" t="s">
        <v>377</v>
      </c>
      <c r="I949" s="3" t="s">
        <v>33</v>
      </c>
      <c r="J949" s="5">
        <v>15000000000</v>
      </c>
      <c r="K949" s="3">
        <v>3600601</v>
      </c>
      <c r="L949" s="3" t="s">
        <v>788</v>
      </c>
      <c r="M949" s="3" t="s">
        <v>3960</v>
      </c>
      <c r="N949" s="3">
        <v>430</v>
      </c>
      <c r="P949" s="3" t="s">
        <v>3961</v>
      </c>
      <c r="Q949" s="3" t="s">
        <v>1709</v>
      </c>
      <c r="R949" s="3" t="s">
        <v>28</v>
      </c>
      <c r="S949" s="3">
        <v>13315000</v>
      </c>
      <c r="U949" s="3" t="s">
        <v>29</v>
      </c>
    </row>
    <row r="950" spans="1:21" ht="13.2" x14ac:dyDescent="0.25">
      <c r="A950" s="14">
        <v>43776517089571</v>
      </c>
      <c r="B950" s="15" t="str">
        <f t="shared" si="14"/>
        <v>43.776.517/0895-71</v>
      </c>
      <c r="C950" s="12"/>
      <c r="D950" s="3" t="s">
        <v>3933</v>
      </c>
      <c r="E950" s="3" t="s">
        <v>3936</v>
      </c>
      <c r="F950" s="3" t="s">
        <v>20</v>
      </c>
      <c r="G950" s="4">
        <v>40499</v>
      </c>
      <c r="H950" s="3" t="s">
        <v>377</v>
      </c>
      <c r="I950" s="3" t="s">
        <v>33</v>
      </c>
      <c r="J950" s="5">
        <v>15000000000</v>
      </c>
      <c r="K950" s="3">
        <v>3600601</v>
      </c>
      <c r="L950" s="3" t="s">
        <v>788</v>
      </c>
      <c r="M950" s="3" t="s">
        <v>3401</v>
      </c>
      <c r="N950" s="3">
        <v>2147</v>
      </c>
      <c r="P950" s="3" t="s">
        <v>3402</v>
      </c>
      <c r="Q950" s="3" t="s">
        <v>27</v>
      </c>
      <c r="R950" s="3" t="s">
        <v>28</v>
      </c>
      <c r="S950" s="3">
        <v>5509005</v>
      </c>
      <c r="T950" s="3">
        <v>1133887164</v>
      </c>
      <c r="U950" s="3" t="s">
        <v>29</v>
      </c>
    </row>
    <row r="951" spans="1:21" ht="13.2" x14ac:dyDescent="0.25">
      <c r="A951" s="14">
        <v>43776517048972</v>
      </c>
      <c r="B951" s="15" t="str">
        <f t="shared" si="14"/>
        <v>43.776.517/0489-72</v>
      </c>
      <c r="C951" s="12"/>
      <c r="D951" s="3" t="s">
        <v>3933</v>
      </c>
      <c r="E951" s="3" t="s">
        <v>3933</v>
      </c>
      <c r="F951" s="3" t="s">
        <v>20</v>
      </c>
      <c r="G951" s="4">
        <v>28934</v>
      </c>
      <c r="H951" s="3" t="s">
        <v>377</v>
      </c>
      <c r="I951" s="3" t="s">
        <v>33</v>
      </c>
      <c r="J951" s="5">
        <v>15000000000</v>
      </c>
      <c r="K951" s="3">
        <v>3600601</v>
      </c>
      <c r="L951" s="3" t="s">
        <v>788</v>
      </c>
      <c r="M951" s="3" t="s">
        <v>3962</v>
      </c>
      <c r="N951" s="3">
        <v>633</v>
      </c>
      <c r="P951" s="3" t="s">
        <v>3963</v>
      </c>
      <c r="Q951" s="3" t="s">
        <v>2313</v>
      </c>
      <c r="R951" s="3" t="s">
        <v>28</v>
      </c>
      <c r="S951" s="3">
        <v>12914160</v>
      </c>
      <c r="T951" s="3">
        <v>1133886915</v>
      </c>
      <c r="U951" s="3" t="s">
        <v>29</v>
      </c>
    </row>
    <row r="952" spans="1:21" ht="13.2" x14ac:dyDescent="0.25">
      <c r="A952" s="14">
        <v>43776517066016</v>
      </c>
      <c r="B952" s="15" t="str">
        <f t="shared" si="14"/>
        <v>43.776.517/0660-16</v>
      </c>
      <c r="C952" s="12"/>
      <c r="D952" s="3" t="s">
        <v>3933</v>
      </c>
      <c r="E952" s="3" t="s">
        <v>3936</v>
      </c>
      <c r="F952" s="3" t="s">
        <v>20</v>
      </c>
      <c r="G952" s="4">
        <v>34001</v>
      </c>
      <c r="H952" s="3" t="s">
        <v>377</v>
      </c>
      <c r="I952" s="3" t="s">
        <v>33</v>
      </c>
      <c r="J952" s="5">
        <v>15000000000</v>
      </c>
      <c r="K952" s="3">
        <v>3600601</v>
      </c>
      <c r="L952" s="3" t="s">
        <v>788</v>
      </c>
      <c r="M952" s="3" t="s">
        <v>3964</v>
      </c>
      <c r="N952" s="3">
        <v>2000</v>
      </c>
      <c r="Q952" s="3" t="s">
        <v>3056</v>
      </c>
      <c r="R952" s="3" t="s">
        <v>28</v>
      </c>
      <c r="S952" s="3">
        <v>18606820</v>
      </c>
      <c r="U952" s="3" t="s">
        <v>29</v>
      </c>
    </row>
    <row r="953" spans="1:21" ht="13.2" x14ac:dyDescent="0.25">
      <c r="A953" s="14">
        <v>43776517077484</v>
      </c>
      <c r="B953" s="15" t="str">
        <f t="shared" si="14"/>
        <v>43.776.517/0774-84</v>
      </c>
      <c r="C953" s="12"/>
      <c r="D953" s="3" t="s">
        <v>3933</v>
      </c>
      <c r="E953" s="3" t="s">
        <v>3936</v>
      </c>
      <c r="F953" s="3" t="s">
        <v>20</v>
      </c>
      <c r="G953" s="4">
        <v>35958</v>
      </c>
      <c r="H953" s="3" t="s">
        <v>377</v>
      </c>
      <c r="I953" s="3" t="s">
        <v>33</v>
      </c>
      <c r="J953" s="5">
        <v>15000000000</v>
      </c>
      <c r="K953" s="3">
        <v>3600601</v>
      </c>
      <c r="L953" s="3" t="s">
        <v>788</v>
      </c>
      <c r="M953" s="3" t="s">
        <v>3965</v>
      </c>
      <c r="N953" s="3">
        <v>78</v>
      </c>
      <c r="P953" s="3" t="s">
        <v>70</v>
      </c>
      <c r="Q953" s="3" t="s">
        <v>3966</v>
      </c>
      <c r="R953" s="3" t="s">
        <v>28</v>
      </c>
      <c r="S953" s="3">
        <v>7400015</v>
      </c>
      <c r="T953" s="3">
        <v>1130613200</v>
      </c>
      <c r="U953" s="3" t="s">
        <v>29</v>
      </c>
    </row>
    <row r="954" spans="1:21" ht="13.2" x14ac:dyDescent="0.25">
      <c r="A954" s="14">
        <v>43776517076836</v>
      </c>
      <c r="B954" s="15" t="str">
        <f t="shared" si="14"/>
        <v>43.776.517/0768-36</v>
      </c>
      <c r="C954" s="12"/>
      <c r="D954" s="3" t="s">
        <v>3933</v>
      </c>
      <c r="E954" s="3" t="s">
        <v>3936</v>
      </c>
      <c r="F954" s="3" t="s">
        <v>20</v>
      </c>
      <c r="G954" s="4">
        <v>35983</v>
      </c>
      <c r="H954" s="3" t="s">
        <v>377</v>
      </c>
      <c r="I954" s="3" t="s">
        <v>33</v>
      </c>
      <c r="J954" s="5">
        <v>15000000000</v>
      </c>
      <c r="K954" s="3">
        <v>3600601</v>
      </c>
      <c r="L954" s="3" t="s">
        <v>788</v>
      </c>
      <c r="M954" s="3" t="s">
        <v>3967</v>
      </c>
      <c r="N954" s="3">
        <v>15</v>
      </c>
      <c r="P954" s="3" t="s">
        <v>388</v>
      </c>
      <c r="Q954" s="3" t="s">
        <v>3968</v>
      </c>
      <c r="R954" s="3" t="s">
        <v>28</v>
      </c>
      <c r="S954" s="3">
        <v>18125000</v>
      </c>
      <c r="T954" s="3">
        <v>1133887417</v>
      </c>
      <c r="U954" s="3" t="s">
        <v>29</v>
      </c>
    </row>
    <row r="955" spans="1:21" ht="13.2" x14ac:dyDescent="0.25">
      <c r="A955" s="14">
        <v>43776517077301</v>
      </c>
      <c r="B955" s="15" t="str">
        <f t="shared" si="14"/>
        <v>43.776.517/0773-01</v>
      </c>
      <c r="C955" s="12"/>
      <c r="D955" s="3" t="s">
        <v>3933</v>
      </c>
      <c r="E955" s="3" t="s">
        <v>3936</v>
      </c>
      <c r="F955" s="3" t="s">
        <v>20</v>
      </c>
      <c r="G955" s="4">
        <v>35999</v>
      </c>
      <c r="H955" s="3" t="s">
        <v>377</v>
      </c>
      <c r="I955" s="3" t="s">
        <v>33</v>
      </c>
      <c r="J955" s="5">
        <v>15000000000</v>
      </c>
      <c r="K955" s="3">
        <v>3600601</v>
      </c>
      <c r="L955" s="3" t="s">
        <v>788</v>
      </c>
      <c r="M955" s="3" t="s">
        <v>1981</v>
      </c>
      <c r="N955" s="3">
        <v>1108</v>
      </c>
      <c r="P955" s="3" t="s">
        <v>70</v>
      </c>
      <c r="Q955" s="3" t="s">
        <v>2051</v>
      </c>
      <c r="R955" s="3" t="s">
        <v>28</v>
      </c>
      <c r="S955" s="3">
        <v>17120001</v>
      </c>
      <c r="T955" s="3">
        <v>1130613200</v>
      </c>
      <c r="U955" s="3" t="s">
        <v>29</v>
      </c>
    </row>
    <row r="956" spans="1:21" ht="13.2" x14ac:dyDescent="0.25">
      <c r="A956" s="14">
        <v>43776517058854</v>
      </c>
      <c r="B956" s="15" t="str">
        <f t="shared" si="14"/>
        <v>43.776.517/0588-54</v>
      </c>
      <c r="C956" s="12"/>
      <c r="D956" s="3" t="s">
        <v>3933</v>
      </c>
      <c r="E956" s="3" t="s">
        <v>3936</v>
      </c>
      <c r="F956" s="3" t="s">
        <v>20</v>
      </c>
      <c r="G956" s="4">
        <v>29826</v>
      </c>
      <c r="H956" s="3" t="s">
        <v>377</v>
      </c>
      <c r="I956" s="3" t="s">
        <v>33</v>
      </c>
      <c r="J956" s="5">
        <v>15000000000</v>
      </c>
      <c r="K956" s="3">
        <v>3600601</v>
      </c>
      <c r="L956" s="3" t="s">
        <v>788</v>
      </c>
      <c r="M956" s="3" t="s">
        <v>3969</v>
      </c>
      <c r="N956" s="3">
        <v>3000</v>
      </c>
      <c r="P956" s="3" t="s">
        <v>3970</v>
      </c>
      <c r="Q956" s="3" t="s">
        <v>27</v>
      </c>
      <c r="R956" s="3" t="s">
        <v>28</v>
      </c>
      <c r="S956" s="3">
        <v>4230000</v>
      </c>
      <c r="U956" s="3" t="s">
        <v>29</v>
      </c>
    </row>
    <row r="957" spans="1:21" ht="13.2" x14ac:dyDescent="0.25">
      <c r="A957" s="14">
        <v>43776517031140</v>
      </c>
      <c r="B957" s="15" t="str">
        <f t="shared" si="14"/>
        <v>43.776.517/0311-40</v>
      </c>
      <c r="C957" s="12"/>
      <c r="D957" s="3" t="s">
        <v>3933</v>
      </c>
      <c r="E957" s="3" t="s">
        <v>3933</v>
      </c>
      <c r="F957" s="3" t="s">
        <v>20</v>
      </c>
      <c r="G957" s="4">
        <v>28366</v>
      </c>
      <c r="H957" s="3" t="s">
        <v>377</v>
      </c>
      <c r="I957" s="3" t="s">
        <v>33</v>
      </c>
      <c r="J957" s="5">
        <v>15000000000</v>
      </c>
      <c r="K957" s="3">
        <v>3600601</v>
      </c>
      <c r="L957" s="3" t="s">
        <v>788</v>
      </c>
      <c r="M957" s="3" t="s">
        <v>3971</v>
      </c>
      <c r="N957" s="3">
        <v>313</v>
      </c>
      <c r="P957" s="3" t="s">
        <v>1740</v>
      </c>
      <c r="Q957" s="3" t="s">
        <v>27</v>
      </c>
      <c r="R957" s="3" t="s">
        <v>28</v>
      </c>
      <c r="S957" s="3">
        <v>5429010</v>
      </c>
      <c r="U957" s="3" t="s">
        <v>29</v>
      </c>
    </row>
    <row r="958" spans="1:21" ht="13.2" x14ac:dyDescent="0.25">
      <c r="A958" s="14">
        <v>43776517035722</v>
      </c>
      <c r="B958" s="15" t="str">
        <f t="shared" si="14"/>
        <v>43.776.517/0357-22</v>
      </c>
      <c r="C958" s="12"/>
      <c r="D958" s="3" t="s">
        <v>3933</v>
      </c>
      <c r="E958" s="3" t="s">
        <v>3933</v>
      </c>
      <c r="F958" s="3" t="s">
        <v>20</v>
      </c>
      <c r="G958" s="4">
        <v>28370</v>
      </c>
      <c r="H958" s="3" t="s">
        <v>377</v>
      </c>
      <c r="I958" s="3" t="s">
        <v>33</v>
      </c>
      <c r="J958" s="5">
        <v>15000000000</v>
      </c>
      <c r="K958" s="3">
        <v>3600601</v>
      </c>
      <c r="L958" s="3" t="s">
        <v>788</v>
      </c>
      <c r="M958" s="3" t="s">
        <v>3972</v>
      </c>
      <c r="N958" s="3">
        <v>122</v>
      </c>
      <c r="P958" s="3" t="s">
        <v>336</v>
      </c>
      <c r="Q958" s="3" t="s">
        <v>27</v>
      </c>
      <c r="R958" s="3" t="s">
        <v>28</v>
      </c>
      <c r="S958" s="3">
        <v>3119040</v>
      </c>
      <c r="U958" s="3" t="s">
        <v>29</v>
      </c>
    </row>
    <row r="959" spans="1:21" ht="13.2" x14ac:dyDescent="0.25">
      <c r="A959" s="14">
        <v>43776517100486</v>
      </c>
      <c r="B959" s="15" t="str">
        <f t="shared" si="14"/>
        <v>43.776.517/1004-86</v>
      </c>
      <c r="C959" s="12"/>
      <c r="D959" s="3" t="s">
        <v>3933</v>
      </c>
      <c r="E959" s="3" t="s">
        <v>3933</v>
      </c>
      <c r="F959" s="3" t="s">
        <v>20</v>
      </c>
      <c r="G959" s="4">
        <v>43734</v>
      </c>
      <c r="H959" s="3" t="s">
        <v>377</v>
      </c>
      <c r="I959" s="3" t="s">
        <v>33</v>
      </c>
      <c r="J959" s="5">
        <v>15000000000</v>
      </c>
      <c r="K959" s="3">
        <v>3600601</v>
      </c>
      <c r="L959" s="3" t="s">
        <v>788</v>
      </c>
      <c r="M959" s="3" t="s">
        <v>3973</v>
      </c>
      <c r="N959" s="3">
        <v>7903</v>
      </c>
      <c r="P959" s="3" t="s">
        <v>3974</v>
      </c>
      <c r="Q959" s="3" t="s">
        <v>357</v>
      </c>
      <c r="R959" s="3" t="s">
        <v>28</v>
      </c>
      <c r="S959" s="3">
        <v>7074000</v>
      </c>
      <c r="T959" s="3">
        <v>1133886915</v>
      </c>
      <c r="U959" s="3" t="s">
        <v>29</v>
      </c>
    </row>
    <row r="960" spans="1:21" ht="13.2" x14ac:dyDescent="0.25">
      <c r="A960" s="14">
        <v>43776517032030</v>
      </c>
      <c r="B960" s="15" t="str">
        <f t="shared" si="14"/>
        <v>43.776.517/0320-30</v>
      </c>
      <c r="C960" s="12"/>
      <c r="D960" s="3" t="s">
        <v>3933</v>
      </c>
      <c r="E960" s="3" t="s">
        <v>3936</v>
      </c>
      <c r="F960" s="3" t="s">
        <v>20</v>
      </c>
      <c r="G960" s="4">
        <v>40220</v>
      </c>
      <c r="H960" s="3" t="s">
        <v>377</v>
      </c>
      <c r="I960" s="3" t="s">
        <v>33</v>
      </c>
      <c r="J960" s="5">
        <v>15000000000</v>
      </c>
      <c r="K960" s="3">
        <v>3701100</v>
      </c>
      <c r="L960" s="3" t="s">
        <v>2425</v>
      </c>
      <c r="M960" s="3" t="s">
        <v>3975</v>
      </c>
      <c r="N960" s="3" t="s">
        <v>82</v>
      </c>
      <c r="P960" s="3" t="s">
        <v>911</v>
      </c>
      <c r="Q960" s="3" t="s">
        <v>3976</v>
      </c>
      <c r="R960" s="3" t="s">
        <v>28</v>
      </c>
      <c r="S960" s="3">
        <v>17280000</v>
      </c>
      <c r="T960" s="3">
        <v>1133887164</v>
      </c>
      <c r="U960" s="3" t="s">
        <v>29</v>
      </c>
    </row>
    <row r="961" spans="1:21" ht="13.2" x14ac:dyDescent="0.25">
      <c r="A961" s="14">
        <v>43776517040645</v>
      </c>
      <c r="B961" s="15" t="str">
        <f t="shared" si="14"/>
        <v>43.776.517/0406-45</v>
      </c>
      <c r="C961" s="12"/>
      <c r="D961" s="3" t="s">
        <v>3933</v>
      </c>
      <c r="E961" s="3" t="s">
        <v>3933</v>
      </c>
      <c r="F961" s="3" t="s">
        <v>20</v>
      </c>
      <c r="G961" s="4">
        <v>28377</v>
      </c>
      <c r="H961" s="3" t="s">
        <v>377</v>
      </c>
      <c r="I961" s="3" t="s">
        <v>33</v>
      </c>
      <c r="J961" s="5">
        <v>15000000000</v>
      </c>
      <c r="K961" s="3">
        <v>3600601</v>
      </c>
      <c r="L961" s="3" t="s">
        <v>788</v>
      </c>
      <c r="M961" s="3" t="s">
        <v>3977</v>
      </c>
      <c r="N961" s="3">
        <v>519</v>
      </c>
      <c r="P961" s="3" t="s">
        <v>2207</v>
      </c>
      <c r="Q961" s="3" t="s">
        <v>27</v>
      </c>
      <c r="R961" s="3" t="s">
        <v>28</v>
      </c>
      <c r="S961" s="3">
        <v>2037021</v>
      </c>
      <c r="U961" s="3" t="s">
        <v>29</v>
      </c>
    </row>
    <row r="962" spans="1:21" ht="13.2" x14ac:dyDescent="0.25">
      <c r="A962" s="14">
        <v>43776517050527</v>
      </c>
      <c r="B962" s="15" t="str">
        <f t="shared" si="14"/>
        <v>43.776.517/0505-27</v>
      </c>
      <c r="C962" s="12"/>
      <c r="D962" s="3" t="s">
        <v>3933</v>
      </c>
      <c r="E962" s="3" t="s">
        <v>3933</v>
      </c>
      <c r="F962" s="3" t="s">
        <v>20</v>
      </c>
      <c r="G962" s="4">
        <v>29153</v>
      </c>
      <c r="H962" s="3" t="s">
        <v>377</v>
      </c>
      <c r="I962" s="3" t="s">
        <v>33</v>
      </c>
      <c r="J962" s="5">
        <v>15000000000</v>
      </c>
      <c r="K962" s="3">
        <v>3600601</v>
      </c>
      <c r="L962" s="3" t="s">
        <v>788</v>
      </c>
      <c r="M962" s="3" t="s">
        <v>3978</v>
      </c>
      <c r="N962" s="3">
        <v>652</v>
      </c>
      <c r="Q962" s="3" t="s">
        <v>1371</v>
      </c>
      <c r="R962" s="3" t="s">
        <v>28</v>
      </c>
      <c r="S962" s="3">
        <v>18130375</v>
      </c>
      <c r="U962" s="3" t="s">
        <v>29</v>
      </c>
    </row>
    <row r="963" spans="1:21" ht="13.2" x14ac:dyDescent="0.25">
      <c r="A963" s="14">
        <v>43776517078022</v>
      </c>
      <c r="B963" s="15" t="str">
        <f t="shared" ref="B963:B1026" si="15">TEXT(A963,"00\.000\.000\/0000\-00")</f>
        <v>43.776.517/0780-22</v>
      </c>
      <c r="C963" s="12"/>
      <c r="D963" s="3" t="s">
        <v>3933</v>
      </c>
      <c r="E963" s="3" t="s">
        <v>3936</v>
      </c>
      <c r="F963" s="3" t="s">
        <v>20</v>
      </c>
      <c r="G963" s="4">
        <v>36157</v>
      </c>
      <c r="H963" s="3" t="s">
        <v>377</v>
      </c>
      <c r="I963" s="3" t="s">
        <v>33</v>
      </c>
      <c r="J963" s="5">
        <v>15000000000</v>
      </c>
      <c r="K963" s="3">
        <v>3600601</v>
      </c>
      <c r="L963" s="3" t="s">
        <v>788</v>
      </c>
      <c r="M963" s="3" t="s">
        <v>3979</v>
      </c>
      <c r="N963" s="3">
        <v>2000</v>
      </c>
      <c r="P963" s="3" t="s">
        <v>3980</v>
      </c>
      <c r="Q963" s="3" t="s">
        <v>3981</v>
      </c>
      <c r="R963" s="3" t="s">
        <v>28</v>
      </c>
      <c r="S963" s="3">
        <v>13230001</v>
      </c>
      <c r="T963" s="3">
        <v>1130613200</v>
      </c>
      <c r="U963" s="3" t="s">
        <v>29</v>
      </c>
    </row>
    <row r="964" spans="1:21" ht="13.2" x14ac:dyDescent="0.25">
      <c r="A964" s="14">
        <v>43776517001585</v>
      </c>
      <c r="B964" s="15" t="str">
        <f t="shared" si="15"/>
        <v>43.776.517/0015-85</v>
      </c>
      <c r="C964" s="12"/>
      <c r="D964" s="3" t="s">
        <v>3933</v>
      </c>
      <c r="E964" s="3" t="s">
        <v>3936</v>
      </c>
      <c r="F964" s="3" t="s">
        <v>20</v>
      </c>
      <c r="G964" s="4">
        <v>37252</v>
      </c>
      <c r="H964" s="3" t="s">
        <v>377</v>
      </c>
      <c r="I964" s="3" t="s">
        <v>33</v>
      </c>
      <c r="J964" s="5">
        <v>15000000000</v>
      </c>
      <c r="K964" s="3">
        <v>3600601</v>
      </c>
      <c r="L964" s="3" t="s">
        <v>788</v>
      </c>
      <c r="M964" s="3" t="s">
        <v>3982</v>
      </c>
      <c r="N964" s="3">
        <v>115</v>
      </c>
      <c r="P964" s="3" t="s">
        <v>3983</v>
      </c>
      <c r="Q964" s="3" t="s">
        <v>262</v>
      </c>
      <c r="R964" s="3" t="s">
        <v>28</v>
      </c>
      <c r="S964" s="3">
        <v>6083020</v>
      </c>
      <c r="T964" s="3">
        <v>1133887417</v>
      </c>
      <c r="U964" s="3" t="s">
        <v>29</v>
      </c>
    </row>
    <row r="965" spans="1:21" ht="13.2" x14ac:dyDescent="0.25">
      <c r="A965" s="14">
        <v>43776517002719</v>
      </c>
      <c r="B965" s="15" t="str">
        <f t="shared" si="15"/>
        <v>43.776.517/0027-19</v>
      </c>
      <c r="C965" s="12"/>
      <c r="D965" s="3" t="s">
        <v>3933</v>
      </c>
      <c r="E965" s="3" t="s">
        <v>3936</v>
      </c>
      <c r="F965" s="3" t="s">
        <v>20</v>
      </c>
      <c r="G965" s="4">
        <v>38488</v>
      </c>
      <c r="H965" s="3" t="s">
        <v>377</v>
      </c>
      <c r="I965" s="3" t="s">
        <v>33</v>
      </c>
      <c r="J965" s="5">
        <v>15000000000</v>
      </c>
      <c r="K965" s="3">
        <v>3600601</v>
      </c>
      <c r="L965" s="3" t="s">
        <v>788</v>
      </c>
      <c r="M965" s="3" t="s">
        <v>3984</v>
      </c>
      <c r="N965" s="3">
        <v>1100</v>
      </c>
      <c r="P965" s="3" t="s">
        <v>3985</v>
      </c>
      <c r="Q965" s="3" t="s">
        <v>688</v>
      </c>
      <c r="R965" s="3" t="s">
        <v>28</v>
      </c>
      <c r="S965" s="3">
        <v>6726160</v>
      </c>
      <c r="T965" s="3">
        <v>1133887417</v>
      </c>
      <c r="U965" s="3" t="s">
        <v>29</v>
      </c>
    </row>
    <row r="966" spans="1:21" ht="13.2" x14ac:dyDescent="0.25">
      <c r="A966" s="14">
        <v>43776517039981</v>
      </c>
      <c r="B966" s="15" t="str">
        <f t="shared" si="15"/>
        <v>43.776.517/0399-81</v>
      </c>
      <c r="C966" s="12"/>
      <c r="D966" s="3" t="s">
        <v>3933</v>
      </c>
      <c r="E966" s="3" t="s">
        <v>3933</v>
      </c>
      <c r="F966" s="3" t="s">
        <v>20</v>
      </c>
      <c r="G966" s="4">
        <v>28377</v>
      </c>
      <c r="H966" s="3" t="s">
        <v>377</v>
      </c>
      <c r="I966" s="3" t="s">
        <v>33</v>
      </c>
      <c r="J966" s="5">
        <v>15000000000</v>
      </c>
      <c r="K966" s="3">
        <v>3600601</v>
      </c>
      <c r="L966" s="3" t="s">
        <v>788</v>
      </c>
      <c r="M966" s="3" t="s">
        <v>3986</v>
      </c>
      <c r="N966" s="3">
        <v>300</v>
      </c>
      <c r="P966" s="3" t="s">
        <v>753</v>
      </c>
      <c r="Q966" s="3" t="s">
        <v>27</v>
      </c>
      <c r="R966" s="3" t="s">
        <v>28</v>
      </c>
      <c r="S966" s="3">
        <v>5307000</v>
      </c>
      <c r="U966" s="3" t="s">
        <v>29</v>
      </c>
    </row>
    <row r="967" spans="1:21" ht="13.2" x14ac:dyDescent="0.25">
      <c r="A967" s="14">
        <v>43776517000180</v>
      </c>
      <c r="B967" s="15" t="str">
        <f t="shared" si="15"/>
        <v>43.776.517/0001-80</v>
      </c>
      <c r="C967" s="12"/>
      <c r="D967" s="3" t="s">
        <v>3933</v>
      </c>
      <c r="E967" s="3" t="s">
        <v>3936</v>
      </c>
      <c r="F967" s="3" t="s">
        <v>20</v>
      </c>
      <c r="G967" s="4">
        <v>26945</v>
      </c>
      <c r="H967" s="3" t="s">
        <v>377</v>
      </c>
      <c r="I967" s="3" t="s">
        <v>33</v>
      </c>
      <c r="J967" s="5">
        <v>15000000000</v>
      </c>
      <c r="K967" s="3">
        <v>3600601</v>
      </c>
      <c r="L967" s="3" t="s">
        <v>788</v>
      </c>
      <c r="M967" s="3" t="s">
        <v>3987</v>
      </c>
      <c r="N967" s="3">
        <v>300</v>
      </c>
      <c r="P967" s="3" t="s">
        <v>1740</v>
      </c>
      <c r="Q967" s="3" t="s">
        <v>27</v>
      </c>
      <c r="R967" s="3" t="s">
        <v>28</v>
      </c>
      <c r="S967" s="3">
        <v>5429000</v>
      </c>
      <c r="T967" s="3">
        <v>1133888000</v>
      </c>
      <c r="U967" s="3" t="s">
        <v>29</v>
      </c>
    </row>
    <row r="968" spans="1:21" ht="13.2" x14ac:dyDescent="0.25">
      <c r="A968" s="14">
        <v>43776517078960</v>
      </c>
      <c r="B968" s="15" t="str">
        <f t="shared" si="15"/>
        <v>43.776.517/0789-60</v>
      </c>
      <c r="C968" s="12"/>
      <c r="D968" s="3" t="s">
        <v>3933</v>
      </c>
      <c r="E968" s="3" t="s">
        <v>3936</v>
      </c>
      <c r="F968" s="3" t="s">
        <v>20</v>
      </c>
      <c r="G968" s="4">
        <v>36201</v>
      </c>
      <c r="H968" s="3" t="s">
        <v>377</v>
      </c>
      <c r="I968" s="3" t="s">
        <v>33</v>
      </c>
      <c r="J968" s="5">
        <v>15000000000</v>
      </c>
      <c r="K968" s="3">
        <v>3600601</v>
      </c>
      <c r="L968" s="3" t="s">
        <v>788</v>
      </c>
      <c r="M968" s="3" t="s">
        <v>1771</v>
      </c>
      <c r="N968" s="3">
        <v>691</v>
      </c>
      <c r="P968" s="3" t="s">
        <v>3988</v>
      </c>
      <c r="Q968" s="3" t="s">
        <v>2822</v>
      </c>
      <c r="R968" s="3" t="s">
        <v>28</v>
      </c>
      <c r="S968" s="3">
        <v>12215200</v>
      </c>
      <c r="T968" s="3">
        <v>1130613200</v>
      </c>
      <c r="U968" s="3" t="s">
        <v>29</v>
      </c>
    </row>
    <row r="969" spans="1:21" ht="13.2" x14ac:dyDescent="0.25">
      <c r="A969" s="14">
        <v>43776517056649</v>
      </c>
      <c r="B969" s="15" t="str">
        <f t="shared" si="15"/>
        <v>43.776.517/0566-49</v>
      </c>
      <c r="C969" s="12"/>
      <c r="D969" s="3" t="s">
        <v>3933</v>
      </c>
      <c r="E969" s="3" t="s">
        <v>3936</v>
      </c>
      <c r="F969" s="3" t="s">
        <v>20</v>
      </c>
      <c r="G969" s="4">
        <v>29571</v>
      </c>
      <c r="H969" s="3" t="s">
        <v>377</v>
      </c>
      <c r="I969" s="3" t="s">
        <v>33</v>
      </c>
      <c r="J969" s="5">
        <v>15000000000</v>
      </c>
      <c r="K969" s="3">
        <v>3600601</v>
      </c>
      <c r="L969" s="3" t="s">
        <v>788</v>
      </c>
      <c r="M969" s="3" t="s">
        <v>3989</v>
      </c>
      <c r="N969" s="3">
        <v>1655</v>
      </c>
      <c r="P969" s="3" t="s">
        <v>70</v>
      </c>
      <c r="Q969" s="3" t="s">
        <v>3990</v>
      </c>
      <c r="R969" s="3" t="s">
        <v>28</v>
      </c>
      <c r="S969" s="3">
        <v>18708050</v>
      </c>
      <c r="U969" s="3" t="s">
        <v>29</v>
      </c>
    </row>
    <row r="970" spans="1:21" ht="13.2" x14ac:dyDescent="0.25">
      <c r="A970" s="14">
        <v>43776517036613</v>
      </c>
      <c r="B970" s="15" t="str">
        <f t="shared" si="15"/>
        <v>43.776.517/0366-13</v>
      </c>
      <c r="C970" s="12"/>
      <c r="D970" s="3" t="s">
        <v>3933</v>
      </c>
      <c r="E970" s="3" t="s">
        <v>3933</v>
      </c>
      <c r="F970" s="3" t="s">
        <v>20</v>
      </c>
      <c r="G970" s="4">
        <v>28370</v>
      </c>
      <c r="H970" s="3" t="s">
        <v>377</v>
      </c>
      <c r="I970" s="3" t="s">
        <v>33</v>
      </c>
      <c r="J970" s="5">
        <v>15000000000</v>
      </c>
      <c r="K970" s="3">
        <v>3600601</v>
      </c>
      <c r="L970" s="3" t="s">
        <v>788</v>
      </c>
      <c r="M970" s="3" t="s">
        <v>3991</v>
      </c>
      <c r="N970" s="3">
        <v>284</v>
      </c>
      <c r="P970" s="3" t="s">
        <v>2214</v>
      </c>
      <c r="Q970" s="3" t="s">
        <v>27</v>
      </c>
      <c r="R970" s="3" t="s">
        <v>28</v>
      </c>
      <c r="S970" s="3">
        <v>4763280</v>
      </c>
      <c r="U970" s="3" t="s">
        <v>29</v>
      </c>
    </row>
    <row r="971" spans="1:21" ht="13.2" x14ac:dyDescent="0.25">
      <c r="A971" s="14">
        <v>43776517026901</v>
      </c>
      <c r="B971" s="15" t="str">
        <f t="shared" si="15"/>
        <v>43.776.517/0269-01</v>
      </c>
      <c r="C971" s="12"/>
      <c r="D971" s="3" t="s">
        <v>3933</v>
      </c>
      <c r="E971" s="3" t="s">
        <v>3933</v>
      </c>
      <c r="F971" s="3" t="s">
        <v>20</v>
      </c>
      <c r="G971" s="4">
        <v>28163</v>
      </c>
      <c r="H971" s="3" t="s">
        <v>377</v>
      </c>
      <c r="I971" s="3" t="s">
        <v>33</v>
      </c>
      <c r="J971" s="5">
        <v>15000000000</v>
      </c>
      <c r="K971" s="3">
        <v>3600601</v>
      </c>
      <c r="L971" s="3" t="s">
        <v>788</v>
      </c>
      <c r="M971" s="3" t="s">
        <v>3992</v>
      </c>
      <c r="N971" s="3">
        <v>265</v>
      </c>
      <c r="P971" s="3" t="s">
        <v>70</v>
      </c>
      <c r="Q971" s="3" t="s">
        <v>3993</v>
      </c>
      <c r="R971" s="3" t="s">
        <v>28</v>
      </c>
      <c r="S971" s="3">
        <v>18150000</v>
      </c>
      <c r="U971" s="3" t="s">
        <v>29</v>
      </c>
    </row>
    <row r="972" spans="1:21" ht="13.2" x14ac:dyDescent="0.25">
      <c r="A972" s="14">
        <v>43776517062967</v>
      </c>
      <c r="B972" s="15" t="str">
        <f t="shared" si="15"/>
        <v>43.776.517/0629-67</v>
      </c>
      <c r="C972" s="12"/>
      <c r="D972" s="3" t="s">
        <v>3933</v>
      </c>
      <c r="E972" s="3" t="s">
        <v>3936</v>
      </c>
      <c r="F972" s="3" t="s">
        <v>20</v>
      </c>
      <c r="G972" s="4">
        <v>32182</v>
      </c>
      <c r="H972" s="3" t="s">
        <v>377</v>
      </c>
      <c r="I972" s="3" t="s">
        <v>33</v>
      </c>
      <c r="J972" s="5">
        <v>15000000000</v>
      </c>
      <c r="K972" s="3">
        <v>3701100</v>
      </c>
      <c r="L972" s="3" t="s">
        <v>2425</v>
      </c>
      <c r="M972" s="3" t="s">
        <v>3994</v>
      </c>
      <c r="N972" s="3">
        <v>701</v>
      </c>
      <c r="P972" s="3" t="s">
        <v>3995</v>
      </c>
      <c r="Q972" s="3" t="s">
        <v>2203</v>
      </c>
      <c r="R972" s="3" t="s">
        <v>28</v>
      </c>
      <c r="S972" s="3">
        <v>8616510</v>
      </c>
      <c r="T972" s="3">
        <v>1133887164</v>
      </c>
      <c r="U972" s="3" t="s">
        <v>29</v>
      </c>
    </row>
    <row r="973" spans="1:21" ht="13.2" x14ac:dyDescent="0.25">
      <c r="A973" s="14">
        <v>43776517069201</v>
      </c>
      <c r="B973" s="15" t="str">
        <f t="shared" si="15"/>
        <v>43.776.517/0692-01</v>
      </c>
      <c r="C973" s="12"/>
      <c r="D973" s="3" t="s">
        <v>3933</v>
      </c>
      <c r="E973" s="3" t="s">
        <v>3936</v>
      </c>
      <c r="F973" s="3" t="s">
        <v>20</v>
      </c>
      <c r="G973" s="4">
        <v>34579</v>
      </c>
      <c r="H973" s="3" t="s">
        <v>377</v>
      </c>
      <c r="I973" s="3" t="s">
        <v>33</v>
      </c>
      <c r="J973" s="5">
        <v>15000000000</v>
      </c>
      <c r="K973" s="3">
        <v>3600601</v>
      </c>
      <c r="L973" s="3" t="s">
        <v>788</v>
      </c>
      <c r="M973" s="3" t="s">
        <v>3996</v>
      </c>
      <c r="N973" s="3" t="s">
        <v>82</v>
      </c>
      <c r="P973" s="3" t="s">
        <v>3997</v>
      </c>
      <c r="Q973" s="3" t="s">
        <v>27</v>
      </c>
      <c r="R973" s="3" t="s">
        <v>28</v>
      </c>
      <c r="S973" s="3">
        <v>2187110</v>
      </c>
      <c r="U973" s="3" t="s">
        <v>29</v>
      </c>
    </row>
    <row r="974" spans="1:21" ht="13.2" x14ac:dyDescent="0.25">
      <c r="A974" s="14">
        <v>43776517073306</v>
      </c>
      <c r="B974" s="15" t="str">
        <f t="shared" si="15"/>
        <v>43.776.517/0733-06</v>
      </c>
      <c r="C974" s="12"/>
      <c r="D974" s="3" t="s">
        <v>3933</v>
      </c>
      <c r="E974" s="3" t="s">
        <v>3936</v>
      </c>
      <c r="F974" s="3" t="s">
        <v>20</v>
      </c>
      <c r="G974" s="4">
        <v>35201</v>
      </c>
      <c r="H974" s="3" t="s">
        <v>377</v>
      </c>
      <c r="I974" s="3" t="s">
        <v>33</v>
      </c>
      <c r="J974" s="5">
        <v>15000000000</v>
      </c>
      <c r="K974" s="3">
        <v>3600601</v>
      </c>
      <c r="L974" s="3" t="s">
        <v>788</v>
      </c>
      <c r="M974" s="3" t="s">
        <v>3998</v>
      </c>
      <c r="N974" s="3">
        <v>580</v>
      </c>
      <c r="P974" s="3" t="s">
        <v>3999</v>
      </c>
      <c r="Q974" s="3" t="s">
        <v>217</v>
      </c>
      <c r="R974" s="3" t="s">
        <v>28</v>
      </c>
      <c r="S974" s="3">
        <v>9683010</v>
      </c>
      <c r="U974" s="3" t="s">
        <v>29</v>
      </c>
    </row>
    <row r="975" spans="1:21" ht="13.2" x14ac:dyDescent="0.25">
      <c r="A975" s="14">
        <v>43776517032200</v>
      </c>
      <c r="B975" s="15" t="str">
        <f t="shared" si="15"/>
        <v>43.776.517/0322-00</v>
      </c>
      <c r="C975" s="12"/>
      <c r="D975" s="3" t="s">
        <v>3933</v>
      </c>
      <c r="E975" s="3" t="s">
        <v>3936</v>
      </c>
      <c r="F975" s="3" t="s">
        <v>20</v>
      </c>
      <c r="G975" s="4">
        <v>40220</v>
      </c>
      <c r="H975" s="3" t="s">
        <v>377</v>
      </c>
      <c r="I975" s="3" t="s">
        <v>33</v>
      </c>
      <c r="J975" s="5">
        <v>15000000000</v>
      </c>
      <c r="K975" s="3">
        <v>3701100</v>
      </c>
      <c r="L975" s="3" t="s">
        <v>2425</v>
      </c>
      <c r="M975" s="3" t="s">
        <v>4000</v>
      </c>
      <c r="N975" s="3">
        <v>25</v>
      </c>
      <c r="P975" s="3" t="s">
        <v>4001</v>
      </c>
      <c r="Q975" s="3" t="s">
        <v>4002</v>
      </c>
      <c r="R975" s="3" t="s">
        <v>28</v>
      </c>
      <c r="S975" s="3">
        <v>11680000</v>
      </c>
      <c r="T975" s="3">
        <v>1133887164</v>
      </c>
      <c r="U975" s="3" t="s">
        <v>29</v>
      </c>
    </row>
    <row r="976" spans="1:21" ht="13.2" x14ac:dyDescent="0.25">
      <c r="A976" s="14">
        <v>43776517003448</v>
      </c>
      <c r="B976" s="15" t="str">
        <f t="shared" si="15"/>
        <v>43.776.517/0034-48</v>
      </c>
      <c r="C976" s="12"/>
      <c r="D976" s="3" t="s">
        <v>3933</v>
      </c>
      <c r="E976" s="3" t="s">
        <v>3936</v>
      </c>
      <c r="F976" s="3" t="s">
        <v>20</v>
      </c>
      <c r="G976" s="4">
        <v>38799</v>
      </c>
      <c r="H976" s="3" t="s">
        <v>377</v>
      </c>
      <c r="I976" s="3" t="s">
        <v>33</v>
      </c>
      <c r="J976" s="5">
        <v>15000000000</v>
      </c>
      <c r="K976" s="3">
        <v>3600601</v>
      </c>
      <c r="L976" s="3" t="s">
        <v>788</v>
      </c>
      <c r="M976" s="3" t="s">
        <v>4003</v>
      </c>
      <c r="N976" s="3" t="s">
        <v>82</v>
      </c>
      <c r="P976" s="3" t="s">
        <v>4004</v>
      </c>
      <c r="Q976" s="3" t="s">
        <v>929</v>
      </c>
      <c r="R976" s="3" t="s">
        <v>28</v>
      </c>
      <c r="S976" s="3">
        <v>6537160</v>
      </c>
      <c r="T976" s="3">
        <v>1133887417</v>
      </c>
      <c r="U976" s="3" t="s">
        <v>29</v>
      </c>
    </row>
    <row r="977" spans="1:21" ht="13.2" x14ac:dyDescent="0.25">
      <c r="A977" s="14">
        <v>43776517097329</v>
      </c>
      <c r="B977" s="15" t="str">
        <f t="shared" si="15"/>
        <v>43.776.517/0973-29</v>
      </c>
      <c r="C977" s="12" t="str">
        <f>VLOOKUP(B977,[1]Planilha1!$A:$B,2,0)</f>
        <v>Malu Montesino</v>
      </c>
      <c r="D977" s="3" t="s">
        <v>3933</v>
      </c>
      <c r="E977" s="3" t="s">
        <v>3936</v>
      </c>
      <c r="F977" s="3" t="s">
        <v>20</v>
      </c>
      <c r="G977" s="4">
        <v>41716</v>
      </c>
      <c r="H977" s="3" t="s">
        <v>377</v>
      </c>
      <c r="I977" s="3" t="s">
        <v>33</v>
      </c>
      <c r="J977" s="5">
        <v>15000000000</v>
      </c>
      <c r="K977" s="3">
        <v>3701100</v>
      </c>
      <c r="L977" s="3" t="s">
        <v>2425</v>
      </c>
      <c r="M977" s="3" t="s">
        <v>4005</v>
      </c>
      <c r="N977" s="3">
        <v>1780</v>
      </c>
      <c r="P977" s="3" t="s">
        <v>3544</v>
      </c>
      <c r="Q977" s="3" t="s">
        <v>3056</v>
      </c>
      <c r="R977" s="3" t="s">
        <v>28</v>
      </c>
      <c r="S977" s="3">
        <v>18610307</v>
      </c>
      <c r="T977" s="3">
        <v>1133887164</v>
      </c>
      <c r="U977" s="3" t="s">
        <v>29</v>
      </c>
    </row>
    <row r="978" spans="1:21" ht="13.2" x14ac:dyDescent="0.25">
      <c r="A978" s="14">
        <v>43776517035218</v>
      </c>
      <c r="B978" s="15" t="str">
        <f t="shared" si="15"/>
        <v>43.776.517/0352-18</v>
      </c>
      <c r="C978" s="12"/>
      <c r="D978" s="3" t="s">
        <v>3933</v>
      </c>
      <c r="E978" s="3" t="s">
        <v>3933</v>
      </c>
      <c r="F978" s="3" t="s">
        <v>20</v>
      </c>
      <c r="G978" s="4">
        <v>28370</v>
      </c>
      <c r="H978" s="3" t="s">
        <v>377</v>
      </c>
      <c r="I978" s="3" t="s">
        <v>33</v>
      </c>
      <c r="J978" s="5">
        <v>15000000000</v>
      </c>
      <c r="K978" s="3">
        <v>3600601</v>
      </c>
      <c r="L978" s="3" t="s">
        <v>788</v>
      </c>
      <c r="M978" s="3" t="s">
        <v>3337</v>
      </c>
      <c r="N978" s="3">
        <v>1195</v>
      </c>
      <c r="P978" s="3" t="s">
        <v>461</v>
      </c>
      <c r="Q978" s="3" t="s">
        <v>27</v>
      </c>
      <c r="R978" s="3" t="s">
        <v>28</v>
      </c>
      <c r="S978" s="3">
        <v>1301100</v>
      </c>
      <c r="U978" s="3" t="s">
        <v>29</v>
      </c>
    </row>
    <row r="979" spans="1:21" ht="13.2" x14ac:dyDescent="0.25">
      <c r="A979" s="14">
        <v>43776517029404</v>
      </c>
      <c r="B979" s="15" t="str">
        <f t="shared" si="15"/>
        <v>43.776.517/0294-04</v>
      </c>
      <c r="C979" s="12" t="str">
        <f>VLOOKUP(B979,[1]Planilha1!$A:$B,2,0)</f>
        <v>Malu Montesino</v>
      </c>
      <c r="D979" s="3" t="s">
        <v>3933</v>
      </c>
      <c r="E979" s="3" t="s">
        <v>3933</v>
      </c>
      <c r="F979" s="3" t="s">
        <v>20</v>
      </c>
      <c r="G979" s="4">
        <v>28275</v>
      </c>
      <c r="H979" s="3" t="s">
        <v>377</v>
      </c>
      <c r="I979" s="3" t="s">
        <v>33</v>
      </c>
      <c r="J979" s="5">
        <v>15000000000</v>
      </c>
      <c r="K979" s="3">
        <v>3600601</v>
      </c>
      <c r="L979" s="3" t="s">
        <v>788</v>
      </c>
      <c r="M979" s="3" t="s">
        <v>3976</v>
      </c>
      <c r="N979" s="3">
        <v>618</v>
      </c>
      <c r="P979" s="3" t="s">
        <v>70</v>
      </c>
      <c r="Q979" s="3" t="s">
        <v>4006</v>
      </c>
      <c r="R979" s="3" t="s">
        <v>28</v>
      </c>
      <c r="S979" s="3">
        <v>17270000</v>
      </c>
      <c r="U979" s="3" t="s">
        <v>29</v>
      </c>
    </row>
    <row r="980" spans="1:21" ht="13.2" x14ac:dyDescent="0.25">
      <c r="A980" s="14">
        <v>43776517015888</v>
      </c>
      <c r="B980" s="15" t="str">
        <f t="shared" si="15"/>
        <v>43.776.517/0158-88</v>
      </c>
      <c r="C980" s="12"/>
      <c r="D980" s="3" t="s">
        <v>3933</v>
      </c>
      <c r="E980" s="3" t="s">
        <v>3933</v>
      </c>
      <c r="F980" s="3" t="s">
        <v>20</v>
      </c>
      <c r="G980" s="4">
        <v>28586</v>
      </c>
      <c r="H980" s="3" t="s">
        <v>377</v>
      </c>
      <c r="I980" s="3" t="s">
        <v>33</v>
      </c>
      <c r="J980" s="5">
        <v>15000000000</v>
      </c>
      <c r="K980" s="3">
        <v>3600601</v>
      </c>
      <c r="L980" s="3" t="s">
        <v>788</v>
      </c>
      <c r="M980" s="3" t="s">
        <v>4007</v>
      </c>
      <c r="N980" s="3">
        <v>1040</v>
      </c>
      <c r="P980" s="3" t="s">
        <v>4008</v>
      </c>
      <c r="Q980" s="3" t="s">
        <v>294</v>
      </c>
      <c r="R980" s="3" t="s">
        <v>28</v>
      </c>
      <c r="S980" s="3">
        <v>11020300</v>
      </c>
      <c r="T980" s="3">
        <v>1133887164</v>
      </c>
      <c r="U980" s="3" t="s">
        <v>29</v>
      </c>
    </row>
    <row r="981" spans="1:21" ht="13.2" x14ac:dyDescent="0.25">
      <c r="A981" s="14">
        <v>12294708000181</v>
      </c>
      <c r="B981" s="15" t="str">
        <f t="shared" si="15"/>
        <v>12.294.708/0001-81</v>
      </c>
      <c r="C981" s="12"/>
      <c r="D981" s="3" t="s">
        <v>4009</v>
      </c>
      <c r="E981" s="3" t="s">
        <v>4010</v>
      </c>
      <c r="F981" s="3" t="s">
        <v>20</v>
      </c>
      <c r="G981" s="4">
        <v>24683</v>
      </c>
      <c r="H981" s="3" t="s">
        <v>3881</v>
      </c>
      <c r="I981" s="3" t="s">
        <v>33</v>
      </c>
      <c r="J981" s="5">
        <v>357381660</v>
      </c>
      <c r="K981" s="3">
        <v>3600601</v>
      </c>
      <c r="L981" s="3" t="s">
        <v>788</v>
      </c>
      <c r="M981" s="3" t="s">
        <v>4011</v>
      </c>
      <c r="N981" s="3">
        <v>200</v>
      </c>
      <c r="P981" s="3" t="s">
        <v>3613</v>
      </c>
      <c r="Q981" s="3" t="s">
        <v>1846</v>
      </c>
      <c r="R981" s="3" t="s">
        <v>1847</v>
      </c>
      <c r="S981" s="3">
        <v>57020510</v>
      </c>
      <c r="T981" s="3">
        <v>8233153066</v>
      </c>
      <c r="U981" s="3" t="s">
        <v>29</v>
      </c>
    </row>
    <row r="982" spans="1:21" ht="13.2" x14ac:dyDescent="0.25">
      <c r="A982" s="14">
        <v>17281106000103</v>
      </c>
      <c r="B982" s="15" t="str">
        <f t="shared" si="15"/>
        <v>17.281.106/0001-03</v>
      </c>
      <c r="C982" s="12"/>
      <c r="D982" s="3" t="s">
        <v>4012</v>
      </c>
      <c r="E982" s="3" t="s">
        <v>4013</v>
      </c>
      <c r="F982" s="3" t="s">
        <v>20</v>
      </c>
      <c r="G982" s="4">
        <v>24343</v>
      </c>
      <c r="H982" s="3" t="s">
        <v>3881</v>
      </c>
      <c r="I982" s="3" t="s">
        <v>33</v>
      </c>
      <c r="J982" s="5">
        <v>5000000000</v>
      </c>
      <c r="K982" s="3">
        <v>3600601</v>
      </c>
      <c r="L982" s="3" t="s">
        <v>788</v>
      </c>
      <c r="M982" s="3" t="s">
        <v>4014</v>
      </c>
      <c r="N982" s="3">
        <v>525</v>
      </c>
      <c r="P982" s="3" t="s">
        <v>4015</v>
      </c>
      <c r="Q982" s="3" t="s">
        <v>476</v>
      </c>
      <c r="R982" s="3" t="s">
        <v>100</v>
      </c>
      <c r="S982" s="3">
        <v>30330270</v>
      </c>
      <c r="T982" s="3">
        <v>3132501548</v>
      </c>
      <c r="U982" s="3" t="s">
        <v>29</v>
      </c>
    </row>
    <row r="983" spans="1:21" ht="13.2" x14ac:dyDescent="0.25">
      <c r="A983" s="14">
        <v>13018171000190</v>
      </c>
      <c r="B983" s="15" t="str">
        <f t="shared" si="15"/>
        <v>13.018.171/0001-90</v>
      </c>
      <c r="C983" s="12"/>
      <c r="D983" s="3" t="s">
        <v>4016</v>
      </c>
      <c r="E983" s="3" t="s">
        <v>4016</v>
      </c>
      <c r="F983" s="3" t="s">
        <v>20</v>
      </c>
      <c r="G983" s="4">
        <v>25645</v>
      </c>
      <c r="H983" s="3" t="s">
        <v>3881</v>
      </c>
      <c r="I983" s="3" t="s">
        <v>33</v>
      </c>
      <c r="J983" s="5">
        <v>1302000000</v>
      </c>
      <c r="K983" s="3">
        <v>3600601</v>
      </c>
      <c r="L983" s="3" t="s">
        <v>788</v>
      </c>
      <c r="M983" s="3" t="s">
        <v>4017</v>
      </c>
      <c r="N983" s="3">
        <v>331</v>
      </c>
      <c r="P983" s="3" t="s">
        <v>4018</v>
      </c>
      <c r="Q983" s="3" t="s">
        <v>710</v>
      </c>
      <c r="R983" s="3" t="s">
        <v>711</v>
      </c>
      <c r="S983" s="3">
        <v>49080120</v>
      </c>
      <c r="U983" s="3" t="s">
        <v>29</v>
      </c>
    </row>
    <row r="984" spans="1:21" ht="13.2" x14ac:dyDescent="0.25">
      <c r="A984" s="14">
        <v>76484013000145</v>
      </c>
      <c r="B984" s="15" t="str">
        <f t="shared" si="15"/>
        <v>76.484.013/0001-45</v>
      </c>
      <c r="C984" s="12"/>
      <c r="D984" s="3" t="s">
        <v>4019</v>
      </c>
      <c r="E984" s="3" t="s">
        <v>4020</v>
      </c>
      <c r="F984" s="3" t="s">
        <v>20</v>
      </c>
      <c r="G984" s="4">
        <v>24863</v>
      </c>
      <c r="H984" s="3" t="s">
        <v>3881</v>
      </c>
      <c r="I984" s="3" t="s">
        <v>33</v>
      </c>
      <c r="J984" s="5">
        <v>6000000000</v>
      </c>
      <c r="K984" s="3">
        <v>3600601</v>
      </c>
      <c r="L984" s="3" t="s">
        <v>788</v>
      </c>
      <c r="M984" s="3" t="s">
        <v>4021</v>
      </c>
      <c r="N984" s="3">
        <v>1376</v>
      </c>
      <c r="P984" s="3" t="s">
        <v>1767</v>
      </c>
      <c r="Q984" s="3" t="s">
        <v>204</v>
      </c>
      <c r="R984" s="3" t="s">
        <v>187</v>
      </c>
      <c r="S984" s="3">
        <v>80215100</v>
      </c>
      <c r="T984" s="3">
        <v>4133303636</v>
      </c>
      <c r="U984" s="3" t="s">
        <v>29</v>
      </c>
    </row>
    <row r="985" spans="1:21" ht="13.2" x14ac:dyDescent="0.25">
      <c r="A985" s="14">
        <v>25089509000183</v>
      </c>
      <c r="B985" s="15" t="str">
        <f t="shared" si="15"/>
        <v>25.089.509/0001-83</v>
      </c>
      <c r="C985" s="12"/>
      <c r="D985" s="3" t="s">
        <v>4022</v>
      </c>
      <c r="E985" s="3" t="s">
        <v>4023</v>
      </c>
      <c r="F985" s="3" t="s">
        <v>20</v>
      </c>
      <c r="G985" s="4">
        <v>32721</v>
      </c>
      <c r="H985" s="3" t="s">
        <v>94</v>
      </c>
      <c r="I985" s="3" t="s">
        <v>33</v>
      </c>
      <c r="J985" s="5">
        <v>279700400</v>
      </c>
      <c r="K985" s="3">
        <v>3600601</v>
      </c>
      <c r="L985" s="3" t="s">
        <v>788</v>
      </c>
      <c r="M985" s="3" t="s">
        <v>4024</v>
      </c>
      <c r="N985" s="3" t="s">
        <v>82</v>
      </c>
      <c r="P985" s="3" t="s">
        <v>1885</v>
      </c>
      <c r="Q985" s="3" t="s">
        <v>1886</v>
      </c>
      <c r="R985" s="3" t="s">
        <v>1887</v>
      </c>
      <c r="S985" s="3">
        <v>77021200</v>
      </c>
      <c r="T985" s="3">
        <v>6384078842</v>
      </c>
      <c r="U985" s="3" t="s">
        <v>29</v>
      </c>
    </row>
    <row r="986" spans="1:21" ht="13.2" x14ac:dyDescent="0.25">
      <c r="A986" s="14">
        <v>9134807000191</v>
      </c>
      <c r="B986" s="15" t="str">
        <f t="shared" si="15"/>
        <v>09.134.807/0001-91</v>
      </c>
      <c r="C986" s="12"/>
      <c r="D986" s="3" t="s">
        <v>4025</v>
      </c>
      <c r="E986" s="3" t="s">
        <v>4026</v>
      </c>
      <c r="F986" s="3" t="s">
        <v>20</v>
      </c>
      <c r="G986" s="4">
        <v>39301</v>
      </c>
      <c r="H986" s="3" t="s">
        <v>3061</v>
      </c>
      <c r="I986" s="3" t="s">
        <v>33</v>
      </c>
      <c r="J986" s="5">
        <v>9086495</v>
      </c>
      <c r="K986" s="3">
        <v>3600601</v>
      </c>
      <c r="L986" s="3" t="s">
        <v>788</v>
      </c>
      <c r="M986" s="3" t="s">
        <v>4027</v>
      </c>
      <c r="N986" s="3">
        <v>1880</v>
      </c>
      <c r="P986" s="3" t="s">
        <v>4028</v>
      </c>
      <c r="Q986" s="3" t="s">
        <v>3266</v>
      </c>
      <c r="R986" s="3" t="s">
        <v>28</v>
      </c>
      <c r="S986" s="3">
        <v>12512010</v>
      </c>
      <c r="T986" s="3">
        <v>1231323733</v>
      </c>
      <c r="U986" s="3" t="s">
        <v>29</v>
      </c>
    </row>
    <row r="987" spans="1:21" ht="13.2" x14ac:dyDescent="0.25">
      <c r="A987" s="14">
        <v>38070074000177</v>
      </c>
      <c r="B987" s="15" t="str">
        <f t="shared" si="15"/>
        <v>38.070.074/0001-77</v>
      </c>
      <c r="C987" s="12" t="str">
        <f>VLOOKUP(B987,[1]Planilha1!$A:$B,2,0)</f>
        <v>Malu Montesino</v>
      </c>
      <c r="D987" s="3" t="s">
        <v>4029</v>
      </c>
      <c r="E987" s="3" t="s">
        <v>4030</v>
      </c>
      <c r="F987" s="3" t="s">
        <v>20</v>
      </c>
      <c r="G987" s="4">
        <v>34401</v>
      </c>
      <c r="H987" s="3" t="s">
        <v>3061</v>
      </c>
      <c r="I987" s="3" t="s">
        <v>33</v>
      </c>
      <c r="J987" s="5">
        <v>2940195300</v>
      </c>
      <c r="K987" s="3">
        <v>4912403</v>
      </c>
      <c r="L987" s="3" t="s">
        <v>4031</v>
      </c>
      <c r="M987" s="3" t="s">
        <v>4032</v>
      </c>
      <c r="N987" s="3">
        <v>155</v>
      </c>
      <c r="P987" s="3" t="s">
        <v>3930</v>
      </c>
      <c r="Q987" s="3" t="s">
        <v>631</v>
      </c>
      <c r="R987" s="3" t="s">
        <v>632</v>
      </c>
      <c r="S987" s="3">
        <v>70310500</v>
      </c>
      <c r="U987" s="3" t="s">
        <v>29</v>
      </c>
    </row>
    <row r="988" spans="1:21" ht="13.2" x14ac:dyDescent="0.25">
      <c r="A988" s="14">
        <v>9062893000174</v>
      </c>
      <c r="B988" s="15" t="str">
        <f t="shared" si="15"/>
        <v>09.062.893/0001-74</v>
      </c>
      <c r="C988" s="12"/>
      <c r="D988" s="3" t="s">
        <v>4033</v>
      </c>
      <c r="E988" s="3" t="s">
        <v>4033</v>
      </c>
      <c r="F988" s="3" t="s">
        <v>20</v>
      </c>
      <c r="G988" s="4">
        <v>39331</v>
      </c>
      <c r="H988" s="3" t="s">
        <v>3881</v>
      </c>
      <c r="I988" s="3" t="s">
        <v>33</v>
      </c>
      <c r="J988" s="5">
        <v>309900300</v>
      </c>
      <c r="K988" s="3">
        <v>5231101</v>
      </c>
      <c r="L988" s="3" t="s">
        <v>4034</v>
      </c>
      <c r="M988" s="3" t="s">
        <v>4035</v>
      </c>
      <c r="N988" s="3">
        <v>372</v>
      </c>
      <c r="P988" s="3" t="s">
        <v>70</v>
      </c>
      <c r="Q988" s="3" t="s">
        <v>3992</v>
      </c>
      <c r="R988" s="3" t="s">
        <v>28</v>
      </c>
      <c r="S988" s="3">
        <v>11608623</v>
      </c>
      <c r="T988" s="3">
        <v>1238921899</v>
      </c>
      <c r="U988" s="3" t="s">
        <v>29</v>
      </c>
    </row>
    <row r="989" spans="1:21" ht="13.2" x14ac:dyDescent="0.25">
      <c r="A989" s="14">
        <v>17155730000164</v>
      </c>
      <c r="B989" s="15" t="str">
        <f t="shared" si="15"/>
        <v>17.155.730/0001-64</v>
      </c>
      <c r="C989" s="12"/>
      <c r="D989" s="3" t="s">
        <v>4036</v>
      </c>
      <c r="E989" s="3" t="s">
        <v>4036</v>
      </c>
      <c r="F989" s="3" t="s">
        <v>20</v>
      </c>
      <c r="G989" s="4">
        <v>19141</v>
      </c>
      <c r="H989" s="3" t="s">
        <v>3881</v>
      </c>
      <c r="I989" s="3" t="s">
        <v>33</v>
      </c>
      <c r="J989" s="5">
        <v>14308909000</v>
      </c>
      <c r="K989" s="3">
        <v>3513100</v>
      </c>
      <c r="L989" s="3" t="s">
        <v>1192</v>
      </c>
      <c r="M989" s="3" t="s">
        <v>692</v>
      </c>
      <c r="N989" s="3">
        <v>1200</v>
      </c>
      <c r="O989" s="3" t="s">
        <v>4037</v>
      </c>
      <c r="P989" s="3" t="s">
        <v>924</v>
      </c>
      <c r="Q989" s="3" t="s">
        <v>476</v>
      </c>
      <c r="R989" s="3" t="s">
        <v>100</v>
      </c>
      <c r="S989" s="3">
        <v>30190924</v>
      </c>
      <c r="T989" s="3">
        <v>3135067500</v>
      </c>
      <c r="U989" s="3" t="s">
        <v>29</v>
      </c>
    </row>
    <row r="990" spans="1:21" ht="13.2" x14ac:dyDescent="0.25">
      <c r="A990" s="14">
        <v>10835932000108</v>
      </c>
      <c r="B990" s="15" t="str">
        <f t="shared" si="15"/>
        <v>10.835.932/0001-08</v>
      </c>
      <c r="C990" s="12"/>
      <c r="D990" s="3" t="s">
        <v>4038</v>
      </c>
      <c r="E990" s="3" t="s">
        <v>4039</v>
      </c>
      <c r="F990" s="3" t="s">
        <v>20</v>
      </c>
      <c r="G990" s="4">
        <v>24415</v>
      </c>
      <c r="H990" s="3" t="s">
        <v>377</v>
      </c>
      <c r="I990" s="3" t="s">
        <v>33</v>
      </c>
      <c r="J990" s="5">
        <v>663177660</v>
      </c>
      <c r="K990" s="3">
        <v>3514000</v>
      </c>
      <c r="L990" s="3" t="s">
        <v>3329</v>
      </c>
      <c r="M990" s="3" t="s">
        <v>4040</v>
      </c>
      <c r="N990" s="3">
        <v>111</v>
      </c>
      <c r="P990" s="3" t="s">
        <v>370</v>
      </c>
      <c r="Q990" s="3" t="s">
        <v>1339</v>
      </c>
      <c r="R990" s="3" t="s">
        <v>456</v>
      </c>
      <c r="S990" s="3">
        <v>50050902</v>
      </c>
      <c r="T990" s="3">
        <v>8132175226</v>
      </c>
      <c r="U990" s="3" t="s">
        <v>29</v>
      </c>
    </row>
    <row r="991" spans="1:21" ht="13.2" x14ac:dyDescent="0.25">
      <c r="A991" s="14">
        <v>7047251000170</v>
      </c>
      <c r="B991" s="15" t="str">
        <f t="shared" si="15"/>
        <v>07.047.251/0001-70</v>
      </c>
      <c r="C991" s="12"/>
      <c r="D991" s="3" t="s">
        <v>4041</v>
      </c>
      <c r="E991" s="3" t="s">
        <v>4042</v>
      </c>
      <c r="F991" s="3" t="s">
        <v>20</v>
      </c>
      <c r="G991" s="4">
        <v>26182</v>
      </c>
      <c r="H991" s="3" t="s">
        <v>377</v>
      </c>
      <c r="I991" s="3" t="s">
        <v>33</v>
      </c>
      <c r="J991" s="5">
        <v>2133480300</v>
      </c>
      <c r="K991" s="3">
        <v>3514000</v>
      </c>
      <c r="L991" s="3" t="s">
        <v>3329</v>
      </c>
      <c r="M991" s="3" t="s">
        <v>4043</v>
      </c>
      <c r="N991" s="3">
        <v>150</v>
      </c>
      <c r="P991" s="3" t="s">
        <v>70</v>
      </c>
      <c r="Q991" s="3" t="s">
        <v>667</v>
      </c>
      <c r="R991" s="3" t="s">
        <v>301</v>
      </c>
      <c r="S991" s="3">
        <v>60135040</v>
      </c>
      <c r="T991" s="3">
        <v>8534534899</v>
      </c>
      <c r="U991" s="3" t="s">
        <v>29</v>
      </c>
    </row>
    <row r="992" spans="1:21" ht="13.2" x14ac:dyDescent="0.25">
      <c r="A992" s="14">
        <v>28151363000147</v>
      </c>
      <c r="B992" s="15" t="str">
        <f t="shared" si="15"/>
        <v>28.151.363/0001-47</v>
      </c>
      <c r="C992" s="12"/>
      <c r="D992" s="3" t="s">
        <v>4044</v>
      </c>
      <c r="E992" s="3" t="s">
        <v>4045</v>
      </c>
      <c r="F992" s="3" t="s">
        <v>20</v>
      </c>
      <c r="G992" s="4">
        <v>24932</v>
      </c>
      <c r="H992" s="3" t="s">
        <v>3881</v>
      </c>
      <c r="I992" s="3" t="s">
        <v>33</v>
      </c>
      <c r="J992" s="5">
        <v>4269909500</v>
      </c>
      <c r="K992" s="3">
        <v>3600601</v>
      </c>
      <c r="L992" s="3" t="s">
        <v>788</v>
      </c>
      <c r="M992" s="3" t="s">
        <v>4046</v>
      </c>
      <c r="N992" s="3">
        <v>186</v>
      </c>
      <c r="O992" s="3" t="s">
        <v>4047</v>
      </c>
      <c r="P992" s="3" t="s">
        <v>70</v>
      </c>
      <c r="Q992" s="3" t="s">
        <v>1253</v>
      </c>
      <c r="R992" s="3" t="s">
        <v>765</v>
      </c>
      <c r="S992" s="3">
        <v>29010150</v>
      </c>
      <c r="T992" s="3">
        <v>2721275005</v>
      </c>
      <c r="U992" s="3" t="s">
        <v>29</v>
      </c>
    </row>
    <row r="993" spans="1:21" ht="13.2" x14ac:dyDescent="0.25">
      <c r="A993" s="14">
        <v>8467115000100</v>
      </c>
      <c r="B993" s="15" t="str">
        <f t="shared" si="15"/>
        <v>08.467.115/0001-00</v>
      </c>
      <c r="C993" s="12"/>
      <c r="D993" s="3" t="s">
        <v>4048</v>
      </c>
      <c r="E993" s="3" t="s">
        <v>4049</v>
      </c>
      <c r="F993" s="3" t="s">
        <v>20</v>
      </c>
      <c r="G993" s="4">
        <v>39049</v>
      </c>
      <c r="H993" s="3" t="s">
        <v>377</v>
      </c>
      <c r="I993" s="3" t="s">
        <v>33</v>
      </c>
      <c r="J993" s="5">
        <v>3385861000</v>
      </c>
      <c r="K993" s="3">
        <v>3514000</v>
      </c>
      <c r="L993" s="3" t="s">
        <v>3329</v>
      </c>
      <c r="M993" s="3" t="s">
        <v>4050</v>
      </c>
      <c r="N993" s="3">
        <v>11</v>
      </c>
      <c r="P993" s="3" t="s">
        <v>1839</v>
      </c>
      <c r="Q993" s="3" t="s">
        <v>437</v>
      </c>
      <c r="R993" s="3" t="s">
        <v>53</v>
      </c>
      <c r="S993" s="3">
        <v>90250020</v>
      </c>
      <c r="T993" s="3">
        <v>9832178000</v>
      </c>
      <c r="U993" s="3" t="s">
        <v>29</v>
      </c>
    </row>
    <row r="994" spans="1:21" ht="13.2" x14ac:dyDescent="0.25">
      <c r="A994" s="14">
        <v>1377555000110</v>
      </c>
      <c r="B994" s="15" t="str">
        <f t="shared" si="15"/>
        <v>01.377.555/0001-10</v>
      </c>
      <c r="C994" s="12"/>
      <c r="D994" s="3" t="s">
        <v>4051</v>
      </c>
      <c r="E994" s="3" t="s">
        <v>4051</v>
      </c>
      <c r="F994" s="3" t="s">
        <v>20</v>
      </c>
      <c r="G994" s="4">
        <v>24419</v>
      </c>
      <c r="H994" s="3" t="s">
        <v>94</v>
      </c>
      <c r="I994" s="3" t="s">
        <v>33</v>
      </c>
      <c r="J994" s="5">
        <v>23381240</v>
      </c>
      <c r="K994" s="3">
        <v>3514000</v>
      </c>
      <c r="L994" s="3" t="s">
        <v>3329</v>
      </c>
      <c r="M994" s="3" t="s">
        <v>3391</v>
      </c>
      <c r="N994" s="3">
        <v>618</v>
      </c>
      <c r="P994" s="3" t="s">
        <v>70</v>
      </c>
      <c r="Q994" s="3" t="s">
        <v>4052</v>
      </c>
      <c r="R994" s="3" t="s">
        <v>274</v>
      </c>
      <c r="S994" s="3">
        <v>76300000</v>
      </c>
      <c r="T994" s="3">
        <v>6233077848</v>
      </c>
      <c r="U994" s="3" t="s">
        <v>29</v>
      </c>
    </row>
    <row r="995" spans="1:21" ht="13.2" x14ac:dyDescent="0.25">
      <c r="A995" s="14">
        <v>5684180000191</v>
      </c>
      <c r="B995" s="15" t="str">
        <f t="shared" si="15"/>
        <v>05.684.180/0001-91</v>
      </c>
      <c r="C995" s="12"/>
      <c r="D995" s="3" t="s">
        <v>4053</v>
      </c>
      <c r="E995" s="3" t="s">
        <v>4054</v>
      </c>
      <c r="F995" s="3" t="s">
        <v>20</v>
      </c>
      <c r="G995" s="4">
        <v>37771</v>
      </c>
      <c r="H995" s="3" t="s">
        <v>21</v>
      </c>
      <c r="I995" s="3" t="s">
        <v>33</v>
      </c>
      <c r="J995" s="5">
        <v>23952600</v>
      </c>
      <c r="K995" s="3">
        <v>6190601</v>
      </c>
      <c r="L995" s="3" t="s">
        <v>3405</v>
      </c>
      <c r="M995" s="3" t="s">
        <v>4055</v>
      </c>
      <c r="N995" s="3">
        <v>450</v>
      </c>
      <c r="O995" s="3" t="s">
        <v>4056</v>
      </c>
      <c r="P995" s="3" t="s">
        <v>70</v>
      </c>
      <c r="Q995" s="3" t="s">
        <v>4057</v>
      </c>
      <c r="R995" s="3" t="s">
        <v>100</v>
      </c>
      <c r="S995" s="3">
        <v>35900009</v>
      </c>
      <c r="T995" s="3">
        <v>3130677000</v>
      </c>
      <c r="U995" s="3" t="s">
        <v>29</v>
      </c>
    </row>
    <row r="996" spans="1:21" ht="13.2" x14ac:dyDescent="0.25">
      <c r="A996" s="14">
        <v>26938926000116</v>
      </c>
      <c r="B996" s="15" t="str">
        <f t="shared" si="15"/>
        <v>26.938.926/0001-16</v>
      </c>
      <c r="C996" s="12"/>
      <c r="D996" s="3" t="s">
        <v>4058</v>
      </c>
      <c r="E996" s="3" t="s">
        <v>4059</v>
      </c>
      <c r="F996" s="3" t="s">
        <v>20</v>
      </c>
      <c r="G996" s="4">
        <v>42741</v>
      </c>
      <c r="H996" s="3" t="s">
        <v>640</v>
      </c>
      <c r="I996" s="3" t="s">
        <v>33</v>
      </c>
      <c r="J996" s="5">
        <v>0</v>
      </c>
      <c r="K996" s="3">
        <v>3600601</v>
      </c>
      <c r="L996" s="3" t="s">
        <v>788</v>
      </c>
      <c r="M996" s="3" t="s">
        <v>4060</v>
      </c>
      <c r="N996" s="3" t="s">
        <v>4061</v>
      </c>
      <c r="P996" s="3" t="s">
        <v>4062</v>
      </c>
      <c r="Q996" s="3" t="s">
        <v>1312</v>
      </c>
      <c r="R996" s="3" t="s">
        <v>28</v>
      </c>
      <c r="S996" s="3">
        <v>13309210</v>
      </c>
      <c r="T996" s="3">
        <v>1121186682</v>
      </c>
      <c r="U996" s="3" t="s">
        <v>29</v>
      </c>
    </row>
    <row r="997" spans="1:21" ht="13.2" x14ac:dyDescent="0.25">
      <c r="A997" s="14">
        <v>60730348000166</v>
      </c>
      <c r="B997" s="15" t="str">
        <f t="shared" si="15"/>
        <v>60.730.348/0001-66</v>
      </c>
      <c r="C997" s="12"/>
      <c r="D997" s="3" t="s">
        <v>4063</v>
      </c>
      <c r="E997" s="3" t="s">
        <v>4064</v>
      </c>
      <c r="F997" s="3" t="s">
        <v>20</v>
      </c>
      <c r="G997" s="4">
        <v>24806</v>
      </c>
      <c r="H997" s="3" t="s">
        <v>377</v>
      </c>
      <c r="I997" s="3" t="s">
        <v>33</v>
      </c>
      <c r="J997" s="5">
        <v>153718780</v>
      </c>
      <c r="K997" s="3">
        <v>6462000</v>
      </c>
      <c r="L997" s="3" t="s">
        <v>250</v>
      </c>
      <c r="M997" s="3" t="s">
        <v>4065</v>
      </c>
      <c r="N997" s="3">
        <v>479</v>
      </c>
      <c r="O997" s="3" t="s">
        <v>2676</v>
      </c>
      <c r="P997" s="3" t="s">
        <v>4066</v>
      </c>
      <c r="Q997" s="3" t="s">
        <v>27</v>
      </c>
      <c r="R997" s="3" t="s">
        <v>28</v>
      </c>
      <c r="S997" s="3">
        <v>5051000</v>
      </c>
      <c r="T997" s="3">
        <v>1138740400</v>
      </c>
      <c r="U997" s="3" t="s">
        <v>29</v>
      </c>
    </row>
    <row r="998" spans="1:21" ht="13.2" x14ac:dyDescent="0.25">
      <c r="A998" s="14">
        <v>61150348000150</v>
      </c>
      <c r="B998" s="15" t="str">
        <f t="shared" si="15"/>
        <v>61.150.348/0001-50</v>
      </c>
      <c r="C998" s="12"/>
      <c r="D998" s="3" t="s">
        <v>4067</v>
      </c>
      <c r="E998" s="3" t="s">
        <v>4067</v>
      </c>
      <c r="F998" s="3" t="s">
        <v>20</v>
      </c>
      <c r="G998" s="4">
        <v>24308</v>
      </c>
      <c r="H998" s="3" t="s">
        <v>94</v>
      </c>
      <c r="I998" s="3" t="s">
        <v>33</v>
      </c>
      <c r="J998" s="5">
        <v>183897340</v>
      </c>
      <c r="K998" s="3">
        <v>2019399</v>
      </c>
      <c r="L998" s="3" t="s">
        <v>1962</v>
      </c>
      <c r="M998" s="3" t="s">
        <v>4068</v>
      </c>
      <c r="N998" s="3">
        <v>951</v>
      </c>
      <c r="P998" s="3" t="s">
        <v>2925</v>
      </c>
      <c r="Q998" s="3" t="s">
        <v>27</v>
      </c>
      <c r="R998" s="3" t="s">
        <v>28</v>
      </c>
      <c r="S998" s="3">
        <v>8090000</v>
      </c>
      <c r="T998" s="3">
        <v>1122463214</v>
      </c>
      <c r="U998" s="3" t="s">
        <v>29</v>
      </c>
    </row>
    <row r="999" spans="1:21" ht="13.2" x14ac:dyDescent="0.25">
      <c r="A999" s="14">
        <v>76483817000120</v>
      </c>
      <c r="B999" s="15" t="str">
        <f t="shared" si="15"/>
        <v>76.483.817/0001-20</v>
      </c>
      <c r="C999" s="12"/>
      <c r="D999" s="3" t="s">
        <v>4069</v>
      </c>
      <c r="E999" s="3" t="s">
        <v>4070</v>
      </c>
      <c r="F999" s="3" t="s">
        <v>20</v>
      </c>
      <c r="G999" s="4">
        <v>24322</v>
      </c>
      <c r="H999" s="3" t="s">
        <v>377</v>
      </c>
      <c r="I999" s="3" t="s">
        <v>33</v>
      </c>
      <c r="J999" s="5">
        <v>12831619000</v>
      </c>
      <c r="K999" s="3">
        <v>6462000</v>
      </c>
      <c r="L999" s="3" t="s">
        <v>250</v>
      </c>
      <c r="M999" s="3" t="s">
        <v>4071</v>
      </c>
      <c r="N999" s="3">
        <v>158</v>
      </c>
      <c r="P999" s="3" t="s">
        <v>4072</v>
      </c>
      <c r="Q999" s="3" t="s">
        <v>204</v>
      </c>
      <c r="R999" s="3" t="s">
        <v>187</v>
      </c>
      <c r="S999" s="3">
        <v>81200240</v>
      </c>
      <c r="T999" s="3">
        <v>4133223535</v>
      </c>
      <c r="U999" s="3" t="s">
        <v>29</v>
      </c>
    </row>
    <row r="1000" spans="1:21" ht="13.2" x14ac:dyDescent="0.25">
      <c r="A1000" s="14">
        <v>535681000192</v>
      </c>
      <c r="B1000" s="15" t="str">
        <f t="shared" si="15"/>
        <v>00.535.681/0001-92</v>
      </c>
      <c r="C1000" s="12"/>
      <c r="D1000" s="3" t="s">
        <v>4073</v>
      </c>
      <c r="E1000" s="3" t="s">
        <v>4073</v>
      </c>
      <c r="F1000" s="3" t="s">
        <v>20</v>
      </c>
      <c r="G1000" s="4">
        <v>34780</v>
      </c>
      <c r="H1000" s="3" t="s">
        <v>94</v>
      </c>
      <c r="I1000" s="3" t="s">
        <v>33</v>
      </c>
      <c r="J1000" s="5">
        <v>220965710</v>
      </c>
      <c r="K1000" s="3">
        <v>3520401</v>
      </c>
      <c r="L1000" s="3" t="s">
        <v>3913</v>
      </c>
      <c r="M1000" s="3" t="s">
        <v>4074</v>
      </c>
      <c r="N1000" s="3">
        <v>1698</v>
      </c>
      <c r="O1000" s="3" t="s">
        <v>4075</v>
      </c>
      <c r="P1000" s="3" t="s">
        <v>4076</v>
      </c>
      <c r="Q1000" s="3" t="s">
        <v>204</v>
      </c>
      <c r="R1000" s="3" t="s">
        <v>187</v>
      </c>
      <c r="S1000" s="3">
        <v>80030001</v>
      </c>
      <c r="T1000" s="3">
        <v>4133121972</v>
      </c>
      <c r="U1000" s="3" t="s">
        <v>29</v>
      </c>
    </row>
    <row r="1001" spans="1:21" ht="13.2" x14ac:dyDescent="0.25">
      <c r="A1001" s="14">
        <v>11274829000107</v>
      </c>
      <c r="B1001" s="15" t="str">
        <f t="shared" si="15"/>
        <v>11.274.829/0001-07</v>
      </c>
      <c r="C1001" s="12"/>
      <c r="D1001" s="3" t="s">
        <v>4077</v>
      </c>
      <c r="E1001" s="3" t="s">
        <v>4077</v>
      </c>
      <c r="F1001" s="3" t="s">
        <v>20</v>
      </c>
      <c r="G1001" s="4">
        <v>40108</v>
      </c>
      <c r="H1001" s="3" t="s">
        <v>377</v>
      </c>
      <c r="I1001" s="3" t="s">
        <v>33</v>
      </c>
      <c r="J1001" s="5">
        <v>200000000</v>
      </c>
      <c r="K1001" s="3">
        <v>6492100</v>
      </c>
      <c r="L1001" s="3" t="s">
        <v>4078</v>
      </c>
      <c r="M1001" s="3" t="s">
        <v>4079</v>
      </c>
      <c r="N1001" s="3">
        <v>300</v>
      </c>
      <c r="O1001" s="3" t="s">
        <v>835</v>
      </c>
      <c r="P1001" s="3" t="s">
        <v>711</v>
      </c>
      <c r="Q1001" s="3" t="s">
        <v>27</v>
      </c>
      <c r="R1001" s="3" t="s">
        <v>28</v>
      </c>
      <c r="S1001" s="3">
        <v>1017911</v>
      </c>
      <c r="T1001" s="3">
        <v>1132432821</v>
      </c>
      <c r="U1001" s="3" t="s">
        <v>29</v>
      </c>
    </row>
    <row r="1002" spans="1:21" ht="13.2" x14ac:dyDescent="0.25">
      <c r="A1002" s="14">
        <v>71832679000123</v>
      </c>
      <c r="B1002" s="15" t="str">
        <f t="shared" si="15"/>
        <v>71.832.679/0001-23</v>
      </c>
      <c r="C1002" s="12" t="str">
        <f>VLOOKUP(B1002,[1]Planilha1!$A:$B,2,0)</f>
        <v>Malu Montesino</v>
      </c>
      <c r="D1002" s="3" t="s">
        <v>4080</v>
      </c>
      <c r="E1002" s="3" t="s">
        <v>4080</v>
      </c>
      <c r="F1002" s="3" t="s">
        <v>20</v>
      </c>
      <c r="G1002" s="4">
        <v>34155</v>
      </c>
      <c r="H1002" s="3" t="s">
        <v>3061</v>
      </c>
      <c r="I1002" s="3" t="s">
        <v>33</v>
      </c>
      <c r="J1002" s="5">
        <v>20246380000</v>
      </c>
      <c r="K1002" s="3">
        <v>4912402</v>
      </c>
      <c r="L1002" s="3" t="s">
        <v>4081</v>
      </c>
      <c r="M1002" s="3" t="s">
        <v>370</v>
      </c>
      <c r="N1002" s="3">
        <v>162</v>
      </c>
      <c r="O1002" s="3" t="s">
        <v>460</v>
      </c>
      <c r="P1002" s="3" t="s">
        <v>70</v>
      </c>
      <c r="Q1002" s="3" t="s">
        <v>27</v>
      </c>
      <c r="R1002" s="3" t="s">
        <v>28</v>
      </c>
      <c r="S1002" s="3">
        <v>1014902</v>
      </c>
      <c r="T1002" s="3">
        <v>1131177169</v>
      </c>
      <c r="U1002" s="3" t="s">
        <v>29</v>
      </c>
    </row>
    <row r="1003" spans="1:21" ht="13.2" x14ac:dyDescent="0.25">
      <c r="A1003" s="14">
        <v>9769035000164</v>
      </c>
      <c r="B1003" s="15" t="str">
        <f t="shared" si="15"/>
        <v>09.769.035/0001-64</v>
      </c>
      <c r="C1003" s="12"/>
      <c r="D1003" s="3" t="s">
        <v>4082</v>
      </c>
      <c r="E1003" s="3" t="s">
        <v>4083</v>
      </c>
      <c r="F1003" s="3" t="s">
        <v>20</v>
      </c>
      <c r="G1003" s="4">
        <v>26170</v>
      </c>
      <c r="H1003" s="3" t="s">
        <v>3881</v>
      </c>
      <c r="I1003" s="3" t="s">
        <v>33</v>
      </c>
      <c r="J1003" s="5">
        <v>7761434000</v>
      </c>
      <c r="K1003" s="3">
        <v>3600601</v>
      </c>
      <c r="L1003" s="3" t="s">
        <v>788</v>
      </c>
      <c r="M1003" s="3" t="s">
        <v>4084</v>
      </c>
      <c r="N1003" s="3">
        <v>1387</v>
      </c>
      <c r="P1003" s="3" t="s">
        <v>241</v>
      </c>
      <c r="Q1003" s="3" t="s">
        <v>1339</v>
      </c>
      <c r="R1003" s="3" t="s">
        <v>456</v>
      </c>
      <c r="S1003" s="3">
        <v>50040000</v>
      </c>
      <c r="U1003" s="3" t="s">
        <v>29</v>
      </c>
    </row>
    <row r="1004" spans="1:21" ht="13.2" x14ac:dyDescent="0.25">
      <c r="A1004" s="14">
        <v>92802784000190</v>
      </c>
      <c r="B1004" s="15" t="str">
        <f t="shared" si="15"/>
        <v>92.802.784/0001-90</v>
      </c>
      <c r="C1004" s="12"/>
      <c r="D1004" s="3" t="s">
        <v>4085</v>
      </c>
      <c r="E1004" s="3" t="s">
        <v>4086</v>
      </c>
      <c r="F1004" s="3" t="s">
        <v>20</v>
      </c>
      <c r="G1004" s="4">
        <v>24469</v>
      </c>
      <c r="H1004" s="3" t="s">
        <v>377</v>
      </c>
      <c r="I1004" s="3" t="s">
        <v>33</v>
      </c>
      <c r="J1004" s="5">
        <v>1682328300</v>
      </c>
      <c r="K1004" s="3">
        <v>3600601</v>
      </c>
      <c r="L1004" s="3" t="s">
        <v>788</v>
      </c>
      <c r="M1004" s="3" t="s">
        <v>4087</v>
      </c>
      <c r="N1004" s="3">
        <v>120</v>
      </c>
      <c r="O1004" s="3" t="s">
        <v>4088</v>
      </c>
      <c r="P1004" s="3" t="s">
        <v>70</v>
      </c>
      <c r="Q1004" s="3" t="s">
        <v>437</v>
      </c>
      <c r="R1004" s="3" t="s">
        <v>53</v>
      </c>
      <c r="S1004" s="3">
        <v>90010260</v>
      </c>
      <c r="T1004" s="3">
        <v>512155789</v>
      </c>
      <c r="U1004" s="3" t="s">
        <v>29</v>
      </c>
    </row>
    <row r="1005" spans="1:21" ht="13.2" x14ac:dyDescent="0.25">
      <c r="A1005" s="14">
        <v>33042730000104</v>
      </c>
      <c r="B1005" s="15" t="str">
        <f t="shared" si="15"/>
        <v>33.042.730/0001-04</v>
      </c>
      <c r="C1005" s="12"/>
      <c r="D1005" s="3" t="s">
        <v>4089</v>
      </c>
      <c r="E1005" s="3" t="s">
        <v>4089</v>
      </c>
      <c r="F1005" s="3" t="s">
        <v>20</v>
      </c>
      <c r="G1005" s="4">
        <v>24327</v>
      </c>
      <c r="H1005" s="3" t="s">
        <v>377</v>
      </c>
      <c r="I1005" s="3" t="s">
        <v>33</v>
      </c>
      <c r="J1005" s="5">
        <v>10240000000</v>
      </c>
      <c r="K1005" s="3">
        <v>2422901</v>
      </c>
      <c r="L1005" s="3" t="s">
        <v>4090</v>
      </c>
      <c r="M1005" s="3" t="s">
        <v>543</v>
      </c>
      <c r="N1005" s="3">
        <v>3400</v>
      </c>
      <c r="O1005" s="3" t="s">
        <v>4091</v>
      </c>
      <c r="P1005" s="3" t="s">
        <v>1230</v>
      </c>
      <c r="Q1005" s="3" t="s">
        <v>27</v>
      </c>
      <c r="R1005" s="3" t="s">
        <v>28</v>
      </c>
      <c r="S1005" s="3">
        <v>4538132</v>
      </c>
      <c r="T1005" s="3">
        <v>1130497100</v>
      </c>
      <c r="U1005" s="3" t="s">
        <v>29</v>
      </c>
    </row>
    <row r="1006" spans="1:21" ht="13.2" x14ac:dyDescent="0.25">
      <c r="A1006" s="14">
        <v>21255567000189</v>
      </c>
      <c r="B1006" s="15" t="str">
        <f t="shared" si="15"/>
        <v>21.255.567/0001-89</v>
      </c>
      <c r="C1006" s="12"/>
      <c r="D1006" s="3" t="s">
        <v>4092</v>
      </c>
      <c r="E1006" s="3" t="s">
        <v>4092</v>
      </c>
      <c r="F1006" s="3" t="s">
        <v>20</v>
      </c>
      <c r="G1006" s="4" t="s">
        <v>4093</v>
      </c>
      <c r="H1006" s="3" t="s">
        <v>377</v>
      </c>
      <c r="I1006" s="3" t="s">
        <v>33</v>
      </c>
      <c r="J1006" s="5">
        <v>180000000</v>
      </c>
      <c r="K1006" s="3">
        <v>1321900</v>
      </c>
      <c r="L1006" s="3" t="s">
        <v>4094</v>
      </c>
      <c r="M1006" s="3" t="s">
        <v>4095</v>
      </c>
      <c r="N1006" s="3">
        <v>1500</v>
      </c>
      <c r="P1006" s="3" t="s">
        <v>4096</v>
      </c>
      <c r="Q1006" s="3" t="s">
        <v>4097</v>
      </c>
      <c r="R1006" s="3" t="s">
        <v>100</v>
      </c>
      <c r="S1006" s="3">
        <v>35681184</v>
      </c>
      <c r="T1006" s="3">
        <v>3840095041</v>
      </c>
      <c r="U1006" s="3" t="s">
        <v>29</v>
      </c>
    </row>
    <row r="1007" spans="1:21" ht="13.2" x14ac:dyDescent="0.25">
      <c r="A1007" s="14">
        <v>61602199000112</v>
      </c>
      <c r="B1007" s="15" t="str">
        <f t="shared" si="15"/>
        <v>61.602.199/0001-12</v>
      </c>
      <c r="C1007" s="12" t="str">
        <f>VLOOKUP(B1007,[1]Planilha1!$A:$B,2,0)</f>
        <v>Vanessa</v>
      </c>
      <c r="D1007" s="3" t="s">
        <v>4098</v>
      </c>
      <c r="E1007" s="3" t="s">
        <v>4099</v>
      </c>
      <c r="F1007" s="3" t="s">
        <v>20</v>
      </c>
      <c r="G1007" s="4">
        <v>24349</v>
      </c>
      <c r="H1007" s="3" t="s">
        <v>94</v>
      </c>
      <c r="I1007" s="3" t="s">
        <v>33</v>
      </c>
      <c r="J1007" s="5">
        <v>611469060</v>
      </c>
      <c r="K1007" s="3">
        <v>4682600</v>
      </c>
      <c r="L1007" s="3" t="s">
        <v>1219</v>
      </c>
      <c r="M1007" s="3" t="s">
        <v>4100</v>
      </c>
      <c r="N1007" s="3">
        <v>1343</v>
      </c>
      <c r="O1007" s="3" t="s">
        <v>2716</v>
      </c>
      <c r="P1007" s="3" t="s">
        <v>248</v>
      </c>
      <c r="Q1007" s="3" t="s">
        <v>27</v>
      </c>
      <c r="R1007" s="3" t="s">
        <v>28</v>
      </c>
      <c r="S1007" s="3">
        <v>1317910</v>
      </c>
      <c r="T1007" s="3">
        <v>1131772677</v>
      </c>
      <c r="U1007" s="3" t="s">
        <v>29</v>
      </c>
    </row>
    <row r="1008" spans="1:21" ht="13.2" x14ac:dyDescent="0.25">
      <c r="A1008" s="14">
        <v>62672415000169</v>
      </c>
      <c r="B1008" s="15" t="str">
        <f t="shared" si="15"/>
        <v>62.672.415/0001-69</v>
      </c>
      <c r="C1008" s="12"/>
      <c r="D1008" s="3" t="s">
        <v>4101</v>
      </c>
      <c r="E1008" s="3" t="s">
        <v>4101</v>
      </c>
      <c r="F1008" s="3" t="s">
        <v>20</v>
      </c>
      <c r="G1008" s="4">
        <v>25681</v>
      </c>
      <c r="H1008" s="3" t="s">
        <v>21</v>
      </c>
      <c r="I1008" s="3" t="s">
        <v>33</v>
      </c>
      <c r="J1008" s="5">
        <v>900000</v>
      </c>
      <c r="K1008" s="3">
        <v>2229302</v>
      </c>
      <c r="L1008" s="3" t="s">
        <v>576</v>
      </c>
      <c r="M1008" s="3" t="s">
        <v>4102</v>
      </c>
      <c r="N1008" s="3">
        <v>298</v>
      </c>
      <c r="O1008" s="3" t="s">
        <v>4103</v>
      </c>
      <c r="P1008" s="3" t="s">
        <v>4104</v>
      </c>
      <c r="Q1008" s="3" t="s">
        <v>1943</v>
      </c>
      <c r="R1008" s="3" t="s">
        <v>28</v>
      </c>
      <c r="S1008" s="3">
        <v>9961550</v>
      </c>
      <c r="T1008" s="3">
        <v>1140618400</v>
      </c>
      <c r="U1008" s="3" t="s">
        <v>29</v>
      </c>
    </row>
    <row r="1009" spans="1:21" ht="13.2" x14ac:dyDescent="0.25">
      <c r="A1009" s="14">
        <v>8441389000112</v>
      </c>
      <c r="B1009" s="15" t="str">
        <f t="shared" si="15"/>
        <v>08.441.389/0001-12</v>
      </c>
      <c r="C1009" s="12"/>
      <c r="D1009" s="3" t="s">
        <v>4105</v>
      </c>
      <c r="E1009" s="3" t="s">
        <v>4105</v>
      </c>
      <c r="F1009" s="3" t="s">
        <v>20</v>
      </c>
      <c r="G1009" s="4">
        <v>39006</v>
      </c>
      <c r="H1009" s="3" t="s">
        <v>21</v>
      </c>
      <c r="I1009" s="3" t="s">
        <v>33</v>
      </c>
      <c r="J1009" s="5">
        <v>2800000</v>
      </c>
      <c r="K1009" s="3">
        <v>7112000</v>
      </c>
      <c r="L1009" s="3" t="s">
        <v>276</v>
      </c>
      <c r="M1009" s="3" t="s">
        <v>4106</v>
      </c>
      <c r="N1009" s="3">
        <v>600</v>
      </c>
      <c r="O1009" s="3" t="s">
        <v>4107</v>
      </c>
      <c r="P1009" s="3" t="s">
        <v>4108</v>
      </c>
      <c r="Q1009" s="3" t="s">
        <v>2556</v>
      </c>
      <c r="R1009" s="3" t="s">
        <v>28</v>
      </c>
      <c r="S1009" s="3">
        <v>12042050</v>
      </c>
      <c r="T1009" s="3">
        <v>1236351928</v>
      </c>
      <c r="U1009" s="3" t="s">
        <v>29</v>
      </c>
    </row>
    <row r="1010" spans="1:21" ht="13.2" x14ac:dyDescent="0.25">
      <c r="A1010" s="14">
        <v>1615998000100</v>
      </c>
      <c r="B1010" s="15" t="str">
        <f t="shared" si="15"/>
        <v>01.615.998/0001-00</v>
      </c>
      <c r="C1010" s="12"/>
      <c r="D1010" s="3" t="s">
        <v>4109</v>
      </c>
      <c r="E1010" s="3" t="s">
        <v>4110</v>
      </c>
      <c r="F1010" s="3" t="s">
        <v>20</v>
      </c>
      <c r="G1010" s="4">
        <v>35443</v>
      </c>
      <c r="H1010" s="3" t="s">
        <v>21</v>
      </c>
      <c r="I1010" s="3" t="s">
        <v>33</v>
      </c>
      <c r="J1010" s="5">
        <v>801000</v>
      </c>
      <c r="K1010" s="3">
        <v>7210000</v>
      </c>
      <c r="L1010" s="3" t="s">
        <v>4111</v>
      </c>
      <c r="M1010" s="3" t="s">
        <v>273</v>
      </c>
      <c r="N1010" s="3" t="s">
        <v>111</v>
      </c>
      <c r="O1010" s="3" t="s">
        <v>4112</v>
      </c>
      <c r="P1010" s="3" t="s">
        <v>3974</v>
      </c>
      <c r="Q1010" s="3" t="s">
        <v>4113</v>
      </c>
      <c r="R1010" s="3" t="s">
        <v>274</v>
      </c>
      <c r="S1010" s="3">
        <v>75254671</v>
      </c>
      <c r="T1010" s="3">
        <v>6232182022</v>
      </c>
      <c r="U1010" s="3" t="s">
        <v>29</v>
      </c>
    </row>
    <row r="1011" spans="1:21" ht="13.2" x14ac:dyDescent="0.25">
      <c r="A1011" s="14">
        <v>20250792000160</v>
      </c>
      <c r="B1011" s="15" t="str">
        <f t="shared" si="15"/>
        <v>20.250.792/0001-60</v>
      </c>
      <c r="C1011" s="12" t="str">
        <f>VLOOKUP(B1011,[1]Planilha1!$A:$B,2,0)</f>
        <v>Malu Montesino</v>
      </c>
      <c r="D1011" s="3" t="s">
        <v>4114</v>
      </c>
      <c r="E1011" s="3" t="s">
        <v>4115</v>
      </c>
      <c r="F1011" s="3" t="s">
        <v>20</v>
      </c>
      <c r="G1011" s="4">
        <v>41772</v>
      </c>
      <c r="H1011" s="3" t="s">
        <v>21</v>
      </c>
      <c r="I1011" s="3" t="s">
        <v>47</v>
      </c>
      <c r="J1011" s="5">
        <v>700000</v>
      </c>
      <c r="K1011" s="3">
        <v>4511101</v>
      </c>
      <c r="L1011" s="3" t="s">
        <v>1870</v>
      </c>
      <c r="M1011" s="3" t="s">
        <v>4116</v>
      </c>
      <c r="N1011" s="3" t="s">
        <v>82</v>
      </c>
      <c r="O1011" s="3" t="s">
        <v>4117</v>
      </c>
      <c r="P1011" s="3" t="s">
        <v>4118</v>
      </c>
      <c r="Q1011" s="3" t="s">
        <v>4119</v>
      </c>
      <c r="R1011" s="3" t="s">
        <v>274</v>
      </c>
      <c r="S1011" s="3">
        <v>76220000</v>
      </c>
      <c r="T1011" s="3">
        <v>6291222233</v>
      </c>
      <c r="U1011" s="3" t="s">
        <v>29</v>
      </c>
    </row>
    <row r="1012" spans="1:21" ht="13.2" x14ac:dyDescent="0.25">
      <c r="A1012" s="14">
        <v>2451848000162</v>
      </c>
      <c r="B1012" s="15" t="str">
        <f t="shared" si="15"/>
        <v>02.451.848/0001-62</v>
      </c>
      <c r="C1012" s="12" t="str">
        <f>VLOOKUP(B1012,[1]Planilha1!$A:$B,2,0)</f>
        <v>Malu Montesino</v>
      </c>
      <c r="D1012" s="3" t="s">
        <v>4120</v>
      </c>
      <c r="E1012" s="3" t="s">
        <v>4120</v>
      </c>
      <c r="F1012" s="3" t="s">
        <v>20</v>
      </c>
      <c r="G1012" s="4">
        <v>35878</v>
      </c>
      <c r="H1012" s="3" t="s">
        <v>377</v>
      </c>
      <c r="I1012" s="3" t="s">
        <v>33</v>
      </c>
      <c r="J1012" s="5">
        <v>246750000</v>
      </c>
      <c r="K1012" s="3">
        <v>5221400</v>
      </c>
      <c r="L1012" s="3" t="s">
        <v>4121</v>
      </c>
      <c r="M1012" s="3" t="s">
        <v>3243</v>
      </c>
      <c r="N1012" s="3">
        <v>200</v>
      </c>
      <c r="P1012" s="3" t="s">
        <v>1795</v>
      </c>
      <c r="Q1012" s="3" t="s">
        <v>567</v>
      </c>
      <c r="R1012" s="3" t="s">
        <v>28</v>
      </c>
      <c r="S1012" s="3">
        <v>13209500</v>
      </c>
      <c r="T1012" s="3">
        <v>1197394814</v>
      </c>
      <c r="U1012" s="3" t="s">
        <v>29</v>
      </c>
    </row>
    <row r="1013" spans="1:21" ht="13.2" x14ac:dyDescent="0.25">
      <c r="A1013" s="14">
        <v>2509491000126</v>
      </c>
      <c r="B1013" s="15" t="str">
        <f t="shared" si="15"/>
        <v>02.509.491/0001-26</v>
      </c>
      <c r="C1013" s="12" t="str">
        <f>VLOOKUP(B1013,[1]Planilha1!$A:$B,2,0)</f>
        <v>Malu Montesino</v>
      </c>
      <c r="D1013" s="3" t="s">
        <v>4122</v>
      </c>
      <c r="E1013" s="3" t="s">
        <v>4123</v>
      </c>
      <c r="F1013" s="3" t="s">
        <v>20</v>
      </c>
      <c r="G1013" s="4">
        <v>35928</v>
      </c>
      <c r="H1013" s="3" t="s">
        <v>377</v>
      </c>
      <c r="I1013" s="3" t="s">
        <v>33</v>
      </c>
      <c r="J1013" s="5">
        <v>302547400</v>
      </c>
      <c r="K1013" s="3">
        <v>5221400</v>
      </c>
      <c r="L1013" s="3" t="s">
        <v>4121</v>
      </c>
      <c r="M1013" s="3" t="s">
        <v>4124</v>
      </c>
      <c r="N1013" s="3" t="s">
        <v>82</v>
      </c>
      <c r="O1013" s="3" t="s">
        <v>4125</v>
      </c>
      <c r="P1013" s="3" t="s">
        <v>4126</v>
      </c>
      <c r="Q1013" s="3" t="s">
        <v>217</v>
      </c>
      <c r="R1013" s="3" t="s">
        <v>28</v>
      </c>
      <c r="S1013" s="3">
        <v>9845000</v>
      </c>
      <c r="T1013" s="3">
        <v>1143596000</v>
      </c>
      <c r="U1013" s="3" t="s">
        <v>29</v>
      </c>
    </row>
    <row r="1014" spans="1:21" ht="13.2" x14ac:dyDescent="0.25">
      <c r="A1014" s="14">
        <v>1214182000166</v>
      </c>
      <c r="B1014" s="15" t="str">
        <f t="shared" si="15"/>
        <v>01.214.182/0001-66</v>
      </c>
      <c r="C1014" s="12"/>
      <c r="D1014" s="3" t="s">
        <v>4127</v>
      </c>
      <c r="E1014" s="3" t="s">
        <v>4127</v>
      </c>
      <c r="F1014" s="3" t="s">
        <v>20</v>
      </c>
      <c r="G1014" s="4">
        <v>35136</v>
      </c>
      <c r="H1014" s="3" t="s">
        <v>21</v>
      </c>
      <c r="I1014" s="3" t="s">
        <v>22</v>
      </c>
      <c r="J1014" s="5">
        <v>120000</v>
      </c>
      <c r="K1014" s="3">
        <v>2330305</v>
      </c>
      <c r="L1014" s="3" t="s">
        <v>1344</v>
      </c>
      <c r="M1014" s="3" t="s">
        <v>4128</v>
      </c>
      <c r="N1014" s="3">
        <v>60</v>
      </c>
      <c r="P1014" s="3" t="s">
        <v>4129</v>
      </c>
      <c r="Q1014" s="3" t="s">
        <v>4130</v>
      </c>
      <c r="R1014" s="3" t="s">
        <v>28</v>
      </c>
      <c r="S1014" s="3">
        <v>19904565</v>
      </c>
      <c r="T1014" s="3">
        <v>1433023733</v>
      </c>
      <c r="U1014" s="3" t="s">
        <v>29</v>
      </c>
    </row>
    <row r="1015" spans="1:21" ht="13.2" x14ac:dyDescent="0.25">
      <c r="A1015" s="14">
        <v>25143125000100</v>
      </c>
      <c r="B1015" s="15" t="str">
        <f t="shared" si="15"/>
        <v>25.143.125/0001-00</v>
      </c>
      <c r="C1015" s="12"/>
      <c r="D1015" s="3" t="s">
        <v>4131</v>
      </c>
      <c r="E1015" s="3" t="s">
        <v>4132</v>
      </c>
      <c r="F1015" s="3" t="s">
        <v>45</v>
      </c>
      <c r="G1015" s="4">
        <v>42557</v>
      </c>
      <c r="H1015" s="3" t="s">
        <v>21</v>
      </c>
      <c r="I1015" s="3" t="s">
        <v>22</v>
      </c>
      <c r="J1015" s="5">
        <v>500000</v>
      </c>
      <c r="K1015" s="3">
        <v>4110700</v>
      </c>
      <c r="L1015" s="3" t="s">
        <v>4133</v>
      </c>
      <c r="M1015" s="3" t="s">
        <v>4134</v>
      </c>
      <c r="N1015" s="3">
        <v>1572</v>
      </c>
      <c r="O1015" s="3" t="s">
        <v>4135</v>
      </c>
      <c r="P1015" s="3" t="s">
        <v>545</v>
      </c>
      <c r="Q1015" s="3" t="s">
        <v>27</v>
      </c>
      <c r="R1015" s="3" t="s">
        <v>28</v>
      </c>
      <c r="S1015" s="3">
        <v>1451917</v>
      </c>
      <c r="T1015" s="3">
        <v>1126525251</v>
      </c>
      <c r="U1015" s="3" t="s">
        <v>29</v>
      </c>
    </row>
    <row r="1016" spans="1:21" ht="13.2" x14ac:dyDescent="0.25">
      <c r="A1016" s="14">
        <v>86046448000161</v>
      </c>
      <c r="B1016" s="15" t="str">
        <f t="shared" si="15"/>
        <v>86.046.448/0001-61</v>
      </c>
      <c r="C1016" s="12"/>
      <c r="D1016" s="3" t="s">
        <v>4136</v>
      </c>
      <c r="E1016" s="3" t="s">
        <v>4137</v>
      </c>
      <c r="F1016" s="3" t="s">
        <v>20</v>
      </c>
      <c r="G1016" s="4">
        <v>10776</v>
      </c>
      <c r="H1016" s="3" t="s">
        <v>94</v>
      </c>
      <c r="I1016" s="3" t="s">
        <v>33</v>
      </c>
      <c r="J1016" s="5">
        <v>136341330</v>
      </c>
      <c r="K1016" s="3">
        <v>3291400</v>
      </c>
      <c r="L1016" s="3" t="s">
        <v>1864</v>
      </c>
      <c r="M1016" s="3" t="s">
        <v>4138</v>
      </c>
      <c r="N1016" s="3">
        <v>325</v>
      </c>
      <c r="P1016" s="3" t="s">
        <v>70</v>
      </c>
      <c r="Q1016" s="3" t="s">
        <v>4139</v>
      </c>
      <c r="R1016" s="3" t="s">
        <v>91</v>
      </c>
      <c r="S1016" s="3">
        <v>89280900</v>
      </c>
      <c r="T1016" s="3">
        <v>4736312000</v>
      </c>
      <c r="U1016" s="3" t="s">
        <v>29</v>
      </c>
    </row>
    <row r="1017" spans="1:21" ht="13.2" x14ac:dyDescent="0.25">
      <c r="A1017" s="14">
        <v>53224127000150</v>
      </c>
      <c r="B1017" s="15" t="str">
        <f t="shared" si="15"/>
        <v>53.224.127/0001-50</v>
      </c>
      <c r="C1017" s="12" t="str">
        <f>VLOOKUP(B1017,[1]Planilha1!$A:$B,2,0)</f>
        <v>Malu Montesino</v>
      </c>
      <c r="D1017" s="3" t="s">
        <v>4140</v>
      </c>
      <c r="E1017" s="3" t="s">
        <v>4141</v>
      </c>
      <c r="F1017" s="3" t="s">
        <v>20</v>
      </c>
      <c r="G1017" s="4">
        <v>23614</v>
      </c>
      <c r="H1017" s="3" t="s">
        <v>21</v>
      </c>
      <c r="I1017" s="3" t="s">
        <v>33</v>
      </c>
      <c r="J1017" s="5">
        <v>4416000</v>
      </c>
      <c r="K1017" s="3">
        <v>2733300</v>
      </c>
      <c r="L1017" s="3" t="s">
        <v>2719</v>
      </c>
      <c r="M1017" s="3" t="s">
        <v>4142</v>
      </c>
      <c r="N1017" s="3">
        <v>111</v>
      </c>
      <c r="P1017" s="3" t="s">
        <v>4143</v>
      </c>
      <c r="Q1017" s="3" t="s">
        <v>4144</v>
      </c>
      <c r="R1017" s="3" t="s">
        <v>28</v>
      </c>
      <c r="S1017" s="3">
        <v>15404016</v>
      </c>
      <c r="T1017" s="3">
        <v>1732793744</v>
      </c>
      <c r="U1017" s="3" t="s">
        <v>29</v>
      </c>
    </row>
    <row r="1018" spans="1:21" ht="13.2" x14ac:dyDescent="0.25">
      <c r="A1018" s="14">
        <v>19861148000149</v>
      </c>
      <c r="B1018" s="15" t="str">
        <f t="shared" si="15"/>
        <v>19.861.148/0001-49</v>
      </c>
      <c r="C1018" s="12"/>
      <c r="D1018" s="3" t="s">
        <v>4145</v>
      </c>
      <c r="E1018" s="3" t="s">
        <v>4146</v>
      </c>
      <c r="F1018" s="3" t="s">
        <v>20</v>
      </c>
      <c r="G1018" s="4">
        <v>41710</v>
      </c>
      <c r="H1018" s="3" t="s">
        <v>21</v>
      </c>
      <c r="I1018" s="3" t="s">
        <v>33</v>
      </c>
      <c r="J1018" s="5">
        <v>380000</v>
      </c>
      <c r="K1018" s="3">
        <v>7820500</v>
      </c>
      <c r="L1018" s="3" t="s">
        <v>481</v>
      </c>
      <c r="M1018" s="3" t="s">
        <v>4147</v>
      </c>
      <c r="N1018" s="3">
        <v>223</v>
      </c>
      <c r="P1018" s="3" t="s">
        <v>2181</v>
      </c>
      <c r="Q1018" s="3" t="s">
        <v>27</v>
      </c>
      <c r="R1018" s="3" t="s">
        <v>28</v>
      </c>
      <c r="S1018" s="3">
        <v>5074070</v>
      </c>
      <c r="T1018" s="3">
        <v>1128720013</v>
      </c>
      <c r="U1018" s="3" t="s">
        <v>29</v>
      </c>
    </row>
    <row r="1019" spans="1:21" ht="13.2" x14ac:dyDescent="0.25">
      <c r="A1019" s="14">
        <v>13720564000140</v>
      </c>
      <c r="B1019" s="15" t="str">
        <f t="shared" si="15"/>
        <v>13.720.564/0001-40</v>
      </c>
      <c r="C1019" s="12"/>
      <c r="D1019" s="3" t="s">
        <v>4148</v>
      </c>
      <c r="E1019" s="3" t="s">
        <v>4149</v>
      </c>
      <c r="F1019" s="3" t="s">
        <v>20</v>
      </c>
      <c r="G1019" s="4">
        <v>40682</v>
      </c>
      <c r="H1019" s="3" t="s">
        <v>21</v>
      </c>
      <c r="I1019" s="3" t="s">
        <v>22</v>
      </c>
      <c r="J1019" s="5">
        <v>200000</v>
      </c>
      <c r="K1019" s="3">
        <v>6110803</v>
      </c>
      <c r="L1019" s="3" t="s">
        <v>339</v>
      </c>
      <c r="M1019" s="3" t="s">
        <v>4150</v>
      </c>
      <c r="N1019" s="3">
        <v>2400</v>
      </c>
      <c r="O1019" s="3" t="s">
        <v>4151</v>
      </c>
      <c r="P1019" s="3" t="s">
        <v>4152</v>
      </c>
      <c r="Q1019" s="3" t="s">
        <v>4153</v>
      </c>
      <c r="R1019" s="3" t="s">
        <v>78</v>
      </c>
      <c r="S1019" s="3">
        <v>28800000</v>
      </c>
      <c r="T1019" s="3">
        <v>2120423011</v>
      </c>
      <c r="U1019" s="3" t="s">
        <v>29</v>
      </c>
    </row>
    <row r="1020" spans="1:21" ht="13.2" x14ac:dyDescent="0.25">
      <c r="A1020" s="14">
        <v>9242037000109</v>
      </c>
      <c r="B1020" s="15" t="str">
        <f t="shared" si="15"/>
        <v>09.242.037/0001-09</v>
      </c>
      <c r="C1020" s="12"/>
      <c r="D1020" s="3" t="s">
        <v>4154</v>
      </c>
      <c r="E1020" s="3" t="s">
        <v>4155</v>
      </c>
      <c r="F1020" s="3" t="s">
        <v>20</v>
      </c>
      <c r="G1020" s="4">
        <v>39386</v>
      </c>
      <c r="H1020" s="3" t="s">
        <v>21</v>
      </c>
      <c r="I1020" s="3" t="s">
        <v>22</v>
      </c>
      <c r="J1020" s="5">
        <v>3000000</v>
      </c>
      <c r="K1020" s="3">
        <v>4669999</v>
      </c>
      <c r="L1020" s="3" t="s">
        <v>558</v>
      </c>
      <c r="M1020" s="3" t="s">
        <v>4156</v>
      </c>
      <c r="N1020" s="3">
        <v>350</v>
      </c>
      <c r="O1020" s="3" t="s">
        <v>1297</v>
      </c>
      <c r="P1020" s="3" t="s">
        <v>4157</v>
      </c>
      <c r="Q1020" s="3" t="s">
        <v>27</v>
      </c>
      <c r="R1020" s="3" t="s">
        <v>28</v>
      </c>
      <c r="S1020" s="3">
        <v>5004000</v>
      </c>
      <c r="T1020" s="3">
        <v>4132030228</v>
      </c>
      <c r="U1020" s="3" t="s">
        <v>29</v>
      </c>
    </row>
    <row r="1021" spans="1:21" ht="13.2" x14ac:dyDescent="0.25">
      <c r="A1021" s="14">
        <v>16577631000299</v>
      </c>
      <c r="B1021" s="15" t="str">
        <f t="shared" si="15"/>
        <v>16.577.631/0002-99</v>
      </c>
      <c r="C1021" s="12" t="str">
        <f>VLOOKUP(B1021,[1]Planilha1!$A:$B,2,0)</f>
        <v>Mariane Nascimento</v>
      </c>
      <c r="D1021" s="3" t="s">
        <v>4158</v>
      </c>
      <c r="E1021" s="3" t="s">
        <v>4159</v>
      </c>
      <c r="F1021" s="3" t="s">
        <v>20</v>
      </c>
      <c r="G1021" s="4">
        <v>42768</v>
      </c>
      <c r="H1021" s="3" t="s">
        <v>94</v>
      </c>
      <c r="I1021" s="3" t="s">
        <v>33</v>
      </c>
      <c r="J1021" s="5">
        <v>601536000</v>
      </c>
      <c r="K1021" s="3">
        <v>6619399</v>
      </c>
      <c r="L1021" s="3" t="s">
        <v>4160</v>
      </c>
      <c r="M1021" s="3" t="s">
        <v>2429</v>
      </c>
      <c r="N1021" s="3">
        <v>418</v>
      </c>
      <c r="O1021" s="3" t="s">
        <v>1461</v>
      </c>
      <c r="P1021" s="3" t="s">
        <v>316</v>
      </c>
      <c r="Q1021" s="3" t="s">
        <v>27</v>
      </c>
      <c r="R1021" s="3" t="s">
        <v>28</v>
      </c>
      <c r="S1021" s="3">
        <v>4551060</v>
      </c>
      <c r="T1021" s="3">
        <v>1132908500</v>
      </c>
      <c r="U1021" s="3" t="s">
        <v>29</v>
      </c>
    </row>
    <row r="1022" spans="1:21" ht="13.2" x14ac:dyDescent="0.25">
      <c r="A1022" s="14">
        <v>27092748000118</v>
      </c>
      <c r="B1022" s="15" t="str">
        <f t="shared" si="15"/>
        <v>27.092.748/0001-18</v>
      </c>
      <c r="C1022" s="12"/>
      <c r="D1022" s="3" t="s">
        <v>4161</v>
      </c>
      <c r="E1022" s="3" t="s">
        <v>4162</v>
      </c>
      <c r="F1022" s="3" t="s">
        <v>20</v>
      </c>
      <c r="G1022" s="4">
        <v>42774</v>
      </c>
      <c r="H1022" s="3" t="s">
        <v>94</v>
      </c>
      <c r="I1022" s="3" t="s">
        <v>33</v>
      </c>
      <c r="J1022" s="5">
        <v>304000500</v>
      </c>
      <c r="K1022" s="3">
        <v>6202300</v>
      </c>
      <c r="L1022" s="3" t="s">
        <v>103</v>
      </c>
      <c r="M1022" s="3" t="s">
        <v>3697</v>
      </c>
      <c r="N1022" s="3">
        <v>501</v>
      </c>
      <c r="O1022" s="3" t="s">
        <v>4163</v>
      </c>
      <c r="P1022" s="3" t="s">
        <v>3697</v>
      </c>
      <c r="Q1022" s="3" t="s">
        <v>253</v>
      </c>
      <c r="R1022" s="3" t="s">
        <v>78</v>
      </c>
      <c r="S1022" s="3">
        <v>22250911</v>
      </c>
      <c r="T1022" s="3">
        <v>2125076754</v>
      </c>
      <c r="U1022" s="3" t="s">
        <v>29</v>
      </c>
    </row>
    <row r="1023" spans="1:21" ht="13.2" x14ac:dyDescent="0.25">
      <c r="A1023" s="14">
        <v>662084000129</v>
      </c>
      <c r="B1023" s="15" t="str">
        <f t="shared" si="15"/>
        <v>00.662.084/0001-29</v>
      </c>
      <c r="C1023" s="12"/>
      <c r="D1023" s="3" t="s">
        <v>4164</v>
      </c>
      <c r="E1023" s="3" t="s">
        <v>4165</v>
      </c>
      <c r="F1023" s="3" t="s">
        <v>20</v>
      </c>
      <c r="G1023" s="4">
        <v>34871</v>
      </c>
      <c r="H1023" s="3" t="s">
        <v>21</v>
      </c>
      <c r="I1023" s="3" t="s">
        <v>22</v>
      </c>
      <c r="J1023" s="5">
        <v>100000</v>
      </c>
      <c r="K1023" s="3">
        <v>2439300</v>
      </c>
      <c r="L1023" s="3" t="s">
        <v>2941</v>
      </c>
      <c r="M1023" s="3" t="s">
        <v>4166</v>
      </c>
      <c r="N1023" s="3">
        <v>1111</v>
      </c>
      <c r="P1023" s="3" t="s">
        <v>4167</v>
      </c>
      <c r="Q1023" s="3" t="s">
        <v>65</v>
      </c>
      <c r="R1023" s="3" t="s">
        <v>28</v>
      </c>
      <c r="S1023" s="3">
        <v>13024500</v>
      </c>
      <c r="T1023" s="3">
        <v>1932256070</v>
      </c>
      <c r="U1023" s="3" t="s">
        <v>29</v>
      </c>
    </row>
    <row r="1024" spans="1:21" ht="13.2" x14ac:dyDescent="0.25">
      <c r="A1024" s="14">
        <v>60882628000190</v>
      </c>
      <c r="B1024" s="15" t="str">
        <f t="shared" si="15"/>
        <v>60.882.628/0001-90</v>
      </c>
      <c r="C1024" s="12"/>
      <c r="D1024" s="3" t="s">
        <v>4168</v>
      </c>
      <c r="E1024" s="3" t="s">
        <v>4168</v>
      </c>
      <c r="F1024" s="3" t="s">
        <v>20</v>
      </c>
      <c r="G1024" s="4">
        <v>24289</v>
      </c>
      <c r="H1024" s="3" t="s">
        <v>94</v>
      </c>
      <c r="I1024" s="3" t="s">
        <v>33</v>
      </c>
      <c r="J1024" s="5">
        <v>1205256100</v>
      </c>
      <c r="K1024" s="3">
        <v>2431800</v>
      </c>
      <c r="L1024" s="3" t="s">
        <v>1170</v>
      </c>
      <c r="M1024" s="3" t="s">
        <v>4169</v>
      </c>
      <c r="N1024" s="3">
        <v>475</v>
      </c>
      <c r="O1024" s="3" t="s">
        <v>4170</v>
      </c>
      <c r="P1024" s="3" t="s">
        <v>2994</v>
      </c>
      <c r="Q1024" s="3" t="s">
        <v>510</v>
      </c>
      <c r="R1024" s="3" t="s">
        <v>28</v>
      </c>
      <c r="S1024" s="3">
        <v>12414900</v>
      </c>
      <c r="T1024" s="3">
        <v>1236449502</v>
      </c>
      <c r="U1024" s="3" t="s">
        <v>29</v>
      </c>
    </row>
    <row r="1025" spans="1:21" ht="13.2" x14ac:dyDescent="0.25">
      <c r="A1025" s="14">
        <v>39537063000117</v>
      </c>
      <c r="B1025" s="15" t="str">
        <f t="shared" si="15"/>
        <v>39.537.063/0001-17</v>
      </c>
      <c r="C1025" s="12"/>
      <c r="D1025" s="3" t="s">
        <v>4171</v>
      </c>
      <c r="E1025" s="3" t="s">
        <v>4171</v>
      </c>
      <c r="F1025" s="3" t="s">
        <v>20</v>
      </c>
      <c r="G1025" s="4">
        <v>34122</v>
      </c>
      <c r="H1025" s="3" t="s">
        <v>21</v>
      </c>
      <c r="I1025" s="3" t="s">
        <v>33</v>
      </c>
      <c r="J1025" s="5">
        <v>21011000</v>
      </c>
      <c r="K1025" s="3">
        <v>8011101</v>
      </c>
      <c r="L1025" s="3" t="s">
        <v>943</v>
      </c>
      <c r="M1025" s="3" t="s">
        <v>4172</v>
      </c>
      <c r="N1025" s="3">
        <v>348</v>
      </c>
      <c r="O1025" s="3" t="s">
        <v>4173</v>
      </c>
      <c r="P1025" s="3" t="s">
        <v>950</v>
      </c>
      <c r="Q1025" s="3" t="s">
        <v>253</v>
      </c>
      <c r="R1025" s="3" t="s">
        <v>78</v>
      </c>
      <c r="S1025" s="3">
        <v>20930380</v>
      </c>
      <c r="T1025" s="3">
        <v>2132822800</v>
      </c>
      <c r="U1025" s="3" t="s">
        <v>29</v>
      </c>
    </row>
    <row r="1026" spans="1:21" ht="13.2" x14ac:dyDescent="0.25">
      <c r="A1026" s="14">
        <v>10928568000120</v>
      </c>
      <c r="B1026" s="15" t="str">
        <f t="shared" si="15"/>
        <v>10.928.568/0001-20</v>
      </c>
      <c r="C1026" s="12"/>
      <c r="D1026" s="3" t="s">
        <v>4174</v>
      </c>
      <c r="E1026" s="3" t="s">
        <v>4175</v>
      </c>
      <c r="F1026" s="3" t="s">
        <v>20</v>
      </c>
      <c r="G1026" s="4">
        <v>39983</v>
      </c>
      <c r="H1026" s="3" t="s">
        <v>21</v>
      </c>
      <c r="I1026" s="3" t="s">
        <v>22</v>
      </c>
      <c r="J1026" s="5">
        <v>200000</v>
      </c>
      <c r="K1026" s="3">
        <v>6920601</v>
      </c>
      <c r="L1026" s="3" t="s">
        <v>1507</v>
      </c>
      <c r="M1026" s="3" t="s">
        <v>4176</v>
      </c>
      <c r="N1026" s="3">
        <v>931</v>
      </c>
      <c r="P1026" s="3" t="s">
        <v>70</v>
      </c>
      <c r="Q1026" s="3" t="s">
        <v>4177</v>
      </c>
      <c r="R1026" s="3" t="s">
        <v>53</v>
      </c>
      <c r="S1026" s="3">
        <v>95980000</v>
      </c>
      <c r="T1026" s="3">
        <v>5137561164</v>
      </c>
      <c r="U1026" s="3" t="s">
        <v>29</v>
      </c>
    </row>
    <row r="1027" spans="1:21" ht="13.2" x14ac:dyDescent="0.25">
      <c r="A1027" s="14">
        <v>6191743000172</v>
      </c>
      <c r="B1027" s="15" t="str">
        <f t="shared" ref="B1027:B1090" si="16">TEXT(A1027,"00\.000\.000\/0000\-00")</f>
        <v>06.191.743/0001-72</v>
      </c>
      <c r="C1027" s="12" t="str">
        <f>VLOOKUP(B1027,[1]Planilha1!$A:$B,2,0)</f>
        <v>Malu Montesino</v>
      </c>
      <c r="D1027" s="3" t="s">
        <v>4178</v>
      </c>
      <c r="E1027" s="3" t="s">
        <v>4178</v>
      </c>
      <c r="F1027" s="3" t="s">
        <v>20</v>
      </c>
      <c r="G1027" s="4">
        <v>38084</v>
      </c>
      <c r="H1027" s="3" t="s">
        <v>21</v>
      </c>
      <c r="I1027" s="3" t="s">
        <v>33</v>
      </c>
      <c r="J1027" s="5">
        <v>1000000</v>
      </c>
      <c r="K1027" s="3">
        <v>8129000</v>
      </c>
      <c r="L1027" s="3" t="s">
        <v>3626</v>
      </c>
      <c r="M1027" s="3" t="s">
        <v>4179</v>
      </c>
      <c r="N1027" s="3">
        <v>475</v>
      </c>
      <c r="P1027" s="3" t="s">
        <v>846</v>
      </c>
      <c r="Q1027" s="3" t="s">
        <v>27</v>
      </c>
      <c r="R1027" s="3" t="s">
        <v>28</v>
      </c>
      <c r="S1027" s="3">
        <v>4612002</v>
      </c>
      <c r="T1027" s="3">
        <v>1150946280</v>
      </c>
      <c r="U1027" s="3" t="s">
        <v>29</v>
      </c>
    </row>
    <row r="1028" spans="1:21" ht="13.2" x14ac:dyDescent="0.25">
      <c r="A1028" s="14">
        <v>21639300000195</v>
      </c>
      <c r="B1028" s="15" t="str">
        <f t="shared" si="16"/>
        <v>21.639.300/0001-95</v>
      </c>
      <c r="C1028" s="12"/>
      <c r="D1028" s="3" t="s">
        <v>4180</v>
      </c>
      <c r="E1028" s="3" t="s">
        <v>4181</v>
      </c>
      <c r="F1028" s="3" t="s">
        <v>20</v>
      </c>
      <c r="G1028" s="4">
        <v>42010</v>
      </c>
      <c r="H1028" s="3" t="s">
        <v>21</v>
      </c>
      <c r="I1028" s="3" t="s">
        <v>47</v>
      </c>
      <c r="J1028" s="5">
        <v>50000</v>
      </c>
      <c r="K1028" s="3">
        <v>8599604</v>
      </c>
      <c r="L1028" s="3" t="s">
        <v>55</v>
      </c>
      <c r="M1028" s="3" t="s">
        <v>4182</v>
      </c>
      <c r="N1028" s="3">
        <v>955</v>
      </c>
      <c r="O1028" s="3" t="s">
        <v>4183</v>
      </c>
      <c r="P1028" s="3" t="s">
        <v>1252</v>
      </c>
      <c r="Q1028" s="3" t="s">
        <v>1253</v>
      </c>
      <c r="R1028" s="3" t="s">
        <v>765</v>
      </c>
      <c r="S1028" s="3">
        <v>29050335</v>
      </c>
      <c r="T1028" s="3">
        <v>2721427666</v>
      </c>
      <c r="U1028" s="3" t="s">
        <v>29</v>
      </c>
    </row>
    <row r="1029" spans="1:21" ht="13.2" x14ac:dyDescent="0.25">
      <c r="A1029" s="14">
        <v>8681072000153</v>
      </c>
      <c r="B1029" s="15" t="str">
        <f t="shared" si="16"/>
        <v>08.681.072/0001-53</v>
      </c>
      <c r="C1029" s="12"/>
      <c r="D1029" s="3" t="s">
        <v>4184</v>
      </c>
      <c r="E1029" s="3" t="s">
        <v>4184</v>
      </c>
      <c r="F1029" s="3" t="s">
        <v>20</v>
      </c>
      <c r="G1029" s="4">
        <v>39135</v>
      </c>
      <c r="H1029" s="3" t="s">
        <v>21</v>
      </c>
      <c r="I1029" s="3" t="s">
        <v>33</v>
      </c>
      <c r="J1029" s="5">
        <v>7322841</v>
      </c>
      <c r="K1029" s="3">
        <v>6190601</v>
      </c>
      <c r="L1029" s="3" t="s">
        <v>3405</v>
      </c>
      <c r="M1029" s="3" t="s">
        <v>4185</v>
      </c>
      <c r="N1029" s="3">
        <v>235</v>
      </c>
      <c r="P1029" s="3" t="s">
        <v>70</v>
      </c>
      <c r="Q1029" s="3" t="s">
        <v>3712</v>
      </c>
      <c r="R1029" s="3" t="s">
        <v>28</v>
      </c>
      <c r="S1029" s="3">
        <v>17900201</v>
      </c>
      <c r="T1029" s="3">
        <v>1434916161</v>
      </c>
      <c r="U1029" s="3" t="s">
        <v>29</v>
      </c>
    </row>
    <row r="1030" spans="1:21" ht="13.2" x14ac:dyDescent="0.25">
      <c r="A1030" s="14">
        <v>9175798000187</v>
      </c>
      <c r="B1030" s="15" t="str">
        <f t="shared" si="16"/>
        <v>09.175.798/0001-87</v>
      </c>
      <c r="C1030" s="12"/>
      <c r="D1030" s="3" t="s">
        <v>4186</v>
      </c>
      <c r="E1030" s="3" t="s">
        <v>4186</v>
      </c>
      <c r="F1030" s="3" t="s">
        <v>20</v>
      </c>
      <c r="G1030" s="4">
        <v>39378</v>
      </c>
      <c r="H1030" s="3" t="s">
        <v>21</v>
      </c>
      <c r="I1030" s="3" t="s">
        <v>47</v>
      </c>
      <c r="J1030" s="5">
        <v>170000</v>
      </c>
      <c r="K1030" s="3">
        <v>8020001</v>
      </c>
      <c r="L1030" s="3" t="s">
        <v>196</v>
      </c>
      <c r="M1030" s="3" t="s">
        <v>4187</v>
      </c>
      <c r="N1030" s="3">
        <v>267</v>
      </c>
      <c r="P1030" s="3" t="s">
        <v>3584</v>
      </c>
      <c r="Q1030" s="3" t="s">
        <v>231</v>
      </c>
      <c r="R1030" s="3" t="s">
        <v>28</v>
      </c>
      <c r="S1030" s="3">
        <v>18051580</v>
      </c>
      <c r="T1030" s="3">
        <v>1145077005</v>
      </c>
      <c r="U1030" s="3" t="s">
        <v>29</v>
      </c>
    </row>
    <row r="1031" spans="1:21" ht="13.2" x14ac:dyDescent="0.25">
      <c r="A1031" s="14">
        <v>39272265000184</v>
      </c>
      <c r="B1031" s="15" t="str">
        <f t="shared" si="16"/>
        <v>39.272.265/0001-84</v>
      </c>
      <c r="C1031" s="12"/>
      <c r="D1031" s="3" t="s">
        <v>4188</v>
      </c>
      <c r="E1031" s="3" t="s">
        <v>4188</v>
      </c>
      <c r="F1031" s="3" t="s">
        <v>20</v>
      </c>
      <c r="G1031" s="4">
        <v>33907</v>
      </c>
      <c r="H1031" s="3" t="s">
        <v>21</v>
      </c>
      <c r="I1031" s="3" t="s">
        <v>33</v>
      </c>
      <c r="J1031" s="5">
        <v>1000000</v>
      </c>
      <c r="K1031" s="3">
        <v>8111700</v>
      </c>
      <c r="L1031" s="3" t="s">
        <v>290</v>
      </c>
      <c r="M1031" s="3" t="s">
        <v>4189</v>
      </c>
      <c r="N1031" s="3">
        <v>238</v>
      </c>
      <c r="O1031" s="3" t="s">
        <v>1499</v>
      </c>
      <c r="P1031" s="3" t="s">
        <v>4190</v>
      </c>
      <c r="Q1031" s="3" t="s">
        <v>1246</v>
      </c>
      <c r="R1031" s="3" t="s">
        <v>765</v>
      </c>
      <c r="S1031" s="3">
        <v>29147310</v>
      </c>
      <c r="T1031" s="3">
        <v>2733366897</v>
      </c>
      <c r="U1031" s="3" t="s">
        <v>29</v>
      </c>
    </row>
    <row r="1032" spans="1:21" ht="13.2" x14ac:dyDescent="0.25">
      <c r="A1032" s="14">
        <v>489015000165</v>
      </c>
      <c r="B1032" s="15" t="str">
        <f t="shared" si="16"/>
        <v>00.489.015/0001-65</v>
      </c>
      <c r="C1032" s="12"/>
      <c r="D1032" s="3" t="s">
        <v>4191</v>
      </c>
      <c r="E1032" s="3" t="s">
        <v>4192</v>
      </c>
      <c r="F1032" s="3" t="s">
        <v>20</v>
      </c>
      <c r="G1032" s="4">
        <v>34775</v>
      </c>
      <c r="H1032" s="3" t="s">
        <v>21</v>
      </c>
      <c r="I1032" s="3" t="s">
        <v>22</v>
      </c>
      <c r="J1032" s="5">
        <v>200000</v>
      </c>
      <c r="K1032" s="3">
        <v>4329103</v>
      </c>
      <c r="L1032" s="3" t="s">
        <v>4193</v>
      </c>
      <c r="M1032" s="3" t="s">
        <v>4194</v>
      </c>
      <c r="N1032" s="3">
        <v>2809</v>
      </c>
      <c r="P1032" s="3" t="s">
        <v>2258</v>
      </c>
      <c r="Q1032" s="3" t="s">
        <v>199</v>
      </c>
      <c r="R1032" s="3" t="s">
        <v>792</v>
      </c>
      <c r="S1032" s="3">
        <v>66093180</v>
      </c>
      <c r="T1032" s="3">
        <v>9132460106</v>
      </c>
      <c r="U1032" s="3" t="s">
        <v>29</v>
      </c>
    </row>
    <row r="1033" spans="1:21" ht="13.2" x14ac:dyDescent="0.25">
      <c r="A1033" s="14">
        <v>1723789000171</v>
      </c>
      <c r="B1033" s="15" t="str">
        <f t="shared" si="16"/>
        <v>01.723.789/0001-71</v>
      </c>
      <c r="C1033" s="12"/>
      <c r="D1033" s="3" t="s">
        <v>4195</v>
      </c>
      <c r="E1033" s="3" t="s">
        <v>4195</v>
      </c>
      <c r="F1033" s="3" t="s">
        <v>20</v>
      </c>
      <c r="G1033" s="4">
        <v>35501</v>
      </c>
      <c r="H1033" s="3" t="s">
        <v>21</v>
      </c>
      <c r="I1033" s="3" t="s">
        <v>33</v>
      </c>
      <c r="J1033" s="5">
        <v>9500000</v>
      </c>
      <c r="K1033" s="3">
        <v>7830200</v>
      </c>
      <c r="L1033" s="3" t="s">
        <v>473</v>
      </c>
      <c r="M1033" s="3" t="s">
        <v>4196</v>
      </c>
      <c r="N1033" s="3">
        <v>166</v>
      </c>
      <c r="P1033" s="3" t="s">
        <v>4197</v>
      </c>
      <c r="Q1033" s="3" t="s">
        <v>476</v>
      </c>
      <c r="R1033" s="3" t="s">
        <v>100</v>
      </c>
      <c r="S1033" s="3">
        <v>30350660</v>
      </c>
      <c r="T1033" s="3">
        <v>3134117777</v>
      </c>
      <c r="U1033" s="3" t="s">
        <v>29</v>
      </c>
    </row>
    <row r="1034" spans="1:21" ht="13.2" x14ac:dyDescent="0.25">
      <c r="A1034" s="14">
        <v>1597589000110</v>
      </c>
      <c r="B1034" s="15" t="str">
        <f t="shared" si="16"/>
        <v>01.597.589/0001-10</v>
      </c>
      <c r="C1034" s="12" t="str">
        <f>VLOOKUP(B1034,[1]Planilha1!$A:$B,2,0)</f>
        <v>Malu Montesino</v>
      </c>
      <c r="D1034" s="3" t="s">
        <v>4198</v>
      </c>
      <c r="E1034" s="3" t="s">
        <v>4199</v>
      </c>
      <c r="F1034" s="3" t="s">
        <v>20</v>
      </c>
      <c r="G1034" s="4">
        <v>35411</v>
      </c>
      <c r="H1034" s="3" t="s">
        <v>21</v>
      </c>
      <c r="I1034" s="3" t="s">
        <v>33</v>
      </c>
      <c r="J1034" s="5">
        <v>28960000</v>
      </c>
      <c r="K1034" s="3">
        <v>4682600</v>
      </c>
      <c r="L1034" s="3" t="s">
        <v>1219</v>
      </c>
      <c r="M1034" s="3" t="s">
        <v>4200</v>
      </c>
      <c r="N1034" s="3">
        <v>859</v>
      </c>
      <c r="P1034" s="3" t="s">
        <v>261</v>
      </c>
      <c r="Q1034" s="3" t="s">
        <v>2128</v>
      </c>
      <c r="R1034" s="3" t="s">
        <v>28</v>
      </c>
      <c r="S1034" s="3">
        <v>13147082</v>
      </c>
      <c r="T1034" s="3">
        <v>1141979300</v>
      </c>
      <c r="U1034" s="3" t="s">
        <v>29</v>
      </c>
    </row>
    <row r="1035" spans="1:21" ht="13.2" x14ac:dyDescent="0.25">
      <c r="A1035" s="14">
        <v>20191043000109</v>
      </c>
      <c r="B1035" s="15" t="str">
        <f t="shared" si="16"/>
        <v>20.191.043/0001-09</v>
      </c>
      <c r="C1035" s="12"/>
      <c r="D1035" s="3" t="s">
        <v>4201</v>
      </c>
      <c r="E1035" s="3" t="s">
        <v>4202</v>
      </c>
      <c r="F1035" s="3" t="s">
        <v>20</v>
      </c>
      <c r="G1035" s="4">
        <v>41765</v>
      </c>
      <c r="H1035" s="3" t="s">
        <v>21</v>
      </c>
      <c r="I1035" s="3" t="s">
        <v>22</v>
      </c>
      <c r="J1035" s="5">
        <v>200000</v>
      </c>
      <c r="K1035" s="3">
        <v>8129000</v>
      </c>
      <c r="L1035" s="3" t="s">
        <v>3626</v>
      </c>
      <c r="M1035" s="3" t="s">
        <v>4203</v>
      </c>
      <c r="N1035" s="3">
        <v>41</v>
      </c>
      <c r="O1035" s="3" t="s">
        <v>4204</v>
      </c>
      <c r="P1035" s="3" t="s">
        <v>70</v>
      </c>
      <c r="Q1035" s="3" t="s">
        <v>1943</v>
      </c>
      <c r="R1035" s="3" t="s">
        <v>28</v>
      </c>
      <c r="S1035" s="3">
        <v>9920650</v>
      </c>
      <c r="T1035" s="3">
        <v>1123761990</v>
      </c>
      <c r="U1035" s="3" t="s">
        <v>29</v>
      </c>
    </row>
    <row r="1036" spans="1:21" ht="13.2" x14ac:dyDescent="0.25">
      <c r="A1036" s="14">
        <v>3635879000136</v>
      </c>
      <c r="B1036" s="15" t="str">
        <f t="shared" si="16"/>
        <v>03.635.879/0001-36</v>
      </c>
      <c r="C1036" s="12"/>
      <c r="D1036" s="3" t="s">
        <v>4205</v>
      </c>
      <c r="E1036" s="3" t="s">
        <v>4206</v>
      </c>
      <c r="F1036" s="3" t="s">
        <v>20</v>
      </c>
      <c r="G1036" s="4">
        <v>36559</v>
      </c>
      <c r="H1036" s="3" t="s">
        <v>32</v>
      </c>
      <c r="I1036" s="3" t="s">
        <v>22</v>
      </c>
      <c r="J1036" s="5">
        <v>2000</v>
      </c>
      <c r="K1036" s="3">
        <v>6399200</v>
      </c>
      <c r="L1036" s="3" t="s">
        <v>2097</v>
      </c>
      <c r="M1036" s="3" t="s">
        <v>4207</v>
      </c>
      <c r="N1036" s="3">
        <v>422</v>
      </c>
      <c r="P1036" s="3" t="s">
        <v>3402</v>
      </c>
      <c r="Q1036" s="3" t="s">
        <v>27</v>
      </c>
      <c r="R1036" s="3" t="s">
        <v>28</v>
      </c>
      <c r="S1036" s="3">
        <v>5525080</v>
      </c>
      <c r="T1036" s="3">
        <v>1137899100</v>
      </c>
      <c r="U1036" s="3" t="s">
        <v>29</v>
      </c>
    </row>
    <row r="1037" spans="1:21" ht="13.2" x14ac:dyDescent="0.25">
      <c r="A1037" s="14">
        <v>52913838000170</v>
      </c>
      <c r="B1037" s="15" t="str">
        <f t="shared" si="16"/>
        <v>52.913.838/0001-70</v>
      </c>
      <c r="C1037" s="12" t="str">
        <f>VLOOKUP(B1037,[1]Planilha1!$A:$B,2,0)</f>
        <v>Malu Montesino</v>
      </c>
      <c r="D1037" s="3" t="s">
        <v>4208</v>
      </c>
      <c r="E1037" s="3" t="s">
        <v>4209</v>
      </c>
      <c r="F1037" s="3" t="s">
        <v>20</v>
      </c>
      <c r="G1037" s="4">
        <v>45247</v>
      </c>
      <c r="H1037" s="3" t="s">
        <v>21</v>
      </c>
      <c r="I1037" s="3" t="s">
        <v>33</v>
      </c>
      <c r="J1037" s="5">
        <v>1000000</v>
      </c>
      <c r="K1037" s="3">
        <v>7490104</v>
      </c>
      <c r="L1037" s="3" t="s">
        <v>1597</v>
      </c>
      <c r="M1037" s="3" t="s">
        <v>4210</v>
      </c>
      <c r="N1037" s="3">
        <v>32</v>
      </c>
      <c r="O1037" s="3" t="s">
        <v>4211</v>
      </c>
      <c r="P1037" s="3" t="s">
        <v>4212</v>
      </c>
      <c r="Q1037" s="3" t="s">
        <v>476</v>
      </c>
      <c r="R1037" s="3" t="s">
        <v>100</v>
      </c>
      <c r="S1037" s="3">
        <v>30310080</v>
      </c>
      <c r="T1037" s="3">
        <v>3125286930</v>
      </c>
      <c r="U1037" s="3" t="s">
        <v>29</v>
      </c>
    </row>
    <row r="1038" spans="1:21" ht="13.2" x14ac:dyDescent="0.25">
      <c r="A1038" s="14">
        <v>17624789000154</v>
      </c>
      <c r="B1038" s="15" t="str">
        <f t="shared" si="16"/>
        <v>17.624.789/0001-54</v>
      </c>
      <c r="C1038" s="12"/>
      <c r="D1038" s="3" t="s">
        <v>4213</v>
      </c>
      <c r="E1038" s="3" t="s">
        <v>4214</v>
      </c>
      <c r="F1038" s="3" t="s">
        <v>20</v>
      </c>
      <c r="G1038" s="4">
        <v>41327</v>
      </c>
      <c r="H1038" s="3" t="s">
        <v>21</v>
      </c>
      <c r="I1038" s="3" t="s">
        <v>33</v>
      </c>
      <c r="J1038" s="5">
        <v>3000000</v>
      </c>
      <c r="K1038" s="3">
        <v>4679699</v>
      </c>
      <c r="L1038" s="3" t="s">
        <v>40</v>
      </c>
      <c r="M1038" s="3" t="s">
        <v>4215</v>
      </c>
      <c r="N1038" s="3">
        <v>207</v>
      </c>
      <c r="P1038" s="3" t="s">
        <v>4216</v>
      </c>
      <c r="Q1038" s="3" t="s">
        <v>77</v>
      </c>
      <c r="R1038" s="3" t="s">
        <v>78</v>
      </c>
      <c r="S1038" s="3">
        <v>26260100</v>
      </c>
      <c r="T1038" s="3">
        <v>2126956731</v>
      </c>
      <c r="U1038" s="3" t="s">
        <v>29</v>
      </c>
    </row>
    <row r="1039" spans="1:21" ht="13.2" x14ac:dyDescent="0.25">
      <c r="A1039" s="14">
        <v>61584223000138</v>
      </c>
      <c r="B1039" s="15" t="str">
        <f t="shared" si="16"/>
        <v>61.584.223/0001-38</v>
      </c>
      <c r="C1039" s="12"/>
      <c r="D1039" s="3" t="s">
        <v>4217</v>
      </c>
      <c r="E1039" s="3" t="s">
        <v>4217</v>
      </c>
      <c r="F1039" s="3" t="s">
        <v>20</v>
      </c>
      <c r="G1039" s="4">
        <v>16302</v>
      </c>
      <c r="H1039" s="3" t="s">
        <v>94</v>
      </c>
      <c r="I1039" s="3" t="s">
        <v>33</v>
      </c>
      <c r="J1039" s="5">
        <v>212000000</v>
      </c>
      <c r="K1039" s="3">
        <v>4120400</v>
      </c>
      <c r="L1039" s="3" t="s">
        <v>87</v>
      </c>
      <c r="M1039" s="3" t="s">
        <v>4218</v>
      </c>
      <c r="N1039" s="3">
        <v>8501</v>
      </c>
      <c r="O1039" s="3" t="s">
        <v>4219</v>
      </c>
      <c r="P1039" s="3" t="s">
        <v>1740</v>
      </c>
      <c r="Q1039" s="3" t="s">
        <v>27</v>
      </c>
      <c r="R1039" s="3" t="s">
        <v>28</v>
      </c>
      <c r="S1039" s="3">
        <v>5425070</v>
      </c>
      <c r="T1039" s="3">
        <v>1130178000</v>
      </c>
      <c r="U1039" s="3" t="s">
        <v>29</v>
      </c>
    </row>
    <row r="1040" spans="1:21" ht="13.2" x14ac:dyDescent="0.25">
      <c r="A1040" s="14">
        <v>61522512000102</v>
      </c>
      <c r="B1040" s="15" t="str">
        <f t="shared" si="16"/>
        <v>61.522.512/0001-02</v>
      </c>
      <c r="C1040" s="12"/>
      <c r="D1040" s="3" t="s">
        <v>4220</v>
      </c>
      <c r="E1040" s="3" t="s">
        <v>4220</v>
      </c>
      <c r="F1040" s="3" t="s">
        <v>20</v>
      </c>
      <c r="G1040" s="4">
        <v>24328</v>
      </c>
      <c r="H1040" s="3" t="s">
        <v>94</v>
      </c>
      <c r="I1040" s="3" t="s">
        <v>33</v>
      </c>
      <c r="J1040" s="5">
        <v>3238708200</v>
      </c>
      <c r="K1040" s="3">
        <v>4212000</v>
      </c>
      <c r="L1040" s="3" t="s">
        <v>1040</v>
      </c>
      <c r="M1040" s="3" t="s">
        <v>4221</v>
      </c>
      <c r="N1040" s="3">
        <v>222</v>
      </c>
      <c r="O1040" s="3" t="s">
        <v>4222</v>
      </c>
      <c r="P1040" s="3" t="s">
        <v>316</v>
      </c>
      <c r="Q1040" s="3" t="s">
        <v>27</v>
      </c>
      <c r="R1040" s="3" t="s">
        <v>28</v>
      </c>
      <c r="S1040" s="3">
        <v>4551065</v>
      </c>
      <c r="T1040" s="3">
        <v>1127874000</v>
      </c>
      <c r="U1040" s="3" t="s">
        <v>29</v>
      </c>
    </row>
    <row r="1041" spans="1:21" ht="13.2" x14ac:dyDescent="0.25">
      <c r="A1041" s="14">
        <v>9079383000100</v>
      </c>
      <c r="B1041" s="15" t="str">
        <f t="shared" si="16"/>
        <v>09.079.383/0001-00</v>
      </c>
      <c r="C1041" s="12"/>
      <c r="D1041" s="3" t="s">
        <v>4223</v>
      </c>
      <c r="E1041" s="3" t="s">
        <v>4224</v>
      </c>
      <c r="F1041" s="3" t="s">
        <v>20</v>
      </c>
      <c r="G1041" s="4">
        <v>39349</v>
      </c>
      <c r="H1041" s="3" t="s">
        <v>21</v>
      </c>
      <c r="I1041" s="3" t="s">
        <v>22</v>
      </c>
      <c r="J1041" s="5">
        <v>1500000</v>
      </c>
      <c r="K1041" s="3">
        <v>4299599</v>
      </c>
      <c r="L1041" s="3" t="s">
        <v>1185</v>
      </c>
      <c r="M1041" s="3" t="s">
        <v>3034</v>
      </c>
      <c r="N1041" s="3">
        <v>1</v>
      </c>
      <c r="P1041" s="3" t="s">
        <v>4225</v>
      </c>
      <c r="Q1041" s="3" t="s">
        <v>1339</v>
      </c>
      <c r="R1041" s="3" t="s">
        <v>456</v>
      </c>
      <c r="S1041" s="3">
        <v>51350000</v>
      </c>
      <c r="T1041" s="3">
        <v>8134718665</v>
      </c>
      <c r="U1041" s="3" t="s">
        <v>29</v>
      </c>
    </row>
    <row r="1042" spans="1:21" ht="13.2" x14ac:dyDescent="0.25">
      <c r="A1042" s="14">
        <v>8489244000191</v>
      </c>
      <c r="B1042" s="15" t="str">
        <f t="shared" si="16"/>
        <v>08.489.244/0001-91</v>
      </c>
      <c r="C1042" s="12"/>
      <c r="D1042" s="3" t="s">
        <v>4226</v>
      </c>
      <c r="E1042" s="3" t="s">
        <v>4226</v>
      </c>
      <c r="F1042" s="3" t="s">
        <v>20</v>
      </c>
      <c r="G1042" s="4">
        <v>39035</v>
      </c>
      <c r="H1042" s="3" t="s">
        <v>21</v>
      </c>
      <c r="I1042" s="3" t="s">
        <v>33</v>
      </c>
      <c r="J1042" s="5">
        <v>800000</v>
      </c>
      <c r="K1042" s="3">
        <v>4120400</v>
      </c>
      <c r="L1042" s="3" t="s">
        <v>87</v>
      </c>
      <c r="M1042" s="3" t="s">
        <v>4227</v>
      </c>
      <c r="N1042" s="3">
        <v>18</v>
      </c>
      <c r="O1042" s="3" t="s">
        <v>4228</v>
      </c>
      <c r="P1042" s="3" t="s">
        <v>70</v>
      </c>
      <c r="Q1042" s="3" t="s">
        <v>4229</v>
      </c>
      <c r="R1042" s="3" t="s">
        <v>53</v>
      </c>
      <c r="S1042" s="3">
        <v>93214370</v>
      </c>
      <c r="T1042" s="3">
        <v>5134744500</v>
      </c>
      <c r="U1042" s="3" t="s">
        <v>29</v>
      </c>
    </row>
    <row r="1043" spans="1:21" ht="13.2" x14ac:dyDescent="0.25">
      <c r="A1043" s="14">
        <v>14441104000146</v>
      </c>
      <c r="B1043" s="15" t="str">
        <f t="shared" si="16"/>
        <v>14.441.104/0001-46</v>
      </c>
      <c r="C1043" s="12"/>
      <c r="D1043" s="3" t="s">
        <v>4230</v>
      </c>
      <c r="E1043" s="3" t="s">
        <v>4230</v>
      </c>
      <c r="F1043" s="3" t="s">
        <v>20</v>
      </c>
      <c r="G1043" s="4">
        <v>40826</v>
      </c>
      <c r="H1043" s="3" t="s">
        <v>21</v>
      </c>
      <c r="I1043" s="3" t="s">
        <v>33</v>
      </c>
      <c r="J1043" s="5">
        <v>475000</v>
      </c>
      <c r="K1043" s="3">
        <v>4110700</v>
      </c>
      <c r="L1043" s="3" t="s">
        <v>4133</v>
      </c>
      <c r="M1043" s="3" t="s">
        <v>4231</v>
      </c>
      <c r="N1043" s="3">
        <v>389</v>
      </c>
      <c r="P1043" s="3" t="s">
        <v>70</v>
      </c>
      <c r="Q1043" s="3" t="s">
        <v>3420</v>
      </c>
      <c r="R1043" s="3" t="s">
        <v>100</v>
      </c>
      <c r="S1043" s="3">
        <v>33350000</v>
      </c>
      <c r="T1043" s="3">
        <v>3136232206</v>
      </c>
      <c r="U1043" s="3" t="s">
        <v>29</v>
      </c>
    </row>
    <row r="1044" spans="1:21" ht="13.2" x14ac:dyDescent="0.25">
      <c r="A1044" s="14">
        <v>17155391000116</v>
      </c>
      <c r="B1044" s="15" t="str">
        <f t="shared" si="16"/>
        <v>17.155.391/0001-16</v>
      </c>
      <c r="C1044" s="12"/>
      <c r="D1044" s="3" t="s">
        <v>4232</v>
      </c>
      <c r="E1044" s="3" t="s">
        <v>4232</v>
      </c>
      <c r="F1044" s="3" t="s">
        <v>20</v>
      </c>
      <c r="G1044" s="4">
        <v>25084</v>
      </c>
      <c r="H1044" s="3" t="s">
        <v>94</v>
      </c>
      <c r="I1044" s="3" t="s">
        <v>33</v>
      </c>
      <c r="J1044" s="5">
        <v>32500000</v>
      </c>
      <c r="K1044" s="3">
        <v>4211101</v>
      </c>
      <c r="L1044" s="3" t="s">
        <v>313</v>
      </c>
      <c r="M1044" s="3" t="s">
        <v>4233</v>
      </c>
      <c r="N1044" s="3">
        <v>99</v>
      </c>
      <c r="P1044" s="3" t="s">
        <v>4234</v>
      </c>
      <c r="Q1044" s="3" t="s">
        <v>476</v>
      </c>
      <c r="R1044" s="3" t="s">
        <v>100</v>
      </c>
      <c r="S1044" s="3">
        <v>30390100</v>
      </c>
      <c r="T1044" s="3">
        <v>3134904200</v>
      </c>
      <c r="U1044" s="3" t="s">
        <v>29</v>
      </c>
    </row>
    <row r="1045" spans="1:21" ht="13.2" x14ac:dyDescent="0.25">
      <c r="A1045" s="14">
        <v>2762517000143</v>
      </c>
      <c r="B1045" s="15" t="str">
        <f t="shared" si="16"/>
        <v>02.762.517/0001-43</v>
      </c>
      <c r="C1045" s="12"/>
      <c r="D1045" s="3" t="s">
        <v>4235</v>
      </c>
      <c r="E1045" s="3" t="s">
        <v>4235</v>
      </c>
      <c r="F1045" s="3" t="s">
        <v>31</v>
      </c>
      <c r="G1045" s="4">
        <v>36013</v>
      </c>
      <c r="H1045" s="3" t="s">
        <v>21</v>
      </c>
      <c r="I1045" s="3" t="s">
        <v>22</v>
      </c>
      <c r="J1045" s="5">
        <v>500000</v>
      </c>
      <c r="K1045" s="3">
        <v>4120400</v>
      </c>
      <c r="L1045" s="3" t="s">
        <v>87</v>
      </c>
      <c r="M1045" s="3" t="s">
        <v>4157</v>
      </c>
      <c r="N1045" s="3" t="s">
        <v>82</v>
      </c>
      <c r="O1045" s="3" t="s">
        <v>4236</v>
      </c>
      <c r="P1045" s="3" t="s">
        <v>4237</v>
      </c>
      <c r="Q1045" s="3" t="s">
        <v>3993</v>
      </c>
      <c r="R1045" s="3" t="s">
        <v>28</v>
      </c>
      <c r="S1045" s="3">
        <v>18150000</v>
      </c>
      <c r="T1045" s="3">
        <v>1532491090</v>
      </c>
      <c r="U1045" s="3" t="s">
        <v>29</v>
      </c>
    </row>
    <row r="1046" spans="1:21" ht="13.2" x14ac:dyDescent="0.25">
      <c r="A1046" s="14">
        <v>5451275000165</v>
      </c>
      <c r="B1046" s="15" t="str">
        <f t="shared" si="16"/>
        <v>05.451.275/0001-65</v>
      </c>
      <c r="C1046" s="12"/>
      <c r="D1046" s="3" t="s">
        <v>4238</v>
      </c>
      <c r="E1046" s="3" t="s">
        <v>4239</v>
      </c>
      <c r="F1046" s="3" t="s">
        <v>31</v>
      </c>
      <c r="G1046" s="4">
        <v>37608</v>
      </c>
      <c r="H1046" s="3" t="s">
        <v>21</v>
      </c>
      <c r="I1046" s="3" t="s">
        <v>47</v>
      </c>
      <c r="J1046" s="5">
        <v>80000</v>
      </c>
      <c r="K1046" s="3">
        <v>4744005</v>
      </c>
      <c r="L1046" s="3" t="s">
        <v>1483</v>
      </c>
      <c r="M1046" s="3" t="s">
        <v>4240</v>
      </c>
      <c r="N1046" s="3">
        <v>1477</v>
      </c>
      <c r="O1046" s="3" t="s">
        <v>4241</v>
      </c>
      <c r="P1046" s="3" t="s">
        <v>70</v>
      </c>
      <c r="Q1046" s="3" t="s">
        <v>4242</v>
      </c>
      <c r="R1046" s="3" t="s">
        <v>28</v>
      </c>
      <c r="S1046" s="3">
        <v>14530000</v>
      </c>
      <c r="T1046" s="3">
        <v>3435222350</v>
      </c>
      <c r="U1046" s="3" t="s">
        <v>29</v>
      </c>
    </row>
    <row r="1047" spans="1:21" ht="13.2" x14ac:dyDescent="0.25">
      <c r="A1047" s="14">
        <v>3045711000170</v>
      </c>
      <c r="B1047" s="15" t="str">
        <f t="shared" si="16"/>
        <v>03.045.711/0001-70</v>
      </c>
      <c r="C1047" s="12"/>
      <c r="D1047" s="3" t="s">
        <v>4243</v>
      </c>
      <c r="E1047" s="3" t="s">
        <v>4243</v>
      </c>
      <c r="F1047" s="3" t="s">
        <v>20</v>
      </c>
      <c r="G1047" s="4">
        <v>36182</v>
      </c>
      <c r="H1047" s="3" t="s">
        <v>21</v>
      </c>
      <c r="I1047" s="3" t="s">
        <v>33</v>
      </c>
      <c r="J1047" s="5">
        <v>1400000</v>
      </c>
      <c r="K1047" s="3">
        <v>4120400</v>
      </c>
      <c r="L1047" s="3" t="s">
        <v>87</v>
      </c>
      <c r="M1047" s="3" t="s">
        <v>4244</v>
      </c>
      <c r="N1047" s="3">
        <v>65</v>
      </c>
      <c r="O1047" s="3" t="s">
        <v>4245</v>
      </c>
      <c r="P1047" s="3" t="s">
        <v>4246</v>
      </c>
      <c r="Q1047" s="3" t="s">
        <v>253</v>
      </c>
      <c r="R1047" s="3" t="s">
        <v>78</v>
      </c>
      <c r="S1047" s="3">
        <v>20710350</v>
      </c>
      <c r="T1047" s="3">
        <v>2187981437</v>
      </c>
      <c r="U1047" s="3" t="s">
        <v>29</v>
      </c>
    </row>
    <row r="1048" spans="1:21" ht="13.2" x14ac:dyDescent="0.25">
      <c r="A1048" s="14">
        <v>77167203000100</v>
      </c>
      <c r="B1048" s="15" t="str">
        <f t="shared" si="16"/>
        <v>77.167.203/0001-00</v>
      </c>
      <c r="C1048" s="12" t="str">
        <f>VLOOKUP(B1048,[1]Planilha1!$A:$B,2,0)</f>
        <v>Malu Montesino</v>
      </c>
      <c r="D1048" s="3" t="s">
        <v>4247</v>
      </c>
      <c r="E1048" s="3" t="s">
        <v>4247</v>
      </c>
      <c r="F1048" s="3" t="s">
        <v>20</v>
      </c>
      <c r="G1048" s="4">
        <v>27925</v>
      </c>
      <c r="H1048" s="3" t="s">
        <v>21</v>
      </c>
      <c r="I1048" s="3" t="s">
        <v>33</v>
      </c>
      <c r="J1048" s="5">
        <v>76530000</v>
      </c>
      <c r="K1048" s="3">
        <v>4222701</v>
      </c>
      <c r="L1048" s="3" t="s">
        <v>1909</v>
      </c>
      <c r="M1048" s="3" t="s">
        <v>4248</v>
      </c>
      <c r="N1048" s="3">
        <v>213</v>
      </c>
      <c r="P1048" s="3" t="s">
        <v>4076</v>
      </c>
      <c r="Q1048" s="3" t="s">
        <v>204</v>
      </c>
      <c r="R1048" s="3" t="s">
        <v>187</v>
      </c>
      <c r="S1048" s="3">
        <v>80030475</v>
      </c>
      <c r="T1048" s="3">
        <v>4121069900</v>
      </c>
      <c r="U1048" s="3" t="s">
        <v>29</v>
      </c>
    </row>
    <row r="1049" spans="1:21" ht="13.2" x14ac:dyDescent="0.25">
      <c r="A1049" s="14">
        <v>27741029000180</v>
      </c>
      <c r="B1049" s="15" t="str">
        <f t="shared" si="16"/>
        <v>27.741.029/0001-80</v>
      </c>
      <c r="C1049" s="12"/>
      <c r="D1049" s="3" t="s">
        <v>4249</v>
      </c>
      <c r="E1049" s="3" t="s">
        <v>4249</v>
      </c>
      <c r="F1049" s="3" t="s">
        <v>20</v>
      </c>
      <c r="G1049" s="4">
        <v>42871</v>
      </c>
      <c r="H1049" s="3" t="s">
        <v>21</v>
      </c>
      <c r="I1049" s="3" t="s">
        <v>22</v>
      </c>
      <c r="J1049" s="5">
        <v>480000</v>
      </c>
      <c r="K1049" s="3">
        <v>7112000</v>
      </c>
      <c r="L1049" s="3" t="s">
        <v>276</v>
      </c>
      <c r="M1049" s="3" t="s">
        <v>4250</v>
      </c>
      <c r="N1049" s="3">
        <v>230</v>
      </c>
      <c r="O1049" s="3" t="s">
        <v>4251</v>
      </c>
      <c r="P1049" s="3" t="s">
        <v>4252</v>
      </c>
      <c r="Q1049" s="3" t="s">
        <v>294</v>
      </c>
      <c r="R1049" s="3" t="s">
        <v>28</v>
      </c>
      <c r="S1049" s="3">
        <v>11010240</v>
      </c>
      <c r="T1049" s="3">
        <v>1333247708</v>
      </c>
      <c r="U1049" s="3" t="s">
        <v>29</v>
      </c>
    </row>
    <row r="1050" spans="1:21" ht="13.2" x14ac:dyDescent="0.25">
      <c r="A1050" s="14">
        <v>2278116000112</v>
      </c>
      <c r="B1050" s="15" t="str">
        <f t="shared" si="16"/>
        <v>02.278.116/0001-12</v>
      </c>
      <c r="C1050" s="12"/>
      <c r="D1050" s="3" t="s">
        <v>4253</v>
      </c>
      <c r="E1050" s="3" t="s">
        <v>4254</v>
      </c>
      <c r="F1050" s="3" t="s">
        <v>45</v>
      </c>
      <c r="G1050" s="4">
        <v>35759</v>
      </c>
      <c r="H1050" s="3" t="s">
        <v>21</v>
      </c>
      <c r="I1050" s="3" t="s">
        <v>47</v>
      </c>
      <c r="J1050" s="5">
        <v>350000</v>
      </c>
      <c r="K1050" s="3">
        <v>4299599</v>
      </c>
      <c r="L1050" s="3" t="s">
        <v>1185</v>
      </c>
      <c r="M1050" s="3" t="s">
        <v>2784</v>
      </c>
      <c r="N1050" s="3">
        <v>359</v>
      </c>
      <c r="P1050" s="3" t="s">
        <v>70</v>
      </c>
      <c r="Q1050" s="3" t="s">
        <v>3865</v>
      </c>
      <c r="R1050" s="3" t="s">
        <v>53</v>
      </c>
      <c r="S1050" s="3">
        <v>99700122</v>
      </c>
      <c r="T1050" s="3">
        <v>5435223737</v>
      </c>
      <c r="U1050" s="3" t="s">
        <v>29</v>
      </c>
    </row>
    <row r="1051" spans="1:21" ht="13.2" x14ac:dyDescent="0.25">
      <c r="A1051" s="14">
        <v>3270571000134</v>
      </c>
      <c r="B1051" s="15" t="str">
        <f t="shared" si="16"/>
        <v>03.270.571/0001-34</v>
      </c>
      <c r="C1051" s="12"/>
      <c r="D1051" s="3" t="s">
        <v>4255</v>
      </c>
      <c r="E1051" s="3" t="s">
        <v>4255</v>
      </c>
      <c r="F1051" s="3" t="s">
        <v>20</v>
      </c>
      <c r="G1051" s="4">
        <v>36346</v>
      </c>
      <c r="H1051" s="3" t="s">
        <v>21</v>
      </c>
      <c r="I1051" s="3" t="s">
        <v>22</v>
      </c>
      <c r="J1051" s="5">
        <v>220000</v>
      </c>
      <c r="K1051" s="3">
        <v>4120400</v>
      </c>
      <c r="L1051" s="3" t="s">
        <v>87</v>
      </c>
      <c r="M1051" s="3" t="s">
        <v>3129</v>
      </c>
      <c r="N1051" s="3">
        <v>60</v>
      </c>
      <c r="O1051" s="3" t="s">
        <v>4256</v>
      </c>
      <c r="P1051" s="3" t="s">
        <v>1043</v>
      </c>
      <c r="Q1051" s="3" t="s">
        <v>617</v>
      </c>
      <c r="R1051" s="3" t="s">
        <v>28</v>
      </c>
      <c r="S1051" s="3">
        <v>6454050</v>
      </c>
      <c r="T1051" s="3">
        <v>1142084111</v>
      </c>
      <c r="U1051" s="3" t="s">
        <v>29</v>
      </c>
    </row>
    <row r="1052" spans="1:21" ht="13.2" x14ac:dyDescent="0.25">
      <c r="A1052" s="14">
        <v>78611522000117</v>
      </c>
      <c r="B1052" s="15" t="str">
        <f t="shared" si="16"/>
        <v>78.611.522/0001-17</v>
      </c>
      <c r="C1052" s="12"/>
      <c r="D1052" s="3" t="s">
        <v>4257</v>
      </c>
      <c r="E1052" s="3" t="s">
        <v>4257</v>
      </c>
      <c r="F1052" s="3" t="s">
        <v>20</v>
      </c>
      <c r="G1052" s="4">
        <v>30991</v>
      </c>
      <c r="H1052" s="3" t="s">
        <v>21</v>
      </c>
      <c r="I1052" s="3" t="s">
        <v>33</v>
      </c>
      <c r="J1052" s="5">
        <v>53902550</v>
      </c>
      <c r="K1052" s="3">
        <v>4120400</v>
      </c>
      <c r="L1052" s="3" t="s">
        <v>87</v>
      </c>
      <c r="M1052" s="3" t="s">
        <v>4258</v>
      </c>
      <c r="N1052" s="3">
        <v>258</v>
      </c>
      <c r="P1052" s="3" t="s">
        <v>4259</v>
      </c>
      <c r="Q1052" s="3" t="s">
        <v>125</v>
      </c>
      <c r="R1052" s="3" t="s">
        <v>91</v>
      </c>
      <c r="S1052" s="3">
        <v>88810500</v>
      </c>
      <c r="T1052" s="3">
        <v>4821025100</v>
      </c>
      <c r="U1052" s="3" t="s">
        <v>29</v>
      </c>
    </row>
    <row r="1053" spans="1:21" ht="13.2" x14ac:dyDescent="0.25">
      <c r="A1053" s="14">
        <v>33049503000100</v>
      </c>
      <c r="B1053" s="15" t="str">
        <f t="shared" si="16"/>
        <v>33.049.503/0001-00</v>
      </c>
      <c r="C1053" s="12"/>
      <c r="D1053" s="3" t="s">
        <v>4260</v>
      </c>
      <c r="E1053" s="3" t="s">
        <v>4260</v>
      </c>
      <c r="F1053" s="3" t="s">
        <v>20</v>
      </c>
      <c r="G1053" s="4">
        <v>24330</v>
      </c>
      <c r="H1053" s="3" t="s">
        <v>94</v>
      </c>
      <c r="I1053" s="3" t="s">
        <v>33</v>
      </c>
      <c r="J1053" s="5">
        <v>74729280</v>
      </c>
      <c r="K1053" s="3">
        <v>4213800</v>
      </c>
      <c r="L1053" s="3" t="s">
        <v>4261</v>
      </c>
      <c r="M1053" s="3" t="s">
        <v>4262</v>
      </c>
      <c r="N1053" s="3">
        <v>2605</v>
      </c>
      <c r="P1053" s="3" t="s">
        <v>1141</v>
      </c>
      <c r="Q1053" s="3" t="s">
        <v>253</v>
      </c>
      <c r="R1053" s="3" t="s">
        <v>78</v>
      </c>
      <c r="S1053" s="3">
        <v>23078450</v>
      </c>
      <c r="T1053" s="3">
        <v>2121327900</v>
      </c>
      <c r="U1053" s="3" t="s">
        <v>29</v>
      </c>
    </row>
    <row r="1054" spans="1:21" ht="13.2" x14ac:dyDescent="0.25">
      <c r="A1054" s="14">
        <v>62287404000165</v>
      </c>
      <c r="B1054" s="15" t="str">
        <f t="shared" si="16"/>
        <v>62.287.404/0001-65</v>
      </c>
      <c r="C1054" s="12"/>
      <c r="D1054" s="3" t="s">
        <v>4263</v>
      </c>
      <c r="E1054" s="3" t="s">
        <v>4263</v>
      </c>
      <c r="F1054" s="3" t="s">
        <v>20</v>
      </c>
      <c r="G1054" s="4">
        <v>33022</v>
      </c>
      <c r="H1054" s="3" t="s">
        <v>21</v>
      </c>
      <c r="I1054" s="3" t="s">
        <v>33</v>
      </c>
      <c r="J1054" s="5">
        <v>1000000</v>
      </c>
      <c r="K1054" s="3">
        <v>4120400</v>
      </c>
      <c r="L1054" s="3" t="s">
        <v>87</v>
      </c>
      <c r="M1054" s="3" t="s">
        <v>4264</v>
      </c>
      <c r="N1054" s="3">
        <v>394</v>
      </c>
      <c r="P1054" s="3" t="s">
        <v>4265</v>
      </c>
      <c r="Q1054" s="3" t="s">
        <v>27</v>
      </c>
      <c r="R1054" s="3" t="s">
        <v>28</v>
      </c>
      <c r="S1054" s="3">
        <v>5611060</v>
      </c>
      <c r="T1054" s="3">
        <v>1137435805</v>
      </c>
      <c r="U1054" s="3" t="s">
        <v>29</v>
      </c>
    </row>
    <row r="1055" spans="1:21" ht="13.2" x14ac:dyDescent="0.25">
      <c r="A1055" s="14">
        <v>58352394000127</v>
      </c>
      <c r="B1055" s="15" t="str">
        <f t="shared" si="16"/>
        <v>58.352.394/0001-27</v>
      </c>
      <c r="C1055" s="12"/>
      <c r="D1055" s="3" t="s">
        <v>4266</v>
      </c>
      <c r="E1055" s="3" t="s">
        <v>4266</v>
      </c>
      <c r="F1055" s="3" t="s">
        <v>20</v>
      </c>
      <c r="G1055" s="4">
        <v>32114</v>
      </c>
      <c r="H1055" s="3" t="s">
        <v>21</v>
      </c>
      <c r="I1055" s="3" t="s">
        <v>33</v>
      </c>
      <c r="J1055" s="5">
        <v>5000000</v>
      </c>
      <c r="K1055" s="3">
        <v>4299599</v>
      </c>
      <c r="L1055" s="3" t="s">
        <v>1185</v>
      </c>
      <c r="M1055" s="3" t="s">
        <v>4267</v>
      </c>
      <c r="N1055" s="3">
        <v>41</v>
      </c>
      <c r="P1055" s="3" t="s">
        <v>4268</v>
      </c>
      <c r="Q1055" s="3" t="s">
        <v>27</v>
      </c>
      <c r="R1055" s="3" t="s">
        <v>28</v>
      </c>
      <c r="S1055" s="3">
        <v>5538020</v>
      </c>
      <c r="T1055" s="3">
        <v>1137440996</v>
      </c>
      <c r="U1055" s="3" t="s">
        <v>29</v>
      </c>
    </row>
    <row r="1056" spans="1:21" ht="13.2" x14ac:dyDescent="0.25">
      <c r="A1056" s="14">
        <v>2773312000163</v>
      </c>
      <c r="B1056" s="15" t="str">
        <f t="shared" si="16"/>
        <v>02.773.312/0001-63</v>
      </c>
      <c r="C1056" s="12"/>
      <c r="D1056" s="3" t="s">
        <v>4269</v>
      </c>
      <c r="E1056" s="3" t="s">
        <v>4270</v>
      </c>
      <c r="F1056" s="3" t="s">
        <v>20</v>
      </c>
      <c r="G1056" s="4">
        <v>36053</v>
      </c>
      <c r="H1056" s="3" t="s">
        <v>21</v>
      </c>
      <c r="I1056" s="3" t="s">
        <v>33</v>
      </c>
      <c r="J1056" s="5">
        <v>7800000</v>
      </c>
      <c r="K1056" s="3">
        <v>7820500</v>
      </c>
      <c r="L1056" s="3" t="s">
        <v>481</v>
      </c>
      <c r="M1056" s="3" t="s">
        <v>4271</v>
      </c>
      <c r="N1056" s="3">
        <v>1129</v>
      </c>
      <c r="O1056" s="3" t="s">
        <v>4272</v>
      </c>
      <c r="P1056" s="3" t="s">
        <v>4273</v>
      </c>
      <c r="Q1056" s="3" t="s">
        <v>4274</v>
      </c>
      <c r="R1056" s="3" t="s">
        <v>1725</v>
      </c>
      <c r="S1056" s="3">
        <v>59146470</v>
      </c>
      <c r="T1056" s="3">
        <v>8420106671</v>
      </c>
      <c r="U1056" s="3" t="s">
        <v>29</v>
      </c>
    </row>
    <row r="1057" spans="1:21" ht="13.2" x14ac:dyDescent="0.25">
      <c r="A1057" s="14">
        <v>71476527000135</v>
      </c>
      <c r="B1057" s="15" t="str">
        <f t="shared" si="16"/>
        <v>71.476.527/0001-35</v>
      </c>
      <c r="C1057" s="12"/>
      <c r="D1057" s="3" t="s">
        <v>4275</v>
      </c>
      <c r="E1057" s="3" t="s">
        <v>4275</v>
      </c>
      <c r="F1057" s="3" t="s">
        <v>20</v>
      </c>
      <c r="G1057" s="4">
        <v>34355</v>
      </c>
      <c r="H1057" s="3" t="s">
        <v>377</v>
      </c>
      <c r="I1057" s="3" t="s">
        <v>33</v>
      </c>
      <c r="J1057" s="5">
        <v>910728800</v>
      </c>
      <c r="K1057" s="3">
        <v>4120400</v>
      </c>
      <c r="L1057" s="3" t="s">
        <v>87</v>
      </c>
      <c r="M1057" s="3" t="s">
        <v>370</v>
      </c>
      <c r="N1057" s="3">
        <v>280</v>
      </c>
      <c r="O1057" s="3" t="s">
        <v>4276</v>
      </c>
      <c r="P1057" s="3" t="s">
        <v>70</v>
      </c>
      <c r="Q1057" s="3" t="s">
        <v>27</v>
      </c>
      <c r="R1057" s="3" t="s">
        <v>28</v>
      </c>
      <c r="S1057" s="3">
        <v>1014908</v>
      </c>
      <c r="T1057" s="3">
        <v>1131112536</v>
      </c>
      <c r="U1057" s="3" t="s">
        <v>29</v>
      </c>
    </row>
    <row r="1058" spans="1:21" ht="13.2" x14ac:dyDescent="0.25">
      <c r="A1058" s="14">
        <v>39017306000196</v>
      </c>
      <c r="B1058" s="15" t="str">
        <f t="shared" si="16"/>
        <v>39.017.306/0001-96</v>
      </c>
      <c r="C1058" s="12"/>
      <c r="D1058" s="3" t="s">
        <v>4277</v>
      </c>
      <c r="E1058" s="3" t="s">
        <v>4277</v>
      </c>
      <c r="F1058" s="3" t="s">
        <v>20</v>
      </c>
      <c r="G1058" s="4">
        <v>33057</v>
      </c>
      <c r="H1058" s="3" t="s">
        <v>21</v>
      </c>
      <c r="I1058" s="3" t="s">
        <v>33</v>
      </c>
      <c r="J1058" s="5">
        <v>300000</v>
      </c>
      <c r="K1058" s="3">
        <v>5620101</v>
      </c>
      <c r="L1058" s="3" t="s">
        <v>1369</v>
      </c>
      <c r="M1058" s="3" t="s">
        <v>679</v>
      </c>
      <c r="N1058" s="3">
        <v>2044</v>
      </c>
      <c r="O1058" s="3" t="s">
        <v>4278</v>
      </c>
      <c r="P1058" s="3" t="s">
        <v>681</v>
      </c>
      <c r="Q1058" s="3" t="s">
        <v>617</v>
      </c>
      <c r="R1058" s="3" t="s">
        <v>28</v>
      </c>
      <c r="S1058" s="3">
        <v>6455000</v>
      </c>
      <c r="T1058" s="3">
        <v>1132157000</v>
      </c>
      <c r="U1058" s="3" t="s">
        <v>29</v>
      </c>
    </row>
    <row r="1059" spans="1:21" ht="13.2" x14ac:dyDescent="0.25">
      <c r="A1059" s="14">
        <v>19322789000125</v>
      </c>
      <c r="B1059" s="15" t="str">
        <f t="shared" si="16"/>
        <v>19.322.789/0001-25</v>
      </c>
      <c r="C1059" s="12"/>
      <c r="D1059" s="3" t="s">
        <v>4279</v>
      </c>
      <c r="E1059" s="3" t="s">
        <v>4279</v>
      </c>
      <c r="F1059" s="3" t="s">
        <v>45</v>
      </c>
      <c r="G1059" s="4">
        <v>41591</v>
      </c>
      <c r="H1059" s="3" t="s">
        <v>21</v>
      </c>
      <c r="I1059" s="3" t="s">
        <v>33</v>
      </c>
      <c r="J1059" s="5">
        <v>1000</v>
      </c>
      <c r="K1059" s="3">
        <v>6920601</v>
      </c>
      <c r="L1059" s="3" t="s">
        <v>1507</v>
      </c>
      <c r="M1059" s="3" t="s">
        <v>4280</v>
      </c>
      <c r="N1059" s="3">
        <v>151</v>
      </c>
      <c r="O1059" s="3" t="s">
        <v>4281</v>
      </c>
      <c r="P1059" s="3" t="s">
        <v>70</v>
      </c>
      <c r="Q1059" s="3" t="s">
        <v>204</v>
      </c>
      <c r="R1059" s="3" t="s">
        <v>187</v>
      </c>
      <c r="S1059" s="3">
        <v>80420120</v>
      </c>
      <c r="T1059" s="3">
        <v>4130222008</v>
      </c>
      <c r="U1059" s="3" t="s">
        <v>29</v>
      </c>
    </row>
    <row r="1060" spans="1:21" ht="13.2" x14ac:dyDescent="0.25">
      <c r="A1060" s="14">
        <v>4112310000159</v>
      </c>
      <c r="B1060" s="15" t="str">
        <f t="shared" si="16"/>
        <v>04.112.310/0001-59</v>
      </c>
      <c r="C1060" s="12"/>
      <c r="D1060" s="3" t="s">
        <v>4282</v>
      </c>
      <c r="E1060" s="3" t="s">
        <v>4282</v>
      </c>
      <c r="F1060" s="3" t="s">
        <v>20</v>
      </c>
      <c r="G1060" s="4">
        <v>36825</v>
      </c>
      <c r="H1060" s="3" t="s">
        <v>21</v>
      </c>
      <c r="I1060" s="3" t="s">
        <v>22</v>
      </c>
      <c r="J1060" s="5">
        <v>100000</v>
      </c>
      <c r="K1060" s="3">
        <v>4753900</v>
      </c>
      <c r="L1060" s="3" t="s">
        <v>214</v>
      </c>
      <c r="M1060" s="3" t="s">
        <v>4283</v>
      </c>
      <c r="N1060" s="3" t="s">
        <v>82</v>
      </c>
      <c r="O1060" s="3" t="s">
        <v>4284</v>
      </c>
      <c r="P1060" s="3" t="s">
        <v>4285</v>
      </c>
      <c r="Q1060" s="3" t="s">
        <v>631</v>
      </c>
      <c r="R1060" s="3" t="s">
        <v>632</v>
      </c>
      <c r="S1060" s="3">
        <v>72010020</v>
      </c>
      <c r="T1060" s="3">
        <v>6135633593</v>
      </c>
      <c r="U1060" s="3" t="s">
        <v>29</v>
      </c>
    </row>
    <row r="1061" spans="1:21" ht="13.2" x14ac:dyDescent="0.25">
      <c r="A1061" s="14">
        <v>90108283000182</v>
      </c>
      <c r="B1061" s="15" t="str">
        <f t="shared" si="16"/>
        <v>90.108.283/0001-82</v>
      </c>
      <c r="C1061" s="12"/>
      <c r="D1061" s="3" t="s">
        <v>4286</v>
      </c>
      <c r="E1061" s="3" t="s">
        <v>4287</v>
      </c>
      <c r="F1061" s="3" t="s">
        <v>20</v>
      </c>
      <c r="G1061" s="4">
        <v>30964</v>
      </c>
      <c r="H1061" s="3" t="s">
        <v>21</v>
      </c>
      <c r="I1061" s="3" t="s">
        <v>33</v>
      </c>
      <c r="J1061" s="5">
        <v>10000000</v>
      </c>
      <c r="K1061" s="3">
        <v>4645101</v>
      </c>
      <c r="L1061" s="3" t="s">
        <v>135</v>
      </c>
      <c r="M1061" s="3" t="s">
        <v>470</v>
      </c>
      <c r="N1061" s="3">
        <v>477</v>
      </c>
      <c r="P1061" s="3" t="s">
        <v>436</v>
      </c>
      <c r="Q1061" s="3" t="s">
        <v>437</v>
      </c>
      <c r="R1061" s="3" t="s">
        <v>53</v>
      </c>
      <c r="S1061" s="3">
        <v>90240540</v>
      </c>
      <c r="T1061" s="3">
        <v>5121049500</v>
      </c>
      <c r="U1061" s="3" t="s">
        <v>29</v>
      </c>
    </row>
    <row r="1062" spans="1:21" ht="13.2" x14ac:dyDescent="0.25">
      <c r="A1062" s="14">
        <v>62239488000161</v>
      </c>
      <c r="B1062" s="15" t="str">
        <f t="shared" si="16"/>
        <v>62.239.488/0001-61</v>
      </c>
      <c r="C1062" s="12"/>
      <c r="D1062" s="3" t="s">
        <v>4288</v>
      </c>
      <c r="E1062" s="3" t="s">
        <v>4288</v>
      </c>
      <c r="F1062" s="3" t="s">
        <v>20</v>
      </c>
      <c r="G1062" s="4">
        <v>32913</v>
      </c>
      <c r="H1062" s="3" t="s">
        <v>21</v>
      </c>
      <c r="I1062" s="3" t="s">
        <v>33</v>
      </c>
      <c r="J1062" s="5">
        <v>11489035</v>
      </c>
      <c r="K1062" s="3">
        <v>2099199</v>
      </c>
      <c r="L1062" s="3" t="s">
        <v>80</v>
      </c>
      <c r="M1062" s="3" t="s">
        <v>4289</v>
      </c>
      <c r="N1062" s="3">
        <v>126</v>
      </c>
      <c r="P1062" s="3" t="s">
        <v>4290</v>
      </c>
      <c r="Q1062" s="3" t="s">
        <v>59</v>
      </c>
      <c r="R1062" s="3" t="s">
        <v>28</v>
      </c>
      <c r="S1062" s="3">
        <v>13278073</v>
      </c>
      <c r="T1062" s="3">
        <v>1938817200</v>
      </c>
      <c r="U1062" s="3" t="s">
        <v>29</v>
      </c>
    </row>
    <row r="1063" spans="1:21" ht="13.2" x14ac:dyDescent="0.25">
      <c r="A1063" s="14">
        <v>23432265000164</v>
      </c>
      <c r="B1063" s="15" t="str">
        <f t="shared" si="16"/>
        <v>23.432.265/0001-64</v>
      </c>
      <c r="C1063" s="12"/>
      <c r="D1063" s="3" t="s">
        <v>4291</v>
      </c>
      <c r="E1063" s="3" t="s">
        <v>4291</v>
      </c>
      <c r="F1063" s="3" t="s">
        <v>20</v>
      </c>
      <c r="G1063" s="4">
        <v>42284</v>
      </c>
      <c r="H1063" s="3" t="s">
        <v>21</v>
      </c>
      <c r="I1063" s="3" t="s">
        <v>33</v>
      </c>
      <c r="J1063" s="5">
        <v>200000</v>
      </c>
      <c r="K1063" s="3">
        <v>3319800</v>
      </c>
      <c r="L1063" s="3" t="s">
        <v>1394</v>
      </c>
      <c r="M1063" s="3" t="s">
        <v>4292</v>
      </c>
      <c r="N1063" s="3">
        <v>44</v>
      </c>
      <c r="P1063" s="3" t="s">
        <v>411</v>
      </c>
      <c r="Q1063" s="3" t="s">
        <v>294</v>
      </c>
      <c r="R1063" s="3" t="s">
        <v>28</v>
      </c>
      <c r="S1063" s="3">
        <v>11015060</v>
      </c>
      <c r="T1063" s="3">
        <v>1132225252</v>
      </c>
      <c r="U1063" s="3" t="s">
        <v>29</v>
      </c>
    </row>
    <row r="1064" spans="1:21" ht="13.2" x14ac:dyDescent="0.25">
      <c r="A1064" s="14">
        <v>3770521000116</v>
      </c>
      <c r="B1064" s="15" t="str">
        <f t="shared" si="16"/>
        <v>03.770.521/0001-16</v>
      </c>
      <c r="C1064" s="12" t="str">
        <f>VLOOKUP(B1064,[1]Planilha1!$A:$B,2,0)</f>
        <v>Malu Montesino</v>
      </c>
      <c r="D1064" s="3" t="s">
        <v>4293</v>
      </c>
      <c r="E1064" s="3" t="s">
        <v>4293</v>
      </c>
      <c r="F1064" s="3" t="s">
        <v>20</v>
      </c>
      <c r="G1064" s="4">
        <v>36635</v>
      </c>
      <c r="H1064" s="3" t="s">
        <v>21</v>
      </c>
      <c r="I1064" s="3" t="s">
        <v>33</v>
      </c>
      <c r="J1064" s="5">
        <v>10686804</v>
      </c>
      <c r="K1064" s="3">
        <v>4689399</v>
      </c>
      <c r="L1064" s="3" t="s">
        <v>783</v>
      </c>
      <c r="M1064" s="3" t="s">
        <v>4294</v>
      </c>
      <c r="N1064" s="3">
        <v>2005</v>
      </c>
      <c r="O1064" s="3" t="s">
        <v>4295</v>
      </c>
      <c r="P1064" s="3" t="s">
        <v>230</v>
      </c>
      <c r="Q1064" s="3" t="s">
        <v>231</v>
      </c>
      <c r="R1064" s="3" t="s">
        <v>28</v>
      </c>
      <c r="S1064" s="3">
        <v>18087175</v>
      </c>
      <c r="T1064" s="3">
        <v>1932353700</v>
      </c>
      <c r="U1064" s="3" t="s">
        <v>29</v>
      </c>
    </row>
    <row r="1065" spans="1:21" ht="13.2" x14ac:dyDescent="0.25">
      <c r="A1065" s="14">
        <v>14065989000126</v>
      </c>
      <c r="B1065" s="15" t="str">
        <f t="shared" si="16"/>
        <v>14.065.989/0001-26</v>
      </c>
      <c r="C1065" s="12"/>
      <c r="D1065" s="3" t="s">
        <v>4296</v>
      </c>
      <c r="E1065" s="3" t="s">
        <v>4297</v>
      </c>
      <c r="F1065" s="3" t="s">
        <v>20</v>
      </c>
      <c r="G1065" s="4">
        <v>40742</v>
      </c>
      <c r="H1065" s="3" t="s">
        <v>21</v>
      </c>
      <c r="I1065" s="3" t="s">
        <v>47</v>
      </c>
      <c r="J1065" s="5">
        <v>200000</v>
      </c>
      <c r="K1065" s="3">
        <v>6110803</v>
      </c>
      <c r="L1065" s="3" t="s">
        <v>339</v>
      </c>
      <c r="M1065" s="3" t="s">
        <v>3498</v>
      </c>
      <c r="N1065" s="3">
        <v>281</v>
      </c>
      <c r="O1065" s="3" t="s">
        <v>4298</v>
      </c>
      <c r="P1065" s="3" t="s">
        <v>70</v>
      </c>
      <c r="Q1065" s="3" t="s">
        <v>4299</v>
      </c>
      <c r="R1065" s="3" t="s">
        <v>53</v>
      </c>
      <c r="S1065" s="3">
        <v>93800140</v>
      </c>
      <c r="T1065" s="3">
        <v>5198876708</v>
      </c>
      <c r="U1065" s="3" t="s">
        <v>29</v>
      </c>
    </row>
    <row r="1066" spans="1:21" ht="13.2" x14ac:dyDescent="0.25">
      <c r="A1066" s="14">
        <v>31037018000191</v>
      </c>
      <c r="B1066" s="15" t="str">
        <f t="shared" si="16"/>
        <v>31.037.018/0001-91</v>
      </c>
      <c r="C1066" s="12"/>
      <c r="D1066" s="3" t="s">
        <v>4300</v>
      </c>
      <c r="E1066" s="3" t="s">
        <v>4301</v>
      </c>
      <c r="F1066" s="3" t="s">
        <v>20</v>
      </c>
      <c r="G1066" s="4">
        <v>43307</v>
      </c>
      <c r="H1066" s="3" t="s">
        <v>21</v>
      </c>
      <c r="I1066" s="3" t="s">
        <v>22</v>
      </c>
      <c r="J1066" s="5">
        <v>317000</v>
      </c>
      <c r="K1066" s="3">
        <v>4322301</v>
      </c>
      <c r="L1066" s="3" t="s">
        <v>1563</v>
      </c>
      <c r="M1066" s="3" t="s">
        <v>1013</v>
      </c>
      <c r="N1066" s="3">
        <v>775</v>
      </c>
      <c r="P1066" s="3" t="s">
        <v>4302</v>
      </c>
      <c r="Q1066" s="3" t="s">
        <v>27</v>
      </c>
      <c r="R1066" s="3" t="s">
        <v>28</v>
      </c>
      <c r="S1066" s="3">
        <v>3605000</v>
      </c>
      <c r="T1066" s="3">
        <v>1120822233</v>
      </c>
      <c r="U1066" s="3" t="s">
        <v>29</v>
      </c>
    </row>
    <row r="1067" spans="1:21" ht="13.2" x14ac:dyDescent="0.25">
      <c r="A1067" s="14">
        <v>5431967000141</v>
      </c>
      <c r="B1067" s="15" t="str">
        <f t="shared" si="16"/>
        <v>05.431.967/0001-41</v>
      </c>
      <c r="C1067" s="12" t="str">
        <f>VLOOKUP(B1067,[1]Planilha1!$A:$B,2,0)</f>
        <v>Malu Montesino</v>
      </c>
      <c r="D1067" s="3" t="s">
        <v>4303</v>
      </c>
      <c r="E1067" s="3" t="s">
        <v>4303</v>
      </c>
      <c r="F1067" s="3" t="s">
        <v>20</v>
      </c>
      <c r="G1067" s="4">
        <v>37585</v>
      </c>
      <c r="H1067" s="3" t="s">
        <v>21</v>
      </c>
      <c r="I1067" s="3" t="s">
        <v>33</v>
      </c>
      <c r="J1067" s="5">
        <v>3000000</v>
      </c>
      <c r="K1067" s="3">
        <v>7120100</v>
      </c>
      <c r="L1067" s="3" t="s">
        <v>2807</v>
      </c>
      <c r="M1067" s="3" t="s">
        <v>4304</v>
      </c>
      <c r="N1067" s="3">
        <v>281</v>
      </c>
      <c r="P1067" s="3" t="s">
        <v>4305</v>
      </c>
      <c r="Q1067" s="3" t="s">
        <v>262</v>
      </c>
      <c r="R1067" s="3" t="s">
        <v>28</v>
      </c>
      <c r="S1067" s="3">
        <v>6296180</v>
      </c>
      <c r="T1067" s="3">
        <v>1136039625</v>
      </c>
      <c r="U1067" s="3" t="s">
        <v>29</v>
      </c>
    </row>
    <row r="1068" spans="1:21" ht="13.2" x14ac:dyDescent="0.25">
      <c r="A1068" s="14">
        <v>8238299000129</v>
      </c>
      <c r="B1068" s="15" t="str">
        <f t="shared" si="16"/>
        <v>08.238.299/0001-29</v>
      </c>
      <c r="C1068" s="12" t="str">
        <f>VLOOKUP(B1068,[1]Planilha1!$A:$B,2,0)</f>
        <v>Malu Montesino</v>
      </c>
      <c r="D1068" s="3" t="s">
        <v>4306</v>
      </c>
      <c r="E1068" s="3" t="s">
        <v>4307</v>
      </c>
      <c r="F1068" s="3" t="s">
        <v>20</v>
      </c>
      <c r="G1068" s="4">
        <v>38923</v>
      </c>
      <c r="H1068" s="3" t="s">
        <v>21</v>
      </c>
      <c r="I1068" s="3" t="s">
        <v>33</v>
      </c>
      <c r="J1068" s="5">
        <v>406866400</v>
      </c>
      <c r="K1068" s="3">
        <v>4669999</v>
      </c>
      <c r="L1068" s="3" t="s">
        <v>558</v>
      </c>
      <c r="M1068" s="3" t="s">
        <v>4308</v>
      </c>
      <c r="N1068" s="3">
        <v>888</v>
      </c>
      <c r="O1068" s="3" t="s">
        <v>4309</v>
      </c>
      <c r="P1068" s="3" t="s">
        <v>2596</v>
      </c>
      <c r="Q1068" s="3" t="s">
        <v>27</v>
      </c>
      <c r="R1068" s="3" t="s">
        <v>28</v>
      </c>
      <c r="S1068" s="3">
        <v>1455905</v>
      </c>
      <c r="T1068" s="3">
        <v>1130599900</v>
      </c>
      <c r="U1068" s="3" t="s">
        <v>29</v>
      </c>
    </row>
    <row r="1069" spans="1:21" ht="13.2" x14ac:dyDescent="0.25">
      <c r="A1069" s="14">
        <v>9603161000144</v>
      </c>
      <c r="B1069" s="15" t="str">
        <f t="shared" si="16"/>
        <v>09.603.161/0001-44</v>
      </c>
      <c r="C1069" s="12"/>
      <c r="D1069" s="3" t="s">
        <v>4310</v>
      </c>
      <c r="E1069" s="3" t="s">
        <v>4311</v>
      </c>
      <c r="F1069" s="3" t="s">
        <v>20</v>
      </c>
      <c r="G1069" s="4">
        <v>39595</v>
      </c>
      <c r="H1069" s="3" t="s">
        <v>21</v>
      </c>
      <c r="I1069" s="3" t="s">
        <v>33</v>
      </c>
      <c r="J1069" s="5">
        <v>35755560</v>
      </c>
      <c r="K1069" s="3">
        <v>4664800</v>
      </c>
      <c r="L1069" s="3" t="s">
        <v>691</v>
      </c>
      <c r="M1069" s="3" t="s">
        <v>1047</v>
      </c>
      <c r="N1069" s="3">
        <v>50</v>
      </c>
      <c r="O1069" s="3" t="s">
        <v>4312</v>
      </c>
      <c r="P1069" s="3" t="s">
        <v>1049</v>
      </c>
      <c r="Q1069" s="3" t="s">
        <v>27</v>
      </c>
      <c r="R1069" s="3" t="s">
        <v>28</v>
      </c>
      <c r="S1069" s="3">
        <v>4543000</v>
      </c>
      <c r="T1069" s="3">
        <v>1135291853</v>
      </c>
      <c r="U1069" s="3" t="s">
        <v>29</v>
      </c>
    </row>
    <row r="1070" spans="1:21" ht="13.2" x14ac:dyDescent="0.25">
      <c r="A1070" s="14">
        <v>58619404000148</v>
      </c>
      <c r="B1070" s="15" t="str">
        <f t="shared" si="16"/>
        <v>58.619.404/0001-48</v>
      </c>
      <c r="C1070" s="12" t="str">
        <f>VLOOKUP(B1070,[1]Planilha1!$A:$B,2,0)</f>
        <v>Malu Montesino</v>
      </c>
      <c r="D1070" s="3" t="s">
        <v>4313</v>
      </c>
      <c r="E1070" s="3" t="s">
        <v>4314</v>
      </c>
      <c r="F1070" s="3" t="s">
        <v>20</v>
      </c>
      <c r="G1070" s="4">
        <v>32185</v>
      </c>
      <c r="H1070" s="3" t="s">
        <v>21</v>
      </c>
      <c r="I1070" s="3" t="s">
        <v>33</v>
      </c>
      <c r="J1070" s="5">
        <v>203649500</v>
      </c>
      <c r="K1070" s="3">
        <v>4651601</v>
      </c>
      <c r="L1070" s="3" t="s">
        <v>684</v>
      </c>
      <c r="M1070" s="3" t="s">
        <v>837</v>
      </c>
      <c r="N1070" s="3">
        <v>1500</v>
      </c>
      <c r="O1070" s="3" t="s">
        <v>4315</v>
      </c>
      <c r="P1070" s="3" t="s">
        <v>137</v>
      </c>
      <c r="Q1070" s="3" t="s">
        <v>27</v>
      </c>
      <c r="R1070" s="3" t="s">
        <v>28</v>
      </c>
      <c r="S1070" s="3">
        <v>5001100</v>
      </c>
      <c r="T1070" s="3">
        <v>1138774000</v>
      </c>
      <c r="U1070" s="3" t="s">
        <v>29</v>
      </c>
    </row>
    <row r="1071" spans="1:21" ht="13.2" x14ac:dyDescent="0.25">
      <c r="A1071" s="14">
        <v>4785438000183</v>
      </c>
      <c r="B1071" s="15" t="str">
        <f t="shared" si="16"/>
        <v>04.785.438/0001-83</v>
      </c>
      <c r="C1071" s="12" t="str">
        <f>VLOOKUP(B1071,[1]Planilha1!$A:$B,2,0)</f>
        <v>Malu Montesino</v>
      </c>
      <c r="D1071" s="3" t="s">
        <v>4316</v>
      </c>
      <c r="E1071" s="3" t="s">
        <v>4316</v>
      </c>
      <c r="F1071" s="3" t="s">
        <v>20</v>
      </c>
      <c r="G1071" s="4">
        <v>37214</v>
      </c>
      <c r="H1071" s="3" t="s">
        <v>21</v>
      </c>
      <c r="I1071" s="3" t="s">
        <v>33</v>
      </c>
      <c r="J1071" s="5">
        <v>10000</v>
      </c>
      <c r="K1071" s="3">
        <v>2822402</v>
      </c>
      <c r="L1071" s="3" t="s">
        <v>4317</v>
      </c>
      <c r="M1071" s="3" t="s">
        <v>4318</v>
      </c>
      <c r="N1071" s="3">
        <v>4321</v>
      </c>
      <c r="O1071" s="3" t="s">
        <v>4319</v>
      </c>
      <c r="P1071" s="3" t="s">
        <v>859</v>
      </c>
      <c r="Q1071" s="3" t="s">
        <v>186</v>
      </c>
      <c r="R1071" s="3" t="s">
        <v>187</v>
      </c>
      <c r="S1071" s="3">
        <v>83055530</v>
      </c>
      <c r="T1071" s="3">
        <v>4133823320</v>
      </c>
      <c r="U1071" s="3" t="s">
        <v>29</v>
      </c>
    </row>
    <row r="1072" spans="1:21" ht="13.2" x14ac:dyDescent="0.25">
      <c r="A1072" s="14">
        <v>315557000111</v>
      </c>
      <c r="B1072" s="15" t="str">
        <f t="shared" si="16"/>
        <v>00.315.557/0001-11</v>
      </c>
      <c r="C1072" s="12" t="str">
        <f>VLOOKUP(B1072,[1]Planilha1!$A:$B,2,0)</f>
        <v>Malu Montesino</v>
      </c>
      <c r="D1072" s="3" t="s">
        <v>4320</v>
      </c>
      <c r="E1072" s="3" t="s">
        <v>4321</v>
      </c>
      <c r="F1072" s="3" t="s">
        <v>20</v>
      </c>
      <c r="G1072" s="4">
        <v>34661</v>
      </c>
      <c r="H1072" s="3" t="s">
        <v>3700</v>
      </c>
      <c r="I1072" s="3" t="s">
        <v>33</v>
      </c>
      <c r="J1072" s="5">
        <v>17120894</v>
      </c>
      <c r="K1072" s="3">
        <v>6424702</v>
      </c>
      <c r="L1072" s="3" t="s">
        <v>4322</v>
      </c>
      <c r="M1072" s="3" t="s">
        <v>246</v>
      </c>
      <c r="N1072" s="3">
        <v>2300</v>
      </c>
      <c r="O1072" s="3" t="s">
        <v>4323</v>
      </c>
      <c r="P1072" s="3" t="s">
        <v>248</v>
      </c>
      <c r="Q1072" s="3" t="s">
        <v>27</v>
      </c>
      <c r="R1072" s="3" t="s">
        <v>28</v>
      </c>
      <c r="S1072" s="3">
        <v>1310300</v>
      </c>
      <c r="T1072" s="3">
        <v>1133553099</v>
      </c>
      <c r="U1072" s="3" t="s">
        <v>29</v>
      </c>
    </row>
    <row r="1073" spans="1:21" ht="13.2" x14ac:dyDescent="0.25">
      <c r="A1073" s="14">
        <v>18813064000177</v>
      </c>
      <c r="B1073" s="15" t="str">
        <f t="shared" si="16"/>
        <v>18.813.064/0001-77</v>
      </c>
      <c r="C1073" s="12"/>
      <c r="D1073" s="3" t="s">
        <v>4324</v>
      </c>
      <c r="E1073" s="3" t="s">
        <v>4325</v>
      </c>
      <c r="F1073" s="3" t="s">
        <v>20</v>
      </c>
      <c r="G1073" s="4">
        <v>41521</v>
      </c>
      <c r="H1073" s="3" t="s">
        <v>3700</v>
      </c>
      <c r="I1073" s="3" t="s">
        <v>33</v>
      </c>
      <c r="J1073" s="5">
        <v>9600</v>
      </c>
      <c r="K1073" s="3">
        <v>161099</v>
      </c>
      <c r="L1073" s="3" t="s">
        <v>1166</v>
      </c>
      <c r="M1073" s="3" t="s">
        <v>4326</v>
      </c>
      <c r="N1073" s="3" t="s">
        <v>111</v>
      </c>
      <c r="P1073" s="3" t="s">
        <v>4327</v>
      </c>
      <c r="Q1073" s="3" t="s">
        <v>4328</v>
      </c>
      <c r="R1073" s="3" t="s">
        <v>301</v>
      </c>
      <c r="S1073" s="3">
        <v>61700000</v>
      </c>
      <c r="T1073" s="3">
        <v>8591856242</v>
      </c>
      <c r="U1073" s="3" t="s">
        <v>29</v>
      </c>
    </row>
    <row r="1074" spans="1:21" ht="13.2" x14ac:dyDescent="0.25">
      <c r="A1074" s="14">
        <v>35537126000184</v>
      </c>
      <c r="B1074" s="15" t="str">
        <f t="shared" si="16"/>
        <v>35.537.126/0001-84</v>
      </c>
      <c r="C1074" s="12"/>
      <c r="D1074" s="3" t="s">
        <v>4329</v>
      </c>
      <c r="E1074" s="3" t="s">
        <v>4329</v>
      </c>
      <c r="F1074" s="3" t="s">
        <v>20</v>
      </c>
      <c r="G1074" s="4">
        <v>43787</v>
      </c>
      <c r="H1074" s="3" t="s">
        <v>3700</v>
      </c>
      <c r="I1074" s="3" t="s">
        <v>33</v>
      </c>
      <c r="J1074" s="5">
        <v>0</v>
      </c>
      <c r="K1074" s="3">
        <v>8512100</v>
      </c>
      <c r="L1074" s="3" t="s">
        <v>4330</v>
      </c>
      <c r="M1074" s="3" t="s">
        <v>4331</v>
      </c>
      <c r="N1074" s="3">
        <v>1</v>
      </c>
      <c r="O1074" s="3" t="s">
        <v>4332</v>
      </c>
      <c r="P1074" s="3" t="s">
        <v>4333</v>
      </c>
      <c r="Q1074" s="3" t="s">
        <v>4334</v>
      </c>
      <c r="R1074" s="3" t="s">
        <v>1725</v>
      </c>
      <c r="S1074" s="3">
        <v>59182000</v>
      </c>
      <c r="T1074" s="3">
        <v>8481561479</v>
      </c>
      <c r="U1074" s="3" t="s">
        <v>29</v>
      </c>
    </row>
    <row r="1075" spans="1:21" ht="13.2" x14ac:dyDescent="0.25">
      <c r="A1075" s="14">
        <v>71320915000122</v>
      </c>
      <c r="B1075" s="15" t="str">
        <f t="shared" si="16"/>
        <v>71.320.915/0001-22</v>
      </c>
      <c r="C1075" s="12" t="str">
        <f>VLOOKUP(B1075,[1]Planilha1!$A:$B,2,0)</f>
        <v>Malu Montesino</v>
      </c>
      <c r="D1075" s="3" t="s">
        <v>4335</v>
      </c>
      <c r="E1075" s="3" t="s">
        <v>4336</v>
      </c>
      <c r="F1075" s="3" t="s">
        <v>20</v>
      </c>
      <c r="G1075" s="4">
        <v>24328</v>
      </c>
      <c r="H1075" s="3" t="s">
        <v>3700</v>
      </c>
      <c r="I1075" s="3" t="s">
        <v>33</v>
      </c>
      <c r="J1075" s="5">
        <v>0</v>
      </c>
      <c r="K1075" s="3">
        <v>4683400</v>
      </c>
      <c r="L1075" s="3" t="s">
        <v>3002</v>
      </c>
      <c r="M1075" s="3" t="s">
        <v>4337</v>
      </c>
      <c r="N1075" s="3">
        <v>510</v>
      </c>
      <c r="P1075" s="3" t="s">
        <v>70</v>
      </c>
      <c r="Q1075" s="3" t="s">
        <v>3346</v>
      </c>
      <c r="R1075" s="3" t="s">
        <v>28</v>
      </c>
      <c r="S1075" s="3">
        <v>14170680</v>
      </c>
      <c r="T1075" s="3">
        <v>1639463300</v>
      </c>
      <c r="U1075" s="3" t="s">
        <v>29</v>
      </c>
    </row>
    <row r="1076" spans="1:21" ht="13.2" x14ac:dyDescent="0.25">
      <c r="A1076" s="14">
        <v>87547188000170</v>
      </c>
      <c r="B1076" s="15" t="str">
        <f t="shared" si="16"/>
        <v>87.547.188/0001-70</v>
      </c>
      <c r="C1076" s="12" t="str">
        <f>VLOOKUP(B1076,[1]Planilha1!$A:$B,2,0)</f>
        <v>Mariane Nascimento</v>
      </c>
      <c r="D1076" s="3" t="s">
        <v>4338</v>
      </c>
      <c r="E1076" s="3" t="s">
        <v>4338</v>
      </c>
      <c r="F1076" s="3" t="s">
        <v>20</v>
      </c>
      <c r="G1076" s="4">
        <v>24330</v>
      </c>
      <c r="H1076" s="3" t="s">
        <v>3700</v>
      </c>
      <c r="I1076" s="3" t="s">
        <v>33</v>
      </c>
      <c r="J1076" s="5">
        <v>0</v>
      </c>
      <c r="K1076" s="3">
        <v>1112700</v>
      </c>
      <c r="L1076" s="3" t="s">
        <v>4339</v>
      </c>
      <c r="M1076" s="3" t="s">
        <v>4340</v>
      </c>
      <c r="N1076" s="3">
        <v>500</v>
      </c>
      <c r="P1076" s="3" t="s">
        <v>4341</v>
      </c>
      <c r="Q1076" s="3" t="s">
        <v>2305</v>
      </c>
      <c r="R1076" s="3" t="s">
        <v>53</v>
      </c>
      <c r="S1076" s="3">
        <v>95700010</v>
      </c>
      <c r="T1076" s="3">
        <v>5434552081</v>
      </c>
      <c r="U1076" s="3" t="s">
        <v>29</v>
      </c>
    </row>
    <row r="1077" spans="1:21" ht="13.2" x14ac:dyDescent="0.25">
      <c r="A1077" s="14">
        <v>45236791012874</v>
      </c>
      <c r="B1077" s="15" t="str">
        <f t="shared" si="16"/>
        <v>45.236.791/0128-74</v>
      </c>
      <c r="C1077" s="12"/>
      <c r="D1077" s="3" t="s">
        <v>4342</v>
      </c>
      <c r="E1077" s="3" t="s">
        <v>4343</v>
      </c>
      <c r="F1077" s="3" t="s">
        <v>20</v>
      </c>
      <c r="G1077" s="4">
        <v>42298</v>
      </c>
      <c r="H1077" s="3" t="s">
        <v>3700</v>
      </c>
      <c r="I1077" s="3" t="s">
        <v>33</v>
      </c>
      <c r="J1077" s="5">
        <v>0</v>
      </c>
      <c r="K1077" s="3">
        <v>4621400</v>
      </c>
      <c r="L1077" s="3" t="s">
        <v>4344</v>
      </c>
      <c r="M1077" s="3" t="s">
        <v>273</v>
      </c>
      <c r="N1077" s="3">
        <v>1035</v>
      </c>
      <c r="P1077" s="3" t="s">
        <v>4345</v>
      </c>
      <c r="Q1077" s="3" t="s">
        <v>4346</v>
      </c>
      <c r="R1077" s="3" t="s">
        <v>100</v>
      </c>
      <c r="S1077" s="3">
        <v>37948000</v>
      </c>
      <c r="T1077" s="3">
        <v>3534117056</v>
      </c>
      <c r="U1077" s="3" t="s">
        <v>29</v>
      </c>
    </row>
    <row r="1078" spans="1:21" ht="13.2" x14ac:dyDescent="0.25">
      <c r="A1078" s="14">
        <v>3237583000167</v>
      </c>
      <c r="B1078" s="15" t="str">
        <f t="shared" si="16"/>
        <v>03.237.583/0001-67</v>
      </c>
      <c r="C1078" s="12"/>
      <c r="D1078" s="3" t="s">
        <v>4347</v>
      </c>
      <c r="E1078" s="3" t="s">
        <v>4348</v>
      </c>
      <c r="F1078" s="3" t="s">
        <v>20</v>
      </c>
      <c r="G1078" s="4">
        <v>20422</v>
      </c>
      <c r="H1078" s="3" t="s">
        <v>94</v>
      </c>
      <c r="I1078" s="3" t="s">
        <v>33</v>
      </c>
      <c r="J1078" s="5">
        <v>1052991300</v>
      </c>
      <c r="K1078" s="3">
        <v>4682600</v>
      </c>
      <c r="L1078" s="3" t="s">
        <v>1219</v>
      </c>
      <c r="M1078" s="3" t="s">
        <v>308</v>
      </c>
      <c r="N1078" s="3">
        <v>14171</v>
      </c>
      <c r="O1078" s="3" t="s">
        <v>4349</v>
      </c>
      <c r="P1078" s="3" t="s">
        <v>310</v>
      </c>
      <c r="Q1078" s="3" t="s">
        <v>27</v>
      </c>
      <c r="R1078" s="3" t="s">
        <v>28</v>
      </c>
      <c r="S1078" s="3">
        <v>4794000</v>
      </c>
      <c r="T1078" s="3">
        <v>1155054077</v>
      </c>
      <c r="U1078" s="3" t="s">
        <v>29</v>
      </c>
    </row>
    <row r="1079" spans="1:21" ht="13.2" x14ac:dyDescent="0.25">
      <c r="A1079" s="14">
        <v>62238043000167</v>
      </c>
      <c r="B1079" s="15" t="str">
        <f t="shared" si="16"/>
        <v>62.238.043/0001-67</v>
      </c>
      <c r="C1079" s="12"/>
      <c r="D1079" s="3" t="s">
        <v>4350</v>
      </c>
      <c r="E1079" s="3" t="s">
        <v>4350</v>
      </c>
      <c r="F1079" s="3" t="s">
        <v>20</v>
      </c>
      <c r="G1079" s="4">
        <v>25273</v>
      </c>
      <c r="H1079" s="3" t="s">
        <v>21</v>
      </c>
      <c r="I1079" s="3" t="s">
        <v>33</v>
      </c>
      <c r="J1079" s="5">
        <v>12922582</v>
      </c>
      <c r="K1079" s="3">
        <v>4689399</v>
      </c>
      <c r="L1079" s="3" t="s">
        <v>783</v>
      </c>
      <c r="M1079" s="3" t="s">
        <v>4351</v>
      </c>
      <c r="N1079" s="3">
        <v>11</v>
      </c>
      <c r="O1079" s="3" t="s">
        <v>4352</v>
      </c>
      <c r="P1079" s="3" t="s">
        <v>4353</v>
      </c>
      <c r="Q1079" s="3" t="s">
        <v>1878</v>
      </c>
      <c r="R1079" s="3" t="s">
        <v>28</v>
      </c>
      <c r="S1079" s="3">
        <v>6843195</v>
      </c>
      <c r="T1079" s="3">
        <v>1137416650</v>
      </c>
      <c r="U1079" s="3" t="s">
        <v>29</v>
      </c>
    </row>
    <row r="1080" spans="1:21" ht="13.2" x14ac:dyDescent="0.25">
      <c r="A1080" s="14">
        <v>10265949000177</v>
      </c>
      <c r="B1080" s="15" t="str">
        <f t="shared" si="16"/>
        <v>10.265.949/0001-77</v>
      </c>
      <c r="C1080" s="12" t="str">
        <f>VLOOKUP(B1080,[1]Planilha1!$A:$B,2,0)</f>
        <v>Malu Montesino</v>
      </c>
      <c r="D1080" s="3" t="s">
        <v>4354</v>
      </c>
      <c r="E1080" s="3" t="s">
        <v>4354</v>
      </c>
      <c r="F1080" s="3" t="s">
        <v>20</v>
      </c>
      <c r="G1080" s="4">
        <v>39671</v>
      </c>
      <c r="H1080" s="3" t="s">
        <v>94</v>
      </c>
      <c r="I1080" s="3" t="s">
        <v>33</v>
      </c>
      <c r="J1080" s="5">
        <v>1775195800</v>
      </c>
      <c r="K1080" s="3">
        <v>4637102</v>
      </c>
      <c r="L1080" s="3" t="s">
        <v>4355</v>
      </c>
      <c r="M1080" s="3" t="s">
        <v>308</v>
      </c>
      <c r="N1080" s="3">
        <v>14261</v>
      </c>
      <c r="O1080" s="3" t="s">
        <v>4356</v>
      </c>
      <c r="P1080" s="3" t="s">
        <v>310</v>
      </c>
      <c r="Q1080" s="3" t="s">
        <v>27</v>
      </c>
      <c r="R1080" s="3" t="s">
        <v>28</v>
      </c>
      <c r="S1080" s="3">
        <v>4794000</v>
      </c>
      <c r="T1080" s="3">
        <v>1126188166</v>
      </c>
      <c r="U1080" s="3" t="s">
        <v>29</v>
      </c>
    </row>
    <row r="1081" spans="1:21" ht="13.2" x14ac:dyDescent="0.25">
      <c r="A1081" s="14">
        <v>4378330001652</v>
      </c>
      <c r="B1081" s="15" t="str">
        <f t="shared" si="16"/>
        <v>04.378.330/0016-52</v>
      </c>
      <c r="C1081" s="12" t="str">
        <f>VLOOKUP(B1081,[1]Planilha1!$A:$B,2,0)</f>
        <v>Malu Montesino</v>
      </c>
      <c r="D1081" s="3" t="s">
        <v>4357</v>
      </c>
      <c r="E1081" s="3" t="s">
        <v>4358</v>
      </c>
      <c r="F1081" s="3" t="s">
        <v>20</v>
      </c>
      <c r="G1081" s="4">
        <v>36525</v>
      </c>
      <c r="H1081" s="3" t="s">
        <v>3218</v>
      </c>
      <c r="I1081" s="3" t="s">
        <v>33</v>
      </c>
      <c r="J1081" s="5">
        <v>0</v>
      </c>
      <c r="K1081" s="3">
        <v>8424800</v>
      </c>
      <c r="L1081" s="3" t="s">
        <v>4359</v>
      </c>
      <c r="M1081" s="3" t="s">
        <v>1751</v>
      </c>
      <c r="N1081" s="3">
        <v>184</v>
      </c>
      <c r="P1081" s="3" t="s">
        <v>3858</v>
      </c>
      <c r="Q1081" s="3" t="s">
        <v>294</v>
      </c>
      <c r="R1081" s="3" t="s">
        <v>28</v>
      </c>
      <c r="S1081" s="3">
        <v>11015000</v>
      </c>
      <c r="T1081" s="3">
        <v>1332351413</v>
      </c>
      <c r="U1081" s="3" t="s">
        <v>29</v>
      </c>
    </row>
    <row r="1082" spans="1:21" ht="13.2" x14ac:dyDescent="0.25">
      <c r="A1082" s="14">
        <v>4378330000176</v>
      </c>
      <c r="B1082" s="15" t="str">
        <f t="shared" si="16"/>
        <v>04.378.330/0001-76</v>
      </c>
      <c r="C1082" s="12"/>
      <c r="D1082" s="3" t="s">
        <v>4357</v>
      </c>
      <c r="E1082" s="3" t="s">
        <v>4360</v>
      </c>
      <c r="F1082" s="3" t="s">
        <v>20</v>
      </c>
      <c r="G1082" s="4">
        <v>36525</v>
      </c>
      <c r="H1082" s="3" t="s">
        <v>3218</v>
      </c>
      <c r="I1082" s="3" t="s">
        <v>33</v>
      </c>
      <c r="J1082" s="5">
        <v>0</v>
      </c>
      <c r="K1082" s="3">
        <v>8424800</v>
      </c>
      <c r="L1082" s="3" t="s">
        <v>4359</v>
      </c>
      <c r="M1082" s="3" t="s">
        <v>4361</v>
      </c>
      <c r="N1082" s="3">
        <v>421</v>
      </c>
      <c r="O1082" s="3" t="s">
        <v>266</v>
      </c>
      <c r="P1082" s="3" t="s">
        <v>70</v>
      </c>
      <c r="Q1082" s="3" t="s">
        <v>27</v>
      </c>
      <c r="R1082" s="3" t="s">
        <v>28</v>
      </c>
      <c r="S1082" s="3">
        <v>1018001</v>
      </c>
      <c r="T1082" s="3">
        <v>1133962228</v>
      </c>
      <c r="U1082" s="3" t="s">
        <v>29</v>
      </c>
    </row>
    <row r="1083" spans="1:21" ht="13.2" x14ac:dyDescent="0.25">
      <c r="A1083" s="14">
        <v>68582709000186</v>
      </c>
      <c r="B1083" s="15" t="str">
        <f t="shared" si="16"/>
        <v>68.582.709/0001-86</v>
      </c>
      <c r="C1083" s="12"/>
      <c r="D1083" s="3" t="s">
        <v>4362</v>
      </c>
      <c r="E1083" s="3" t="s">
        <v>4363</v>
      </c>
      <c r="F1083" s="3" t="s">
        <v>20</v>
      </c>
      <c r="G1083" s="4">
        <v>33805</v>
      </c>
      <c r="H1083" s="3" t="s">
        <v>21</v>
      </c>
      <c r="I1083" s="3" t="s">
        <v>33</v>
      </c>
      <c r="J1083" s="5">
        <v>645000</v>
      </c>
      <c r="K1083" s="3">
        <v>8299799</v>
      </c>
      <c r="L1083" s="3" t="s">
        <v>532</v>
      </c>
      <c r="M1083" s="3" t="s">
        <v>4364</v>
      </c>
      <c r="N1083" s="3">
        <v>86</v>
      </c>
      <c r="O1083" s="3" t="s">
        <v>4365</v>
      </c>
      <c r="P1083" s="3" t="s">
        <v>70</v>
      </c>
      <c r="Q1083" s="3" t="s">
        <v>4366</v>
      </c>
      <c r="R1083" s="3" t="s">
        <v>78</v>
      </c>
      <c r="S1083" s="3">
        <v>25845000</v>
      </c>
      <c r="T1083" s="3">
        <v>2422572350</v>
      </c>
      <c r="U1083" s="3" t="s">
        <v>29</v>
      </c>
    </row>
    <row r="1084" spans="1:21" ht="13.2" x14ac:dyDescent="0.25">
      <c r="A1084" s="14">
        <v>31733363001484</v>
      </c>
      <c r="B1084" s="15" t="str">
        <f t="shared" si="16"/>
        <v>31.733.363/0014-84</v>
      </c>
      <c r="C1084" s="12"/>
      <c r="D1084" s="3" t="s">
        <v>4367</v>
      </c>
      <c r="E1084" s="3" t="s">
        <v>4367</v>
      </c>
      <c r="F1084" s="3" t="s">
        <v>20</v>
      </c>
      <c r="G1084" s="4">
        <v>43210</v>
      </c>
      <c r="H1084" s="3" t="s">
        <v>21</v>
      </c>
      <c r="I1084" s="3" t="s">
        <v>33</v>
      </c>
      <c r="J1084" s="5">
        <v>105000000</v>
      </c>
      <c r="K1084" s="3">
        <v>3811400</v>
      </c>
      <c r="L1084" s="3" t="s">
        <v>1243</v>
      </c>
      <c r="M1084" s="3" t="s">
        <v>4368</v>
      </c>
      <c r="N1084" s="3">
        <v>811</v>
      </c>
      <c r="P1084" s="3" t="s">
        <v>4369</v>
      </c>
      <c r="Q1084" s="3" t="s">
        <v>27</v>
      </c>
      <c r="R1084" s="3" t="s">
        <v>28</v>
      </c>
      <c r="S1084" s="3">
        <v>8265035</v>
      </c>
      <c r="T1084" s="3">
        <v>1138253351</v>
      </c>
      <c r="U1084" s="3" t="s">
        <v>29</v>
      </c>
    </row>
    <row r="1085" spans="1:21" ht="13.2" x14ac:dyDescent="0.25">
      <c r="A1085" s="14">
        <v>67731091000106</v>
      </c>
      <c r="B1085" s="15" t="str">
        <f t="shared" si="16"/>
        <v>67.731.091/0001-06</v>
      </c>
      <c r="C1085" s="12" t="str">
        <f>VLOOKUP(B1085,[1]Planilha1!$A:$B,2,0)</f>
        <v>Malu Montesino</v>
      </c>
      <c r="D1085" s="3" t="s">
        <v>4370</v>
      </c>
      <c r="E1085" s="3" t="s">
        <v>4371</v>
      </c>
      <c r="F1085" s="3" t="s">
        <v>20</v>
      </c>
      <c r="G1085" s="4">
        <v>33690</v>
      </c>
      <c r="H1085" s="3" t="s">
        <v>21</v>
      </c>
      <c r="I1085" s="3" t="s">
        <v>33</v>
      </c>
      <c r="J1085" s="5">
        <v>113000000</v>
      </c>
      <c r="K1085" s="3">
        <v>2223400</v>
      </c>
      <c r="L1085" s="3" t="s">
        <v>868</v>
      </c>
      <c r="M1085" s="3" t="s">
        <v>4372</v>
      </c>
      <c r="N1085" s="3">
        <v>571</v>
      </c>
      <c r="P1085" s="3" t="s">
        <v>4373</v>
      </c>
      <c r="Q1085" s="3" t="s">
        <v>1709</v>
      </c>
      <c r="R1085" s="3" t="s">
        <v>28</v>
      </c>
      <c r="S1085" s="3">
        <v>13318358</v>
      </c>
      <c r="T1085" s="3">
        <v>1145291522</v>
      </c>
      <c r="U1085" s="3" t="s">
        <v>29</v>
      </c>
    </row>
    <row r="1086" spans="1:21" ht="13.2" x14ac:dyDescent="0.25">
      <c r="A1086" s="14">
        <v>2288311000123</v>
      </c>
      <c r="B1086" s="15" t="str">
        <f t="shared" si="16"/>
        <v>02.288.311/0001-23</v>
      </c>
      <c r="C1086" s="12"/>
      <c r="D1086" s="3" t="s">
        <v>4374</v>
      </c>
      <c r="E1086" s="3" t="s">
        <v>4375</v>
      </c>
      <c r="F1086" s="3" t="s">
        <v>20</v>
      </c>
      <c r="G1086" s="4">
        <v>35768</v>
      </c>
      <c r="H1086" s="3" t="s">
        <v>21</v>
      </c>
      <c r="I1086" s="3" t="s">
        <v>22</v>
      </c>
      <c r="J1086" s="5">
        <v>88000</v>
      </c>
      <c r="K1086" s="3">
        <v>2861500</v>
      </c>
      <c r="L1086" s="3" t="s">
        <v>4376</v>
      </c>
      <c r="M1086" s="3" t="s">
        <v>4377</v>
      </c>
      <c r="N1086" s="3">
        <v>9622</v>
      </c>
      <c r="O1086" s="3" t="s">
        <v>4378</v>
      </c>
      <c r="P1086" s="3" t="s">
        <v>3858</v>
      </c>
      <c r="Q1086" s="3" t="s">
        <v>4379</v>
      </c>
      <c r="R1086" s="3" t="s">
        <v>91</v>
      </c>
      <c r="S1086" s="3">
        <v>88820000</v>
      </c>
      <c r="T1086" s="3">
        <v>4836267007</v>
      </c>
      <c r="U1086" s="3" t="s">
        <v>29</v>
      </c>
    </row>
    <row r="1087" spans="1:21" ht="13.2" x14ac:dyDescent="0.25">
      <c r="A1087" s="14">
        <v>29177837000192</v>
      </c>
      <c r="B1087" s="15" t="str">
        <f t="shared" si="16"/>
        <v>29.177.837/0001-92</v>
      </c>
      <c r="C1087" s="12"/>
      <c r="D1087" s="3" t="s">
        <v>4380</v>
      </c>
      <c r="E1087" s="3" t="s">
        <v>4380</v>
      </c>
      <c r="F1087" s="3" t="s">
        <v>20</v>
      </c>
      <c r="G1087" s="4">
        <v>43069</v>
      </c>
      <c r="H1087" s="3" t="s">
        <v>21</v>
      </c>
      <c r="I1087" s="3" t="s">
        <v>33</v>
      </c>
      <c r="J1087" s="5">
        <v>2131318</v>
      </c>
      <c r="K1087" s="3">
        <v>6202300</v>
      </c>
      <c r="L1087" s="3" t="s">
        <v>103</v>
      </c>
      <c r="M1087" s="3" t="s">
        <v>1891</v>
      </c>
      <c r="N1087" s="3">
        <v>503</v>
      </c>
      <c r="O1087" s="3" t="s">
        <v>4381</v>
      </c>
      <c r="P1087" s="3" t="s">
        <v>940</v>
      </c>
      <c r="Q1087" s="3" t="s">
        <v>617</v>
      </c>
      <c r="R1087" s="3" t="s">
        <v>28</v>
      </c>
      <c r="S1087" s="3">
        <v>6454000</v>
      </c>
      <c r="T1087" s="3">
        <v>1138144404</v>
      </c>
      <c r="U1087" s="3" t="s">
        <v>29</v>
      </c>
    </row>
    <row r="1088" spans="1:21" ht="13.2" x14ac:dyDescent="0.25">
      <c r="A1088" s="14">
        <v>33000092000169</v>
      </c>
      <c r="B1088" s="15" t="str">
        <f t="shared" si="16"/>
        <v>33.000.092/0001-69</v>
      </c>
      <c r="C1088" s="12" t="str">
        <f>VLOOKUP(B1088,[1]Planilha1!$A:$B,2,0)</f>
        <v>Malu Montesino</v>
      </c>
      <c r="D1088" s="3" t="s">
        <v>4382</v>
      </c>
      <c r="E1088" s="3" t="s">
        <v>4383</v>
      </c>
      <c r="F1088" s="3" t="s">
        <v>20</v>
      </c>
      <c r="G1088" s="4">
        <v>25794</v>
      </c>
      <c r="H1088" s="3" t="s">
        <v>94</v>
      </c>
      <c r="I1088" s="3" t="s">
        <v>33</v>
      </c>
      <c r="J1088" s="5">
        <v>926071360</v>
      </c>
      <c r="K1088" s="3">
        <v>1922599</v>
      </c>
      <c r="L1088" s="3" t="s">
        <v>3246</v>
      </c>
      <c r="M1088" s="3" t="s">
        <v>4384</v>
      </c>
      <c r="N1088" s="3">
        <v>51</v>
      </c>
      <c r="O1088" s="3" t="s">
        <v>4385</v>
      </c>
      <c r="P1088" s="3" t="s">
        <v>3892</v>
      </c>
      <c r="Q1088" s="3" t="s">
        <v>253</v>
      </c>
      <c r="R1088" s="3" t="s">
        <v>78</v>
      </c>
      <c r="S1088" s="3">
        <v>21930050</v>
      </c>
      <c r="T1088" s="3">
        <v>1934238000</v>
      </c>
      <c r="U1088" s="3" t="s">
        <v>29</v>
      </c>
    </row>
    <row r="1089" spans="1:21" ht="13.2" x14ac:dyDescent="0.25">
      <c r="A1089" s="14">
        <v>50746577000115</v>
      </c>
      <c r="B1089" s="15" t="str">
        <f t="shared" si="16"/>
        <v>50.746.577/0001-15</v>
      </c>
      <c r="C1089" s="12"/>
      <c r="D1089" s="3" t="s">
        <v>4386</v>
      </c>
      <c r="E1089" s="3" t="s">
        <v>4386</v>
      </c>
      <c r="F1089" s="3" t="s">
        <v>20</v>
      </c>
      <c r="G1089" s="4">
        <v>24296</v>
      </c>
      <c r="H1089" s="3" t="s">
        <v>377</v>
      </c>
      <c r="I1089" s="3" t="s">
        <v>33</v>
      </c>
      <c r="J1089" s="5">
        <v>8182738000</v>
      </c>
      <c r="K1089" s="3">
        <v>6462000</v>
      </c>
      <c r="L1089" s="3" t="s">
        <v>250</v>
      </c>
      <c r="M1089" s="3" t="s">
        <v>543</v>
      </c>
      <c r="N1089" s="3">
        <v>4100</v>
      </c>
      <c r="O1089" s="3" t="s">
        <v>4387</v>
      </c>
      <c r="P1089" s="3" t="s">
        <v>1230</v>
      </c>
      <c r="Q1089" s="3" t="s">
        <v>27</v>
      </c>
      <c r="R1089" s="3" t="s">
        <v>28</v>
      </c>
      <c r="S1089" s="3">
        <v>4538132</v>
      </c>
      <c r="T1089" s="3">
        <v>1934238000</v>
      </c>
      <c r="U1089" s="3" t="s">
        <v>29</v>
      </c>
    </row>
    <row r="1090" spans="1:21" ht="13.2" x14ac:dyDescent="0.25">
      <c r="A1090" s="14">
        <v>57139131000171</v>
      </c>
      <c r="B1090" s="15" t="str">
        <f t="shared" si="16"/>
        <v>57.139.131/0001-71</v>
      </c>
      <c r="C1090" s="12"/>
      <c r="D1090" s="3" t="s">
        <v>4388</v>
      </c>
      <c r="E1090" s="3" t="s">
        <v>4389</v>
      </c>
      <c r="F1090" s="3" t="s">
        <v>20</v>
      </c>
      <c r="G1090" s="4">
        <v>31826</v>
      </c>
      <c r="H1090" s="3" t="s">
        <v>21</v>
      </c>
      <c r="I1090" s="3" t="s">
        <v>22</v>
      </c>
      <c r="J1090" s="5">
        <v>5000</v>
      </c>
      <c r="K1090" s="3">
        <v>2063100</v>
      </c>
      <c r="L1090" s="3" t="s">
        <v>4390</v>
      </c>
      <c r="M1090" s="3" t="s">
        <v>1797</v>
      </c>
      <c r="N1090" s="3">
        <v>1638</v>
      </c>
      <c r="P1090" s="3" t="s">
        <v>4391</v>
      </c>
      <c r="Q1090" s="3" t="s">
        <v>1371</v>
      </c>
      <c r="R1090" s="3" t="s">
        <v>28</v>
      </c>
      <c r="S1090" s="3">
        <v>18131220</v>
      </c>
      <c r="T1090" s="3">
        <v>1150500812</v>
      </c>
      <c r="U1090" s="3" t="s">
        <v>29</v>
      </c>
    </row>
    <row r="1091" spans="1:21" ht="13.2" x14ac:dyDescent="0.25">
      <c r="A1091" s="14">
        <v>7663140000199</v>
      </c>
      <c r="B1091" s="15" t="str">
        <f t="shared" ref="B1091:B1154" si="17">TEXT(A1091,"00\.000\.000\/0000\-00")</f>
        <v>07.663.140/0001-99</v>
      </c>
      <c r="C1091" s="12"/>
      <c r="D1091" s="3" t="s">
        <v>4392</v>
      </c>
      <c r="E1091" s="3" t="s">
        <v>4393</v>
      </c>
      <c r="F1091" s="3" t="s">
        <v>20</v>
      </c>
      <c r="G1091" s="4">
        <v>38659</v>
      </c>
      <c r="H1091" s="3" t="s">
        <v>94</v>
      </c>
      <c r="I1091" s="3" t="s">
        <v>33</v>
      </c>
      <c r="J1091" s="5">
        <v>1536318200</v>
      </c>
      <c r="K1091" s="3">
        <v>1351100</v>
      </c>
      <c r="L1091" s="3" t="s">
        <v>4394</v>
      </c>
      <c r="M1091" s="3" t="s">
        <v>4395</v>
      </c>
      <c r="N1091" s="3">
        <v>955</v>
      </c>
      <c r="P1091" s="3" t="s">
        <v>153</v>
      </c>
      <c r="Q1091" s="3" t="s">
        <v>4396</v>
      </c>
      <c r="R1091" s="3" t="s">
        <v>100</v>
      </c>
      <c r="S1091" s="3">
        <v>39404005</v>
      </c>
      <c r="T1091" s="3">
        <v>1121454400</v>
      </c>
      <c r="U1091" s="3" t="s">
        <v>29</v>
      </c>
    </row>
    <row r="1092" spans="1:21" ht="13.2" x14ac:dyDescent="0.25">
      <c r="A1092" s="14">
        <v>50594944000102</v>
      </c>
      <c r="B1092" s="15" t="str">
        <f t="shared" si="17"/>
        <v>50.594.944/0001-02</v>
      </c>
      <c r="C1092" s="12"/>
      <c r="D1092" s="3" t="s">
        <v>4397</v>
      </c>
      <c r="E1092" s="3" t="s">
        <v>4398</v>
      </c>
      <c r="F1092" s="3" t="s">
        <v>20</v>
      </c>
      <c r="G1092" s="4">
        <v>28724</v>
      </c>
      <c r="H1092" s="3" t="s">
        <v>21</v>
      </c>
      <c r="I1092" s="3" t="s">
        <v>47</v>
      </c>
      <c r="J1092" s="5">
        <v>11000</v>
      </c>
      <c r="K1092" s="3">
        <v>4623102</v>
      </c>
      <c r="L1092" s="3" t="s">
        <v>890</v>
      </c>
      <c r="M1092" s="3" t="s">
        <v>4399</v>
      </c>
      <c r="N1092" s="3">
        <v>19</v>
      </c>
      <c r="O1092" s="3">
        <v>27</v>
      </c>
      <c r="P1092" s="3" t="s">
        <v>142</v>
      </c>
      <c r="Q1092" s="3" t="s">
        <v>27</v>
      </c>
      <c r="R1092" s="3" t="s">
        <v>28</v>
      </c>
      <c r="S1092" s="3">
        <v>3040000</v>
      </c>
      <c r="T1092" s="3">
        <v>112297100</v>
      </c>
      <c r="U1092" s="3" t="s">
        <v>29</v>
      </c>
    </row>
    <row r="1093" spans="1:21" ht="13.2" x14ac:dyDescent="0.25">
      <c r="A1093" s="14">
        <v>2655093000118</v>
      </c>
      <c r="B1093" s="15" t="str">
        <f t="shared" si="17"/>
        <v>02.655.093/0001-18</v>
      </c>
      <c r="C1093" s="12"/>
      <c r="D1093" s="3" t="s">
        <v>4400</v>
      </c>
      <c r="E1093" s="3" t="s">
        <v>4401</v>
      </c>
      <c r="F1093" s="3" t="s">
        <v>20</v>
      </c>
      <c r="G1093" s="4">
        <v>35997</v>
      </c>
      <c r="H1093" s="3" t="s">
        <v>21</v>
      </c>
      <c r="I1093" s="3" t="s">
        <v>33</v>
      </c>
      <c r="J1093" s="5">
        <v>283200</v>
      </c>
      <c r="K1093" s="3">
        <v>1354500</v>
      </c>
      <c r="L1093" s="3" t="s">
        <v>190</v>
      </c>
      <c r="M1093" s="3" t="s">
        <v>1212</v>
      </c>
      <c r="N1093" s="3">
        <v>107</v>
      </c>
      <c r="P1093" s="3" t="s">
        <v>2990</v>
      </c>
      <c r="Q1093" s="3" t="s">
        <v>332</v>
      </c>
      <c r="R1093" s="3" t="s">
        <v>78</v>
      </c>
      <c r="S1093" s="3">
        <v>25086110</v>
      </c>
      <c r="T1093" s="3">
        <v>2136589127</v>
      </c>
      <c r="U1093" s="3" t="s">
        <v>29</v>
      </c>
    </row>
    <row r="1094" spans="1:21" ht="13.2" x14ac:dyDescent="0.25">
      <c r="A1094" s="14">
        <v>54177886000172</v>
      </c>
      <c r="B1094" s="15" t="str">
        <f t="shared" si="17"/>
        <v>54.177.886/0001-72</v>
      </c>
      <c r="C1094" s="12"/>
      <c r="D1094" s="3" t="s">
        <v>4402</v>
      </c>
      <c r="E1094" s="3" t="s">
        <v>4402</v>
      </c>
      <c r="F1094" s="3" t="s">
        <v>20</v>
      </c>
      <c r="G1094" s="4">
        <v>31076</v>
      </c>
      <c r="H1094" s="3" t="s">
        <v>21</v>
      </c>
      <c r="I1094" s="3" t="s">
        <v>33</v>
      </c>
      <c r="J1094" s="5">
        <v>1500000</v>
      </c>
      <c r="K1094" s="3">
        <v>2821601</v>
      </c>
      <c r="L1094" s="3" t="s">
        <v>976</v>
      </c>
      <c r="M1094" s="3" t="s">
        <v>3056</v>
      </c>
      <c r="N1094" s="3">
        <v>200</v>
      </c>
      <c r="O1094" s="3" t="s">
        <v>466</v>
      </c>
      <c r="P1094" s="3" t="s">
        <v>4403</v>
      </c>
      <c r="Q1094" s="3" t="s">
        <v>4404</v>
      </c>
      <c r="R1094" s="3" t="s">
        <v>28</v>
      </c>
      <c r="S1094" s="3">
        <v>8576660</v>
      </c>
      <c r="T1094" s="3">
        <v>1128328080</v>
      </c>
      <c r="U1094" s="3" t="s">
        <v>29</v>
      </c>
    </row>
    <row r="1095" spans="1:21" ht="13.2" x14ac:dyDescent="0.25">
      <c r="A1095" s="14">
        <v>2429144000193</v>
      </c>
      <c r="B1095" s="15" t="str">
        <f t="shared" si="17"/>
        <v>02.429.144/0001-93</v>
      </c>
      <c r="C1095" s="12"/>
      <c r="D1095" s="3" t="s">
        <v>4405</v>
      </c>
      <c r="E1095" s="3" t="s">
        <v>4405</v>
      </c>
      <c r="F1095" s="3" t="s">
        <v>20</v>
      </c>
      <c r="G1095" s="4">
        <v>35879</v>
      </c>
      <c r="H1095" s="3" t="s">
        <v>377</v>
      </c>
      <c r="I1095" s="3" t="s">
        <v>33</v>
      </c>
      <c r="J1095" s="5">
        <v>9435625000</v>
      </c>
      <c r="K1095" s="3">
        <v>6462000</v>
      </c>
      <c r="L1095" s="3" t="s">
        <v>250</v>
      </c>
      <c r="M1095" s="3" t="s">
        <v>4406</v>
      </c>
      <c r="N1095" s="3">
        <v>1632</v>
      </c>
      <c r="O1095" s="3" t="s">
        <v>721</v>
      </c>
      <c r="P1095" s="3" t="s">
        <v>4407</v>
      </c>
      <c r="Q1095" s="3" t="s">
        <v>65</v>
      </c>
      <c r="R1095" s="3" t="s">
        <v>28</v>
      </c>
      <c r="S1095" s="3">
        <v>13087397</v>
      </c>
      <c r="T1095" s="3">
        <v>1937568020</v>
      </c>
      <c r="U1095" s="3" t="s">
        <v>29</v>
      </c>
    </row>
    <row r="1096" spans="1:21" ht="13.2" x14ac:dyDescent="0.25">
      <c r="A1096" s="14">
        <v>6337326000195</v>
      </c>
      <c r="B1096" s="15" t="str">
        <f t="shared" si="17"/>
        <v>06.337.326/0001-95</v>
      </c>
      <c r="C1096" s="12"/>
      <c r="D1096" s="3" t="s">
        <v>4408</v>
      </c>
      <c r="E1096" s="3" t="s">
        <v>4409</v>
      </c>
      <c r="F1096" s="3" t="s">
        <v>20</v>
      </c>
      <c r="G1096" s="4">
        <v>38159</v>
      </c>
      <c r="H1096" s="3" t="s">
        <v>21</v>
      </c>
      <c r="I1096" s="3" t="s">
        <v>33</v>
      </c>
      <c r="J1096" s="5">
        <v>3000000</v>
      </c>
      <c r="K1096" s="3">
        <v>2829199</v>
      </c>
      <c r="L1096" s="3" t="s">
        <v>1514</v>
      </c>
      <c r="M1096" s="3" t="s">
        <v>4410</v>
      </c>
      <c r="N1096" s="3">
        <v>108</v>
      </c>
      <c r="O1096" s="3">
        <v>114</v>
      </c>
      <c r="P1096" s="3" t="s">
        <v>3314</v>
      </c>
      <c r="Q1096" s="3" t="s">
        <v>27</v>
      </c>
      <c r="R1096" s="3" t="s">
        <v>28</v>
      </c>
      <c r="S1096" s="3">
        <v>3072020</v>
      </c>
      <c r="T1096" s="3">
        <v>1120957500</v>
      </c>
      <c r="U1096" s="3" t="s">
        <v>29</v>
      </c>
    </row>
    <row r="1097" spans="1:21" ht="13.2" x14ac:dyDescent="0.25">
      <c r="A1097" s="14">
        <v>1686619000164</v>
      </c>
      <c r="B1097" s="15" t="str">
        <f t="shared" si="17"/>
        <v>01.686.619/0001-64</v>
      </c>
      <c r="C1097" s="12"/>
      <c r="D1097" s="3" t="s">
        <v>4411</v>
      </c>
      <c r="E1097" s="3" t="s">
        <v>4411</v>
      </c>
      <c r="F1097" s="3" t="s">
        <v>45</v>
      </c>
      <c r="G1097" s="4">
        <v>35466</v>
      </c>
      <c r="H1097" s="3" t="s">
        <v>21</v>
      </c>
      <c r="I1097" s="3" t="s">
        <v>22</v>
      </c>
      <c r="J1097" s="5">
        <v>100000</v>
      </c>
      <c r="K1097" s="3">
        <v>4663000</v>
      </c>
      <c r="L1097" s="3" t="s">
        <v>128</v>
      </c>
      <c r="M1097" s="3" t="s">
        <v>4412</v>
      </c>
      <c r="N1097" s="3">
        <v>518</v>
      </c>
      <c r="P1097" s="3" t="s">
        <v>1740</v>
      </c>
      <c r="Q1097" s="3" t="s">
        <v>27</v>
      </c>
      <c r="R1097" s="3" t="s">
        <v>28</v>
      </c>
      <c r="S1097" s="3">
        <v>5413010</v>
      </c>
      <c r="T1097" s="3">
        <v>1155451126</v>
      </c>
      <c r="U1097" s="3" t="s">
        <v>29</v>
      </c>
    </row>
    <row r="1098" spans="1:21" ht="13.2" x14ac:dyDescent="0.25">
      <c r="A1098" s="14">
        <v>8929326000100</v>
      </c>
      <c r="B1098" s="15" t="str">
        <f t="shared" si="17"/>
        <v>08.929.326/0001-00</v>
      </c>
      <c r="C1098" s="12"/>
      <c r="D1098" s="3" t="s">
        <v>4413</v>
      </c>
      <c r="E1098" s="3" t="s">
        <v>4414</v>
      </c>
      <c r="F1098" s="3" t="s">
        <v>45</v>
      </c>
      <c r="G1098" s="4">
        <v>39268</v>
      </c>
      <c r="H1098" s="3" t="s">
        <v>21</v>
      </c>
      <c r="I1098" s="3" t="s">
        <v>47</v>
      </c>
      <c r="J1098" s="5">
        <v>30000</v>
      </c>
      <c r="K1098" s="3">
        <v>4771701</v>
      </c>
      <c r="L1098" s="3" t="s">
        <v>4415</v>
      </c>
      <c r="M1098" s="3" t="s">
        <v>4416</v>
      </c>
      <c r="N1098" s="3">
        <v>140</v>
      </c>
      <c r="O1098" s="3" t="s">
        <v>198</v>
      </c>
      <c r="P1098" s="3" t="s">
        <v>70</v>
      </c>
      <c r="Q1098" s="3" t="s">
        <v>4417</v>
      </c>
      <c r="R1098" s="3" t="s">
        <v>711</v>
      </c>
      <c r="S1098" s="3">
        <v>49500001</v>
      </c>
      <c r="T1098" s="3">
        <v>7934312926</v>
      </c>
      <c r="U1098" s="3" t="s">
        <v>29</v>
      </c>
    </row>
    <row r="1099" spans="1:21" ht="13.2" x14ac:dyDescent="0.25">
      <c r="A1099" s="14">
        <v>3387062000196</v>
      </c>
      <c r="B1099" s="15" t="str">
        <f t="shared" si="17"/>
        <v>03.387.062/0001-96</v>
      </c>
      <c r="C1099" s="12"/>
      <c r="D1099" s="3" t="s">
        <v>4418</v>
      </c>
      <c r="E1099" s="3" t="s">
        <v>4419</v>
      </c>
      <c r="F1099" s="3" t="s">
        <v>31</v>
      </c>
      <c r="G1099" s="4">
        <v>36413</v>
      </c>
      <c r="H1099" s="3" t="s">
        <v>21</v>
      </c>
      <c r="I1099" s="3" t="s">
        <v>33</v>
      </c>
      <c r="J1099" s="5">
        <v>450000</v>
      </c>
      <c r="K1099" s="3">
        <v>8220200</v>
      </c>
      <c r="L1099" s="3" t="s">
        <v>2741</v>
      </c>
      <c r="M1099" s="3" t="s">
        <v>4420</v>
      </c>
      <c r="N1099" s="3">
        <v>583</v>
      </c>
      <c r="P1099" s="3" t="s">
        <v>4421</v>
      </c>
      <c r="Q1099" s="3" t="s">
        <v>27</v>
      </c>
      <c r="R1099" s="3" t="s">
        <v>28</v>
      </c>
      <c r="S1099" s="3">
        <v>3054000</v>
      </c>
      <c r="T1099" s="3">
        <v>1135363300</v>
      </c>
      <c r="U1099" s="3" t="s">
        <v>29</v>
      </c>
    </row>
    <row r="1100" spans="1:21" ht="13.2" x14ac:dyDescent="0.25">
      <c r="A1100" s="14">
        <v>82641325000118</v>
      </c>
      <c r="B1100" s="15" t="str">
        <f t="shared" si="17"/>
        <v>82.641.325/0001-18</v>
      </c>
      <c r="C1100" s="12"/>
      <c r="D1100" s="3" t="s">
        <v>4422</v>
      </c>
      <c r="E1100" s="3" t="s">
        <v>4422</v>
      </c>
      <c r="F1100" s="3" t="s">
        <v>20</v>
      </c>
      <c r="G1100" s="4">
        <v>12880</v>
      </c>
      <c r="H1100" s="3" t="s">
        <v>94</v>
      </c>
      <c r="I1100" s="3" t="s">
        <v>33</v>
      </c>
      <c r="J1100" s="5">
        <v>173344350</v>
      </c>
      <c r="K1100" s="3">
        <v>3250705</v>
      </c>
      <c r="L1100" s="3" t="s">
        <v>2420</v>
      </c>
      <c r="M1100" s="3" t="s">
        <v>4423</v>
      </c>
      <c r="N1100" s="3">
        <v>291</v>
      </c>
      <c r="P1100" s="3" t="s">
        <v>4424</v>
      </c>
      <c r="Q1100" s="3" t="s">
        <v>2015</v>
      </c>
      <c r="R1100" s="3" t="s">
        <v>91</v>
      </c>
      <c r="S1100" s="3">
        <v>89030030</v>
      </c>
      <c r="T1100" s="3">
        <v>4733218450</v>
      </c>
      <c r="U1100" s="3" t="s">
        <v>29</v>
      </c>
    </row>
    <row r="1101" spans="1:21" ht="13.2" x14ac:dyDescent="0.25">
      <c r="A1101" s="14">
        <v>7783832000170</v>
      </c>
      <c r="B1101" s="15" t="str">
        <f t="shared" si="17"/>
        <v>07.783.832/0001-70</v>
      </c>
      <c r="C1101" s="12"/>
      <c r="D1101" s="3" t="s">
        <v>4425</v>
      </c>
      <c r="E1101" s="3" t="s">
        <v>4426</v>
      </c>
      <c r="F1101" s="3" t="s">
        <v>20</v>
      </c>
      <c r="G1101" s="4">
        <v>38715</v>
      </c>
      <c r="H1101" s="3" t="s">
        <v>21</v>
      </c>
      <c r="I1101" s="3" t="s">
        <v>33</v>
      </c>
      <c r="J1101" s="5">
        <v>9000000</v>
      </c>
      <c r="K1101" s="3">
        <v>7830200</v>
      </c>
      <c r="L1101" s="3" t="s">
        <v>473</v>
      </c>
      <c r="M1101" s="3" t="s">
        <v>4427</v>
      </c>
      <c r="N1101" s="3">
        <v>2850</v>
      </c>
      <c r="P1101" s="3" t="s">
        <v>4428</v>
      </c>
      <c r="Q1101" s="3" t="s">
        <v>667</v>
      </c>
      <c r="R1101" s="3" t="s">
        <v>301</v>
      </c>
      <c r="S1101" s="3">
        <v>60125101</v>
      </c>
      <c r="T1101" s="3">
        <v>8532579676</v>
      </c>
      <c r="U1101" s="3" t="s">
        <v>29</v>
      </c>
    </row>
    <row r="1102" spans="1:21" ht="13.2" x14ac:dyDescent="0.25">
      <c r="A1102" s="14">
        <v>6073848000127</v>
      </c>
      <c r="B1102" s="15" t="str">
        <f t="shared" si="17"/>
        <v>06.073.848/0001-27</v>
      </c>
      <c r="C1102" s="12"/>
      <c r="D1102" s="3" t="s">
        <v>4429</v>
      </c>
      <c r="E1102" s="3" t="s">
        <v>4429</v>
      </c>
      <c r="F1102" s="3" t="s">
        <v>45</v>
      </c>
      <c r="G1102" s="4">
        <v>37985</v>
      </c>
      <c r="H1102" s="3" t="s">
        <v>21</v>
      </c>
      <c r="I1102" s="3" t="s">
        <v>33</v>
      </c>
      <c r="J1102" s="5">
        <v>34148724</v>
      </c>
      <c r="K1102" s="3">
        <v>4644301</v>
      </c>
      <c r="L1102" s="3" t="s">
        <v>326</v>
      </c>
      <c r="M1102" s="3" t="s">
        <v>4430</v>
      </c>
      <c r="N1102" s="3">
        <v>3018</v>
      </c>
      <c r="O1102" s="3" t="s">
        <v>4431</v>
      </c>
      <c r="P1102" s="3" t="s">
        <v>693</v>
      </c>
      <c r="Q1102" s="3" t="s">
        <v>476</v>
      </c>
      <c r="R1102" s="3" t="s">
        <v>100</v>
      </c>
      <c r="S1102" s="3">
        <v>30140073</v>
      </c>
      <c r="T1102" s="3">
        <v>8321062433</v>
      </c>
      <c r="U1102" s="3" t="s">
        <v>29</v>
      </c>
    </row>
    <row r="1103" spans="1:21" ht="13.2" x14ac:dyDescent="0.25">
      <c r="A1103" s="14">
        <v>44734671000151</v>
      </c>
      <c r="B1103" s="15" t="str">
        <f t="shared" si="17"/>
        <v>44.734.671/0001-51</v>
      </c>
      <c r="C1103" s="12"/>
      <c r="D1103" s="3" t="s">
        <v>4432</v>
      </c>
      <c r="E1103" s="3" t="s">
        <v>4433</v>
      </c>
      <c r="F1103" s="3" t="s">
        <v>20</v>
      </c>
      <c r="G1103" s="4">
        <v>26360</v>
      </c>
      <c r="H1103" s="3" t="s">
        <v>21</v>
      </c>
      <c r="I1103" s="3" t="s">
        <v>33</v>
      </c>
      <c r="J1103" s="5">
        <v>900000000</v>
      </c>
      <c r="K1103" s="3">
        <v>2121101</v>
      </c>
      <c r="L1103" s="3" t="s">
        <v>233</v>
      </c>
      <c r="M1103" s="3" t="s">
        <v>4434</v>
      </c>
      <c r="N1103" s="3" t="s">
        <v>82</v>
      </c>
      <c r="O1103" s="3" t="s">
        <v>2589</v>
      </c>
      <c r="P1103" s="3" t="s">
        <v>4435</v>
      </c>
      <c r="Q1103" s="3" t="s">
        <v>4436</v>
      </c>
      <c r="R1103" s="3" t="s">
        <v>28</v>
      </c>
      <c r="S1103" s="3">
        <v>13974900</v>
      </c>
      <c r="T1103" s="3">
        <v>1938639500</v>
      </c>
      <c r="U1103" s="3" t="s">
        <v>29</v>
      </c>
    </row>
    <row r="1104" spans="1:21" ht="13.2" x14ac:dyDescent="0.25">
      <c r="A1104" s="14">
        <v>1177248000195</v>
      </c>
      <c r="B1104" s="15" t="str">
        <f t="shared" si="17"/>
        <v>01.177.248/0001-95</v>
      </c>
      <c r="C1104" s="12" t="str">
        <f>VLOOKUP(B1104,[1]Planilha1!$A:$B,2,0)</f>
        <v>Malu Montesino</v>
      </c>
      <c r="D1104" s="3" t="s">
        <v>4437</v>
      </c>
      <c r="E1104" s="3" t="s">
        <v>4438</v>
      </c>
      <c r="F1104" s="3" t="s">
        <v>20</v>
      </c>
      <c r="G1104" s="4">
        <v>35150</v>
      </c>
      <c r="H1104" s="3" t="s">
        <v>21</v>
      </c>
      <c r="I1104" s="3" t="s">
        <v>33</v>
      </c>
      <c r="J1104" s="5">
        <v>23000000</v>
      </c>
      <c r="K1104" s="3">
        <v>2660400</v>
      </c>
      <c r="L1104" s="3" t="s">
        <v>953</v>
      </c>
      <c r="M1104" s="3" t="s">
        <v>536</v>
      </c>
      <c r="N1104" s="3">
        <v>3209</v>
      </c>
      <c r="P1104" s="3" t="s">
        <v>4439</v>
      </c>
      <c r="Q1104" s="3" t="s">
        <v>4440</v>
      </c>
      <c r="R1104" s="3" t="s">
        <v>187</v>
      </c>
      <c r="S1104" s="3">
        <v>87307799</v>
      </c>
      <c r="T1104" s="3">
        <v>4435183413</v>
      </c>
      <c r="U1104" s="3" t="s">
        <v>29</v>
      </c>
    </row>
    <row r="1105" spans="1:21" ht="13.2" x14ac:dyDescent="0.25">
      <c r="A1105" s="14">
        <v>5339769000152</v>
      </c>
      <c r="B1105" s="15" t="str">
        <f t="shared" si="17"/>
        <v>05.339.769/0001-52</v>
      </c>
      <c r="C1105" s="12"/>
      <c r="D1105" s="3" t="s">
        <v>4441</v>
      </c>
      <c r="E1105" s="3" t="s">
        <v>4441</v>
      </c>
      <c r="F1105" s="3" t="s">
        <v>20</v>
      </c>
      <c r="G1105" s="4">
        <v>37531</v>
      </c>
      <c r="H1105" s="3" t="s">
        <v>21</v>
      </c>
      <c r="I1105" s="3" t="s">
        <v>33</v>
      </c>
      <c r="J1105" s="5">
        <v>1200000</v>
      </c>
      <c r="K1105" s="3">
        <v>2930103</v>
      </c>
      <c r="L1105" s="3" t="s">
        <v>4442</v>
      </c>
      <c r="M1105" s="3" t="s">
        <v>4443</v>
      </c>
      <c r="N1105" s="3">
        <v>580</v>
      </c>
      <c r="P1105" s="3" t="s">
        <v>4444</v>
      </c>
      <c r="Q1105" s="3" t="s">
        <v>730</v>
      </c>
      <c r="R1105" s="3" t="s">
        <v>53</v>
      </c>
      <c r="S1105" s="3">
        <v>95098170</v>
      </c>
      <c r="T1105" s="3">
        <v>5432112980</v>
      </c>
      <c r="U1105" s="3" t="s">
        <v>29</v>
      </c>
    </row>
    <row r="1106" spans="1:21" ht="13.2" x14ac:dyDescent="0.25">
      <c r="A1106" s="14">
        <v>44144293000741</v>
      </c>
      <c r="B1106" s="15" t="str">
        <f t="shared" si="17"/>
        <v>44.144.293/0007-41</v>
      </c>
      <c r="C1106" s="12" t="str">
        <f>VLOOKUP(B1106,[1]Planilha1!$A:$B,2,0)</f>
        <v>Malu Montesino</v>
      </c>
      <c r="D1106" s="3" t="s">
        <v>4445</v>
      </c>
      <c r="E1106" s="3" t="s">
        <v>4445</v>
      </c>
      <c r="F1106" s="3" t="s">
        <v>20</v>
      </c>
      <c r="G1106" s="4">
        <v>45338</v>
      </c>
      <c r="H1106" s="3" t="s">
        <v>21</v>
      </c>
      <c r="I1106" s="3" t="s">
        <v>33</v>
      </c>
      <c r="J1106" s="5">
        <v>29749968</v>
      </c>
      <c r="K1106" s="3">
        <v>2029100</v>
      </c>
      <c r="L1106" s="3" t="s">
        <v>3615</v>
      </c>
      <c r="M1106" s="3" t="s">
        <v>4446</v>
      </c>
      <c r="N1106" s="3">
        <v>70</v>
      </c>
      <c r="O1106" s="3" t="s">
        <v>4447</v>
      </c>
      <c r="P1106" s="3" t="s">
        <v>4448</v>
      </c>
      <c r="Q1106" s="3" t="s">
        <v>488</v>
      </c>
      <c r="R1106" s="3" t="s">
        <v>28</v>
      </c>
      <c r="S1106" s="3">
        <v>13285502</v>
      </c>
      <c r="T1106" s="3">
        <v>1195766455</v>
      </c>
      <c r="U1106" s="3" t="s">
        <v>29</v>
      </c>
    </row>
    <row r="1107" spans="1:21" ht="13.2" x14ac:dyDescent="0.25">
      <c r="A1107" s="14">
        <v>2462450000121</v>
      </c>
      <c r="B1107" s="15" t="str">
        <f t="shared" si="17"/>
        <v>02.462.450/0001-21</v>
      </c>
      <c r="C1107" s="12"/>
      <c r="D1107" s="3" t="s">
        <v>4449</v>
      </c>
      <c r="E1107" s="3" t="s">
        <v>4449</v>
      </c>
      <c r="F1107" s="3" t="s">
        <v>45</v>
      </c>
      <c r="G1107" s="4">
        <v>35856</v>
      </c>
      <c r="H1107" s="3" t="s">
        <v>21</v>
      </c>
      <c r="I1107" s="3" t="s">
        <v>47</v>
      </c>
      <c r="J1107" s="5">
        <v>15000</v>
      </c>
      <c r="K1107" s="3">
        <v>4789099</v>
      </c>
      <c r="L1107" s="3" t="s">
        <v>774</v>
      </c>
      <c r="M1107" s="3" t="s">
        <v>4450</v>
      </c>
      <c r="N1107" s="3">
        <v>373</v>
      </c>
      <c r="P1107" s="3" t="s">
        <v>4451</v>
      </c>
      <c r="Q1107" s="3" t="s">
        <v>367</v>
      </c>
      <c r="R1107" s="3" t="s">
        <v>28</v>
      </c>
      <c r="S1107" s="3">
        <v>13405351</v>
      </c>
      <c r="T1107" s="3">
        <v>194345922</v>
      </c>
      <c r="U1107" s="3" t="s">
        <v>29</v>
      </c>
    </row>
    <row r="1108" spans="1:21" ht="13.2" x14ac:dyDescent="0.25">
      <c r="A1108" s="14">
        <v>50930072000106</v>
      </c>
      <c r="B1108" s="15" t="str">
        <f t="shared" si="17"/>
        <v>50.930.072/0001-06</v>
      </c>
      <c r="C1108" s="12"/>
      <c r="D1108" s="3" t="s">
        <v>4452</v>
      </c>
      <c r="E1108" s="3" t="s">
        <v>4453</v>
      </c>
      <c r="F1108" s="3" t="s">
        <v>20</v>
      </c>
      <c r="G1108" s="4">
        <v>20867</v>
      </c>
      <c r="H1108" s="3" t="s">
        <v>94</v>
      </c>
      <c r="I1108" s="3" t="s">
        <v>33</v>
      </c>
      <c r="J1108" s="5">
        <v>102675224</v>
      </c>
      <c r="K1108" s="3">
        <v>1112700</v>
      </c>
      <c r="L1108" s="3" t="s">
        <v>4339</v>
      </c>
      <c r="M1108" s="3" t="s">
        <v>4454</v>
      </c>
      <c r="N1108" s="3">
        <v>3170</v>
      </c>
      <c r="P1108" s="3" t="s">
        <v>4455</v>
      </c>
      <c r="Q1108" s="3" t="s">
        <v>567</v>
      </c>
      <c r="R1108" s="3" t="s">
        <v>28</v>
      </c>
      <c r="S1108" s="3">
        <v>13218711</v>
      </c>
      <c r="T1108" s="3">
        <v>1145854915</v>
      </c>
      <c r="U1108" s="3" t="s">
        <v>29</v>
      </c>
    </row>
    <row r="1109" spans="1:21" ht="13.2" x14ac:dyDescent="0.25">
      <c r="A1109" s="14">
        <v>19993465000119</v>
      </c>
      <c r="B1109" s="15" t="str">
        <f t="shared" si="17"/>
        <v>19.993.465/0001-19</v>
      </c>
      <c r="C1109" s="12"/>
      <c r="D1109" s="3" t="s">
        <v>4456</v>
      </c>
      <c r="E1109" s="3" t="s">
        <v>4457</v>
      </c>
      <c r="F1109" s="3" t="s">
        <v>20</v>
      </c>
      <c r="G1109" s="4">
        <v>41730</v>
      </c>
      <c r="H1109" s="3" t="s">
        <v>21</v>
      </c>
      <c r="I1109" s="3" t="s">
        <v>47</v>
      </c>
      <c r="J1109" s="5">
        <v>120000</v>
      </c>
      <c r="K1109" s="3">
        <v>7311400</v>
      </c>
      <c r="L1109" s="3" t="s">
        <v>656</v>
      </c>
      <c r="M1109" s="3" t="s">
        <v>4444</v>
      </c>
      <c r="N1109" s="3">
        <v>252</v>
      </c>
      <c r="O1109" s="3" t="s">
        <v>4458</v>
      </c>
      <c r="P1109" s="3" t="s">
        <v>70</v>
      </c>
      <c r="Q1109" s="3" t="s">
        <v>357</v>
      </c>
      <c r="R1109" s="3" t="s">
        <v>28</v>
      </c>
      <c r="S1109" s="3">
        <v>7115000</v>
      </c>
      <c r="T1109" s="3">
        <v>1126564336</v>
      </c>
      <c r="U1109" s="3" t="s">
        <v>29</v>
      </c>
    </row>
    <row r="1110" spans="1:21" ht="13.2" x14ac:dyDescent="0.25">
      <c r="A1110" s="14">
        <v>10965693000100</v>
      </c>
      <c r="B1110" s="15" t="str">
        <f t="shared" si="17"/>
        <v>10.965.693/0001-00</v>
      </c>
      <c r="C1110" s="12"/>
      <c r="D1110" s="3" t="s">
        <v>4459</v>
      </c>
      <c r="E1110" s="3" t="s">
        <v>4460</v>
      </c>
      <c r="F1110" s="3" t="s">
        <v>20</v>
      </c>
      <c r="G1110" s="4">
        <v>39995</v>
      </c>
      <c r="H1110" s="3" t="s">
        <v>21</v>
      </c>
      <c r="I1110" s="3" t="s">
        <v>33</v>
      </c>
      <c r="J1110" s="5">
        <v>830789250</v>
      </c>
      <c r="K1110" s="3">
        <v>4922102</v>
      </c>
      <c r="L1110" s="3" t="s">
        <v>4461</v>
      </c>
      <c r="M1110" s="3" t="s">
        <v>4462</v>
      </c>
      <c r="N1110" s="3">
        <v>400</v>
      </c>
      <c r="O1110" s="3" t="s">
        <v>534</v>
      </c>
      <c r="P1110" s="3" t="s">
        <v>4463</v>
      </c>
      <c r="Q1110" s="3" t="s">
        <v>3193</v>
      </c>
      <c r="R1110" s="3" t="s">
        <v>28</v>
      </c>
      <c r="S1110" s="3">
        <v>8745900</v>
      </c>
      <c r="T1110" s="3">
        <v>1123777000</v>
      </c>
      <c r="U1110" s="3" t="s">
        <v>29</v>
      </c>
    </row>
    <row r="1111" spans="1:21" ht="13.2" x14ac:dyDescent="0.25">
      <c r="A1111" s="14">
        <v>43312111000146</v>
      </c>
      <c r="B1111" s="15" t="str">
        <f t="shared" si="17"/>
        <v>43.312.111/0001-46</v>
      </c>
      <c r="C1111" s="12"/>
      <c r="D1111" s="3" t="s">
        <v>4464</v>
      </c>
      <c r="E1111" s="3" t="s">
        <v>4464</v>
      </c>
      <c r="F1111" s="3" t="s">
        <v>20</v>
      </c>
      <c r="G1111" s="4">
        <v>44435</v>
      </c>
      <c r="H1111" s="3" t="s">
        <v>94</v>
      </c>
      <c r="I1111" s="3" t="s">
        <v>33</v>
      </c>
      <c r="J1111" s="5">
        <v>63977944</v>
      </c>
      <c r="K1111" s="3">
        <v>6463800</v>
      </c>
      <c r="L1111" s="3" t="s">
        <v>458</v>
      </c>
      <c r="M1111" s="3" t="s">
        <v>1228</v>
      </c>
      <c r="N1111" s="3">
        <v>1017</v>
      </c>
      <c r="O1111" s="3" t="s">
        <v>4465</v>
      </c>
      <c r="P1111" s="3" t="s">
        <v>1230</v>
      </c>
      <c r="Q1111" s="3" t="s">
        <v>27</v>
      </c>
      <c r="R1111" s="3" t="s">
        <v>28</v>
      </c>
      <c r="S1111" s="3">
        <v>4530001</v>
      </c>
      <c r="T1111" s="3">
        <v>1123777000</v>
      </c>
      <c r="U1111" s="3" t="s">
        <v>29</v>
      </c>
    </row>
    <row r="1112" spans="1:21" ht="13.2" x14ac:dyDescent="0.25">
      <c r="A1112" s="14">
        <v>243167000183</v>
      </c>
      <c r="B1112" s="15" t="str">
        <f t="shared" si="17"/>
        <v>00.243.167/0001-83</v>
      </c>
      <c r="C1112" s="12"/>
      <c r="D1112" s="3" t="s">
        <v>4466</v>
      </c>
      <c r="E1112" s="3" t="s">
        <v>4467</v>
      </c>
      <c r="F1112" s="3" t="s">
        <v>20</v>
      </c>
      <c r="G1112" s="4">
        <v>34620</v>
      </c>
      <c r="H1112" s="3" t="s">
        <v>21</v>
      </c>
      <c r="I1112" s="3" t="s">
        <v>22</v>
      </c>
      <c r="J1112" s="5">
        <v>529164</v>
      </c>
      <c r="K1112" s="3">
        <v>7733100</v>
      </c>
      <c r="L1112" s="3" t="s">
        <v>2690</v>
      </c>
      <c r="M1112" s="3" t="s">
        <v>4468</v>
      </c>
      <c r="N1112" s="3">
        <v>1504</v>
      </c>
      <c r="O1112" s="3" t="s">
        <v>4469</v>
      </c>
      <c r="P1112" s="3" t="s">
        <v>999</v>
      </c>
      <c r="Q1112" s="3" t="s">
        <v>3854</v>
      </c>
      <c r="R1112" s="3" t="s">
        <v>53</v>
      </c>
      <c r="S1112" s="3">
        <v>99050144</v>
      </c>
      <c r="T1112" s="3">
        <v>5433111633</v>
      </c>
      <c r="U1112" s="3" t="s">
        <v>29</v>
      </c>
    </row>
    <row r="1113" spans="1:21" ht="13.2" x14ac:dyDescent="0.25">
      <c r="A1113" s="14">
        <v>9488748000150</v>
      </c>
      <c r="B1113" s="15" t="str">
        <f t="shared" si="17"/>
        <v>09.488.748/0001-50</v>
      </c>
      <c r="C1113" s="12"/>
      <c r="D1113" s="3" t="s">
        <v>4470</v>
      </c>
      <c r="E1113" s="3" t="s">
        <v>4470</v>
      </c>
      <c r="F1113" s="3" t="s">
        <v>20</v>
      </c>
      <c r="G1113" s="4">
        <v>39540</v>
      </c>
      <c r="H1113" s="3" t="s">
        <v>21</v>
      </c>
      <c r="I1113" s="3" t="s">
        <v>33</v>
      </c>
      <c r="J1113" s="5">
        <v>50000</v>
      </c>
      <c r="K1113" s="3">
        <v>6203100</v>
      </c>
      <c r="L1113" s="3" t="s">
        <v>2268</v>
      </c>
      <c r="M1113" s="3" t="s">
        <v>1480</v>
      </c>
      <c r="N1113" s="3">
        <v>2405</v>
      </c>
      <c r="O1113" s="3" t="s">
        <v>4471</v>
      </c>
      <c r="P1113" s="3" t="s">
        <v>3082</v>
      </c>
      <c r="Q1113" s="3" t="s">
        <v>2822</v>
      </c>
      <c r="R1113" s="3" t="s">
        <v>28</v>
      </c>
      <c r="S1113" s="3">
        <v>12242000</v>
      </c>
      <c r="T1113" s="3">
        <v>1281336515</v>
      </c>
      <c r="U1113" s="3" t="s">
        <v>29</v>
      </c>
    </row>
    <row r="1114" spans="1:21" ht="13.2" x14ac:dyDescent="0.25">
      <c r="A1114" s="14">
        <v>72840002000108</v>
      </c>
      <c r="B1114" s="15" t="str">
        <f t="shared" si="17"/>
        <v>72.840.002/0001-08</v>
      </c>
      <c r="C1114" s="12"/>
      <c r="D1114" s="3" t="s">
        <v>4472</v>
      </c>
      <c r="E1114" s="3" t="s">
        <v>4473</v>
      </c>
      <c r="F1114" s="3" t="s">
        <v>20</v>
      </c>
      <c r="G1114" s="4">
        <v>34236</v>
      </c>
      <c r="H1114" s="3" t="s">
        <v>21</v>
      </c>
      <c r="I1114" s="3" t="s">
        <v>33</v>
      </c>
      <c r="J1114" s="5">
        <v>14057242</v>
      </c>
      <c r="K1114" s="3">
        <v>2651500</v>
      </c>
      <c r="L1114" s="3" t="s">
        <v>600</v>
      </c>
      <c r="M1114" s="3" t="s">
        <v>3632</v>
      </c>
      <c r="N1114" s="3">
        <v>1661</v>
      </c>
      <c r="P1114" s="3" t="s">
        <v>4474</v>
      </c>
      <c r="Q1114" s="3" t="s">
        <v>27</v>
      </c>
      <c r="R1114" s="3" t="s">
        <v>28</v>
      </c>
      <c r="S1114" s="3">
        <v>5305007</v>
      </c>
      <c r="T1114" s="3">
        <v>1138374236</v>
      </c>
      <c r="U1114" s="3" t="s">
        <v>29</v>
      </c>
    </row>
    <row r="1115" spans="1:21" ht="13.2" x14ac:dyDescent="0.25">
      <c r="A1115" s="14">
        <v>14295008000137</v>
      </c>
      <c r="B1115" s="15" t="str">
        <f t="shared" si="17"/>
        <v>14.295.008/0001-37</v>
      </c>
      <c r="C1115" s="12" t="str">
        <f>VLOOKUP(B1115,[1]Planilha1!$A:$B,2,0)</f>
        <v>Malu Montesino</v>
      </c>
      <c r="D1115" s="3" t="s">
        <v>4475</v>
      </c>
      <c r="E1115" s="3" t="s">
        <v>4475</v>
      </c>
      <c r="F1115" s="3" t="s">
        <v>20</v>
      </c>
      <c r="G1115" s="4">
        <v>40772</v>
      </c>
      <c r="H1115" s="3" t="s">
        <v>21</v>
      </c>
      <c r="I1115" s="3" t="s">
        <v>33</v>
      </c>
      <c r="J1115" s="5">
        <v>11478301</v>
      </c>
      <c r="K1115" s="3">
        <v>3513100</v>
      </c>
      <c r="L1115" s="3" t="s">
        <v>1192</v>
      </c>
      <c r="M1115" s="3" t="s">
        <v>2429</v>
      </c>
      <c r="N1115" s="3">
        <v>418</v>
      </c>
      <c r="O1115" s="3" t="s">
        <v>4476</v>
      </c>
      <c r="P1115" s="3" t="s">
        <v>316</v>
      </c>
      <c r="Q1115" s="3" t="s">
        <v>27</v>
      </c>
      <c r="R1115" s="3" t="s">
        <v>28</v>
      </c>
      <c r="S1115" s="3">
        <v>4551060</v>
      </c>
      <c r="T1115" s="3">
        <v>4135141800</v>
      </c>
      <c r="U1115" s="3" t="s">
        <v>29</v>
      </c>
    </row>
    <row r="1116" spans="1:21" ht="13.2" x14ac:dyDescent="0.25">
      <c r="A1116" s="14">
        <v>1644731000132</v>
      </c>
      <c r="B1116" s="15" t="str">
        <f t="shared" si="17"/>
        <v>01.644.731/0001-32</v>
      </c>
      <c r="C1116" s="12"/>
      <c r="D1116" s="3" t="s">
        <v>4477</v>
      </c>
      <c r="E1116" s="3" t="s">
        <v>4477</v>
      </c>
      <c r="F1116" s="3" t="s">
        <v>20</v>
      </c>
      <c r="G1116" s="4">
        <v>31562</v>
      </c>
      <c r="H1116" s="3" t="s">
        <v>21</v>
      </c>
      <c r="I1116" s="3" t="s">
        <v>33</v>
      </c>
      <c r="J1116" s="5">
        <v>592697400</v>
      </c>
      <c r="K1116" s="3">
        <v>6201501</v>
      </c>
      <c r="L1116" s="3" t="s">
        <v>298</v>
      </c>
      <c r="M1116" s="3" t="s">
        <v>4478</v>
      </c>
      <c r="N1116" s="3">
        <v>50</v>
      </c>
      <c r="O1116" s="3" t="s">
        <v>4479</v>
      </c>
      <c r="P1116" s="3" t="s">
        <v>1745</v>
      </c>
      <c r="Q1116" s="3" t="s">
        <v>631</v>
      </c>
      <c r="R1116" s="3" t="s">
        <v>632</v>
      </c>
      <c r="S1116" s="3">
        <v>70333900</v>
      </c>
      <c r="T1116" s="3">
        <v>6134269456</v>
      </c>
      <c r="U1116" s="3" t="s">
        <v>29</v>
      </c>
    </row>
    <row r="1117" spans="1:21" ht="13.2" x14ac:dyDescent="0.25">
      <c r="A1117" s="14">
        <v>10653353000144</v>
      </c>
      <c r="B1117" s="15" t="str">
        <f t="shared" si="17"/>
        <v>10.653.353/0001-44</v>
      </c>
      <c r="C1117" s="12"/>
      <c r="D1117" s="3" t="s">
        <v>4480</v>
      </c>
      <c r="E1117" s="3" t="s">
        <v>4480</v>
      </c>
      <c r="F1117" s="3" t="s">
        <v>20</v>
      </c>
      <c r="G1117" s="4">
        <v>39862</v>
      </c>
      <c r="H1117" s="3" t="s">
        <v>21</v>
      </c>
      <c r="I1117" s="3" t="s">
        <v>33</v>
      </c>
      <c r="J1117" s="5">
        <v>15000</v>
      </c>
      <c r="K1117" s="3">
        <v>4681803</v>
      </c>
      <c r="L1117" s="3" t="s">
        <v>4481</v>
      </c>
      <c r="M1117" s="3" t="s">
        <v>4482</v>
      </c>
      <c r="N1117" s="3" t="s">
        <v>82</v>
      </c>
      <c r="P1117" s="3" t="s">
        <v>911</v>
      </c>
      <c r="Q1117" s="3" t="s">
        <v>363</v>
      </c>
      <c r="R1117" s="3" t="s">
        <v>100</v>
      </c>
      <c r="S1117" s="3">
        <v>35505000</v>
      </c>
      <c r="T1117" s="3">
        <v>3732145518</v>
      </c>
      <c r="U1117" s="3" t="s">
        <v>29</v>
      </c>
    </row>
    <row r="1118" spans="1:21" ht="13.2" x14ac:dyDescent="0.25">
      <c r="A1118" s="14">
        <v>7587250000119</v>
      </c>
      <c r="B1118" s="15" t="str">
        <f t="shared" si="17"/>
        <v>07.587.250/0001-19</v>
      </c>
      <c r="C1118" s="12"/>
      <c r="D1118" s="3" t="s">
        <v>4483</v>
      </c>
      <c r="E1118" s="3" t="s">
        <v>4484</v>
      </c>
      <c r="F1118" s="3" t="s">
        <v>20</v>
      </c>
      <c r="G1118" s="4">
        <v>38594</v>
      </c>
      <c r="H1118" s="3" t="s">
        <v>21</v>
      </c>
      <c r="I1118" s="3" t="s">
        <v>22</v>
      </c>
      <c r="J1118" s="5">
        <v>60500</v>
      </c>
      <c r="K1118" s="3">
        <v>8211300</v>
      </c>
      <c r="L1118" s="3" t="s">
        <v>166</v>
      </c>
      <c r="M1118" s="3" t="s">
        <v>4485</v>
      </c>
      <c r="N1118" s="3">
        <v>1171</v>
      </c>
      <c r="O1118" s="3" t="s">
        <v>4486</v>
      </c>
      <c r="P1118" s="3" t="s">
        <v>70</v>
      </c>
      <c r="Q1118" s="3" t="s">
        <v>2313</v>
      </c>
      <c r="R1118" s="3" t="s">
        <v>28</v>
      </c>
      <c r="S1118" s="3">
        <v>12900431</v>
      </c>
      <c r="T1118" s="3">
        <v>1140353658</v>
      </c>
      <c r="U1118" s="3" t="s">
        <v>29</v>
      </c>
    </row>
    <row r="1119" spans="1:21" ht="13.2" x14ac:dyDescent="0.25">
      <c r="A1119" s="14">
        <v>43201151000110</v>
      </c>
      <c r="B1119" s="15" t="str">
        <f t="shared" si="17"/>
        <v>43.201.151/0001-10</v>
      </c>
      <c r="C1119" s="12"/>
      <c r="D1119" s="3" t="s">
        <v>4487</v>
      </c>
      <c r="E1119" s="3" t="s">
        <v>4487</v>
      </c>
      <c r="F1119" s="3" t="s">
        <v>20</v>
      </c>
      <c r="G1119" s="4">
        <v>26280</v>
      </c>
      <c r="H1119" s="3" t="s">
        <v>21</v>
      </c>
      <c r="I1119" s="3" t="s">
        <v>33</v>
      </c>
      <c r="J1119" s="5">
        <v>1715319000</v>
      </c>
      <c r="K1119" s="3">
        <v>2920402</v>
      </c>
      <c r="L1119" s="3" t="s">
        <v>4488</v>
      </c>
      <c r="M1119" s="3" t="s">
        <v>4489</v>
      </c>
      <c r="N1119" s="3">
        <v>310</v>
      </c>
      <c r="P1119" s="3" t="s">
        <v>406</v>
      </c>
      <c r="Q1119" s="3" t="s">
        <v>357</v>
      </c>
      <c r="R1119" s="3" t="s">
        <v>28</v>
      </c>
      <c r="S1119" s="3">
        <v>7180900</v>
      </c>
      <c r="T1119" s="3">
        <v>1121864920</v>
      </c>
      <c r="U1119" s="3" t="s">
        <v>29</v>
      </c>
    </row>
    <row r="1120" spans="1:21" ht="13.2" x14ac:dyDescent="0.25">
      <c r="A1120" s="14">
        <v>7791616000177</v>
      </c>
      <c r="B1120" s="15" t="str">
        <f t="shared" si="17"/>
        <v>07.791.616/0001-77</v>
      </c>
      <c r="C1120" s="12"/>
      <c r="D1120" s="3" t="s">
        <v>4490</v>
      </c>
      <c r="E1120" s="3" t="s">
        <v>4490</v>
      </c>
      <c r="F1120" s="3" t="s">
        <v>20</v>
      </c>
      <c r="G1120" s="4">
        <v>38727</v>
      </c>
      <c r="H1120" s="3" t="s">
        <v>21</v>
      </c>
      <c r="I1120" s="3" t="s">
        <v>33</v>
      </c>
      <c r="J1120" s="5">
        <v>39200000</v>
      </c>
      <c r="K1120" s="3">
        <v>4693100</v>
      </c>
      <c r="L1120" s="3" t="s">
        <v>238</v>
      </c>
      <c r="M1120" s="3" t="s">
        <v>4491</v>
      </c>
      <c r="N1120" s="3">
        <v>111</v>
      </c>
      <c r="P1120" s="3" t="s">
        <v>881</v>
      </c>
      <c r="Q1120" s="3" t="s">
        <v>471</v>
      </c>
      <c r="R1120" s="3" t="s">
        <v>28</v>
      </c>
      <c r="S1120" s="3">
        <v>9580500</v>
      </c>
      <c r="T1120" s="3">
        <v>1142274190</v>
      </c>
      <c r="U1120" s="3" t="s">
        <v>29</v>
      </c>
    </row>
    <row r="1121" spans="1:21" ht="13.2" x14ac:dyDescent="0.25">
      <c r="A1121" s="14">
        <v>8797760000183</v>
      </c>
      <c r="B1121" s="15" t="str">
        <f t="shared" si="17"/>
        <v>08.797.760/0001-83</v>
      </c>
      <c r="C1121" s="12"/>
      <c r="D1121" s="3" t="s">
        <v>4492</v>
      </c>
      <c r="E1121" s="3" t="s">
        <v>4492</v>
      </c>
      <c r="F1121" s="3" t="s">
        <v>20</v>
      </c>
      <c r="G1121" s="4">
        <v>39192</v>
      </c>
      <c r="H1121" s="3" t="s">
        <v>377</v>
      </c>
      <c r="I1121" s="3" t="s">
        <v>33</v>
      </c>
      <c r="J1121" s="5">
        <v>506846620</v>
      </c>
      <c r="K1121" s="3">
        <v>4120400</v>
      </c>
      <c r="L1121" s="3" t="s">
        <v>87</v>
      </c>
      <c r="M1121" s="3" t="s">
        <v>2429</v>
      </c>
      <c r="N1121" s="3">
        <v>411</v>
      </c>
      <c r="O1121" s="3" t="s">
        <v>4493</v>
      </c>
      <c r="P1121" s="3" t="s">
        <v>316</v>
      </c>
      <c r="Q1121" s="3" t="s">
        <v>27</v>
      </c>
      <c r="R1121" s="3" t="s">
        <v>28</v>
      </c>
      <c r="S1121" s="3">
        <v>4551060</v>
      </c>
      <c r="T1121" s="3">
        <v>1131171300</v>
      </c>
      <c r="U1121" s="3" t="s">
        <v>29</v>
      </c>
    </row>
    <row r="1122" spans="1:21" ht="13.2" x14ac:dyDescent="0.25">
      <c r="A1122" s="14">
        <v>10760260000119</v>
      </c>
      <c r="B1122" s="15" t="str">
        <f t="shared" si="17"/>
        <v>10.760.260/0001-19</v>
      </c>
      <c r="C1122" s="12"/>
      <c r="D1122" s="3" t="s">
        <v>4494</v>
      </c>
      <c r="E1122" s="3" t="s">
        <v>4494</v>
      </c>
      <c r="F1122" s="3" t="s">
        <v>20</v>
      </c>
      <c r="G1122" s="4">
        <v>39912</v>
      </c>
      <c r="H1122" s="3" t="s">
        <v>377</v>
      </c>
      <c r="I1122" s="3" t="s">
        <v>33</v>
      </c>
      <c r="J1122" s="5">
        <v>1755263700</v>
      </c>
      <c r="K1122" s="3">
        <v>7911200</v>
      </c>
      <c r="L1122" s="3" t="s">
        <v>269</v>
      </c>
      <c r="M1122" s="3" t="s">
        <v>4495</v>
      </c>
      <c r="N1122" s="3">
        <v>227</v>
      </c>
      <c r="O1122" s="3" t="s">
        <v>4496</v>
      </c>
      <c r="P1122" s="3" t="s">
        <v>1409</v>
      </c>
      <c r="Q1122" s="3" t="s">
        <v>1410</v>
      </c>
      <c r="R1122" s="3" t="s">
        <v>28</v>
      </c>
      <c r="S1122" s="3">
        <v>9090401</v>
      </c>
      <c r="T1122" s="3">
        <v>1121911000</v>
      </c>
      <c r="U1122" s="3" t="s">
        <v>29</v>
      </c>
    </row>
    <row r="1123" spans="1:21" ht="13.2" x14ac:dyDescent="0.25">
      <c r="A1123" s="14">
        <v>72114994000188</v>
      </c>
      <c r="B1123" s="15" t="str">
        <f t="shared" si="17"/>
        <v>72.114.994/0001-88</v>
      </c>
      <c r="C1123" s="12"/>
      <c r="D1123" s="3" t="s">
        <v>4497</v>
      </c>
      <c r="E1123" s="3" t="s">
        <v>4497</v>
      </c>
      <c r="F1123" s="3" t="s">
        <v>20</v>
      </c>
      <c r="G1123" s="4">
        <v>34074</v>
      </c>
      <c r="H1123" s="3" t="s">
        <v>21</v>
      </c>
      <c r="I1123" s="3" t="s">
        <v>33</v>
      </c>
      <c r="J1123" s="5">
        <v>3953138</v>
      </c>
      <c r="K1123" s="3">
        <v>1122401</v>
      </c>
      <c r="L1123" s="3" t="s">
        <v>4498</v>
      </c>
      <c r="M1123" s="3" t="s">
        <v>4499</v>
      </c>
      <c r="N1123" s="3" t="s">
        <v>82</v>
      </c>
      <c r="O1123" s="3" t="s">
        <v>4500</v>
      </c>
      <c r="P1123" s="3" t="s">
        <v>4501</v>
      </c>
      <c r="Q1123" s="3" t="s">
        <v>748</v>
      </c>
      <c r="R1123" s="3" t="s">
        <v>53</v>
      </c>
      <c r="S1123" s="3">
        <v>97037400</v>
      </c>
      <c r="T1123" s="3">
        <v>1121025500</v>
      </c>
      <c r="U1123" s="3" t="s">
        <v>29</v>
      </c>
    </row>
    <row r="1124" spans="1:21" ht="13.2" x14ac:dyDescent="0.25">
      <c r="A1124" s="14">
        <v>37778759000100</v>
      </c>
      <c r="B1124" s="15" t="str">
        <f t="shared" si="17"/>
        <v>37.778.759/0001-00</v>
      </c>
      <c r="C1124" s="12" t="str">
        <f>VLOOKUP(B1124,[1]Planilha1!$A:$B,2,0)</f>
        <v>Mariane Nascimento</v>
      </c>
      <c r="D1124" s="3" t="s">
        <v>4502</v>
      </c>
      <c r="E1124" s="3" t="s">
        <v>4503</v>
      </c>
      <c r="F1124" s="3" t="s">
        <v>20</v>
      </c>
      <c r="G1124" s="4">
        <v>44032</v>
      </c>
      <c r="H1124" s="3" t="s">
        <v>21</v>
      </c>
      <c r="I1124" s="3" t="s">
        <v>33</v>
      </c>
      <c r="J1124" s="5">
        <v>10000</v>
      </c>
      <c r="K1124" s="3">
        <v>4664800</v>
      </c>
      <c r="L1124" s="3" t="s">
        <v>691</v>
      </c>
      <c r="M1124" s="3" t="s">
        <v>4504</v>
      </c>
      <c r="N1124" s="3">
        <v>55</v>
      </c>
      <c r="P1124" s="3" t="s">
        <v>2254</v>
      </c>
      <c r="Q1124" s="3" t="s">
        <v>204</v>
      </c>
      <c r="R1124" s="3" t="s">
        <v>187</v>
      </c>
      <c r="S1124" s="3">
        <v>81460140</v>
      </c>
      <c r="T1124" s="3">
        <v>4130420997</v>
      </c>
      <c r="U1124" s="3" t="s">
        <v>29</v>
      </c>
    </row>
    <row r="1125" spans="1:21" ht="13.2" x14ac:dyDescent="0.25">
      <c r="A1125" s="14">
        <v>5252087000108</v>
      </c>
      <c r="B1125" s="15" t="str">
        <f t="shared" si="17"/>
        <v>05.252.087/0001-08</v>
      </c>
      <c r="C1125" s="12"/>
      <c r="D1125" s="3" t="s">
        <v>4505</v>
      </c>
      <c r="E1125" s="3" t="s">
        <v>4505</v>
      </c>
      <c r="F1125" s="3" t="s">
        <v>20</v>
      </c>
      <c r="G1125" s="4">
        <v>37462</v>
      </c>
      <c r="H1125" s="3" t="s">
        <v>21</v>
      </c>
      <c r="I1125" s="3" t="s">
        <v>33</v>
      </c>
      <c r="J1125" s="5">
        <v>4490500</v>
      </c>
      <c r="K1125" s="3">
        <v>2319200</v>
      </c>
      <c r="L1125" s="3" t="s">
        <v>4506</v>
      </c>
      <c r="M1125" s="3" t="s">
        <v>2737</v>
      </c>
      <c r="N1125" s="3">
        <v>1248</v>
      </c>
      <c r="O1125" s="3" t="s">
        <v>4507</v>
      </c>
      <c r="P1125" s="3" t="s">
        <v>2739</v>
      </c>
      <c r="Q1125" s="3" t="s">
        <v>27</v>
      </c>
      <c r="R1125" s="3" t="s">
        <v>28</v>
      </c>
      <c r="S1125" s="3">
        <v>3109000</v>
      </c>
      <c r="T1125" s="3">
        <v>1129147211</v>
      </c>
      <c r="U1125" s="3" t="s">
        <v>29</v>
      </c>
    </row>
    <row r="1126" spans="1:21" ht="13.2" x14ac:dyDescent="0.25">
      <c r="A1126" s="14">
        <v>2729859000161</v>
      </c>
      <c r="B1126" s="15" t="str">
        <f t="shared" si="17"/>
        <v>02.729.859/0001-61</v>
      </c>
      <c r="C1126" s="12"/>
      <c r="D1126" s="3" t="s">
        <v>4508</v>
      </c>
      <c r="E1126" s="3" t="s">
        <v>4508</v>
      </c>
      <c r="F1126" s="3" t="s">
        <v>20</v>
      </c>
      <c r="G1126" s="4">
        <v>35993</v>
      </c>
      <c r="H1126" s="3" t="s">
        <v>21</v>
      </c>
      <c r="I1126" s="3" t="s">
        <v>22</v>
      </c>
      <c r="J1126" s="5">
        <v>1000000</v>
      </c>
      <c r="K1126" s="3">
        <v>4530703</v>
      </c>
      <c r="L1126" s="3" t="s">
        <v>768</v>
      </c>
      <c r="M1126" s="3" t="s">
        <v>4509</v>
      </c>
      <c r="N1126" s="3">
        <v>164</v>
      </c>
      <c r="P1126" s="3" t="s">
        <v>4510</v>
      </c>
      <c r="Q1126" s="3" t="s">
        <v>27</v>
      </c>
      <c r="R1126" s="3" t="s">
        <v>28</v>
      </c>
      <c r="S1126" s="3">
        <v>2521060</v>
      </c>
      <c r="T1126" s="3">
        <v>1139522211</v>
      </c>
      <c r="U1126" s="3" t="s">
        <v>29</v>
      </c>
    </row>
    <row r="1127" spans="1:21" ht="13.2" x14ac:dyDescent="0.25">
      <c r="A1127" s="14">
        <v>73178600000118</v>
      </c>
      <c r="B1127" s="15" t="str">
        <f t="shared" si="17"/>
        <v>73.178.600/0001-18</v>
      </c>
      <c r="C1127" s="12"/>
      <c r="D1127" s="3" t="s">
        <v>4511</v>
      </c>
      <c r="E1127" s="3" t="s">
        <v>4511</v>
      </c>
      <c r="F1127" s="3" t="s">
        <v>20</v>
      </c>
      <c r="G1127" s="4">
        <v>34316</v>
      </c>
      <c r="H1127" s="3" t="s">
        <v>377</v>
      </c>
      <c r="I1127" s="3" t="s">
        <v>33</v>
      </c>
      <c r="J1127" s="5">
        <v>3685000000</v>
      </c>
      <c r="K1127" s="3">
        <v>4110700</v>
      </c>
      <c r="L1127" s="3" t="s">
        <v>4133</v>
      </c>
      <c r="M1127" s="3" t="s">
        <v>1822</v>
      </c>
      <c r="N1127" s="3">
        <v>109</v>
      </c>
      <c r="O1127" s="3" t="s">
        <v>4512</v>
      </c>
      <c r="P1127" s="3" t="s">
        <v>316</v>
      </c>
      <c r="Q1127" s="3" t="s">
        <v>27</v>
      </c>
      <c r="R1127" s="3" t="s">
        <v>28</v>
      </c>
      <c r="S1127" s="3">
        <v>4552000</v>
      </c>
      <c r="T1127" s="3">
        <v>1138397009</v>
      </c>
      <c r="U1127" s="3" t="s">
        <v>29</v>
      </c>
    </row>
    <row r="1128" spans="1:21" ht="13.2" x14ac:dyDescent="0.25">
      <c r="A1128" s="14">
        <v>8839778000109</v>
      </c>
      <c r="B1128" s="15" t="str">
        <f t="shared" si="17"/>
        <v>08.839.778/0001-09</v>
      </c>
      <c r="C1128" s="12" t="str">
        <f>VLOOKUP(B1128,[1]Planilha1!$A:$B,2,0)</f>
        <v>Mariane Nascimento</v>
      </c>
      <c r="D1128" s="3" t="s">
        <v>4513</v>
      </c>
      <c r="E1128" s="3" t="s">
        <v>4513</v>
      </c>
      <c r="F1128" s="3" t="s">
        <v>20</v>
      </c>
      <c r="G1128" s="4">
        <v>39150</v>
      </c>
      <c r="H1128" s="3" t="s">
        <v>21</v>
      </c>
      <c r="I1128" s="3" t="s">
        <v>22</v>
      </c>
      <c r="J1128" s="5">
        <v>1078800</v>
      </c>
      <c r="K1128" s="3">
        <v>3250702</v>
      </c>
      <c r="L1128" s="3" t="s">
        <v>2159</v>
      </c>
      <c r="M1128" s="3" t="s">
        <v>4514</v>
      </c>
      <c r="N1128" s="3">
        <v>385</v>
      </c>
      <c r="P1128" s="3" t="s">
        <v>4515</v>
      </c>
      <c r="Q1128" s="3" t="s">
        <v>4516</v>
      </c>
      <c r="R1128" s="3" t="s">
        <v>28</v>
      </c>
      <c r="S1128" s="3">
        <v>16210000</v>
      </c>
      <c r="T1128" s="3">
        <v>1836591780</v>
      </c>
      <c r="U1128" s="3" t="s">
        <v>29</v>
      </c>
    </row>
    <row r="1129" spans="1:21" ht="13.2" x14ac:dyDescent="0.25">
      <c r="A1129" s="14">
        <v>12630233000157</v>
      </c>
      <c r="B1129" s="15" t="str">
        <f t="shared" si="17"/>
        <v>12.630.233/0001-57</v>
      </c>
      <c r="C1129" s="12"/>
      <c r="D1129" s="3" t="s">
        <v>4517</v>
      </c>
      <c r="E1129" s="3" t="s">
        <v>4518</v>
      </c>
      <c r="F1129" s="3" t="s">
        <v>20</v>
      </c>
      <c r="G1129" s="4">
        <v>40449</v>
      </c>
      <c r="H1129" s="3" t="s">
        <v>21</v>
      </c>
      <c r="I1129" s="3" t="s">
        <v>47</v>
      </c>
      <c r="J1129" s="5">
        <v>220000</v>
      </c>
      <c r="K1129" s="3">
        <v>4645101</v>
      </c>
      <c r="L1129" s="3" t="s">
        <v>135</v>
      </c>
      <c r="M1129" s="3" t="s">
        <v>4519</v>
      </c>
      <c r="N1129" s="3">
        <v>540</v>
      </c>
      <c r="O1129" s="3" t="s">
        <v>2956</v>
      </c>
      <c r="P1129" s="3" t="s">
        <v>70</v>
      </c>
      <c r="Q1129" s="3" t="s">
        <v>748</v>
      </c>
      <c r="R1129" s="3" t="s">
        <v>53</v>
      </c>
      <c r="S1129" s="3">
        <v>97020160</v>
      </c>
      <c r="T1129" s="3">
        <v>5532173000</v>
      </c>
      <c r="U1129" s="3" t="s">
        <v>29</v>
      </c>
    </row>
    <row r="1130" spans="1:21" ht="13.2" x14ac:dyDescent="0.25">
      <c r="A1130" s="14">
        <v>1009452000105</v>
      </c>
      <c r="B1130" s="15" t="str">
        <f t="shared" si="17"/>
        <v>01.009.452/0001-05</v>
      </c>
      <c r="C1130" s="12"/>
      <c r="D1130" s="3" t="s">
        <v>4520</v>
      </c>
      <c r="E1130" s="3" t="s">
        <v>4521</v>
      </c>
      <c r="F1130" s="3" t="s">
        <v>20</v>
      </c>
      <c r="G1130" s="4">
        <v>35086</v>
      </c>
      <c r="H1130" s="3" t="s">
        <v>46</v>
      </c>
      <c r="I1130" s="3" t="s">
        <v>22</v>
      </c>
      <c r="J1130" s="5">
        <v>100000</v>
      </c>
      <c r="K1130" s="3">
        <v>4644301</v>
      </c>
      <c r="L1130" s="3" t="s">
        <v>326</v>
      </c>
      <c r="M1130" s="3" t="s">
        <v>4522</v>
      </c>
      <c r="N1130" s="3">
        <v>1672</v>
      </c>
      <c r="P1130" s="3" t="s">
        <v>4523</v>
      </c>
      <c r="Q1130" s="3" t="s">
        <v>4524</v>
      </c>
      <c r="R1130" s="3" t="s">
        <v>792</v>
      </c>
      <c r="S1130" s="3">
        <v>68040420</v>
      </c>
      <c r="T1130" s="3">
        <v>9335234817</v>
      </c>
      <c r="U1130" s="3" t="s">
        <v>29</v>
      </c>
    </row>
    <row r="1131" spans="1:21" ht="13.2" x14ac:dyDescent="0.25">
      <c r="A1131" s="14">
        <v>5628013000123</v>
      </c>
      <c r="B1131" s="15" t="str">
        <f t="shared" si="17"/>
        <v>05.628.013/0001-23</v>
      </c>
      <c r="C1131" s="12"/>
      <c r="D1131" s="3" t="s">
        <v>4525</v>
      </c>
      <c r="E1131" s="3" t="s">
        <v>4525</v>
      </c>
      <c r="F1131" s="3" t="s">
        <v>20</v>
      </c>
      <c r="G1131" s="4">
        <v>37746</v>
      </c>
      <c r="H1131" s="3" t="s">
        <v>21</v>
      </c>
      <c r="I1131" s="3" t="s">
        <v>22</v>
      </c>
      <c r="J1131" s="5">
        <v>600000</v>
      </c>
      <c r="K1131" s="3">
        <v>8020001</v>
      </c>
      <c r="L1131" s="3" t="s">
        <v>196</v>
      </c>
      <c r="M1131" s="3" t="s">
        <v>4526</v>
      </c>
      <c r="N1131" s="3">
        <v>123</v>
      </c>
      <c r="P1131" s="3" t="s">
        <v>4527</v>
      </c>
      <c r="Q1131" s="3" t="s">
        <v>4528</v>
      </c>
      <c r="R1131" s="3" t="s">
        <v>765</v>
      </c>
      <c r="S1131" s="3">
        <v>29167091</v>
      </c>
      <c r="T1131" s="3">
        <v>2733287228</v>
      </c>
      <c r="U1131" s="3" t="s">
        <v>29</v>
      </c>
    </row>
    <row r="1132" spans="1:21" ht="13.2" x14ac:dyDescent="0.25">
      <c r="A1132" s="14">
        <v>1534826000101</v>
      </c>
      <c r="B1132" s="15" t="str">
        <f t="shared" si="17"/>
        <v>01.534.826/0001-01</v>
      </c>
      <c r="C1132" s="12"/>
      <c r="D1132" s="3" t="s">
        <v>4529</v>
      </c>
      <c r="E1132" s="3" t="s">
        <v>4530</v>
      </c>
      <c r="F1132" s="3" t="s">
        <v>20</v>
      </c>
      <c r="G1132" s="4">
        <v>35377</v>
      </c>
      <c r="H1132" s="3" t="s">
        <v>21</v>
      </c>
      <c r="I1132" s="3" t="s">
        <v>33</v>
      </c>
      <c r="J1132" s="5">
        <v>3000000</v>
      </c>
      <c r="K1132" s="3">
        <v>2330302</v>
      </c>
      <c r="L1132" s="3" t="s">
        <v>4531</v>
      </c>
      <c r="M1132" s="3" t="s">
        <v>4532</v>
      </c>
      <c r="N1132" s="3">
        <v>3098</v>
      </c>
      <c r="P1132" s="3" t="s">
        <v>4533</v>
      </c>
      <c r="Q1132" s="3" t="s">
        <v>437</v>
      </c>
      <c r="R1132" s="3" t="s">
        <v>53</v>
      </c>
      <c r="S1132" s="3">
        <v>91270650</v>
      </c>
      <c r="T1132" s="3">
        <v>5133821400</v>
      </c>
      <c r="U1132" s="3" t="s">
        <v>29</v>
      </c>
    </row>
    <row r="1133" spans="1:21" ht="13.2" x14ac:dyDescent="0.25">
      <c r="A1133" s="14">
        <v>18552169000110</v>
      </c>
      <c r="B1133" s="15" t="str">
        <f t="shared" si="17"/>
        <v>18.552.169/0001-10</v>
      </c>
      <c r="C1133" s="12"/>
      <c r="D1133" s="3" t="s">
        <v>4534</v>
      </c>
      <c r="E1133" s="3" t="s">
        <v>4535</v>
      </c>
      <c r="F1133" s="3" t="s">
        <v>20</v>
      </c>
      <c r="G1133" s="4">
        <v>41479</v>
      </c>
      <c r="H1133" s="3" t="s">
        <v>21</v>
      </c>
      <c r="I1133" s="3" t="s">
        <v>33</v>
      </c>
      <c r="J1133" s="5">
        <v>6714</v>
      </c>
      <c r="K1133" s="3">
        <v>4664800</v>
      </c>
      <c r="L1133" s="3" t="s">
        <v>691</v>
      </c>
      <c r="M1133" s="3" t="s">
        <v>4536</v>
      </c>
      <c r="N1133" s="3">
        <v>885</v>
      </c>
      <c r="O1133" s="3" t="s">
        <v>4537</v>
      </c>
      <c r="P1133" s="3" t="s">
        <v>4538</v>
      </c>
      <c r="Q1133" s="3" t="s">
        <v>617</v>
      </c>
      <c r="R1133" s="3" t="s">
        <v>28</v>
      </c>
      <c r="S1133" s="3">
        <v>6473000</v>
      </c>
      <c r="T1133" s="3">
        <v>1155390797</v>
      </c>
      <c r="U1133" s="3" t="s">
        <v>29</v>
      </c>
    </row>
    <row r="1134" spans="1:21" ht="13.2" x14ac:dyDescent="0.25">
      <c r="A1134" s="14">
        <v>61519955000144</v>
      </c>
      <c r="B1134" s="15" t="str">
        <f t="shared" si="17"/>
        <v>61.519.955/0001-44</v>
      </c>
      <c r="C1134" s="12"/>
      <c r="D1134" s="3" t="s">
        <v>4539</v>
      </c>
      <c r="E1134" s="3" t="s">
        <v>4539</v>
      </c>
      <c r="F1134" s="3" t="s">
        <v>20</v>
      </c>
      <c r="G1134" s="4">
        <v>25155</v>
      </c>
      <c r="H1134" s="3" t="s">
        <v>21</v>
      </c>
      <c r="I1134" s="3" t="s">
        <v>33</v>
      </c>
      <c r="J1134" s="5">
        <v>15000000</v>
      </c>
      <c r="K1134" s="3">
        <v>4645101</v>
      </c>
      <c r="L1134" s="3" t="s">
        <v>135</v>
      </c>
      <c r="M1134" s="3" t="s">
        <v>4540</v>
      </c>
      <c r="N1134" s="3">
        <v>515</v>
      </c>
      <c r="O1134" s="3" t="s">
        <v>4541</v>
      </c>
      <c r="P1134" s="3" t="s">
        <v>1585</v>
      </c>
      <c r="Q1134" s="3" t="s">
        <v>27</v>
      </c>
      <c r="R1134" s="3" t="s">
        <v>28</v>
      </c>
      <c r="S1134" s="3">
        <v>1409001</v>
      </c>
      <c r="T1134" s="3">
        <v>1133711500</v>
      </c>
      <c r="U1134" s="3" t="s">
        <v>29</v>
      </c>
    </row>
    <row r="1135" spans="1:21" ht="13.2" x14ac:dyDescent="0.25">
      <c r="A1135" s="14">
        <v>4600936000104</v>
      </c>
      <c r="B1135" s="15" t="str">
        <f t="shared" si="17"/>
        <v>04.600.936/0001-04</v>
      </c>
      <c r="C1135" s="12"/>
      <c r="D1135" s="3" t="s">
        <v>4542</v>
      </c>
      <c r="E1135" s="3" t="s">
        <v>4543</v>
      </c>
      <c r="F1135" s="3" t="s">
        <v>20</v>
      </c>
      <c r="G1135" s="4">
        <v>37105</v>
      </c>
      <c r="H1135" s="3" t="s">
        <v>21</v>
      </c>
      <c r="I1135" s="3" t="s">
        <v>22</v>
      </c>
      <c r="J1135" s="5">
        <v>95400</v>
      </c>
      <c r="K1135" s="3">
        <v>4763602</v>
      </c>
      <c r="L1135" s="3" t="s">
        <v>2038</v>
      </c>
      <c r="M1135" s="3" t="s">
        <v>2782</v>
      </c>
      <c r="N1135" s="3">
        <v>149</v>
      </c>
      <c r="P1135" s="3" t="s">
        <v>70</v>
      </c>
      <c r="Q1135" s="3" t="s">
        <v>1527</v>
      </c>
      <c r="R1135" s="3" t="s">
        <v>28</v>
      </c>
      <c r="S1135" s="3">
        <v>8550210</v>
      </c>
      <c r="T1135" s="3">
        <v>1128918448</v>
      </c>
      <c r="U1135" s="3" t="s">
        <v>29</v>
      </c>
    </row>
    <row r="1136" spans="1:21" ht="13.2" x14ac:dyDescent="0.25">
      <c r="A1136" s="14">
        <v>3582243000173</v>
      </c>
      <c r="B1136" s="15" t="str">
        <f t="shared" si="17"/>
        <v>03.582.243/0001-73</v>
      </c>
      <c r="C1136" s="12"/>
      <c r="D1136" s="3" t="s">
        <v>4544</v>
      </c>
      <c r="E1136" s="3" t="s">
        <v>4545</v>
      </c>
      <c r="F1136" s="3" t="s">
        <v>20</v>
      </c>
      <c r="G1136" s="4">
        <v>36525</v>
      </c>
      <c r="H1136" s="3" t="s">
        <v>3881</v>
      </c>
      <c r="I1136" s="3" t="s">
        <v>33</v>
      </c>
      <c r="J1136" s="5">
        <v>283324030</v>
      </c>
      <c r="K1136" s="3">
        <v>3600601</v>
      </c>
      <c r="L1136" s="3" t="s">
        <v>788</v>
      </c>
      <c r="M1136" s="3" t="s">
        <v>4546</v>
      </c>
      <c r="N1136" s="3">
        <v>1500</v>
      </c>
      <c r="P1136" s="3" t="s">
        <v>4547</v>
      </c>
      <c r="Q1136" s="3" t="s">
        <v>567</v>
      </c>
      <c r="R1136" s="3" t="s">
        <v>28</v>
      </c>
      <c r="S1136" s="3">
        <v>13214020</v>
      </c>
      <c r="T1136" s="3">
        <v>1145891300</v>
      </c>
      <c r="U1136" s="3" t="s">
        <v>29</v>
      </c>
    </row>
    <row r="1137" spans="1:21" ht="13.2" x14ac:dyDescent="0.25">
      <c r="A1137" s="14">
        <v>44635233000136</v>
      </c>
      <c r="B1137" s="15" t="str">
        <f t="shared" si="17"/>
        <v>44.635.233/0001-36</v>
      </c>
      <c r="C1137" s="12"/>
      <c r="D1137" s="3" t="s">
        <v>4548</v>
      </c>
      <c r="E1137" s="3" t="s">
        <v>4548</v>
      </c>
      <c r="F1137" s="3" t="s">
        <v>20</v>
      </c>
      <c r="G1137" s="4">
        <v>28628</v>
      </c>
      <c r="H1137" s="3" t="s">
        <v>3061</v>
      </c>
      <c r="I1137" s="3" t="s">
        <v>33</v>
      </c>
      <c r="J1137" s="5">
        <v>42770344</v>
      </c>
      <c r="K1137" s="3">
        <v>3600601</v>
      </c>
      <c r="L1137" s="3" t="s">
        <v>788</v>
      </c>
      <c r="M1137" s="3" t="s">
        <v>4549</v>
      </c>
      <c r="N1137" s="3">
        <v>1054</v>
      </c>
      <c r="P1137" s="3" t="s">
        <v>4550</v>
      </c>
      <c r="Q1137" s="3" t="s">
        <v>59</v>
      </c>
      <c r="R1137" s="3" t="s">
        <v>28</v>
      </c>
      <c r="S1137" s="3">
        <v>13274000</v>
      </c>
      <c r="T1137" s="3">
        <v>1921224433</v>
      </c>
      <c r="U1137" s="3" t="s">
        <v>29</v>
      </c>
    </row>
    <row r="1138" spans="1:21" ht="13.2" x14ac:dyDescent="0.25">
      <c r="A1138" s="14">
        <v>13114506000173</v>
      </c>
      <c r="B1138" s="15" t="str">
        <f t="shared" si="17"/>
        <v>13.114.506/0001-73</v>
      </c>
      <c r="C1138" s="12" t="str">
        <f>VLOOKUP(B1138,[1]Planilha1!$A:$B,2,0)</f>
        <v>Malu Montesino</v>
      </c>
      <c r="D1138" s="3" t="s">
        <v>4551</v>
      </c>
      <c r="E1138" s="3" t="s">
        <v>4552</v>
      </c>
      <c r="F1138" s="3" t="s">
        <v>20</v>
      </c>
      <c r="G1138" s="4">
        <v>40554</v>
      </c>
      <c r="H1138" s="3" t="s">
        <v>21</v>
      </c>
      <c r="I1138" s="3" t="s">
        <v>33</v>
      </c>
      <c r="J1138" s="5">
        <v>2644969500</v>
      </c>
      <c r="K1138" s="3">
        <v>2920401</v>
      </c>
      <c r="L1138" s="3" t="s">
        <v>4553</v>
      </c>
      <c r="M1138" s="3" t="s">
        <v>4554</v>
      </c>
      <c r="N1138" s="3">
        <v>6000</v>
      </c>
      <c r="P1138" s="3" t="s">
        <v>370</v>
      </c>
      <c r="Q1138" s="3" t="s">
        <v>4555</v>
      </c>
      <c r="R1138" s="3" t="s">
        <v>187</v>
      </c>
      <c r="S1138" s="3">
        <v>84072190</v>
      </c>
      <c r="T1138" s="3">
        <v>4231228433</v>
      </c>
      <c r="U1138" s="3" t="s">
        <v>29</v>
      </c>
    </row>
    <row r="1139" spans="1:21" ht="13.2" x14ac:dyDescent="0.25">
      <c r="A1139" s="14">
        <v>17114464000121</v>
      </c>
      <c r="B1139" s="15" t="str">
        <f t="shared" si="17"/>
        <v>17.114.464/0001-21</v>
      </c>
      <c r="C1139" s="12"/>
      <c r="D1139" s="3" t="s">
        <v>4556</v>
      </c>
      <c r="E1139" s="3" t="s">
        <v>4557</v>
      </c>
      <c r="F1139" s="3" t="s">
        <v>20</v>
      </c>
      <c r="G1139" s="4">
        <v>41179</v>
      </c>
      <c r="H1139" s="3" t="s">
        <v>21</v>
      </c>
      <c r="I1139" s="3" t="s">
        <v>22</v>
      </c>
      <c r="J1139" s="5">
        <v>100000</v>
      </c>
      <c r="K1139" s="3">
        <v>2651500</v>
      </c>
      <c r="L1139" s="3" t="s">
        <v>600</v>
      </c>
      <c r="M1139" s="3" t="s">
        <v>4558</v>
      </c>
      <c r="N1139" s="3">
        <v>181</v>
      </c>
      <c r="P1139" s="3" t="s">
        <v>4559</v>
      </c>
      <c r="Q1139" s="3" t="s">
        <v>357</v>
      </c>
      <c r="R1139" s="3" t="s">
        <v>28</v>
      </c>
      <c r="S1139" s="3">
        <v>7176480</v>
      </c>
      <c r="T1139" s="3">
        <v>1129778488</v>
      </c>
      <c r="U1139" s="3" t="s">
        <v>29</v>
      </c>
    </row>
    <row r="1140" spans="1:21" ht="13.2" x14ac:dyDescent="0.25">
      <c r="A1140" s="14">
        <v>62150040000177</v>
      </c>
      <c r="B1140" s="15" t="str">
        <f t="shared" si="17"/>
        <v>62.150.040/0001-77</v>
      </c>
      <c r="C1140" s="12"/>
      <c r="D1140" s="3" t="s">
        <v>4560</v>
      </c>
      <c r="E1140" s="3" t="s">
        <v>4560</v>
      </c>
      <c r="F1140" s="3" t="s">
        <v>20</v>
      </c>
      <c r="G1140" s="4">
        <v>32890</v>
      </c>
      <c r="H1140" s="3" t="s">
        <v>21</v>
      </c>
      <c r="I1140" s="3" t="s">
        <v>33</v>
      </c>
      <c r="J1140" s="5">
        <v>20000000</v>
      </c>
      <c r="K1140" s="3">
        <v>4685100</v>
      </c>
      <c r="L1140" s="3" t="s">
        <v>390</v>
      </c>
      <c r="M1140" s="3" t="s">
        <v>4561</v>
      </c>
      <c r="N1140" s="3">
        <v>1498</v>
      </c>
      <c r="O1140" s="3" t="s">
        <v>4562</v>
      </c>
      <c r="P1140" s="3" t="s">
        <v>2113</v>
      </c>
      <c r="Q1140" s="3" t="s">
        <v>357</v>
      </c>
      <c r="R1140" s="3" t="s">
        <v>28</v>
      </c>
      <c r="S1140" s="3">
        <v>7251500</v>
      </c>
      <c r="T1140" s="3">
        <v>1138761360</v>
      </c>
      <c r="U1140" s="3" t="s">
        <v>29</v>
      </c>
    </row>
    <row r="1141" spans="1:21" ht="13.2" x14ac:dyDescent="0.25">
      <c r="A1141" s="14">
        <v>2172568000115</v>
      </c>
      <c r="B1141" s="15" t="str">
        <f t="shared" si="17"/>
        <v>02.172.568/0001-15</v>
      </c>
      <c r="C1141" s="12" t="str">
        <f>VLOOKUP(B1141,[1]Planilha1!$A:$B,2,0)</f>
        <v>Malu Montesino</v>
      </c>
      <c r="D1141" s="3" t="s">
        <v>4563</v>
      </c>
      <c r="E1141" s="3" t="s">
        <v>4563</v>
      </c>
      <c r="F1141" s="3" t="s">
        <v>20</v>
      </c>
      <c r="G1141" s="4">
        <v>35613</v>
      </c>
      <c r="H1141" s="3" t="s">
        <v>21</v>
      </c>
      <c r="I1141" s="3" t="s">
        <v>33</v>
      </c>
      <c r="J1141" s="5">
        <v>1378380200</v>
      </c>
      <c r="K1141" s="3">
        <v>4669999</v>
      </c>
      <c r="L1141" s="3" t="s">
        <v>558</v>
      </c>
      <c r="M1141" s="3" t="s">
        <v>4564</v>
      </c>
      <c r="N1141" s="3">
        <v>305</v>
      </c>
      <c r="O1141" s="3" t="s">
        <v>4565</v>
      </c>
      <c r="P1141" s="3" t="s">
        <v>3402</v>
      </c>
      <c r="Q1141" s="3" t="s">
        <v>27</v>
      </c>
      <c r="R1141" s="3" t="s">
        <v>28</v>
      </c>
      <c r="S1141" s="3">
        <v>5503001</v>
      </c>
      <c r="T1141" s="3">
        <v>1131232525</v>
      </c>
      <c r="U1141" s="3" t="s">
        <v>29</v>
      </c>
    </row>
    <row r="1142" spans="1:21" ht="13.2" x14ac:dyDescent="0.25">
      <c r="A1142" s="14">
        <v>73305864000195</v>
      </c>
      <c r="B1142" s="15" t="str">
        <f t="shared" si="17"/>
        <v>73.305.864/0001-95</v>
      </c>
      <c r="C1142" s="12" t="str">
        <f>VLOOKUP(B1142,[1]Planilha1!$A:$B,2,0)</f>
        <v>Malu Montesino</v>
      </c>
      <c r="D1142" s="3" t="s">
        <v>4566</v>
      </c>
      <c r="E1142" s="3" t="s">
        <v>4567</v>
      </c>
      <c r="F1142" s="3" t="s">
        <v>20</v>
      </c>
      <c r="G1142" s="4">
        <v>34208</v>
      </c>
      <c r="H1142" s="3" t="s">
        <v>21</v>
      </c>
      <c r="I1142" s="3" t="s">
        <v>33</v>
      </c>
      <c r="J1142" s="5">
        <v>0</v>
      </c>
      <c r="K1142" s="3">
        <v>2822402</v>
      </c>
      <c r="L1142" s="3" t="s">
        <v>4317</v>
      </c>
      <c r="M1142" s="3" t="s">
        <v>4364</v>
      </c>
      <c r="N1142" s="3">
        <v>510</v>
      </c>
      <c r="P1142" s="3" t="s">
        <v>2024</v>
      </c>
      <c r="Q1142" s="3" t="s">
        <v>2005</v>
      </c>
      <c r="R1142" s="3" t="s">
        <v>187</v>
      </c>
      <c r="S1142" s="3">
        <v>83707130</v>
      </c>
      <c r="T1142" s="3">
        <v>4136432232</v>
      </c>
      <c r="U1142" s="3" t="s">
        <v>29</v>
      </c>
    </row>
    <row r="1143" spans="1:21" ht="13.2" x14ac:dyDescent="0.25">
      <c r="A1143" s="14">
        <v>14172293000107</v>
      </c>
      <c r="B1143" s="15" t="str">
        <f t="shared" si="17"/>
        <v>14.172.293/0001-07</v>
      </c>
      <c r="C1143" s="12" t="str">
        <f>VLOOKUP(B1143,[1]Planilha1!$A:$B,2,0)</f>
        <v>Malu Montesino</v>
      </c>
      <c r="D1143" s="3" t="s">
        <v>4568</v>
      </c>
      <c r="E1143" s="3" t="s">
        <v>4568</v>
      </c>
      <c r="F1143" s="3" t="s">
        <v>20</v>
      </c>
      <c r="G1143" s="4">
        <v>40721</v>
      </c>
      <c r="H1143" s="3" t="s">
        <v>21</v>
      </c>
      <c r="I1143" s="3" t="s">
        <v>47</v>
      </c>
      <c r="J1143" s="5">
        <v>272000</v>
      </c>
      <c r="K1143" s="3">
        <v>4789099</v>
      </c>
      <c r="L1143" s="3" t="s">
        <v>774</v>
      </c>
      <c r="M1143" s="3" t="s">
        <v>4569</v>
      </c>
      <c r="N1143" s="3">
        <v>173</v>
      </c>
      <c r="O1143" s="3" t="s">
        <v>4570</v>
      </c>
      <c r="P1143" s="3" t="s">
        <v>4571</v>
      </c>
      <c r="Q1143" s="3" t="s">
        <v>27</v>
      </c>
      <c r="R1143" s="3" t="s">
        <v>28</v>
      </c>
      <c r="S1143" s="3">
        <v>5335000</v>
      </c>
      <c r="T1143" s="3">
        <v>1137651724</v>
      </c>
      <c r="U1143" s="3" t="s">
        <v>29</v>
      </c>
    </row>
    <row r="1144" spans="1:21" ht="13.2" x14ac:dyDescent="0.25">
      <c r="A1144" s="14">
        <v>33561853000151</v>
      </c>
      <c r="B1144" s="15" t="str">
        <f t="shared" si="17"/>
        <v>33.561.853/0001-51</v>
      </c>
      <c r="C1144" s="12"/>
      <c r="D1144" s="3" t="s">
        <v>4572</v>
      </c>
      <c r="E1144" s="3" t="s">
        <v>4573</v>
      </c>
      <c r="F1144" s="3" t="s">
        <v>20</v>
      </c>
      <c r="G1144" s="4">
        <v>24376</v>
      </c>
      <c r="H1144" s="3" t="s">
        <v>94</v>
      </c>
      <c r="I1144" s="3" t="s">
        <v>33</v>
      </c>
      <c r="J1144" s="5">
        <v>0</v>
      </c>
      <c r="K1144" s="3">
        <v>2812700</v>
      </c>
      <c r="L1144" s="3" t="s">
        <v>1534</v>
      </c>
      <c r="M1144" s="3" t="s">
        <v>518</v>
      </c>
      <c r="N1144" s="3">
        <v>49259</v>
      </c>
      <c r="P1144" s="3" t="s">
        <v>1141</v>
      </c>
      <c r="Q1144" s="3" t="s">
        <v>253</v>
      </c>
      <c r="R1144" s="3" t="s">
        <v>78</v>
      </c>
      <c r="S1144" s="3">
        <v>23078001</v>
      </c>
      <c r="T1144" s="3">
        <v>2134089292</v>
      </c>
      <c r="U1144" s="3" t="s">
        <v>29</v>
      </c>
    </row>
    <row r="1145" spans="1:21" ht="13.2" x14ac:dyDescent="0.25">
      <c r="A1145" s="14">
        <v>62158480000170</v>
      </c>
      <c r="B1145" s="15" t="str">
        <f t="shared" si="17"/>
        <v>62.158.480/0001-70</v>
      </c>
      <c r="C1145" s="12" t="str">
        <f>VLOOKUP(B1145,[1]Planilha1!$A:$B,2,0)</f>
        <v>Malu Montesino</v>
      </c>
      <c r="D1145" s="3" t="s">
        <v>4574</v>
      </c>
      <c r="E1145" s="3" t="s">
        <v>4574</v>
      </c>
      <c r="F1145" s="3" t="s">
        <v>20</v>
      </c>
      <c r="G1145" s="4">
        <v>25043</v>
      </c>
      <c r="H1145" s="3" t="s">
        <v>21</v>
      </c>
      <c r="I1145" s="3" t="s">
        <v>33</v>
      </c>
      <c r="J1145" s="5">
        <v>52317948</v>
      </c>
      <c r="K1145" s="3">
        <v>2823200</v>
      </c>
      <c r="L1145" s="3" t="s">
        <v>1667</v>
      </c>
      <c r="M1145" s="3" t="s">
        <v>4575</v>
      </c>
      <c r="N1145" s="3">
        <v>85</v>
      </c>
      <c r="P1145" s="3" t="s">
        <v>4576</v>
      </c>
      <c r="Q1145" s="3" t="s">
        <v>262</v>
      </c>
      <c r="R1145" s="3" t="s">
        <v>28</v>
      </c>
      <c r="S1145" s="3">
        <v>6273070</v>
      </c>
      <c r="T1145" s="3">
        <v>1121355476</v>
      </c>
      <c r="U1145" s="3" t="s">
        <v>29</v>
      </c>
    </row>
    <row r="1146" spans="1:21" ht="13.2" x14ac:dyDescent="0.25">
      <c r="A1146" s="14">
        <v>3264493000165</v>
      </c>
      <c r="B1146" s="15" t="str">
        <f t="shared" si="17"/>
        <v>03.264.493/0001-65</v>
      </c>
      <c r="C1146" s="12" t="str">
        <f>VLOOKUP(B1146,[1]Planilha1!$A:$B,2,0)</f>
        <v>Malu Montesino</v>
      </c>
      <c r="D1146" s="3" t="s">
        <v>4577</v>
      </c>
      <c r="E1146" s="3" t="s">
        <v>4577</v>
      </c>
      <c r="F1146" s="3" t="s">
        <v>20</v>
      </c>
      <c r="G1146" s="4">
        <v>36315</v>
      </c>
      <c r="H1146" s="3" t="s">
        <v>21</v>
      </c>
      <c r="I1146" s="3" t="s">
        <v>33</v>
      </c>
      <c r="J1146" s="5">
        <v>10000000</v>
      </c>
      <c r="K1146" s="3">
        <v>7112000</v>
      </c>
      <c r="L1146" s="3" t="s">
        <v>276</v>
      </c>
      <c r="M1146" s="3" t="s">
        <v>4578</v>
      </c>
      <c r="N1146" s="3">
        <v>396</v>
      </c>
      <c r="O1146" s="3" t="s">
        <v>4579</v>
      </c>
      <c r="P1146" s="3" t="s">
        <v>1240</v>
      </c>
      <c r="Q1146" s="3" t="s">
        <v>204</v>
      </c>
      <c r="R1146" s="3" t="s">
        <v>187</v>
      </c>
      <c r="S1146" s="3">
        <v>80030030</v>
      </c>
      <c r="T1146" s="3">
        <v>4133390718</v>
      </c>
      <c r="U1146" s="3" t="s">
        <v>29</v>
      </c>
    </row>
    <row r="1147" spans="1:21" ht="13.2" x14ac:dyDescent="0.25">
      <c r="A1147" s="14">
        <v>25526785000161</v>
      </c>
      <c r="B1147" s="15" t="str">
        <f t="shared" si="17"/>
        <v>25.526.785/0001-61</v>
      </c>
      <c r="C1147" s="12"/>
      <c r="D1147" s="3" t="s">
        <v>4580</v>
      </c>
      <c r="E1147" s="3" t="s">
        <v>4581</v>
      </c>
      <c r="F1147" s="3" t="s">
        <v>20</v>
      </c>
      <c r="G1147" s="4">
        <v>42593</v>
      </c>
      <c r="H1147" s="3" t="s">
        <v>46</v>
      </c>
      <c r="I1147" s="3" t="s">
        <v>47</v>
      </c>
      <c r="J1147" s="5">
        <v>10000</v>
      </c>
      <c r="K1147" s="3">
        <v>8111700</v>
      </c>
      <c r="L1147" s="3" t="s">
        <v>290</v>
      </c>
      <c r="M1147" s="3" t="s">
        <v>4582</v>
      </c>
      <c r="N1147" s="3">
        <v>54</v>
      </c>
      <c r="O1147" s="3" t="s">
        <v>4583</v>
      </c>
      <c r="P1147" s="3" t="s">
        <v>1522</v>
      </c>
      <c r="Q1147" s="3" t="s">
        <v>27</v>
      </c>
      <c r="R1147" s="3" t="s">
        <v>28</v>
      </c>
      <c r="S1147" s="3">
        <v>8290680</v>
      </c>
      <c r="T1147" s="3">
        <v>1196656018</v>
      </c>
      <c r="U1147" s="3" t="s">
        <v>29</v>
      </c>
    </row>
    <row r="1148" spans="1:21" ht="13.2" x14ac:dyDescent="0.25">
      <c r="A1148" s="14">
        <v>21068031000154</v>
      </c>
      <c r="B1148" s="15" t="str">
        <f t="shared" si="17"/>
        <v>21.068.031/0001-54</v>
      </c>
      <c r="C1148" s="12"/>
      <c r="D1148" s="3" t="s">
        <v>4584</v>
      </c>
      <c r="E1148" s="3" t="s">
        <v>4584</v>
      </c>
      <c r="F1148" s="3" t="s">
        <v>45</v>
      </c>
      <c r="G1148" s="4">
        <v>41899</v>
      </c>
      <c r="H1148" s="3" t="s">
        <v>21</v>
      </c>
      <c r="I1148" s="3" t="s">
        <v>22</v>
      </c>
      <c r="J1148" s="5">
        <v>150000</v>
      </c>
      <c r="K1148" s="3">
        <v>4665600</v>
      </c>
      <c r="L1148" s="3" t="s">
        <v>4585</v>
      </c>
      <c r="M1148" s="3" t="s">
        <v>4586</v>
      </c>
      <c r="N1148" s="3">
        <v>184</v>
      </c>
      <c r="P1148" s="3" t="s">
        <v>4587</v>
      </c>
      <c r="Q1148" s="3" t="s">
        <v>253</v>
      </c>
      <c r="R1148" s="3" t="s">
        <v>78</v>
      </c>
      <c r="S1148" s="3">
        <v>21341370</v>
      </c>
      <c r="T1148" s="3">
        <v>2133507898</v>
      </c>
      <c r="U1148" s="3" t="s">
        <v>29</v>
      </c>
    </row>
    <row r="1149" spans="1:21" ht="13.2" x14ac:dyDescent="0.25">
      <c r="A1149" s="14">
        <v>23643315000152</v>
      </c>
      <c r="B1149" s="15" t="str">
        <f t="shared" si="17"/>
        <v>23.643.315/0001-52</v>
      </c>
      <c r="C1149" s="12"/>
      <c r="D1149" s="3" t="s">
        <v>4588</v>
      </c>
      <c r="E1149" s="3" t="s">
        <v>4588</v>
      </c>
      <c r="F1149" s="3" t="s">
        <v>20</v>
      </c>
      <c r="G1149" s="4">
        <v>27575</v>
      </c>
      <c r="H1149" s="3" t="s">
        <v>21</v>
      </c>
      <c r="I1149" s="3" t="s">
        <v>33</v>
      </c>
      <c r="J1149" s="5">
        <v>1157102700</v>
      </c>
      <c r="K1149" s="3">
        <v>1052000</v>
      </c>
      <c r="L1149" s="3" t="s">
        <v>4589</v>
      </c>
      <c r="M1149" s="3" t="s">
        <v>246</v>
      </c>
      <c r="N1149" s="3">
        <v>2300</v>
      </c>
      <c r="O1149" s="3" t="s">
        <v>4590</v>
      </c>
      <c r="P1149" s="3" t="s">
        <v>296</v>
      </c>
      <c r="Q1149" s="3" t="s">
        <v>27</v>
      </c>
      <c r="R1149" s="3" t="s">
        <v>28</v>
      </c>
      <c r="S1149" s="3">
        <v>1310300</v>
      </c>
      <c r="T1149" s="3">
        <v>3537297901</v>
      </c>
      <c r="U1149" s="3" t="s">
        <v>29</v>
      </c>
    </row>
    <row r="1150" spans="1:21" ht="13.2" x14ac:dyDescent="0.25">
      <c r="A1150" s="14">
        <v>11292392000126</v>
      </c>
      <c r="B1150" s="15" t="str">
        <f t="shared" si="17"/>
        <v>11.292.392/0001-26</v>
      </c>
      <c r="C1150" s="12"/>
      <c r="D1150" s="3" t="s">
        <v>4591</v>
      </c>
      <c r="E1150" s="3" t="s">
        <v>4592</v>
      </c>
      <c r="F1150" s="3" t="s">
        <v>20</v>
      </c>
      <c r="G1150" s="4">
        <v>40105</v>
      </c>
      <c r="H1150" s="3" t="s">
        <v>21</v>
      </c>
      <c r="I1150" s="3" t="s">
        <v>22</v>
      </c>
      <c r="J1150" s="5">
        <v>300000</v>
      </c>
      <c r="K1150" s="3">
        <v>4617600</v>
      </c>
      <c r="L1150" s="3" t="s">
        <v>4593</v>
      </c>
      <c r="M1150" s="3" t="s">
        <v>4594</v>
      </c>
      <c r="N1150" s="3">
        <v>14</v>
      </c>
      <c r="P1150" s="3" t="s">
        <v>4595</v>
      </c>
      <c r="Q1150" s="3" t="s">
        <v>199</v>
      </c>
      <c r="R1150" s="3" t="s">
        <v>792</v>
      </c>
      <c r="S1150" s="3">
        <v>66610120</v>
      </c>
      <c r="T1150" s="3">
        <v>9185052441</v>
      </c>
      <c r="U1150" s="3" t="s">
        <v>29</v>
      </c>
    </row>
    <row r="1151" spans="1:21" ht="13.2" x14ac:dyDescent="0.25">
      <c r="A1151" s="14">
        <v>14089982000225</v>
      </c>
      <c r="B1151" s="15" t="str">
        <f t="shared" si="17"/>
        <v>14.089.982/0002-25</v>
      </c>
      <c r="C1151" s="12" t="str">
        <f>VLOOKUP(B1151,[1]Planilha1!$A:$B,2,0)</f>
        <v>Mariane Nascimento</v>
      </c>
      <c r="D1151" s="3" t="s">
        <v>4596</v>
      </c>
      <c r="E1151" s="3" t="s">
        <v>4597</v>
      </c>
      <c r="F1151" s="3" t="s">
        <v>20</v>
      </c>
      <c r="G1151" s="4">
        <v>43383</v>
      </c>
      <c r="H1151" s="3" t="s">
        <v>21</v>
      </c>
      <c r="I1151" s="3" t="s">
        <v>33</v>
      </c>
      <c r="J1151" s="5">
        <v>6580000</v>
      </c>
      <c r="K1151" s="3">
        <v>3299003</v>
      </c>
      <c r="L1151" s="3" t="s">
        <v>2654</v>
      </c>
      <c r="M1151" s="3" t="s">
        <v>4598</v>
      </c>
      <c r="N1151" s="3">
        <v>280</v>
      </c>
      <c r="O1151" s="3" t="s">
        <v>117</v>
      </c>
      <c r="P1151" s="3" t="s">
        <v>487</v>
      </c>
      <c r="Q1151" s="3" t="s">
        <v>488</v>
      </c>
      <c r="R1151" s="3" t="s">
        <v>28</v>
      </c>
      <c r="S1151" s="3">
        <v>13288159</v>
      </c>
      <c r="T1151" s="3">
        <v>1937944545</v>
      </c>
      <c r="U1151" s="3" t="s">
        <v>29</v>
      </c>
    </row>
    <row r="1152" spans="1:21" ht="13.2" x14ac:dyDescent="0.25">
      <c r="A1152" s="14">
        <v>27338139000104</v>
      </c>
      <c r="B1152" s="15" t="str">
        <f t="shared" si="17"/>
        <v>27.338.139/0001-04</v>
      </c>
      <c r="C1152" s="12"/>
      <c r="D1152" s="3" t="s">
        <v>4599</v>
      </c>
      <c r="E1152" s="3" t="s">
        <v>4600</v>
      </c>
      <c r="F1152" s="3" t="s">
        <v>20</v>
      </c>
      <c r="G1152" s="4">
        <v>42814</v>
      </c>
      <c r="H1152" s="3" t="s">
        <v>21</v>
      </c>
      <c r="I1152" s="3" t="s">
        <v>47</v>
      </c>
      <c r="J1152" s="5">
        <v>250000</v>
      </c>
      <c r="K1152" s="3">
        <v>4789007</v>
      </c>
      <c r="L1152" s="3" t="s">
        <v>4601</v>
      </c>
      <c r="M1152" s="3" t="s">
        <v>4602</v>
      </c>
      <c r="N1152" s="3" t="s">
        <v>111</v>
      </c>
      <c r="O1152" s="3" t="s">
        <v>4603</v>
      </c>
      <c r="P1152" s="3" t="s">
        <v>4604</v>
      </c>
      <c r="Q1152" s="3" t="s">
        <v>4605</v>
      </c>
      <c r="R1152" s="3" t="s">
        <v>274</v>
      </c>
      <c r="S1152" s="3">
        <v>72804280</v>
      </c>
      <c r="T1152" s="3">
        <v>6136223356</v>
      </c>
      <c r="U1152" s="3" t="s">
        <v>29</v>
      </c>
    </row>
    <row r="1153" spans="1:21" ht="13.2" x14ac:dyDescent="0.25">
      <c r="A1153" s="14">
        <v>2403570000158</v>
      </c>
      <c r="B1153" s="15" t="str">
        <f t="shared" si="17"/>
        <v>02.403.570/0001-58</v>
      </c>
      <c r="C1153" s="12"/>
      <c r="D1153" s="3" t="s">
        <v>4606</v>
      </c>
      <c r="E1153" s="3" t="s">
        <v>4606</v>
      </c>
      <c r="F1153" s="3" t="s">
        <v>20</v>
      </c>
      <c r="G1153" s="4">
        <v>35860</v>
      </c>
      <c r="H1153" s="3" t="s">
        <v>21</v>
      </c>
      <c r="I1153" s="3" t="s">
        <v>33</v>
      </c>
      <c r="J1153" s="5">
        <v>6055625</v>
      </c>
      <c r="K1153" s="3">
        <v>6209100</v>
      </c>
      <c r="L1153" s="3" t="s">
        <v>303</v>
      </c>
      <c r="M1153" s="3" t="s">
        <v>4607</v>
      </c>
      <c r="N1153" s="3">
        <v>85</v>
      </c>
      <c r="O1153" s="3" t="s">
        <v>4608</v>
      </c>
      <c r="P1153" s="3" t="s">
        <v>1019</v>
      </c>
      <c r="Q1153" s="3" t="s">
        <v>27</v>
      </c>
      <c r="R1153" s="3" t="s">
        <v>28</v>
      </c>
      <c r="S1153" s="3">
        <v>4576010</v>
      </c>
      <c r="T1153" s="3">
        <v>1132182622</v>
      </c>
      <c r="U1153" s="3" t="s">
        <v>29</v>
      </c>
    </row>
    <row r="1154" spans="1:21" ht="13.2" x14ac:dyDescent="0.25">
      <c r="A1154" s="14">
        <v>26389015000187</v>
      </c>
      <c r="B1154" s="15" t="str">
        <f t="shared" si="17"/>
        <v>26.389.015/0001-87</v>
      </c>
      <c r="C1154" s="12" t="str">
        <f>VLOOKUP(B1154,[1]Planilha1!$A:$B,2,0)</f>
        <v>Malu Montesino</v>
      </c>
      <c r="D1154" s="3" t="s">
        <v>4609</v>
      </c>
      <c r="E1154" s="3" t="s">
        <v>4609</v>
      </c>
      <c r="F1154" s="3" t="s">
        <v>20</v>
      </c>
      <c r="G1154" s="4">
        <v>33058</v>
      </c>
      <c r="H1154" s="3" t="s">
        <v>21</v>
      </c>
      <c r="I1154" s="3" t="s">
        <v>33</v>
      </c>
      <c r="J1154" s="5">
        <v>20000000</v>
      </c>
      <c r="K1154" s="3">
        <v>3313901</v>
      </c>
      <c r="L1154" s="3" t="s">
        <v>4610</v>
      </c>
      <c r="M1154" s="3" t="s">
        <v>4611</v>
      </c>
      <c r="N1154" s="3">
        <v>280</v>
      </c>
      <c r="P1154" s="3" t="s">
        <v>153</v>
      </c>
      <c r="Q1154" s="3" t="s">
        <v>4612</v>
      </c>
      <c r="R1154" s="3" t="s">
        <v>100</v>
      </c>
      <c r="S1154" s="3">
        <v>32450000</v>
      </c>
      <c r="T1154" s="3">
        <v>3135770404</v>
      </c>
      <c r="U1154" s="3" t="s">
        <v>29</v>
      </c>
    </row>
    <row r="1155" spans="1:21" ht="13.2" x14ac:dyDescent="0.25">
      <c r="A1155" s="14">
        <v>5085461000390</v>
      </c>
      <c r="B1155" s="15" t="str">
        <f t="shared" ref="B1155:B1218" si="18">TEXT(A1155,"00\.000\.000\/0000\-00")</f>
        <v>05.085.461/0003-90</v>
      </c>
      <c r="C1155" s="12"/>
      <c r="D1155" s="3" t="s">
        <v>4613</v>
      </c>
      <c r="E1155" s="3" t="s">
        <v>4613</v>
      </c>
      <c r="F1155" s="3" t="s">
        <v>20</v>
      </c>
      <c r="G1155" s="4">
        <v>42338</v>
      </c>
      <c r="H1155" s="3" t="s">
        <v>21</v>
      </c>
      <c r="I1155" s="3" t="s">
        <v>33</v>
      </c>
      <c r="J1155" s="5">
        <v>400000</v>
      </c>
      <c r="K1155" s="3">
        <v>6201501</v>
      </c>
      <c r="L1155" s="3" t="s">
        <v>298</v>
      </c>
      <c r="M1155" s="3" t="s">
        <v>4614</v>
      </c>
      <c r="N1155" s="3">
        <v>470</v>
      </c>
      <c r="O1155" s="3" t="s">
        <v>117</v>
      </c>
      <c r="P1155" s="3" t="s">
        <v>4615</v>
      </c>
      <c r="Q1155" s="3" t="s">
        <v>2015</v>
      </c>
      <c r="R1155" s="3" t="s">
        <v>91</v>
      </c>
      <c r="S1155" s="3">
        <v>89050100</v>
      </c>
      <c r="T1155" s="3">
        <v>4733402990</v>
      </c>
      <c r="U1155" s="3" t="s">
        <v>29</v>
      </c>
    </row>
    <row r="1156" spans="1:21" ht="13.2" x14ac:dyDescent="0.25">
      <c r="A1156" s="14">
        <v>38658399000175</v>
      </c>
      <c r="B1156" s="15" t="str">
        <f t="shared" si="18"/>
        <v>38.658.399/0001-75</v>
      </c>
      <c r="C1156" s="12"/>
      <c r="D1156" s="3" t="s">
        <v>4616</v>
      </c>
      <c r="E1156" s="3" t="s">
        <v>4616</v>
      </c>
      <c r="F1156" s="3" t="s">
        <v>20</v>
      </c>
      <c r="G1156" s="4">
        <v>33052</v>
      </c>
      <c r="H1156" s="3" t="s">
        <v>21</v>
      </c>
      <c r="I1156" s="3" t="s">
        <v>33</v>
      </c>
      <c r="J1156" s="5">
        <v>1149738</v>
      </c>
      <c r="K1156" s="3">
        <v>4645101</v>
      </c>
      <c r="L1156" s="3" t="s">
        <v>135</v>
      </c>
      <c r="M1156" s="3" t="s">
        <v>4617</v>
      </c>
      <c r="N1156" s="3">
        <v>200</v>
      </c>
      <c r="P1156" s="3" t="s">
        <v>2748</v>
      </c>
      <c r="Q1156" s="3" t="s">
        <v>476</v>
      </c>
      <c r="R1156" s="3" t="s">
        <v>100</v>
      </c>
      <c r="S1156" s="3">
        <v>30855445</v>
      </c>
      <c r="T1156" s="3">
        <v>3121029000</v>
      </c>
      <c r="U1156" s="3" t="s">
        <v>29</v>
      </c>
    </row>
    <row r="1157" spans="1:21" ht="13.2" x14ac:dyDescent="0.25">
      <c r="A1157" s="14">
        <v>7179175000157</v>
      </c>
      <c r="B1157" s="15" t="str">
        <f t="shared" si="18"/>
        <v>07.179.175/0001-57</v>
      </c>
      <c r="C1157" s="12"/>
      <c r="D1157" s="3" t="s">
        <v>4618</v>
      </c>
      <c r="E1157" s="3" t="s">
        <v>4619</v>
      </c>
      <c r="F1157" s="3" t="s">
        <v>20</v>
      </c>
      <c r="G1157" s="4">
        <v>38372</v>
      </c>
      <c r="H1157" s="3" t="s">
        <v>21</v>
      </c>
      <c r="I1157" s="3" t="s">
        <v>33</v>
      </c>
      <c r="J1157" s="5">
        <v>1056280</v>
      </c>
      <c r="K1157" s="3">
        <v>2621300</v>
      </c>
      <c r="L1157" s="3" t="s">
        <v>4620</v>
      </c>
      <c r="M1157" s="3" t="s">
        <v>4621</v>
      </c>
      <c r="N1157" s="3">
        <v>339</v>
      </c>
      <c r="P1157" s="3" t="s">
        <v>1966</v>
      </c>
      <c r="Q1157" s="3" t="s">
        <v>4622</v>
      </c>
      <c r="R1157" s="3" t="s">
        <v>4623</v>
      </c>
      <c r="S1157" s="3">
        <v>58401170</v>
      </c>
      <c r="T1157" s="3">
        <v>8333216143</v>
      </c>
      <c r="U1157" s="3" t="s">
        <v>29</v>
      </c>
    </row>
    <row r="1158" spans="1:21" ht="13.2" x14ac:dyDescent="0.25">
      <c r="A1158" s="14">
        <v>4602789000101</v>
      </c>
      <c r="B1158" s="15" t="str">
        <f t="shared" si="18"/>
        <v>04.602.789/0001-01</v>
      </c>
      <c r="C1158" s="12"/>
      <c r="D1158" s="3" t="s">
        <v>4624</v>
      </c>
      <c r="E1158" s="3" t="s">
        <v>4625</v>
      </c>
      <c r="F1158" s="3" t="s">
        <v>20</v>
      </c>
      <c r="G1158" s="4">
        <v>37099</v>
      </c>
      <c r="H1158" s="3" t="s">
        <v>21</v>
      </c>
      <c r="I1158" s="3" t="s">
        <v>33</v>
      </c>
      <c r="J1158" s="5">
        <v>7200708</v>
      </c>
      <c r="K1158" s="3">
        <v>2621300</v>
      </c>
      <c r="L1158" s="3" t="s">
        <v>4620</v>
      </c>
      <c r="M1158" s="3" t="s">
        <v>4626</v>
      </c>
      <c r="N1158" s="3" t="s">
        <v>4627</v>
      </c>
      <c r="O1158" s="3" t="s">
        <v>4628</v>
      </c>
      <c r="P1158" s="3" t="s">
        <v>4629</v>
      </c>
      <c r="Q1158" s="3" t="s">
        <v>4630</v>
      </c>
      <c r="R1158" s="3" t="s">
        <v>281</v>
      </c>
      <c r="S1158" s="3">
        <v>45658335</v>
      </c>
      <c r="T1158" s="3">
        <v>7136165500</v>
      </c>
      <c r="U1158" s="3" t="s">
        <v>29</v>
      </c>
    </row>
    <row r="1159" spans="1:21" ht="13.2" x14ac:dyDescent="0.25">
      <c r="A1159" s="14">
        <v>4865228000103</v>
      </c>
      <c r="B1159" s="15" t="str">
        <f t="shared" si="18"/>
        <v>04.865.228/0001-03</v>
      </c>
      <c r="C1159" s="12"/>
      <c r="D1159" s="3" t="s">
        <v>4631</v>
      </c>
      <c r="E1159" s="3" t="s">
        <v>4632</v>
      </c>
      <c r="F1159" s="3" t="s">
        <v>20</v>
      </c>
      <c r="G1159" s="4">
        <v>37266</v>
      </c>
      <c r="H1159" s="3" t="s">
        <v>94</v>
      </c>
      <c r="I1159" s="3" t="s">
        <v>33</v>
      </c>
      <c r="J1159" s="5">
        <v>103377310</v>
      </c>
      <c r="K1159" s="3">
        <v>1052000</v>
      </c>
      <c r="L1159" s="3" t="s">
        <v>4589</v>
      </c>
      <c r="M1159" s="3" t="s">
        <v>4633</v>
      </c>
      <c r="N1159" s="3" t="s">
        <v>111</v>
      </c>
      <c r="O1159" s="3" t="s">
        <v>4634</v>
      </c>
      <c r="P1159" s="3" t="s">
        <v>4635</v>
      </c>
      <c r="Q1159" s="3" t="s">
        <v>3394</v>
      </c>
      <c r="R1159" s="3" t="s">
        <v>274</v>
      </c>
      <c r="S1159" s="3">
        <v>75914600</v>
      </c>
      <c r="T1159" s="3">
        <v>6436148200</v>
      </c>
      <c r="U1159" s="3" t="s">
        <v>29</v>
      </c>
    </row>
    <row r="1160" spans="1:21" ht="13.2" x14ac:dyDescent="0.25">
      <c r="A1160" s="14">
        <v>23097104000161</v>
      </c>
      <c r="B1160" s="15" t="str">
        <f t="shared" si="18"/>
        <v>23.097.104/0001-61</v>
      </c>
      <c r="C1160" s="12"/>
      <c r="D1160" s="3" t="s">
        <v>4636</v>
      </c>
      <c r="E1160" s="3" t="s">
        <v>4636</v>
      </c>
      <c r="F1160" s="3" t="s">
        <v>20</v>
      </c>
      <c r="G1160" s="4">
        <v>42235</v>
      </c>
      <c r="H1160" s="3" t="s">
        <v>21</v>
      </c>
      <c r="I1160" s="3" t="s">
        <v>33</v>
      </c>
      <c r="J1160" s="5">
        <v>4581388300</v>
      </c>
      <c r="K1160" s="3">
        <v>6462000</v>
      </c>
      <c r="L1160" s="3" t="s">
        <v>250</v>
      </c>
      <c r="M1160" s="3" t="s">
        <v>1095</v>
      </c>
      <c r="N1160" s="3">
        <v>199</v>
      </c>
      <c r="O1160" s="3" t="s">
        <v>4637</v>
      </c>
      <c r="P1160" s="3" t="s">
        <v>1136</v>
      </c>
      <c r="Q1160" s="3" t="s">
        <v>253</v>
      </c>
      <c r="R1160" s="3" t="s">
        <v>78</v>
      </c>
      <c r="S1160" s="3">
        <v>22775022</v>
      </c>
      <c r="T1160" s="3">
        <v>2139527956</v>
      </c>
      <c r="U1160" s="3" t="s">
        <v>29</v>
      </c>
    </row>
    <row r="1161" spans="1:21" ht="13.2" x14ac:dyDescent="0.25">
      <c r="A1161" s="14">
        <v>4463413000163</v>
      </c>
      <c r="B1161" s="15" t="str">
        <f t="shared" si="18"/>
        <v>04.463.413/0001-63</v>
      </c>
      <c r="C1161" s="12"/>
      <c r="D1161" s="3" t="s">
        <v>4638</v>
      </c>
      <c r="E1161" s="3" t="s">
        <v>4639</v>
      </c>
      <c r="F1161" s="3" t="s">
        <v>20</v>
      </c>
      <c r="G1161" s="4">
        <v>37018</v>
      </c>
      <c r="H1161" s="3" t="s">
        <v>21</v>
      </c>
      <c r="I1161" s="3" t="s">
        <v>22</v>
      </c>
      <c r="J1161" s="5">
        <v>150000</v>
      </c>
      <c r="K1161" s="3">
        <v>4744005</v>
      </c>
      <c r="L1161" s="3" t="s">
        <v>1483</v>
      </c>
      <c r="M1161" s="3" t="s">
        <v>4640</v>
      </c>
      <c r="N1161" s="3">
        <v>1222</v>
      </c>
      <c r="P1161" s="3" t="s">
        <v>4571</v>
      </c>
      <c r="Q1161" s="3" t="s">
        <v>27</v>
      </c>
      <c r="R1161" s="3" t="s">
        <v>28</v>
      </c>
      <c r="S1161" s="3">
        <v>5332000</v>
      </c>
      <c r="T1161" s="3">
        <v>1135157575</v>
      </c>
      <c r="U1161" s="3" t="s">
        <v>29</v>
      </c>
    </row>
    <row r="1162" spans="1:21" ht="13.2" x14ac:dyDescent="0.25">
      <c r="A1162" s="14">
        <v>23704608000100</v>
      </c>
      <c r="B1162" s="15" t="str">
        <f t="shared" si="18"/>
        <v>23.704.608/0001-00</v>
      </c>
      <c r="C1162" s="12"/>
      <c r="D1162" s="3" t="s">
        <v>4641</v>
      </c>
      <c r="E1162" s="3" t="s">
        <v>4642</v>
      </c>
      <c r="F1162" s="3" t="s">
        <v>20</v>
      </c>
      <c r="G1162" s="4">
        <v>42328</v>
      </c>
      <c r="H1162" s="3" t="s">
        <v>21</v>
      </c>
      <c r="I1162" s="3" t="s">
        <v>33</v>
      </c>
      <c r="J1162" s="5">
        <v>1200000</v>
      </c>
      <c r="K1162" s="3">
        <v>2731700</v>
      </c>
      <c r="L1162" s="3" t="s">
        <v>440</v>
      </c>
      <c r="M1162" s="3" t="s">
        <v>4643</v>
      </c>
      <c r="N1162" s="3" t="s">
        <v>82</v>
      </c>
      <c r="P1162" s="3" t="s">
        <v>4644</v>
      </c>
      <c r="Q1162" s="3" t="s">
        <v>4645</v>
      </c>
      <c r="R1162" s="3" t="s">
        <v>187</v>
      </c>
      <c r="S1162" s="3">
        <v>83800000</v>
      </c>
      <c r="T1162" s="3">
        <v>4199403744</v>
      </c>
      <c r="U1162" s="3" t="s">
        <v>29</v>
      </c>
    </row>
    <row r="1163" spans="1:21" ht="13.2" x14ac:dyDescent="0.25">
      <c r="A1163" s="14">
        <v>7729464000182</v>
      </c>
      <c r="B1163" s="15" t="str">
        <f t="shared" si="18"/>
        <v>07.729.464/0001-82</v>
      </c>
      <c r="C1163" s="12" t="str">
        <f>VLOOKUP(B1163,[1]Planilha1!$A:$B,2,0)</f>
        <v>Mariane Nascimento</v>
      </c>
      <c r="D1163" s="3" t="s">
        <v>4646</v>
      </c>
      <c r="E1163" s="3" t="s">
        <v>4647</v>
      </c>
      <c r="F1163" s="3" t="s">
        <v>20</v>
      </c>
      <c r="G1163" s="4">
        <v>38687</v>
      </c>
      <c r="H1163" s="3" t="s">
        <v>21</v>
      </c>
      <c r="I1163" s="3" t="s">
        <v>22</v>
      </c>
      <c r="J1163" s="5">
        <v>600000</v>
      </c>
      <c r="K1163" s="3">
        <v>4679604</v>
      </c>
      <c r="L1163" s="3" t="s">
        <v>4648</v>
      </c>
      <c r="M1163" s="3" t="s">
        <v>4649</v>
      </c>
      <c r="N1163" s="3">
        <v>452</v>
      </c>
      <c r="O1163" s="3" t="s">
        <v>4650</v>
      </c>
      <c r="P1163" s="3" t="s">
        <v>4651</v>
      </c>
      <c r="Q1163" s="3" t="s">
        <v>107</v>
      </c>
      <c r="R1163" s="3" t="s">
        <v>91</v>
      </c>
      <c r="S1163" s="3">
        <v>88034100</v>
      </c>
      <c r="T1163" s="3">
        <v>4832235155</v>
      </c>
      <c r="U1163" s="3" t="s">
        <v>29</v>
      </c>
    </row>
    <row r="1164" spans="1:21" ht="13.2" x14ac:dyDescent="0.25">
      <c r="A1164" s="14">
        <v>18615172000135</v>
      </c>
      <c r="B1164" s="15" t="str">
        <f t="shared" si="18"/>
        <v>18.615.172/0001-35</v>
      </c>
      <c r="C1164" s="12"/>
      <c r="D1164" s="3" t="s">
        <v>4652</v>
      </c>
      <c r="E1164" s="3" t="s">
        <v>4653</v>
      </c>
      <c r="F1164" s="3" t="s">
        <v>31</v>
      </c>
      <c r="G1164" s="4">
        <v>41442</v>
      </c>
      <c r="H1164" s="3" t="s">
        <v>21</v>
      </c>
      <c r="I1164" s="3" t="s">
        <v>47</v>
      </c>
      <c r="J1164" s="5">
        <v>300000</v>
      </c>
      <c r="K1164" s="3">
        <v>8211300</v>
      </c>
      <c r="L1164" s="3" t="s">
        <v>166</v>
      </c>
      <c r="M1164" s="3" t="s">
        <v>4654</v>
      </c>
      <c r="N1164" s="3">
        <v>31</v>
      </c>
      <c r="O1164" s="3" t="s">
        <v>4655</v>
      </c>
      <c r="P1164" s="3" t="s">
        <v>1015</v>
      </c>
      <c r="Q1164" s="3" t="s">
        <v>253</v>
      </c>
      <c r="R1164" s="3" t="s">
        <v>78</v>
      </c>
      <c r="S1164" s="3">
        <v>21020070</v>
      </c>
      <c r="T1164" s="3">
        <v>2132810030</v>
      </c>
      <c r="U1164" s="3" t="s">
        <v>29</v>
      </c>
    </row>
    <row r="1165" spans="1:21" ht="13.2" x14ac:dyDescent="0.25">
      <c r="A1165" s="14">
        <v>13440390000162</v>
      </c>
      <c r="B1165" s="15" t="str">
        <f t="shared" si="18"/>
        <v>13.440.390/0001-62</v>
      </c>
      <c r="C1165" s="12"/>
      <c r="D1165" s="3" t="s">
        <v>4656</v>
      </c>
      <c r="E1165" s="3" t="s">
        <v>4657</v>
      </c>
      <c r="F1165" s="3" t="s">
        <v>20</v>
      </c>
      <c r="G1165" s="4">
        <v>40623</v>
      </c>
      <c r="H1165" s="3" t="s">
        <v>21</v>
      </c>
      <c r="I1165" s="3" t="s">
        <v>22</v>
      </c>
      <c r="J1165" s="5">
        <v>3600000</v>
      </c>
      <c r="K1165" s="3">
        <v>4299599</v>
      </c>
      <c r="L1165" s="3" t="s">
        <v>1185</v>
      </c>
      <c r="M1165" s="3" t="s">
        <v>4658</v>
      </c>
      <c r="N1165" s="3">
        <v>68</v>
      </c>
      <c r="O1165" s="3" t="s">
        <v>117</v>
      </c>
      <c r="P1165" s="3" t="s">
        <v>4659</v>
      </c>
      <c r="Q1165" s="3" t="s">
        <v>27</v>
      </c>
      <c r="R1165" s="3" t="s">
        <v>28</v>
      </c>
      <c r="S1165" s="3">
        <v>2522010</v>
      </c>
      <c r="T1165" s="3">
        <v>1156313949</v>
      </c>
      <c r="U1165" s="3" t="s">
        <v>29</v>
      </c>
    </row>
    <row r="1166" spans="1:21" ht="13.2" x14ac:dyDescent="0.25">
      <c r="A1166" s="14">
        <v>20773196000164</v>
      </c>
      <c r="B1166" s="15" t="str">
        <f t="shared" si="18"/>
        <v>20.773.196/0001-64</v>
      </c>
      <c r="C1166" s="12"/>
      <c r="D1166" s="3" t="s">
        <v>4660</v>
      </c>
      <c r="E1166" s="3" t="s">
        <v>4661</v>
      </c>
      <c r="F1166" s="3" t="s">
        <v>20</v>
      </c>
      <c r="G1166" s="4">
        <v>41855</v>
      </c>
      <c r="H1166" s="3" t="s">
        <v>21</v>
      </c>
      <c r="I1166" s="3" t="s">
        <v>47</v>
      </c>
      <c r="J1166" s="5">
        <v>150000</v>
      </c>
      <c r="K1166" s="3">
        <v>7739002</v>
      </c>
      <c r="L1166" s="3" t="s">
        <v>3639</v>
      </c>
      <c r="M1166" s="3" t="s">
        <v>4662</v>
      </c>
      <c r="N1166" s="3">
        <v>119</v>
      </c>
      <c r="O1166" s="3" t="s">
        <v>4663</v>
      </c>
      <c r="P1166" s="3" t="s">
        <v>4664</v>
      </c>
      <c r="Q1166" s="3" t="s">
        <v>273</v>
      </c>
      <c r="R1166" s="3" t="s">
        <v>274</v>
      </c>
      <c r="S1166" s="3">
        <v>74543310</v>
      </c>
      <c r="T1166" s="3">
        <v>6230921011</v>
      </c>
      <c r="U1166" s="3" t="s">
        <v>29</v>
      </c>
    </row>
    <row r="1167" spans="1:21" ht="13.2" x14ac:dyDescent="0.25">
      <c r="A1167" s="14">
        <v>61591459000100</v>
      </c>
      <c r="B1167" s="15" t="str">
        <f t="shared" si="18"/>
        <v>61.591.459/0001-00</v>
      </c>
      <c r="C1167" s="12" t="str">
        <f>VLOOKUP(B1167,[1]Planilha1!$A:$B,2,0)</f>
        <v>Malu Montesino</v>
      </c>
      <c r="D1167" s="3" t="s">
        <v>4665</v>
      </c>
      <c r="E1167" s="3" t="s">
        <v>4665</v>
      </c>
      <c r="F1167" s="3" t="s">
        <v>20</v>
      </c>
      <c r="G1167" s="4">
        <v>24323</v>
      </c>
      <c r="H1167" s="3" t="s">
        <v>21</v>
      </c>
      <c r="I1167" s="3" t="s">
        <v>33</v>
      </c>
      <c r="J1167" s="5">
        <v>14895525</v>
      </c>
      <c r="K1167" s="3">
        <v>4511104</v>
      </c>
      <c r="L1167" s="3" t="s">
        <v>2728</v>
      </c>
      <c r="M1167" s="3" t="s">
        <v>4666</v>
      </c>
      <c r="N1167" s="3">
        <v>2600</v>
      </c>
      <c r="P1167" s="3" t="s">
        <v>1831</v>
      </c>
      <c r="Q1167" s="3" t="s">
        <v>27</v>
      </c>
      <c r="R1167" s="3" t="s">
        <v>28</v>
      </c>
      <c r="S1167" s="3">
        <v>2701000</v>
      </c>
      <c r="U1167" s="3" t="s">
        <v>29</v>
      </c>
    </row>
    <row r="1168" spans="1:21" ht="13.2" x14ac:dyDescent="0.25">
      <c r="A1168" s="14">
        <v>47049384000109</v>
      </c>
      <c r="B1168" s="15" t="str">
        <f t="shared" si="18"/>
        <v>47.049.384/0001-09</v>
      </c>
      <c r="C1168" s="12"/>
      <c r="D1168" s="3" t="s">
        <v>4667</v>
      </c>
      <c r="E1168" s="3" t="s">
        <v>4668</v>
      </c>
      <c r="F1168" s="3" t="s">
        <v>20</v>
      </c>
      <c r="G1168" s="4">
        <v>44748</v>
      </c>
      <c r="H1168" s="3" t="s">
        <v>21</v>
      </c>
      <c r="I1168" s="3" t="s">
        <v>47</v>
      </c>
      <c r="J1168" s="5">
        <v>20000</v>
      </c>
      <c r="K1168" s="3">
        <v>7020400</v>
      </c>
      <c r="L1168" s="3" t="s">
        <v>170</v>
      </c>
      <c r="M1168" s="3" t="s">
        <v>4669</v>
      </c>
      <c r="N1168" s="3">
        <v>90</v>
      </c>
      <c r="O1168" s="3" t="s">
        <v>1251</v>
      </c>
      <c r="P1168" s="3" t="s">
        <v>4670</v>
      </c>
      <c r="Q1168" s="3" t="s">
        <v>125</v>
      </c>
      <c r="R1168" s="3" t="s">
        <v>91</v>
      </c>
      <c r="S1168" s="3">
        <v>88811135</v>
      </c>
      <c r="T1168" s="3">
        <v>4896914839</v>
      </c>
      <c r="U1168" s="3" t="s">
        <v>29</v>
      </c>
    </row>
    <row r="1169" spans="1:21" ht="13.2" x14ac:dyDescent="0.25">
      <c r="A1169" s="14">
        <v>11169931000134</v>
      </c>
      <c r="B1169" s="15" t="str">
        <f t="shared" si="18"/>
        <v>11.169.931/0001-34</v>
      </c>
      <c r="C1169" s="12"/>
      <c r="D1169" s="3" t="s">
        <v>4671</v>
      </c>
      <c r="E1169" s="3" t="s">
        <v>4672</v>
      </c>
      <c r="F1169" s="3" t="s">
        <v>31</v>
      </c>
      <c r="G1169" s="4">
        <v>40079</v>
      </c>
      <c r="H1169" s="3" t="s">
        <v>21</v>
      </c>
      <c r="I1169" s="3" t="s">
        <v>33</v>
      </c>
      <c r="J1169" s="5">
        <v>94000</v>
      </c>
      <c r="K1169" s="3">
        <v>7112000</v>
      </c>
      <c r="L1169" s="3" t="s">
        <v>276</v>
      </c>
      <c r="M1169" s="3" t="s">
        <v>246</v>
      </c>
      <c r="N1169" s="3">
        <v>1765</v>
      </c>
      <c r="O1169" s="3" t="s">
        <v>4673</v>
      </c>
      <c r="P1169" s="3" t="s">
        <v>248</v>
      </c>
      <c r="Q1169" s="3" t="s">
        <v>27</v>
      </c>
      <c r="R1169" s="3" t="s">
        <v>28</v>
      </c>
      <c r="S1169" s="3">
        <v>1311200</v>
      </c>
      <c r="T1169" s="3">
        <v>1124507990</v>
      </c>
      <c r="U1169" s="3" t="s">
        <v>29</v>
      </c>
    </row>
    <row r="1170" spans="1:21" ht="13.2" x14ac:dyDescent="0.25">
      <c r="A1170" s="14">
        <v>8806318000176</v>
      </c>
      <c r="B1170" s="15" t="str">
        <f t="shared" si="18"/>
        <v>08.806.318/0001-76</v>
      </c>
      <c r="C1170" s="12"/>
      <c r="D1170" s="3" t="s">
        <v>4674</v>
      </c>
      <c r="E1170" s="3" t="s">
        <v>4674</v>
      </c>
      <c r="F1170" s="3" t="s">
        <v>45</v>
      </c>
      <c r="G1170" s="4">
        <v>39162</v>
      </c>
      <c r="H1170" s="3" t="s">
        <v>21</v>
      </c>
      <c r="I1170" s="3" t="s">
        <v>33</v>
      </c>
      <c r="J1170" s="5">
        <v>146569140</v>
      </c>
      <c r="K1170" s="3">
        <v>2349401</v>
      </c>
      <c r="L1170" s="3" t="s">
        <v>4675</v>
      </c>
      <c r="M1170" s="3" t="s">
        <v>4676</v>
      </c>
      <c r="N1170" s="3">
        <v>189</v>
      </c>
      <c r="P1170" s="3" t="s">
        <v>4677</v>
      </c>
      <c r="Q1170" s="3" t="s">
        <v>567</v>
      </c>
      <c r="R1170" s="3" t="s">
        <v>28</v>
      </c>
      <c r="S1170" s="3">
        <v>13218360</v>
      </c>
      <c r="T1170" s="3">
        <v>1145882115</v>
      </c>
      <c r="U1170" s="3" t="s">
        <v>29</v>
      </c>
    </row>
    <row r="1171" spans="1:21" ht="13.2" x14ac:dyDescent="0.25">
      <c r="A1171" s="14">
        <v>205354000172</v>
      </c>
      <c r="B1171" s="15" t="str">
        <f t="shared" si="18"/>
        <v>00.205.354/0001-72</v>
      </c>
      <c r="C1171" s="12"/>
      <c r="D1171" s="3" t="s">
        <v>4678</v>
      </c>
      <c r="E1171" s="3" t="s">
        <v>4678</v>
      </c>
      <c r="F1171" s="3" t="s">
        <v>20</v>
      </c>
      <c r="G1171" s="4">
        <v>34597</v>
      </c>
      <c r="H1171" s="3" t="s">
        <v>21</v>
      </c>
      <c r="I1171" s="3" t="s">
        <v>33</v>
      </c>
      <c r="J1171" s="5" t="s">
        <v>4679</v>
      </c>
      <c r="K1171" s="3">
        <v>4651601</v>
      </c>
      <c r="L1171" s="3" t="s">
        <v>684</v>
      </c>
      <c r="M1171" s="3" t="s">
        <v>4680</v>
      </c>
      <c r="N1171" s="3">
        <v>7000</v>
      </c>
      <c r="O1171" s="3" t="s">
        <v>4681</v>
      </c>
      <c r="P1171" s="3" t="s">
        <v>1136</v>
      </c>
      <c r="Q1171" s="3" t="s">
        <v>253</v>
      </c>
      <c r="R1171" s="3" t="s">
        <v>78</v>
      </c>
      <c r="S1171" s="3">
        <v>22780084</v>
      </c>
      <c r="T1171" s="3">
        <v>2139064000</v>
      </c>
      <c r="U1171" s="3" t="s">
        <v>29</v>
      </c>
    </row>
    <row r="1172" spans="1:21" ht="13.2" x14ac:dyDescent="0.25">
      <c r="A1172" s="14">
        <v>18761815000159</v>
      </c>
      <c r="B1172" s="15" t="str">
        <f t="shared" si="18"/>
        <v>18.761.815/0001-59</v>
      </c>
      <c r="C1172" s="12"/>
      <c r="D1172" s="3" t="s">
        <v>4682</v>
      </c>
      <c r="E1172" s="3" t="s">
        <v>4683</v>
      </c>
      <c r="F1172" s="3" t="s">
        <v>20</v>
      </c>
      <c r="G1172" s="4">
        <v>41506</v>
      </c>
      <c r="H1172" s="3" t="s">
        <v>21</v>
      </c>
      <c r="I1172" s="3" t="s">
        <v>22</v>
      </c>
      <c r="J1172" s="5">
        <v>200000</v>
      </c>
      <c r="K1172" s="3">
        <v>7810800</v>
      </c>
      <c r="L1172" s="3" t="s">
        <v>3375</v>
      </c>
      <c r="M1172" s="3" t="s">
        <v>4684</v>
      </c>
      <c r="N1172" s="3">
        <v>1001</v>
      </c>
      <c r="O1172" s="3" t="s">
        <v>4685</v>
      </c>
      <c r="P1172" s="3" t="s">
        <v>4686</v>
      </c>
      <c r="Q1172" s="3" t="s">
        <v>4687</v>
      </c>
      <c r="R1172" s="3" t="s">
        <v>765</v>
      </c>
      <c r="S1172" s="3">
        <v>29709105</v>
      </c>
      <c r="T1172" s="3">
        <v>2731311000</v>
      </c>
      <c r="U1172" s="3" t="s">
        <v>29</v>
      </c>
    </row>
    <row r="1173" spans="1:21" ht="13.2" x14ac:dyDescent="0.25">
      <c r="A1173" s="14">
        <v>7318201000180</v>
      </c>
      <c r="B1173" s="15" t="str">
        <f t="shared" si="18"/>
        <v>07.318.201/0001-80</v>
      </c>
      <c r="C1173" s="12"/>
      <c r="D1173" s="3" t="s">
        <v>4688</v>
      </c>
      <c r="E1173" s="3" t="s">
        <v>4689</v>
      </c>
      <c r="F1173" s="3" t="s">
        <v>20</v>
      </c>
      <c r="G1173" s="4">
        <v>38454</v>
      </c>
      <c r="H1173" s="3" t="s">
        <v>21</v>
      </c>
      <c r="I1173" s="3" t="s">
        <v>22</v>
      </c>
      <c r="J1173" s="5">
        <v>300000</v>
      </c>
      <c r="K1173" s="3">
        <v>8020001</v>
      </c>
      <c r="L1173" s="3" t="s">
        <v>196</v>
      </c>
      <c r="M1173" s="3" t="s">
        <v>4690</v>
      </c>
      <c r="N1173" s="3">
        <v>3061</v>
      </c>
      <c r="O1173" s="3" t="s">
        <v>222</v>
      </c>
      <c r="P1173" s="3" t="s">
        <v>4691</v>
      </c>
      <c r="Q1173" s="3" t="s">
        <v>1141</v>
      </c>
      <c r="R1173" s="3" t="s">
        <v>1142</v>
      </c>
      <c r="S1173" s="3">
        <v>79006001</v>
      </c>
      <c r="T1173" s="3">
        <v>6730272900</v>
      </c>
      <c r="U1173" s="3" t="s">
        <v>29</v>
      </c>
    </row>
    <row r="1174" spans="1:21" ht="13.2" x14ac:dyDescent="0.25">
      <c r="A1174" s="14">
        <v>15284176000190</v>
      </c>
      <c r="B1174" s="15" t="str">
        <f t="shared" si="18"/>
        <v>15.284.176/0001-90</v>
      </c>
      <c r="C1174" s="12" t="str">
        <f>VLOOKUP(B1174,[1]Planilha1!$A:$B,2,0)</f>
        <v>Malu Montesino</v>
      </c>
      <c r="D1174" s="3" t="s">
        <v>4692</v>
      </c>
      <c r="E1174" s="3" t="s">
        <v>4693</v>
      </c>
      <c r="F1174" s="3" t="s">
        <v>20</v>
      </c>
      <c r="G1174" s="4">
        <v>40925</v>
      </c>
      <c r="H1174" s="3" t="s">
        <v>21</v>
      </c>
      <c r="I1174" s="3" t="s">
        <v>47</v>
      </c>
      <c r="J1174" s="5">
        <v>50000</v>
      </c>
      <c r="K1174" s="3">
        <v>3312103</v>
      </c>
      <c r="L1174" s="3" t="s">
        <v>4694</v>
      </c>
      <c r="M1174" s="3" t="s">
        <v>4695</v>
      </c>
      <c r="N1174" s="3">
        <v>720</v>
      </c>
      <c r="O1174" s="3" t="s">
        <v>4696</v>
      </c>
      <c r="P1174" s="3" t="s">
        <v>4697</v>
      </c>
      <c r="Q1174" s="3" t="s">
        <v>667</v>
      </c>
      <c r="R1174" s="3" t="s">
        <v>301</v>
      </c>
      <c r="S1174" s="3">
        <v>60861405</v>
      </c>
      <c r="T1174" s="3">
        <v>8596353432</v>
      </c>
      <c r="U1174" s="3" t="s">
        <v>29</v>
      </c>
    </row>
    <row r="1175" spans="1:21" ht="13.2" x14ac:dyDescent="0.25">
      <c r="A1175" s="14">
        <v>61532198000149</v>
      </c>
      <c r="B1175" s="15" t="str">
        <f t="shared" si="18"/>
        <v>61.532.198/0001-49</v>
      </c>
      <c r="C1175" s="12"/>
      <c r="D1175" s="3" t="s">
        <v>4698</v>
      </c>
      <c r="E1175" s="3" t="s">
        <v>4698</v>
      </c>
      <c r="F1175" s="3" t="s">
        <v>20</v>
      </c>
      <c r="G1175" s="4">
        <v>25071</v>
      </c>
      <c r="H1175" s="3" t="s">
        <v>94</v>
      </c>
      <c r="I1175" s="3" t="s">
        <v>33</v>
      </c>
      <c r="J1175" s="5">
        <v>47298830</v>
      </c>
      <c r="K1175" s="3">
        <v>2949299</v>
      </c>
      <c r="L1175" s="3" t="s">
        <v>1083</v>
      </c>
      <c r="M1175" s="3" t="s">
        <v>4699</v>
      </c>
      <c r="N1175" s="3">
        <v>1501</v>
      </c>
      <c r="O1175" s="3">
        <v>1559</v>
      </c>
      <c r="P1175" s="3" t="s">
        <v>4700</v>
      </c>
      <c r="Q1175" s="3" t="s">
        <v>1943</v>
      </c>
      <c r="R1175" s="3" t="s">
        <v>28</v>
      </c>
      <c r="S1175" s="3">
        <v>9980160</v>
      </c>
      <c r="U1175" s="3" t="s">
        <v>29</v>
      </c>
    </row>
    <row r="1176" spans="1:21" ht="13.2" x14ac:dyDescent="0.25">
      <c r="A1176" s="14">
        <v>72381189000110</v>
      </c>
      <c r="B1176" s="15" t="str">
        <f t="shared" si="18"/>
        <v>72.381.189/0001-10</v>
      </c>
      <c r="C1176" s="12" t="str">
        <f>VLOOKUP(B1176,[1]Planilha1!$A:$B,2,0)</f>
        <v>Malu Montesino</v>
      </c>
      <c r="D1176" s="3" t="s">
        <v>4701</v>
      </c>
      <c r="E1176" s="3" t="s">
        <v>4701</v>
      </c>
      <c r="F1176" s="3" t="s">
        <v>20</v>
      </c>
      <c r="G1176" s="4">
        <v>34144</v>
      </c>
      <c r="H1176" s="3" t="s">
        <v>21</v>
      </c>
      <c r="I1176" s="3" t="s">
        <v>33</v>
      </c>
      <c r="J1176" s="5">
        <v>930607300</v>
      </c>
      <c r="K1176" s="3">
        <v>6209100</v>
      </c>
      <c r="L1176" s="3" t="s">
        <v>303</v>
      </c>
      <c r="M1176" s="3" t="s">
        <v>4702</v>
      </c>
      <c r="N1176" s="3">
        <v>400</v>
      </c>
      <c r="P1176" s="3" t="s">
        <v>610</v>
      </c>
      <c r="Q1176" s="3" t="s">
        <v>4703</v>
      </c>
      <c r="R1176" s="3" t="s">
        <v>53</v>
      </c>
      <c r="S1176" s="3">
        <v>92990000</v>
      </c>
      <c r="T1176" s="3">
        <v>5132745500</v>
      </c>
      <c r="U1176" s="3" t="s">
        <v>29</v>
      </c>
    </row>
    <row r="1177" spans="1:21" ht="13.2" x14ac:dyDescent="0.25">
      <c r="A1177" s="14">
        <v>10142622000108</v>
      </c>
      <c r="B1177" s="15" t="str">
        <f t="shared" si="18"/>
        <v>10.142.622/0001-08</v>
      </c>
      <c r="C1177" s="12"/>
      <c r="D1177" s="3" t="s">
        <v>4704</v>
      </c>
      <c r="E1177" s="3" t="s">
        <v>4704</v>
      </c>
      <c r="F1177" s="3" t="s">
        <v>20</v>
      </c>
      <c r="G1177" s="4">
        <v>39541</v>
      </c>
      <c r="H1177" s="3" t="s">
        <v>21</v>
      </c>
      <c r="I1177" s="3" t="s">
        <v>22</v>
      </c>
      <c r="J1177" s="5">
        <v>50000</v>
      </c>
      <c r="K1177" s="3">
        <v>2063100</v>
      </c>
      <c r="L1177" s="3" t="s">
        <v>4390</v>
      </c>
      <c r="M1177" s="3" t="s">
        <v>4705</v>
      </c>
      <c r="N1177" s="3">
        <v>100</v>
      </c>
      <c r="P1177" s="3" t="s">
        <v>4706</v>
      </c>
      <c r="Q1177" s="3" t="s">
        <v>3034</v>
      </c>
      <c r="R1177" s="3" t="s">
        <v>28</v>
      </c>
      <c r="S1177" s="3">
        <v>14806610</v>
      </c>
      <c r="T1177" s="3">
        <v>1633248609</v>
      </c>
      <c r="U1177" s="3" t="s">
        <v>29</v>
      </c>
    </row>
    <row r="1178" spans="1:21" ht="13.2" x14ac:dyDescent="0.25">
      <c r="A1178" s="14">
        <v>11666105000109</v>
      </c>
      <c r="B1178" s="15" t="str">
        <f t="shared" si="18"/>
        <v>11.666.105/0001-09</v>
      </c>
      <c r="C1178" s="12" t="str">
        <f>VLOOKUP(B1178,[1]Planilha1!$A:$B,2,0)</f>
        <v>Malu Montesino</v>
      </c>
      <c r="D1178" s="3" t="s">
        <v>4707</v>
      </c>
      <c r="E1178" s="3" t="s">
        <v>4707</v>
      </c>
      <c r="F1178" s="3" t="s">
        <v>20</v>
      </c>
      <c r="G1178" s="4">
        <v>40246</v>
      </c>
      <c r="H1178" s="3" t="s">
        <v>94</v>
      </c>
      <c r="I1178" s="3" t="s">
        <v>33</v>
      </c>
      <c r="J1178" s="5">
        <v>500000</v>
      </c>
      <c r="K1178" s="3">
        <v>4645102</v>
      </c>
      <c r="L1178" s="3" t="s">
        <v>2858</v>
      </c>
      <c r="M1178" s="3" t="s">
        <v>4708</v>
      </c>
      <c r="N1178" s="3">
        <v>312</v>
      </c>
      <c r="P1178" s="3" t="s">
        <v>2161</v>
      </c>
      <c r="Q1178" s="3" t="s">
        <v>730</v>
      </c>
      <c r="R1178" s="3" t="s">
        <v>53</v>
      </c>
      <c r="S1178" s="3">
        <v>95012613</v>
      </c>
      <c r="T1178" s="3">
        <v>5430663734</v>
      </c>
      <c r="U1178" s="3" t="s">
        <v>29</v>
      </c>
    </row>
    <row r="1179" spans="1:21" ht="13.2" x14ac:dyDescent="0.25">
      <c r="A1179" s="14">
        <v>2189924000103</v>
      </c>
      <c r="B1179" s="15" t="str">
        <f t="shared" si="18"/>
        <v>02.189.924/0001-03</v>
      </c>
      <c r="C1179" s="12"/>
      <c r="D1179" s="3" t="s">
        <v>4709</v>
      </c>
      <c r="E1179" s="3" t="s">
        <v>4710</v>
      </c>
      <c r="F1179" s="3" t="s">
        <v>20</v>
      </c>
      <c r="G1179" s="4">
        <v>35712</v>
      </c>
      <c r="H1179" s="3" t="s">
        <v>32</v>
      </c>
      <c r="I1179" s="3" t="s">
        <v>33</v>
      </c>
      <c r="J1179" s="5">
        <v>6550000</v>
      </c>
      <c r="K1179" s="3">
        <v>7020400</v>
      </c>
      <c r="L1179" s="3" t="s">
        <v>170</v>
      </c>
      <c r="M1179" s="3" t="s">
        <v>2209</v>
      </c>
      <c r="N1179" s="3">
        <v>1240</v>
      </c>
      <c r="O1179" s="3" t="s">
        <v>4711</v>
      </c>
      <c r="P1179" s="3" t="s">
        <v>2211</v>
      </c>
      <c r="Q1179" s="3" t="s">
        <v>27</v>
      </c>
      <c r="R1179" s="3" t="s">
        <v>28</v>
      </c>
      <c r="S1179" s="3">
        <v>4711130</v>
      </c>
      <c r="T1179" s="3">
        <v>1151861000</v>
      </c>
      <c r="U1179" s="3" t="s">
        <v>29</v>
      </c>
    </row>
    <row r="1180" spans="1:21" ht="13.2" x14ac:dyDescent="0.25">
      <c r="A1180" s="14">
        <v>17712292000198</v>
      </c>
      <c r="B1180" s="15" t="str">
        <f t="shared" si="18"/>
        <v>17.712.292/0001-98</v>
      </c>
      <c r="C1180" s="12"/>
      <c r="D1180" s="3" t="s">
        <v>4712</v>
      </c>
      <c r="E1180" s="3" t="s">
        <v>4712</v>
      </c>
      <c r="F1180" s="3" t="s">
        <v>20</v>
      </c>
      <c r="G1180" s="4">
        <v>41332</v>
      </c>
      <c r="H1180" s="3" t="s">
        <v>21</v>
      </c>
      <c r="I1180" s="3" t="s">
        <v>33</v>
      </c>
      <c r="J1180" s="5">
        <v>48081348</v>
      </c>
      <c r="K1180" s="3">
        <v>6462000</v>
      </c>
      <c r="L1180" s="3" t="s">
        <v>250</v>
      </c>
      <c r="M1180" s="3" t="s">
        <v>4713</v>
      </c>
      <c r="N1180" s="3">
        <v>111</v>
      </c>
      <c r="O1180" s="3" t="s">
        <v>505</v>
      </c>
      <c r="P1180" s="3" t="s">
        <v>4714</v>
      </c>
      <c r="Q1180" s="3" t="s">
        <v>27</v>
      </c>
      <c r="R1180" s="3" t="s">
        <v>28</v>
      </c>
      <c r="S1180" s="3">
        <v>3145010</v>
      </c>
      <c r="T1180" s="3">
        <v>1155558092</v>
      </c>
      <c r="U1180" s="3" t="s">
        <v>29</v>
      </c>
    </row>
    <row r="1181" spans="1:21" ht="13.2" x14ac:dyDescent="0.25">
      <c r="A1181" s="14">
        <v>56014475000191</v>
      </c>
      <c r="B1181" s="15" t="str">
        <f t="shared" si="18"/>
        <v>56.014.475/0001-91</v>
      </c>
      <c r="C1181" s="12"/>
      <c r="D1181" s="3" t="s">
        <v>4715</v>
      </c>
      <c r="E1181" s="3" t="s">
        <v>4716</v>
      </c>
      <c r="F1181" s="3" t="s">
        <v>20</v>
      </c>
      <c r="G1181" s="4">
        <v>26764</v>
      </c>
      <c r="H1181" s="3" t="s">
        <v>21</v>
      </c>
      <c r="I1181" s="3" t="s">
        <v>33</v>
      </c>
      <c r="J1181" s="5">
        <v>560000</v>
      </c>
      <c r="K1181" s="3">
        <v>2660400</v>
      </c>
      <c r="L1181" s="3" t="s">
        <v>953</v>
      </c>
      <c r="M1181" s="3" t="s">
        <v>3342</v>
      </c>
      <c r="N1181" s="3">
        <v>776</v>
      </c>
      <c r="P1181" s="3" t="s">
        <v>4717</v>
      </c>
      <c r="Q1181" s="3" t="s">
        <v>524</v>
      </c>
      <c r="R1181" s="3" t="s">
        <v>28</v>
      </c>
      <c r="S1181" s="3">
        <v>14050420</v>
      </c>
      <c r="T1181" s="3">
        <v>1640095454</v>
      </c>
      <c r="U1181" s="3" t="s">
        <v>29</v>
      </c>
    </row>
    <row r="1182" spans="1:21" ht="13.2" x14ac:dyDescent="0.25">
      <c r="A1182" s="14">
        <v>43375930000132</v>
      </c>
      <c r="B1182" s="15" t="str">
        <f t="shared" si="18"/>
        <v>43.375.930/0001-32</v>
      </c>
      <c r="C1182" s="12" t="str">
        <f>VLOOKUP(B1182,[1]Planilha1!$A:$B,2,0)</f>
        <v>Malu Montesino</v>
      </c>
      <c r="D1182" s="3" t="s">
        <v>4718</v>
      </c>
      <c r="E1182" s="3" t="s">
        <v>4719</v>
      </c>
      <c r="F1182" s="3" t="s">
        <v>20</v>
      </c>
      <c r="G1182" s="4">
        <v>29335</v>
      </c>
      <c r="H1182" s="3" t="s">
        <v>21</v>
      </c>
      <c r="I1182" s="3" t="s">
        <v>33</v>
      </c>
      <c r="J1182" s="5">
        <v>352796580</v>
      </c>
      <c r="K1182" s="3">
        <v>2949299</v>
      </c>
      <c r="L1182" s="3" t="s">
        <v>1083</v>
      </c>
      <c r="M1182" s="3" t="s">
        <v>4720</v>
      </c>
      <c r="N1182" s="3">
        <v>891</v>
      </c>
      <c r="P1182" s="3" t="s">
        <v>2254</v>
      </c>
      <c r="Q1182" s="3" t="s">
        <v>204</v>
      </c>
      <c r="R1182" s="3" t="s">
        <v>187</v>
      </c>
      <c r="S1182" s="3">
        <v>81170220</v>
      </c>
      <c r="T1182" s="3">
        <v>4150914471</v>
      </c>
      <c r="U1182" s="3" t="s">
        <v>29</v>
      </c>
    </row>
    <row r="1183" spans="1:21" ht="13.2" x14ac:dyDescent="0.25">
      <c r="A1183" s="14">
        <v>4043808000107</v>
      </c>
      <c r="B1183" s="15" t="str">
        <f t="shared" si="18"/>
        <v>04.043.808/0001-07</v>
      </c>
      <c r="C1183" s="12" t="str">
        <f>VLOOKUP(B1183,[1]Planilha1!$A:$B,2,0)</f>
        <v>Mariane Nascimento</v>
      </c>
      <c r="D1183" s="3" t="s">
        <v>4721</v>
      </c>
      <c r="E1183" s="3" t="s">
        <v>4722</v>
      </c>
      <c r="F1183" s="3" t="s">
        <v>20</v>
      </c>
      <c r="G1183" s="4">
        <v>27822</v>
      </c>
      <c r="H1183" s="3" t="s">
        <v>21</v>
      </c>
      <c r="I1183" s="3" t="s">
        <v>22</v>
      </c>
      <c r="J1183" s="5">
        <v>1000000</v>
      </c>
      <c r="K1183" s="3">
        <v>4773300</v>
      </c>
      <c r="L1183" s="3" t="s">
        <v>706</v>
      </c>
      <c r="M1183" s="3" t="s">
        <v>4723</v>
      </c>
      <c r="N1183" s="3">
        <v>234</v>
      </c>
      <c r="P1183" s="3" t="s">
        <v>4724</v>
      </c>
      <c r="Q1183" s="3" t="s">
        <v>645</v>
      </c>
      <c r="R1183" s="3" t="s">
        <v>4725</v>
      </c>
      <c r="S1183" s="3">
        <v>69905006</v>
      </c>
      <c r="T1183" s="3">
        <v>6832281447</v>
      </c>
      <c r="U1183" s="3" t="s">
        <v>29</v>
      </c>
    </row>
    <row r="1184" spans="1:21" ht="13.2" x14ac:dyDescent="0.25">
      <c r="A1184" s="14">
        <v>10868992000127</v>
      </c>
      <c r="B1184" s="15" t="str">
        <f t="shared" si="18"/>
        <v>10.868.992/0001-27</v>
      </c>
      <c r="C1184" s="12"/>
      <c r="D1184" s="3" t="s">
        <v>4726</v>
      </c>
      <c r="E1184" s="3" t="s">
        <v>4727</v>
      </c>
      <c r="F1184" s="3" t="s">
        <v>20</v>
      </c>
      <c r="G1184" s="4">
        <v>39967</v>
      </c>
      <c r="H1184" s="3" t="s">
        <v>21</v>
      </c>
      <c r="I1184" s="3" t="s">
        <v>22</v>
      </c>
      <c r="J1184" s="5">
        <v>200000</v>
      </c>
      <c r="K1184" s="3">
        <v>8630504</v>
      </c>
      <c r="L1184" s="3" t="s">
        <v>4728</v>
      </c>
      <c r="M1184" s="3" t="s">
        <v>4729</v>
      </c>
      <c r="N1184" s="3">
        <v>322</v>
      </c>
      <c r="P1184" s="3" t="s">
        <v>70</v>
      </c>
      <c r="Q1184" s="3" t="s">
        <v>4730</v>
      </c>
      <c r="R1184" s="3" t="s">
        <v>1847</v>
      </c>
      <c r="S1184" s="3">
        <v>57300600</v>
      </c>
      <c r="T1184" s="3">
        <v>8194820896</v>
      </c>
      <c r="U1184" s="3" t="s">
        <v>29</v>
      </c>
    </row>
    <row r="1185" spans="1:21" ht="13.2" x14ac:dyDescent="0.25">
      <c r="A1185" s="14">
        <v>12936032000182</v>
      </c>
      <c r="B1185" s="15" t="str">
        <f t="shared" si="18"/>
        <v>12.936.032/0001-82</v>
      </c>
      <c r="C1185" s="12" t="str">
        <f>VLOOKUP(B1185,[1]Planilha1!$A:$B,2,0)</f>
        <v>Malu Montesino</v>
      </c>
      <c r="D1185" s="3" t="s">
        <v>4731</v>
      </c>
      <c r="E1185" s="3" t="s">
        <v>4731</v>
      </c>
      <c r="F1185" s="3" t="s">
        <v>20</v>
      </c>
      <c r="G1185" s="4">
        <v>40490</v>
      </c>
      <c r="H1185" s="3" t="s">
        <v>21</v>
      </c>
      <c r="I1185" s="3" t="s">
        <v>22</v>
      </c>
      <c r="J1185" s="5">
        <v>300000</v>
      </c>
      <c r="K1185" s="3">
        <v>4693100</v>
      </c>
      <c r="L1185" s="3" t="s">
        <v>238</v>
      </c>
      <c r="M1185" s="3" t="s">
        <v>4732</v>
      </c>
      <c r="N1185" s="3">
        <v>1799</v>
      </c>
      <c r="P1185" s="3" t="s">
        <v>70</v>
      </c>
      <c r="Q1185" s="3" t="s">
        <v>1217</v>
      </c>
      <c r="R1185" s="3" t="s">
        <v>28</v>
      </c>
      <c r="S1185" s="3">
        <v>14403430</v>
      </c>
      <c r="T1185" s="3">
        <v>1637111001</v>
      </c>
      <c r="U1185" s="3" t="s">
        <v>29</v>
      </c>
    </row>
    <row r="1186" spans="1:21" ht="13.2" x14ac:dyDescent="0.25">
      <c r="A1186" s="14">
        <v>9222369000113</v>
      </c>
      <c r="B1186" s="15" t="str">
        <f t="shared" si="18"/>
        <v>09.222.369/0001-13</v>
      </c>
      <c r="C1186" s="12"/>
      <c r="D1186" s="3" t="s">
        <v>4733</v>
      </c>
      <c r="E1186" s="3" t="s">
        <v>4733</v>
      </c>
      <c r="F1186" s="3" t="s">
        <v>20</v>
      </c>
      <c r="G1186" s="4">
        <v>39328</v>
      </c>
      <c r="H1186" s="3" t="s">
        <v>21</v>
      </c>
      <c r="I1186" s="3" t="s">
        <v>33</v>
      </c>
      <c r="J1186" s="5">
        <v>400000</v>
      </c>
      <c r="K1186" s="3">
        <v>4645103</v>
      </c>
      <c r="L1186" s="3" t="s">
        <v>1568</v>
      </c>
      <c r="M1186" s="3" t="s">
        <v>4734</v>
      </c>
      <c r="N1186" s="3">
        <v>34</v>
      </c>
      <c r="O1186" s="3" t="s">
        <v>4735</v>
      </c>
      <c r="P1186" s="3" t="s">
        <v>4736</v>
      </c>
      <c r="Q1186" s="3" t="s">
        <v>476</v>
      </c>
      <c r="R1186" s="3" t="s">
        <v>100</v>
      </c>
      <c r="S1186" s="3">
        <v>30411052</v>
      </c>
      <c r="T1186" s="3">
        <v>3125228204</v>
      </c>
      <c r="U1186" s="3" t="s">
        <v>29</v>
      </c>
    </row>
    <row r="1187" spans="1:21" ht="13.2" x14ac:dyDescent="0.25">
      <c r="A1187" s="14">
        <v>2477571000147</v>
      </c>
      <c r="B1187" s="15" t="str">
        <f t="shared" si="18"/>
        <v>02.477.571/0001-47</v>
      </c>
      <c r="C1187" s="12"/>
      <c r="D1187" s="3" t="s">
        <v>4737</v>
      </c>
      <c r="E1187" s="3" t="s">
        <v>4737</v>
      </c>
      <c r="F1187" s="3" t="s">
        <v>20</v>
      </c>
      <c r="G1187" s="4">
        <v>35900</v>
      </c>
      <c r="H1187" s="3" t="s">
        <v>21</v>
      </c>
      <c r="I1187" s="3" t="s">
        <v>33</v>
      </c>
      <c r="J1187" s="5">
        <v>1930000</v>
      </c>
      <c r="K1187" s="3">
        <v>4645103</v>
      </c>
      <c r="L1187" s="3" t="s">
        <v>1568</v>
      </c>
      <c r="M1187" s="3" t="s">
        <v>4738</v>
      </c>
      <c r="N1187" s="3">
        <v>3440</v>
      </c>
      <c r="O1187" s="3" t="s">
        <v>4739</v>
      </c>
      <c r="P1187" s="3" t="s">
        <v>4740</v>
      </c>
      <c r="Q1187" s="3" t="s">
        <v>186</v>
      </c>
      <c r="R1187" s="3" t="s">
        <v>187</v>
      </c>
      <c r="S1187" s="3">
        <v>83065180</v>
      </c>
      <c r="T1187" s="3">
        <v>4132048000</v>
      </c>
      <c r="U1187" s="3" t="s">
        <v>29</v>
      </c>
    </row>
    <row r="1188" spans="1:21" ht="13.2" x14ac:dyDescent="0.25">
      <c r="A1188" s="14">
        <v>21504525000134</v>
      </c>
      <c r="B1188" s="15" t="str">
        <f t="shared" si="18"/>
        <v>21.504.525/0001-34</v>
      </c>
      <c r="C1188" s="12"/>
      <c r="D1188" s="3" t="s">
        <v>4741</v>
      </c>
      <c r="E1188" s="3" t="s">
        <v>4742</v>
      </c>
      <c r="F1188" s="3" t="s">
        <v>20</v>
      </c>
      <c r="G1188" s="4">
        <v>41898</v>
      </c>
      <c r="H1188" s="3" t="s">
        <v>21</v>
      </c>
      <c r="I1188" s="3" t="s">
        <v>33</v>
      </c>
      <c r="J1188" s="5">
        <v>260000</v>
      </c>
      <c r="K1188" s="3">
        <v>4645103</v>
      </c>
      <c r="L1188" s="3" t="s">
        <v>1568</v>
      </c>
      <c r="M1188" s="3" t="s">
        <v>4743</v>
      </c>
      <c r="N1188" s="3">
        <v>763</v>
      </c>
      <c r="P1188" s="3" t="s">
        <v>2753</v>
      </c>
      <c r="Q1188" s="3" t="s">
        <v>1317</v>
      </c>
      <c r="R1188" s="3" t="s">
        <v>187</v>
      </c>
      <c r="S1188" s="3">
        <v>83321060</v>
      </c>
      <c r="T1188" s="3">
        <v>4130120304</v>
      </c>
      <c r="U1188" s="3" t="s">
        <v>29</v>
      </c>
    </row>
    <row r="1189" spans="1:21" ht="13.2" x14ac:dyDescent="0.25">
      <c r="A1189" s="14">
        <v>3662136000155</v>
      </c>
      <c r="B1189" s="15" t="str">
        <f t="shared" si="18"/>
        <v>03.662.136/0001-55</v>
      </c>
      <c r="C1189" s="12"/>
      <c r="D1189" s="3" t="s">
        <v>4744</v>
      </c>
      <c r="E1189" s="3" t="s">
        <v>4744</v>
      </c>
      <c r="F1189" s="3" t="s">
        <v>20</v>
      </c>
      <c r="G1189" s="4">
        <v>36577</v>
      </c>
      <c r="H1189" s="3" t="s">
        <v>21</v>
      </c>
      <c r="I1189" s="3" t="s">
        <v>33</v>
      </c>
      <c r="J1189" s="5">
        <v>9711313</v>
      </c>
      <c r="K1189" s="3">
        <v>4645103</v>
      </c>
      <c r="L1189" s="3" t="s">
        <v>1568</v>
      </c>
      <c r="M1189" s="3" t="s">
        <v>4745</v>
      </c>
      <c r="N1189" s="3">
        <v>3115</v>
      </c>
      <c r="O1189" s="3" t="s">
        <v>4746</v>
      </c>
      <c r="P1189" s="3" t="s">
        <v>137</v>
      </c>
      <c r="Q1189" s="3" t="s">
        <v>1701</v>
      </c>
      <c r="R1189" s="3" t="s">
        <v>100</v>
      </c>
      <c r="S1189" s="3">
        <v>32370485</v>
      </c>
      <c r="T1189" s="3">
        <v>3135248686</v>
      </c>
      <c r="U1189" s="3" t="s">
        <v>29</v>
      </c>
    </row>
    <row r="1190" spans="1:21" ht="13.2" x14ac:dyDescent="0.25">
      <c r="A1190" s="14">
        <v>1735549000197</v>
      </c>
      <c r="B1190" s="15" t="str">
        <f t="shared" si="18"/>
        <v>01.735.549/0001-97</v>
      </c>
      <c r="C1190" s="12"/>
      <c r="D1190" s="3" t="s">
        <v>4747</v>
      </c>
      <c r="E1190" s="3" t="s">
        <v>4748</v>
      </c>
      <c r="F1190" s="3" t="s">
        <v>20</v>
      </c>
      <c r="G1190" s="4">
        <v>35521</v>
      </c>
      <c r="H1190" s="3" t="s">
        <v>21</v>
      </c>
      <c r="I1190" s="3" t="s">
        <v>22</v>
      </c>
      <c r="J1190" s="5">
        <v>349000</v>
      </c>
      <c r="K1190" s="3">
        <v>4644301</v>
      </c>
      <c r="L1190" s="3" t="s">
        <v>326</v>
      </c>
      <c r="M1190" s="3" t="s">
        <v>4015</v>
      </c>
      <c r="N1190" s="3">
        <v>247</v>
      </c>
      <c r="P1190" s="3" t="s">
        <v>2757</v>
      </c>
      <c r="Q1190" s="3" t="s">
        <v>437</v>
      </c>
      <c r="R1190" s="3" t="s">
        <v>53</v>
      </c>
      <c r="S1190" s="3">
        <v>90220011</v>
      </c>
      <c r="T1190" s="3">
        <v>5133117000</v>
      </c>
      <c r="U1190" s="3" t="s">
        <v>29</v>
      </c>
    </row>
    <row r="1191" spans="1:21" ht="13.2" x14ac:dyDescent="0.25">
      <c r="A1191" s="14">
        <v>7897039000100</v>
      </c>
      <c r="B1191" s="15" t="str">
        <f t="shared" si="18"/>
        <v>07.897.039/0001-00</v>
      </c>
      <c r="C1191" s="12"/>
      <c r="D1191" s="3" t="s">
        <v>4749</v>
      </c>
      <c r="E1191" s="3" t="s">
        <v>4750</v>
      </c>
      <c r="F1191" s="3" t="s">
        <v>20</v>
      </c>
      <c r="G1191" s="4">
        <v>38798</v>
      </c>
      <c r="H1191" s="3" t="s">
        <v>21</v>
      </c>
      <c r="I1191" s="3" t="s">
        <v>33</v>
      </c>
      <c r="J1191" s="5">
        <v>250000</v>
      </c>
      <c r="K1191" s="3">
        <v>2829199</v>
      </c>
      <c r="L1191" s="3" t="s">
        <v>1514</v>
      </c>
      <c r="M1191" s="3" t="s">
        <v>4751</v>
      </c>
      <c r="N1191" s="3">
        <v>136</v>
      </c>
      <c r="O1191" s="3" t="s">
        <v>2253</v>
      </c>
      <c r="P1191" s="3" t="s">
        <v>4752</v>
      </c>
      <c r="Q1191" s="3" t="s">
        <v>476</v>
      </c>
      <c r="R1191" s="3" t="s">
        <v>100</v>
      </c>
      <c r="S1191" s="3">
        <v>30570040</v>
      </c>
      <c r="T1191" s="3">
        <v>3133746768</v>
      </c>
      <c r="U1191" s="3" t="s">
        <v>29</v>
      </c>
    </row>
    <row r="1192" spans="1:21" ht="13.2" x14ac:dyDescent="0.25">
      <c r="A1192" s="14">
        <v>1332005000184</v>
      </c>
      <c r="B1192" s="15" t="str">
        <f t="shared" si="18"/>
        <v>01.332.005/0001-84</v>
      </c>
      <c r="C1192" s="12"/>
      <c r="D1192" s="3" t="s">
        <v>4753</v>
      </c>
      <c r="E1192" s="3" t="s">
        <v>4753</v>
      </c>
      <c r="F1192" s="3" t="s">
        <v>20</v>
      </c>
      <c r="G1192" s="4">
        <v>35265</v>
      </c>
      <c r="H1192" s="3" t="s">
        <v>21</v>
      </c>
      <c r="I1192" s="3" t="s">
        <v>22</v>
      </c>
      <c r="J1192" s="5">
        <v>200000</v>
      </c>
      <c r="K1192" s="3">
        <v>3250701</v>
      </c>
      <c r="L1192" s="3" t="s">
        <v>2195</v>
      </c>
      <c r="M1192" s="3" t="s">
        <v>4754</v>
      </c>
      <c r="N1192" s="3">
        <v>406</v>
      </c>
      <c r="P1192" s="3" t="s">
        <v>4755</v>
      </c>
      <c r="Q1192" s="3" t="s">
        <v>524</v>
      </c>
      <c r="R1192" s="3" t="s">
        <v>28</v>
      </c>
      <c r="S1192" s="3">
        <v>14060460</v>
      </c>
      <c r="T1192" s="3">
        <v>1634568109</v>
      </c>
      <c r="U1192" s="3" t="s">
        <v>29</v>
      </c>
    </row>
    <row r="1193" spans="1:21" ht="13.2" x14ac:dyDescent="0.25">
      <c r="A1193" s="14">
        <v>56401177000154</v>
      </c>
      <c r="B1193" s="15" t="str">
        <f t="shared" si="18"/>
        <v>56.401.177/0001-54</v>
      </c>
      <c r="C1193" s="12"/>
      <c r="D1193" s="3" t="s">
        <v>4756</v>
      </c>
      <c r="E1193" s="3" t="s">
        <v>4757</v>
      </c>
      <c r="F1193" s="3" t="s">
        <v>20</v>
      </c>
      <c r="G1193" s="4">
        <v>25834</v>
      </c>
      <c r="H1193" s="3" t="s">
        <v>4758</v>
      </c>
      <c r="I1193" s="3" t="s">
        <v>33</v>
      </c>
      <c r="J1193" s="5">
        <v>0</v>
      </c>
      <c r="K1193" s="3">
        <v>8411600</v>
      </c>
      <c r="L1193" s="3" t="s">
        <v>621</v>
      </c>
      <c r="M1193" s="3" t="s">
        <v>4759</v>
      </c>
      <c r="N1193" s="3">
        <v>360</v>
      </c>
      <c r="P1193" s="3" t="s">
        <v>2994</v>
      </c>
      <c r="Q1193" s="3" t="s">
        <v>2721</v>
      </c>
      <c r="R1193" s="3" t="s">
        <v>28</v>
      </c>
      <c r="S1193" s="3">
        <v>13506760</v>
      </c>
      <c r="T1193" s="3">
        <v>1935315200</v>
      </c>
      <c r="U1193" s="3" t="s">
        <v>29</v>
      </c>
    </row>
    <row r="1194" spans="1:21" ht="13.2" x14ac:dyDescent="0.25">
      <c r="A1194" s="14">
        <v>44239770000167</v>
      </c>
      <c r="B1194" s="15" t="str">
        <f t="shared" si="18"/>
        <v>44.239.770/0001-67</v>
      </c>
      <c r="C1194" s="12"/>
      <c r="D1194" s="3" t="s">
        <v>4756</v>
      </c>
      <c r="E1194" s="3" t="s">
        <v>4757</v>
      </c>
      <c r="F1194" s="3" t="s">
        <v>20</v>
      </c>
      <c r="G1194" s="4">
        <v>27558</v>
      </c>
      <c r="H1194" s="3" t="s">
        <v>640</v>
      </c>
      <c r="I1194" s="3" t="s">
        <v>33</v>
      </c>
      <c r="J1194" s="5">
        <v>0</v>
      </c>
      <c r="K1194" s="3">
        <v>3600601</v>
      </c>
      <c r="L1194" s="3" t="s">
        <v>788</v>
      </c>
      <c r="M1194" s="3" t="s">
        <v>4760</v>
      </c>
      <c r="N1194" s="3">
        <v>100</v>
      </c>
      <c r="P1194" s="3" t="s">
        <v>4761</v>
      </c>
      <c r="Q1194" s="3" t="s">
        <v>3034</v>
      </c>
      <c r="R1194" s="3" t="s">
        <v>28</v>
      </c>
      <c r="S1194" s="3">
        <v>14802510</v>
      </c>
      <c r="U1194" s="3" t="s">
        <v>29</v>
      </c>
    </row>
    <row r="1195" spans="1:21" ht="13.2" x14ac:dyDescent="0.25">
      <c r="A1195" s="14">
        <v>46755690000190</v>
      </c>
      <c r="B1195" s="15" t="str">
        <f t="shared" si="18"/>
        <v>46.755.690/0001-90</v>
      </c>
      <c r="C1195" s="12"/>
      <c r="D1195" s="3" t="s">
        <v>4762</v>
      </c>
      <c r="E1195" s="3" t="s">
        <v>4763</v>
      </c>
      <c r="F1195" s="3" t="s">
        <v>20</v>
      </c>
      <c r="G1195" s="4">
        <v>27698</v>
      </c>
      <c r="H1195" s="3" t="s">
        <v>640</v>
      </c>
      <c r="I1195" s="3" t="s">
        <v>33</v>
      </c>
      <c r="J1195" s="5">
        <v>0</v>
      </c>
      <c r="K1195" s="3">
        <v>3600601</v>
      </c>
      <c r="L1195" s="3" t="s">
        <v>788</v>
      </c>
      <c r="M1195" s="3" t="s">
        <v>4764</v>
      </c>
      <c r="N1195" s="3">
        <v>333</v>
      </c>
      <c r="P1195" s="3" t="s">
        <v>4765</v>
      </c>
      <c r="Q1195" s="3" t="s">
        <v>37</v>
      </c>
      <c r="R1195" s="3" t="s">
        <v>28</v>
      </c>
      <c r="S1195" s="3">
        <v>13472510</v>
      </c>
      <c r="U1195" s="3" t="s">
        <v>29</v>
      </c>
    </row>
    <row r="1196" spans="1:21" ht="13.2" x14ac:dyDescent="0.25">
      <c r="A1196" s="14">
        <v>46139952000191</v>
      </c>
      <c r="B1196" s="15" t="str">
        <f t="shared" si="18"/>
        <v>46.139.952/0001-91</v>
      </c>
      <c r="C1196" s="12"/>
      <c r="D1196" s="3" t="s">
        <v>4762</v>
      </c>
      <c r="E1196" s="3" t="s">
        <v>4545</v>
      </c>
      <c r="F1196" s="3" t="s">
        <v>20</v>
      </c>
      <c r="G1196" s="4">
        <v>27521</v>
      </c>
      <c r="H1196" s="3" t="s">
        <v>640</v>
      </c>
      <c r="I1196" s="3" t="s">
        <v>33</v>
      </c>
      <c r="J1196" s="5">
        <v>0</v>
      </c>
      <c r="K1196" s="3">
        <v>3600601</v>
      </c>
      <c r="L1196" s="3" t="s">
        <v>788</v>
      </c>
      <c r="M1196" s="3" t="s">
        <v>4766</v>
      </c>
      <c r="N1196" s="3" t="s">
        <v>4767</v>
      </c>
      <c r="P1196" s="3" t="s">
        <v>4768</v>
      </c>
      <c r="Q1196" s="3" t="s">
        <v>324</v>
      </c>
      <c r="R1196" s="3" t="s">
        <v>28</v>
      </c>
      <c r="S1196" s="3">
        <v>17012020</v>
      </c>
      <c r="U1196" s="3" t="s">
        <v>29</v>
      </c>
    </row>
    <row r="1197" spans="1:21" ht="13.2" x14ac:dyDescent="0.25">
      <c r="A1197" s="14">
        <v>56022858000101</v>
      </c>
      <c r="B1197" s="15" t="str">
        <f t="shared" si="18"/>
        <v>56.022.858/0001-01</v>
      </c>
      <c r="C1197" s="12"/>
      <c r="D1197" s="3" t="s">
        <v>4769</v>
      </c>
      <c r="E1197" s="3" t="s">
        <v>4770</v>
      </c>
      <c r="F1197" s="3" t="s">
        <v>20</v>
      </c>
      <c r="G1197" s="4">
        <v>25996</v>
      </c>
      <c r="H1197" s="3" t="s">
        <v>4758</v>
      </c>
      <c r="I1197" s="3" t="s">
        <v>33</v>
      </c>
      <c r="J1197" s="5">
        <v>0</v>
      </c>
      <c r="K1197" s="3">
        <v>8411600</v>
      </c>
      <c r="L1197" s="3" t="s">
        <v>621</v>
      </c>
      <c r="M1197" s="3" t="s">
        <v>4771</v>
      </c>
      <c r="N1197" s="3">
        <v>22</v>
      </c>
      <c r="P1197" s="3" t="s">
        <v>70</v>
      </c>
      <c r="Q1197" s="3" t="s">
        <v>524</v>
      </c>
      <c r="R1197" s="3" t="s">
        <v>28</v>
      </c>
      <c r="S1197" s="3">
        <v>14010070</v>
      </c>
      <c r="T1197" s="3">
        <v>1636101321</v>
      </c>
      <c r="U1197" s="3" t="s">
        <v>29</v>
      </c>
    </row>
    <row r="1198" spans="1:21" ht="13.2" x14ac:dyDescent="0.25">
      <c r="A1198" s="14">
        <v>26752857000151</v>
      </c>
      <c r="B1198" s="15" t="str">
        <f t="shared" si="18"/>
        <v>26.752.857/0001-51</v>
      </c>
      <c r="C1198" s="12"/>
      <c r="D1198" s="3" t="s">
        <v>4772</v>
      </c>
      <c r="E1198" s="3" t="s">
        <v>4773</v>
      </c>
      <c r="F1198" s="3" t="s">
        <v>20</v>
      </c>
      <c r="G1198" s="4">
        <v>33826</v>
      </c>
      <c r="H1198" s="3" t="s">
        <v>3218</v>
      </c>
      <c r="I1198" s="3" t="s">
        <v>33</v>
      </c>
      <c r="J1198" s="5">
        <v>0</v>
      </c>
      <c r="K1198" s="3">
        <v>8424800</v>
      </c>
      <c r="L1198" s="3" t="s">
        <v>4359</v>
      </c>
      <c r="M1198" s="3" t="s">
        <v>4774</v>
      </c>
      <c r="N1198" s="9">
        <v>45931</v>
      </c>
      <c r="P1198" s="3" t="s">
        <v>4775</v>
      </c>
      <c r="Q1198" s="3" t="s">
        <v>1886</v>
      </c>
      <c r="R1198" s="3" t="s">
        <v>1887</v>
      </c>
      <c r="S1198" s="3">
        <v>77001670</v>
      </c>
      <c r="T1198" s="3">
        <v>6332183017</v>
      </c>
      <c r="U1198" s="3" t="s">
        <v>29</v>
      </c>
    </row>
    <row r="1199" spans="1:21" ht="13.2" x14ac:dyDescent="0.25">
      <c r="A1199" s="14">
        <v>17851361000144</v>
      </c>
      <c r="B1199" s="15" t="str">
        <f t="shared" si="18"/>
        <v>17.851.361/0001-44</v>
      </c>
      <c r="C1199" s="12"/>
      <c r="D1199" s="3" t="s">
        <v>4776</v>
      </c>
      <c r="E1199" s="3" t="s">
        <v>4776</v>
      </c>
      <c r="F1199" s="3" t="s">
        <v>20</v>
      </c>
      <c r="G1199" s="4">
        <v>26266</v>
      </c>
      <c r="H1199" s="3" t="s">
        <v>4758</v>
      </c>
      <c r="I1199" s="3" t="s">
        <v>33</v>
      </c>
      <c r="J1199" s="5">
        <v>0</v>
      </c>
      <c r="K1199" s="3">
        <v>3600601</v>
      </c>
      <c r="L1199" s="3" t="s">
        <v>788</v>
      </c>
      <c r="M1199" s="3" t="s">
        <v>27</v>
      </c>
      <c r="N1199" s="3">
        <v>642</v>
      </c>
      <c r="P1199" s="3" t="s">
        <v>70</v>
      </c>
      <c r="Q1199" s="3" t="s">
        <v>827</v>
      </c>
      <c r="R1199" s="3" t="s">
        <v>100</v>
      </c>
      <c r="S1199" s="3">
        <v>37701012</v>
      </c>
      <c r="U1199" s="3" t="s">
        <v>29</v>
      </c>
    </row>
    <row r="1200" spans="1:21" ht="13.2" x14ac:dyDescent="0.25">
      <c r="A1200" s="14">
        <v>1057428000133</v>
      </c>
      <c r="B1200" s="15" t="str">
        <f t="shared" si="18"/>
        <v>01.057.428/0001-33</v>
      </c>
      <c r="C1200" s="12"/>
      <c r="D1200" s="3" t="s">
        <v>4777</v>
      </c>
      <c r="E1200" s="3" t="s">
        <v>4777</v>
      </c>
      <c r="F1200" s="3" t="s">
        <v>20</v>
      </c>
      <c r="G1200" s="4">
        <v>35104</v>
      </c>
      <c r="H1200" s="3" t="s">
        <v>21</v>
      </c>
      <c r="I1200" s="3" t="s">
        <v>33</v>
      </c>
      <c r="J1200" s="5">
        <v>53018600</v>
      </c>
      <c r="K1200" s="3">
        <v>4645101</v>
      </c>
      <c r="L1200" s="3" t="s">
        <v>135</v>
      </c>
      <c r="M1200" s="3" t="s">
        <v>2209</v>
      </c>
      <c r="N1200" s="3" t="s">
        <v>82</v>
      </c>
      <c r="O1200" s="3" t="s">
        <v>4778</v>
      </c>
      <c r="P1200" s="3" t="s">
        <v>2211</v>
      </c>
      <c r="Q1200" s="3" t="s">
        <v>27</v>
      </c>
      <c r="R1200" s="3" t="s">
        <v>28</v>
      </c>
      <c r="S1200" s="3">
        <v>4711130</v>
      </c>
      <c r="T1200" s="3">
        <v>8321062433</v>
      </c>
      <c r="U1200" s="3" t="s">
        <v>29</v>
      </c>
    </row>
    <row r="1201" spans="1:21" ht="13.2" x14ac:dyDescent="0.25">
      <c r="A1201" s="14">
        <v>7318036000167</v>
      </c>
      <c r="B1201" s="15" t="str">
        <f t="shared" si="18"/>
        <v>07.318.036/0001-67</v>
      </c>
      <c r="C1201" s="12"/>
      <c r="D1201" s="3" t="s">
        <v>4779</v>
      </c>
      <c r="E1201" s="3" t="s">
        <v>4779</v>
      </c>
      <c r="F1201" s="3" t="s">
        <v>20</v>
      </c>
      <c r="G1201" s="4">
        <v>38446</v>
      </c>
      <c r="H1201" s="3" t="s">
        <v>21</v>
      </c>
      <c r="I1201" s="3" t="s">
        <v>22</v>
      </c>
      <c r="J1201" s="5">
        <v>4815000</v>
      </c>
      <c r="K1201" s="3">
        <v>3250705</v>
      </c>
      <c r="L1201" s="3" t="s">
        <v>2420</v>
      </c>
      <c r="M1201" s="3" t="s">
        <v>4780</v>
      </c>
      <c r="N1201" s="3">
        <v>839</v>
      </c>
      <c r="P1201" s="3" t="s">
        <v>4781</v>
      </c>
      <c r="Q1201" s="3" t="s">
        <v>27</v>
      </c>
      <c r="R1201" s="3" t="s">
        <v>28</v>
      </c>
      <c r="S1201" s="3">
        <v>3478040</v>
      </c>
      <c r="T1201" s="3">
        <v>1125224631</v>
      </c>
      <c r="U1201" s="3" t="s">
        <v>29</v>
      </c>
    </row>
    <row r="1202" spans="1:21" ht="13.2" x14ac:dyDescent="0.25">
      <c r="A1202" s="14">
        <v>15331924000148</v>
      </c>
      <c r="B1202" s="15" t="str">
        <f t="shared" si="18"/>
        <v>15.331.924/0001-48</v>
      </c>
      <c r="C1202" s="12" t="str">
        <f>VLOOKUP(B1202,[1]Planilha1!$A:$B,2,0)</f>
        <v>Malu Montesino</v>
      </c>
      <c r="D1202" s="3" t="s">
        <v>4782</v>
      </c>
      <c r="E1202" s="3" t="s">
        <v>4783</v>
      </c>
      <c r="F1202" s="3" t="s">
        <v>20</v>
      </c>
      <c r="G1202" s="4">
        <v>41001</v>
      </c>
      <c r="H1202" s="3" t="s">
        <v>21</v>
      </c>
      <c r="I1202" s="3" t="s">
        <v>22</v>
      </c>
      <c r="J1202" s="5">
        <v>2500000</v>
      </c>
      <c r="K1202" s="3">
        <v>3250702</v>
      </c>
      <c r="L1202" s="3" t="s">
        <v>2159</v>
      </c>
      <c r="M1202" s="3" t="s">
        <v>4784</v>
      </c>
      <c r="N1202" s="3">
        <v>2730</v>
      </c>
      <c r="O1202" s="3" t="s">
        <v>4785</v>
      </c>
      <c r="P1202" s="3" t="s">
        <v>4784</v>
      </c>
      <c r="Q1202" s="3" t="s">
        <v>3098</v>
      </c>
      <c r="R1202" s="3" t="s">
        <v>91</v>
      </c>
      <c r="S1202" s="3">
        <v>89107000</v>
      </c>
      <c r="T1202" s="3">
        <v>4733370898</v>
      </c>
      <c r="U1202" s="3" t="s">
        <v>29</v>
      </c>
    </row>
    <row r="1203" spans="1:21" ht="13.2" x14ac:dyDescent="0.25">
      <c r="A1203" s="14">
        <v>5026685000169</v>
      </c>
      <c r="B1203" s="15" t="str">
        <f t="shared" si="18"/>
        <v>05.026.685/0001-69</v>
      </c>
      <c r="C1203" s="12"/>
      <c r="D1203" s="3" t="s">
        <v>4786</v>
      </c>
      <c r="E1203" s="3" t="s">
        <v>4786</v>
      </c>
      <c r="F1203" s="3" t="s">
        <v>20</v>
      </c>
      <c r="G1203" s="4">
        <v>37340</v>
      </c>
      <c r="H1203" s="3" t="s">
        <v>21</v>
      </c>
      <c r="I1203" s="3" t="s">
        <v>22</v>
      </c>
      <c r="J1203" s="5">
        <v>25000</v>
      </c>
      <c r="K1203" s="3">
        <v>3702900</v>
      </c>
      <c r="L1203" s="3" t="s">
        <v>3447</v>
      </c>
      <c r="M1203" s="3" t="s">
        <v>4787</v>
      </c>
      <c r="N1203" s="3">
        <v>613</v>
      </c>
      <c r="P1203" s="3" t="s">
        <v>3838</v>
      </c>
      <c r="Q1203" s="3" t="s">
        <v>27</v>
      </c>
      <c r="R1203" s="3" t="s">
        <v>28</v>
      </c>
      <c r="S1203" s="3">
        <v>1130010</v>
      </c>
      <c r="T1203" s="3">
        <v>1133333000</v>
      </c>
      <c r="U1203" s="3" t="s">
        <v>29</v>
      </c>
    </row>
    <row r="1204" spans="1:21" ht="13.2" x14ac:dyDescent="0.25">
      <c r="A1204" s="14">
        <v>6264996000129</v>
      </c>
      <c r="B1204" s="15" t="str">
        <f t="shared" si="18"/>
        <v>06.264.996/0001-29</v>
      </c>
      <c r="C1204" s="12"/>
      <c r="D1204" s="3" t="s">
        <v>4788</v>
      </c>
      <c r="E1204" s="3" t="s">
        <v>4788</v>
      </c>
      <c r="F1204" s="3" t="s">
        <v>20</v>
      </c>
      <c r="G1204" s="4">
        <v>38117</v>
      </c>
      <c r="H1204" s="3" t="s">
        <v>21</v>
      </c>
      <c r="I1204" s="3" t="s">
        <v>47</v>
      </c>
      <c r="J1204" s="5">
        <v>20000</v>
      </c>
      <c r="K1204" s="3">
        <v>8122200</v>
      </c>
      <c r="L1204" s="3" t="s">
        <v>2910</v>
      </c>
      <c r="M1204" s="3" t="s">
        <v>3697</v>
      </c>
      <c r="N1204" s="3">
        <v>145</v>
      </c>
      <c r="P1204" s="3" t="s">
        <v>4789</v>
      </c>
      <c r="Q1204" s="3" t="s">
        <v>27</v>
      </c>
      <c r="R1204" s="3" t="s">
        <v>28</v>
      </c>
      <c r="S1204" s="3">
        <v>2864040</v>
      </c>
      <c r="T1204" s="3">
        <v>1127136250</v>
      </c>
      <c r="U1204" s="3" t="s">
        <v>29</v>
      </c>
    </row>
    <row r="1205" spans="1:21" ht="13.2" x14ac:dyDescent="0.25">
      <c r="A1205" s="14">
        <v>5829307000113</v>
      </c>
      <c r="B1205" s="15" t="str">
        <f t="shared" si="18"/>
        <v>05.829.307/0001-13</v>
      </c>
      <c r="C1205" s="12"/>
      <c r="D1205" s="3" t="s">
        <v>4790</v>
      </c>
      <c r="E1205" s="3" t="s">
        <v>4791</v>
      </c>
      <c r="F1205" s="3" t="s">
        <v>20</v>
      </c>
      <c r="G1205" s="4">
        <v>37851</v>
      </c>
      <c r="H1205" s="3" t="s">
        <v>21</v>
      </c>
      <c r="I1205" s="3" t="s">
        <v>33</v>
      </c>
      <c r="J1205" s="5">
        <v>500000</v>
      </c>
      <c r="K1205" s="3">
        <v>6202300</v>
      </c>
      <c r="L1205" s="3" t="s">
        <v>103</v>
      </c>
      <c r="M1205" s="3" t="s">
        <v>4792</v>
      </c>
      <c r="N1205" s="3">
        <v>43</v>
      </c>
      <c r="O1205" s="3" t="s">
        <v>4793</v>
      </c>
      <c r="P1205" s="3" t="s">
        <v>4794</v>
      </c>
      <c r="Q1205" s="3" t="s">
        <v>253</v>
      </c>
      <c r="R1205" s="3" t="s">
        <v>78</v>
      </c>
      <c r="S1205" s="3">
        <v>20220410</v>
      </c>
      <c r="T1205" s="3">
        <v>9181096776</v>
      </c>
      <c r="U1205" s="3" t="s">
        <v>29</v>
      </c>
    </row>
    <row r="1206" spans="1:21" ht="13.2" x14ac:dyDescent="0.25">
      <c r="A1206" s="14">
        <v>58408204000146</v>
      </c>
      <c r="B1206" s="15" t="str">
        <f t="shared" si="18"/>
        <v>58.408.204/0001-46</v>
      </c>
      <c r="C1206" s="12"/>
      <c r="D1206" s="3" t="s">
        <v>4795</v>
      </c>
      <c r="E1206" s="3" t="s">
        <v>4795</v>
      </c>
      <c r="F1206" s="3" t="s">
        <v>20</v>
      </c>
      <c r="G1206" s="4">
        <v>32129</v>
      </c>
      <c r="H1206" s="3" t="s">
        <v>21</v>
      </c>
      <c r="I1206" s="3" t="s">
        <v>22</v>
      </c>
      <c r="J1206" s="5">
        <v>1300000</v>
      </c>
      <c r="K1206" s="3">
        <v>8122200</v>
      </c>
      <c r="L1206" s="3" t="s">
        <v>2910</v>
      </c>
      <c r="M1206" s="3" t="s">
        <v>4796</v>
      </c>
      <c r="N1206" s="3">
        <v>362</v>
      </c>
      <c r="P1206" s="3" t="s">
        <v>4797</v>
      </c>
      <c r="Q1206" s="3" t="s">
        <v>27</v>
      </c>
      <c r="R1206" s="3" t="s">
        <v>28</v>
      </c>
      <c r="S1206" s="3">
        <v>4320030</v>
      </c>
      <c r="T1206" s="3">
        <v>1150702525</v>
      </c>
      <c r="U1206" s="3" t="s">
        <v>29</v>
      </c>
    </row>
    <row r="1207" spans="1:21" ht="13.2" x14ac:dyDescent="0.25">
      <c r="A1207" s="14">
        <v>8170849000115</v>
      </c>
      <c r="B1207" s="15" t="str">
        <f t="shared" si="18"/>
        <v>08.170.849/0001-15</v>
      </c>
      <c r="C1207" s="12"/>
      <c r="D1207" s="3" t="s">
        <v>4798</v>
      </c>
      <c r="E1207" s="3" t="s">
        <v>4799</v>
      </c>
      <c r="F1207" s="3" t="s">
        <v>20</v>
      </c>
      <c r="G1207" s="4">
        <v>38902</v>
      </c>
      <c r="H1207" s="3" t="s">
        <v>377</v>
      </c>
      <c r="I1207" s="3" t="s">
        <v>33</v>
      </c>
      <c r="J1207" s="5">
        <v>997594000</v>
      </c>
      <c r="K1207" s="3">
        <v>6110803</v>
      </c>
      <c r="L1207" s="3" t="s">
        <v>339</v>
      </c>
      <c r="M1207" s="3" t="s">
        <v>4800</v>
      </c>
      <c r="N1207" s="3">
        <v>1421</v>
      </c>
      <c r="P1207" s="3" t="s">
        <v>4801</v>
      </c>
      <c r="Q1207" s="3" t="s">
        <v>4802</v>
      </c>
      <c r="R1207" s="3" t="s">
        <v>28</v>
      </c>
      <c r="S1207" s="3">
        <v>13385042</v>
      </c>
      <c r="T1207" s="3">
        <v>1935143100</v>
      </c>
      <c r="U1207" s="3" t="s">
        <v>29</v>
      </c>
    </row>
    <row r="1208" spans="1:21" ht="13.2" x14ac:dyDescent="0.25">
      <c r="A1208" s="14">
        <v>10900700000196</v>
      </c>
      <c r="B1208" s="15" t="str">
        <f t="shared" si="18"/>
        <v>10.900.700/0001-96</v>
      </c>
      <c r="C1208" s="12"/>
      <c r="D1208" s="3" t="s">
        <v>4803</v>
      </c>
      <c r="E1208" s="3" t="s">
        <v>4804</v>
      </c>
      <c r="F1208" s="3" t="s">
        <v>20</v>
      </c>
      <c r="G1208" s="4">
        <v>39685</v>
      </c>
      <c r="H1208" s="3" t="s">
        <v>21</v>
      </c>
      <c r="I1208" s="3" t="s">
        <v>22</v>
      </c>
      <c r="J1208" s="5">
        <v>50000</v>
      </c>
      <c r="K1208" s="3">
        <v>3292202</v>
      </c>
      <c r="L1208" s="3" t="s">
        <v>1654</v>
      </c>
      <c r="M1208" s="3" t="s">
        <v>4805</v>
      </c>
      <c r="N1208" s="3">
        <v>660</v>
      </c>
      <c r="P1208" s="3" t="s">
        <v>4806</v>
      </c>
      <c r="Q1208" s="3" t="s">
        <v>27</v>
      </c>
      <c r="R1208" s="3" t="s">
        <v>28</v>
      </c>
      <c r="S1208" s="3">
        <v>1524000</v>
      </c>
      <c r="T1208" s="3">
        <v>1127900922</v>
      </c>
      <c r="U1208" s="3" t="s">
        <v>29</v>
      </c>
    </row>
    <row r="1209" spans="1:21" ht="13.2" x14ac:dyDescent="0.25">
      <c r="A1209" s="14">
        <v>27401513000160</v>
      </c>
      <c r="B1209" s="15" t="str">
        <f t="shared" si="18"/>
        <v>27.401.513/0001-60</v>
      </c>
      <c r="C1209" s="12" t="str">
        <f>VLOOKUP(B1209,[1]Planilha1!$A:$B,2,0)</f>
        <v>Malu Montesino</v>
      </c>
      <c r="D1209" s="3" t="s">
        <v>4807</v>
      </c>
      <c r="E1209" s="3" t="s">
        <v>4807</v>
      </c>
      <c r="F1209" s="3" t="s">
        <v>20</v>
      </c>
      <c r="G1209" s="4">
        <v>42822</v>
      </c>
      <c r="H1209" s="3" t="s">
        <v>21</v>
      </c>
      <c r="I1209" s="3" t="s">
        <v>22</v>
      </c>
      <c r="J1209" s="5">
        <v>681575</v>
      </c>
      <c r="K1209" s="3">
        <v>4693100</v>
      </c>
      <c r="L1209" s="3" t="s">
        <v>238</v>
      </c>
      <c r="M1209" s="3" t="s">
        <v>4808</v>
      </c>
      <c r="N1209" s="3" t="s">
        <v>4809</v>
      </c>
      <c r="O1209" s="3" t="s">
        <v>4810</v>
      </c>
      <c r="P1209" s="3" t="s">
        <v>4811</v>
      </c>
      <c r="Q1209" s="3" t="s">
        <v>262</v>
      </c>
      <c r="R1209" s="3" t="s">
        <v>28</v>
      </c>
      <c r="S1209" s="3">
        <v>6210005</v>
      </c>
      <c r="T1209" s="3">
        <v>1132552525</v>
      </c>
      <c r="U1209" s="3" t="s">
        <v>29</v>
      </c>
    </row>
    <row r="1210" spans="1:21" ht="13.2" x14ac:dyDescent="0.25">
      <c r="A1210" s="14">
        <v>8874411000118</v>
      </c>
      <c r="B1210" s="15" t="str">
        <f t="shared" si="18"/>
        <v>08.874.411/0001-18</v>
      </c>
      <c r="C1210" s="12"/>
      <c r="D1210" s="3" t="s">
        <v>4812</v>
      </c>
      <c r="E1210" s="3" t="s">
        <v>4812</v>
      </c>
      <c r="F1210" s="3" t="s">
        <v>20</v>
      </c>
      <c r="G1210" s="4">
        <v>39212</v>
      </c>
      <c r="H1210" s="3" t="s">
        <v>21</v>
      </c>
      <c r="I1210" s="3" t="s">
        <v>33</v>
      </c>
      <c r="J1210" s="5">
        <v>500000</v>
      </c>
      <c r="K1210" s="3">
        <v>4110700</v>
      </c>
      <c r="L1210" s="3" t="s">
        <v>4133</v>
      </c>
      <c r="M1210" s="3" t="s">
        <v>4813</v>
      </c>
      <c r="N1210" s="3">
        <v>253</v>
      </c>
      <c r="O1210" s="3" t="s">
        <v>4814</v>
      </c>
      <c r="P1210" s="3" t="s">
        <v>4815</v>
      </c>
      <c r="Q1210" s="3" t="s">
        <v>262</v>
      </c>
      <c r="R1210" s="3" t="s">
        <v>28</v>
      </c>
      <c r="S1210" s="3">
        <v>6023080</v>
      </c>
      <c r="T1210" s="3">
        <v>1136991981</v>
      </c>
      <c r="U1210" s="3" t="s">
        <v>29</v>
      </c>
    </row>
    <row r="1211" spans="1:21" ht="13.2" x14ac:dyDescent="0.25">
      <c r="A1211" s="14">
        <v>97837181000147</v>
      </c>
      <c r="B1211" s="15" t="str">
        <f t="shared" si="18"/>
        <v>97.837.181/0001-47</v>
      </c>
      <c r="C1211" s="12"/>
      <c r="D1211" s="3" t="s">
        <v>4816</v>
      </c>
      <c r="E1211" s="3" t="s">
        <v>4816</v>
      </c>
      <c r="F1211" s="3" t="s">
        <v>20</v>
      </c>
      <c r="G1211" s="4">
        <v>24378</v>
      </c>
      <c r="H1211" s="3" t="s">
        <v>377</v>
      </c>
      <c r="I1211" s="3" t="s">
        <v>33</v>
      </c>
      <c r="J1211" s="5">
        <v>3370188500</v>
      </c>
      <c r="K1211" s="3">
        <v>1621800</v>
      </c>
      <c r="L1211" s="3" t="s">
        <v>4817</v>
      </c>
      <c r="M1211" s="3" t="s">
        <v>246</v>
      </c>
      <c r="N1211" s="3">
        <v>1938</v>
      </c>
      <c r="O1211" s="3" t="s">
        <v>4818</v>
      </c>
      <c r="P1211" s="3" t="s">
        <v>248</v>
      </c>
      <c r="Q1211" s="3" t="s">
        <v>27</v>
      </c>
      <c r="R1211" s="3" t="s">
        <v>28</v>
      </c>
      <c r="S1211" s="3">
        <v>1310942</v>
      </c>
      <c r="T1211" s="3">
        <v>4899259155</v>
      </c>
      <c r="U1211" s="3" t="s">
        <v>29</v>
      </c>
    </row>
    <row r="1212" spans="1:21" ht="13.2" x14ac:dyDescent="0.25">
      <c r="A1212" s="14">
        <v>97837181002271</v>
      </c>
      <c r="B1212" s="15" t="str">
        <f t="shared" si="18"/>
        <v>97.837.181/0022-71</v>
      </c>
      <c r="C1212" s="12"/>
      <c r="D1212" s="3" t="s">
        <v>4816</v>
      </c>
      <c r="E1212" s="3" t="s">
        <v>4816</v>
      </c>
      <c r="F1212" s="3" t="s">
        <v>20</v>
      </c>
      <c r="G1212" s="4">
        <v>40021</v>
      </c>
      <c r="H1212" s="3" t="s">
        <v>377</v>
      </c>
      <c r="I1212" s="3" t="s">
        <v>33</v>
      </c>
      <c r="J1212" s="5">
        <v>3370188500</v>
      </c>
      <c r="K1212" s="3">
        <v>2349401</v>
      </c>
      <c r="L1212" s="3" t="s">
        <v>4675</v>
      </c>
      <c r="M1212" s="3" t="s">
        <v>4819</v>
      </c>
      <c r="N1212" s="3">
        <v>11900</v>
      </c>
      <c r="P1212" s="3" t="s">
        <v>153</v>
      </c>
      <c r="Q1212" s="3" t="s">
        <v>567</v>
      </c>
      <c r="R1212" s="3" t="s">
        <v>28</v>
      </c>
      <c r="S1212" s="3">
        <v>13213030</v>
      </c>
      <c r="T1212" s="3">
        <v>4899259155</v>
      </c>
      <c r="U1212" s="3" t="s">
        <v>29</v>
      </c>
    </row>
    <row r="1213" spans="1:21" ht="13.2" x14ac:dyDescent="0.25">
      <c r="A1213" s="14">
        <v>2417059000105</v>
      </c>
      <c r="B1213" s="15" t="str">
        <f t="shared" si="18"/>
        <v>02.417.059/0001-05</v>
      </c>
      <c r="C1213" s="12"/>
      <c r="D1213" s="3" t="s">
        <v>4820</v>
      </c>
      <c r="E1213" s="3" t="s">
        <v>4821</v>
      </c>
      <c r="F1213" s="3" t="s">
        <v>20</v>
      </c>
      <c r="G1213" s="4">
        <v>35872</v>
      </c>
      <c r="H1213" s="3" t="s">
        <v>21</v>
      </c>
      <c r="I1213" s="3" t="s">
        <v>22</v>
      </c>
      <c r="J1213" s="5">
        <v>1000000</v>
      </c>
      <c r="K1213" s="3">
        <v>4645103</v>
      </c>
      <c r="L1213" s="3" t="s">
        <v>1568</v>
      </c>
      <c r="M1213" s="3" t="s">
        <v>1949</v>
      </c>
      <c r="N1213" s="3">
        <v>13</v>
      </c>
      <c r="O1213" s="3" t="s">
        <v>4822</v>
      </c>
      <c r="P1213" s="3" t="s">
        <v>1456</v>
      </c>
      <c r="Q1213" s="3" t="s">
        <v>631</v>
      </c>
      <c r="R1213" s="3" t="s">
        <v>632</v>
      </c>
      <c r="S1213" s="3">
        <v>71250200</v>
      </c>
      <c r="T1213" s="3">
        <v>6181236576</v>
      </c>
      <c r="U1213" s="3" t="s">
        <v>29</v>
      </c>
    </row>
    <row r="1214" spans="1:21" ht="13.2" x14ac:dyDescent="0.25">
      <c r="A1214" s="14">
        <v>7832586000108</v>
      </c>
      <c r="B1214" s="15" t="str">
        <f t="shared" si="18"/>
        <v>07.832.586/0001-08</v>
      </c>
      <c r="C1214" s="12"/>
      <c r="D1214" s="3" t="s">
        <v>4823</v>
      </c>
      <c r="E1214" s="3" t="s">
        <v>4824</v>
      </c>
      <c r="F1214" s="3" t="s">
        <v>20</v>
      </c>
      <c r="G1214" s="4">
        <v>38740</v>
      </c>
      <c r="H1214" s="3" t="s">
        <v>21</v>
      </c>
      <c r="I1214" s="3" t="s">
        <v>22</v>
      </c>
      <c r="J1214" s="5">
        <v>1500000</v>
      </c>
      <c r="K1214" s="3">
        <v>7911200</v>
      </c>
      <c r="L1214" s="3" t="s">
        <v>269</v>
      </c>
      <c r="M1214" s="3" t="s">
        <v>4825</v>
      </c>
      <c r="N1214" s="3">
        <v>1</v>
      </c>
      <c r="O1214" s="3" t="s">
        <v>4826</v>
      </c>
      <c r="P1214" s="3" t="s">
        <v>1745</v>
      </c>
      <c r="Q1214" s="3" t="s">
        <v>631</v>
      </c>
      <c r="R1214" s="3" t="s">
        <v>632</v>
      </c>
      <c r="S1214" s="3">
        <v>70340000</v>
      </c>
      <c r="T1214" s="3">
        <v>6139625111</v>
      </c>
      <c r="U1214" s="3" t="s">
        <v>29</v>
      </c>
    </row>
    <row r="1215" spans="1:21" ht="13.2" x14ac:dyDescent="0.25">
      <c r="A1215" s="14">
        <v>13261973000398</v>
      </c>
      <c r="B1215" s="15" t="str">
        <f t="shared" si="18"/>
        <v>13.261.973/0003-98</v>
      </c>
      <c r="C1215" s="12"/>
      <c r="D1215" s="3" t="s">
        <v>4827</v>
      </c>
      <c r="E1215" s="3" t="s">
        <v>4828</v>
      </c>
      <c r="F1215" s="3" t="s">
        <v>20</v>
      </c>
      <c r="G1215" s="4">
        <v>44159</v>
      </c>
      <c r="H1215" s="3" t="s">
        <v>21</v>
      </c>
      <c r="I1215" s="3" t="s">
        <v>22</v>
      </c>
      <c r="J1215" s="5">
        <v>350000</v>
      </c>
      <c r="K1215" s="3">
        <v>4530703</v>
      </c>
      <c r="L1215" s="3" t="s">
        <v>768</v>
      </c>
      <c r="M1215" s="3" t="s">
        <v>4829</v>
      </c>
      <c r="N1215" s="3">
        <v>652</v>
      </c>
      <c r="O1215" s="3" t="s">
        <v>117</v>
      </c>
      <c r="P1215" s="3" t="s">
        <v>1804</v>
      </c>
      <c r="Q1215" s="3" t="s">
        <v>65</v>
      </c>
      <c r="R1215" s="3" t="s">
        <v>28</v>
      </c>
      <c r="S1215" s="3">
        <v>13070014</v>
      </c>
      <c r="T1215" s="3">
        <v>1999748584</v>
      </c>
      <c r="U1215" s="3" t="s">
        <v>29</v>
      </c>
    </row>
    <row r="1216" spans="1:21" ht="13.2" x14ac:dyDescent="0.25">
      <c r="A1216" s="14">
        <v>11182835000126</v>
      </c>
      <c r="B1216" s="15" t="str">
        <f t="shared" si="18"/>
        <v>11.182.835/0001-26</v>
      </c>
      <c r="C1216" s="12"/>
      <c r="D1216" s="3" t="s">
        <v>4830</v>
      </c>
      <c r="E1216" s="3" t="s">
        <v>4831</v>
      </c>
      <c r="F1216" s="3" t="s">
        <v>20</v>
      </c>
      <c r="G1216" s="4">
        <v>40084</v>
      </c>
      <c r="H1216" s="3" t="s">
        <v>21</v>
      </c>
      <c r="I1216" s="3" t="s">
        <v>47</v>
      </c>
      <c r="J1216" s="5">
        <v>100000</v>
      </c>
      <c r="K1216" s="3">
        <v>7112000</v>
      </c>
      <c r="L1216" s="3" t="s">
        <v>276</v>
      </c>
      <c r="M1216" s="3" t="s">
        <v>4832</v>
      </c>
      <c r="N1216" s="3">
        <v>1</v>
      </c>
      <c r="O1216" s="3" t="s">
        <v>4833</v>
      </c>
      <c r="P1216" s="3" t="s">
        <v>4834</v>
      </c>
      <c r="Q1216" s="3" t="s">
        <v>631</v>
      </c>
      <c r="R1216" s="3" t="s">
        <v>632</v>
      </c>
      <c r="S1216" s="3">
        <v>71732070</v>
      </c>
      <c r="T1216" s="3">
        <v>6135972000</v>
      </c>
      <c r="U1216" s="3" t="s">
        <v>29</v>
      </c>
    </row>
    <row r="1217" spans="1:21" ht="13.2" x14ac:dyDescent="0.25">
      <c r="A1217" s="14">
        <v>3222543000141</v>
      </c>
      <c r="B1217" s="15" t="str">
        <f t="shared" si="18"/>
        <v>03.222.543/0001-41</v>
      </c>
      <c r="C1217" s="12"/>
      <c r="D1217" s="3" t="s">
        <v>4835</v>
      </c>
      <c r="E1217" s="3" t="s">
        <v>4835</v>
      </c>
      <c r="F1217" s="3" t="s">
        <v>20</v>
      </c>
      <c r="G1217" s="4">
        <v>36112</v>
      </c>
      <c r="H1217" s="3" t="s">
        <v>21</v>
      </c>
      <c r="I1217" s="3" t="s">
        <v>22</v>
      </c>
      <c r="J1217" s="5">
        <v>300000</v>
      </c>
      <c r="K1217" s="3">
        <v>3011302</v>
      </c>
      <c r="L1217" s="3" t="s">
        <v>4836</v>
      </c>
      <c r="M1217" s="3" t="s">
        <v>4837</v>
      </c>
      <c r="N1217" s="3" t="s">
        <v>4838</v>
      </c>
      <c r="O1217" s="3" t="s">
        <v>4839</v>
      </c>
      <c r="P1217" s="3" t="s">
        <v>950</v>
      </c>
      <c r="Q1217" s="3" t="s">
        <v>253</v>
      </c>
      <c r="R1217" s="3" t="s">
        <v>78</v>
      </c>
      <c r="S1217" s="3">
        <v>20940180</v>
      </c>
      <c r="T1217" s="3">
        <v>2193339999</v>
      </c>
      <c r="U1217" s="3" t="s">
        <v>29</v>
      </c>
    </row>
    <row r="1218" spans="1:21" ht="13.2" x14ac:dyDescent="0.25">
      <c r="A1218" s="14">
        <v>35197526000198</v>
      </c>
      <c r="B1218" s="15" t="str">
        <f t="shared" si="18"/>
        <v>35.197.526/0001-98</v>
      </c>
      <c r="C1218" s="12" t="str">
        <f>VLOOKUP(B1218,[1]Planilha1!$A:$B,2,0)</f>
        <v>Mariane Nascimento</v>
      </c>
      <c r="D1218" s="3" t="s">
        <v>4840</v>
      </c>
      <c r="E1218" s="3" t="s">
        <v>4841</v>
      </c>
      <c r="F1218" s="3" t="s">
        <v>20</v>
      </c>
      <c r="G1218" s="4">
        <v>43753</v>
      </c>
      <c r="H1218" s="3" t="s">
        <v>21</v>
      </c>
      <c r="I1218" s="3" t="s">
        <v>22</v>
      </c>
      <c r="J1218" s="5">
        <v>425000</v>
      </c>
      <c r="K1218" s="3">
        <v>4645101</v>
      </c>
      <c r="L1218" s="3" t="s">
        <v>135</v>
      </c>
      <c r="M1218" s="3" t="s">
        <v>4842</v>
      </c>
      <c r="N1218" s="3">
        <v>7000</v>
      </c>
      <c r="O1218" s="3" t="s">
        <v>4843</v>
      </c>
      <c r="P1218" s="3" t="s">
        <v>4844</v>
      </c>
      <c r="Q1218" s="3" t="s">
        <v>4845</v>
      </c>
      <c r="R1218" s="3" t="s">
        <v>53</v>
      </c>
      <c r="S1218" s="3">
        <v>94440000</v>
      </c>
      <c r="T1218" s="3">
        <v>5135001176</v>
      </c>
      <c r="U1218" s="3" t="s">
        <v>29</v>
      </c>
    </row>
    <row r="1219" spans="1:21" ht="13.2" x14ac:dyDescent="0.25">
      <c r="A1219" s="14">
        <v>9008990000189</v>
      </c>
      <c r="B1219" s="15" t="str">
        <f t="shared" ref="B1219:B1282" si="19">TEXT(A1219,"00\.000\.000\/0000\-00")</f>
        <v>09.008.990/0001-89</v>
      </c>
      <c r="C1219" s="12"/>
      <c r="D1219" s="3" t="s">
        <v>4846</v>
      </c>
      <c r="E1219" s="3" t="s">
        <v>4847</v>
      </c>
      <c r="F1219" s="3" t="s">
        <v>20</v>
      </c>
      <c r="G1219" s="4">
        <v>39295</v>
      </c>
      <c r="H1219" s="3" t="s">
        <v>21</v>
      </c>
      <c r="I1219" s="3" t="s">
        <v>47</v>
      </c>
      <c r="J1219" s="5">
        <v>5000</v>
      </c>
      <c r="K1219" s="3">
        <v>8211300</v>
      </c>
      <c r="L1219" s="3" t="s">
        <v>166</v>
      </c>
      <c r="M1219" s="3" t="s">
        <v>1403</v>
      </c>
      <c r="N1219" s="3">
        <v>37</v>
      </c>
      <c r="O1219" s="3" t="s">
        <v>4848</v>
      </c>
      <c r="P1219" s="3" t="s">
        <v>142</v>
      </c>
      <c r="Q1219" s="3" t="s">
        <v>27</v>
      </c>
      <c r="R1219" s="3" t="s">
        <v>28</v>
      </c>
      <c r="S1219" s="3">
        <v>3003050</v>
      </c>
      <c r="T1219" s="3">
        <v>1132286477</v>
      </c>
      <c r="U1219" s="3" t="s">
        <v>29</v>
      </c>
    </row>
    <row r="1220" spans="1:21" ht="13.2" x14ac:dyDescent="0.25">
      <c r="A1220" s="14">
        <v>5288017000100</v>
      </c>
      <c r="B1220" s="15" t="str">
        <f t="shared" si="19"/>
        <v>05.288.017/0001-00</v>
      </c>
      <c r="C1220" s="12"/>
      <c r="D1220" s="3" t="s">
        <v>4849</v>
      </c>
      <c r="E1220" s="3" t="s">
        <v>4850</v>
      </c>
      <c r="F1220" s="3" t="s">
        <v>20</v>
      </c>
      <c r="G1220" s="4">
        <v>37511</v>
      </c>
      <c r="H1220" s="3" t="s">
        <v>21</v>
      </c>
      <c r="I1220" s="3" t="s">
        <v>47</v>
      </c>
      <c r="J1220" s="5">
        <v>500000</v>
      </c>
      <c r="K1220" s="3">
        <v>4645101</v>
      </c>
      <c r="L1220" s="3" t="s">
        <v>135</v>
      </c>
      <c r="M1220" s="3" t="s">
        <v>4851</v>
      </c>
      <c r="N1220" s="3">
        <v>224</v>
      </c>
      <c r="P1220" s="3" t="s">
        <v>4852</v>
      </c>
      <c r="Q1220" s="3" t="s">
        <v>2487</v>
      </c>
      <c r="R1220" s="3" t="s">
        <v>78</v>
      </c>
      <c r="S1220" s="3">
        <v>27323450</v>
      </c>
      <c r="T1220" s="3">
        <v>2433236532</v>
      </c>
      <c r="U1220" s="3" t="s">
        <v>29</v>
      </c>
    </row>
    <row r="1221" spans="1:21" ht="13.2" x14ac:dyDescent="0.25">
      <c r="A1221" s="14">
        <v>17160828000100</v>
      </c>
      <c r="B1221" s="15" t="str">
        <f t="shared" si="19"/>
        <v>17.160.828/0001-00</v>
      </c>
      <c r="C1221" s="12"/>
      <c r="D1221" s="3" t="s">
        <v>4853</v>
      </c>
      <c r="E1221" s="3" t="s">
        <v>4854</v>
      </c>
      <c r="F1221" s="3" t="s">
        <v>20</v>
      </c>
      <c r="G1221" s="4">
        <v>41212</v>
      </c>
      <c r="H1221" s="3" t="s">
        <v>21</v>
      </c>
      <c r="I1221" s="3" t="s">
        <v>47</v>
      </c>
      <c r="J1221" s="5">
        <v>300000</v>
      </c>
      <c r="K1221" s="3">
        <v>4651601</v>
      </c>
      <c r="L1221" s="3" t="s">
        <v>684</v>
      </c>
      <c r="M1221" s="3" t="s">
        <v>4855</v>
      </c>
      <c r="N1221" s="3">
        <v>1459</v>
      </c>
      <c r="O1221" s="3" t="s">
        <v>4856</v>
      </c>
      <c r="P1221" s="3" t="s">
        <v>70</v>
      </c>
      <c r="Q1221" s="3" t="s">
        <v>1346</v>
      </c>
      <c r="R1221" s="3" t="s">
        <v>28</v>
      </c>
      <c r="S1221" s="3">
        <v>16901001</v>
      </c>
      <c r="T1221" s="3">
        <v>1837227376</v>
      </c>
      <c r="U1221" s="3" t="s">
        <v>29</v>
      </c>
    </row>
    <row r="1222" spans="1:21" ht="13.2" x14ac:dyDescent="0.25">
      <c r="A1222" s="14">
        <v>2206208000197</v>
      </c>
      <c r="B1222" s="15" t="str">
        <f t="shared" si="19"/>
        <v>02.206.208/0001-97</v>
      </c>
      <c r="C1222" s="12"/>
      <c r="D1222" s="3" t="s">
        <v>4857</v>
      </c>
      <c r="E1222" s="3" t="s">
        <v>4857</v>
      </c>
      <c r="F1222" s="3" t="s">
        <v>20</v>
      </c>
      <c r="G1222" s="4">
        <v>35732</v>
      </c>
      <c r="H1222" s="3" t="s">
        <v>21</v>
      </c>
      <c r="I1222" s="3" t="s">
        <v>33</v>
      </c>
      <c r="J1222" s="5">
        <v>300000</v>
      </c>
      <c r="K1222" s="3">
        <v>4744099</v>
      </c>
      <c r="L1222" s="3" t="s">
        <v>115</v>
      </c>
      <c r="M1222" s="3" t="s">
        <v>4858</v>
      </c>
      <c r="N1222" s="3">
        <v>850</v>
      </c>
      <c r="O1222" s="3" t="s">
        <v>4859</v>
      </c>
      <c r="P1222" s="3" t="s">
        <v>252</v>
      </c>
      <c r="Q1222" s="3" t="s">
        <v>253</v>
      </c>
      <c r="R1222" s="3" t="s">
        <v>78</v>
      </c>
      <c r="S1222" s="3">
        <v>22775057</v>
      </c>
      <c r="T1222" s="3">
        <v>2124371158</v>
      </c>
      <c r="U1222" s="3" t="s">
        <v>29</v>
      </c>
    </row>
    <row r="1223" spans="1:21" ht="13.2" x14ac:dyDescent="0.25">
      <c r="A1223" s="14">
        <v>13038746000136</v>
      </c>
      <c r="B1223" s="15" t="str">
        <f t="shared" si="19"/>
        <v>13.038.746/0001-36</v>
      </c>
      <c r="C1223" s="12"/>
      <c r="D1223" s="3" t="s">
        <v>4860</v>
      </c>
      <c r="E1223" s="3" t="s">
        <v>4861</v>
      </c>
      <c r="F1223" s="3" t="s">
        <v>45</v>
      </c>
      <c r="G1223" s="4">
        <v>40533</v>
      </c>
      <c r="H1223" s="3" t="s">
        <v>21</v>
      </c>
      <c r="I1223" s="3" t="s">
        <v>22</v>
      </c>
      <c r="J1223" s="5">
        <v>2000</v>
      </c>
      <c r="K1223" s="3">
        <v>9521500</v>
      </c>
      <c r="L1223" s="3" t="s">
        <v>1223</v>
      </c>
      <c r="M1223" s="3" t="s">
        <v>4862</v>
      </c>
      <c r="N1223" s="3">
        <v>402</v>
      </c>
      <c r="O1223" s="3" t="s">
        <v>3552</v>
      </c>
      <c r="P1223" s="3" t="s">
        <v>4863</v>
      </c>
      <c r="Q1223" s="3" t="s">
        <v>27</v>
      </c>
      <c r="R1223" s="3" t="s">
        <v>28</v>
      </c>
      <c r="S1223" s="3">
        <v>5842090</v>
      </c>
      <c r="T1223" s="3">
        <v>1147823769</v>
      </c>
      <c r="U1223" s="3" t="s">
        <v>29</v>
      </c>
    </row>
    <row r="1224" spans="1:21" ht="13.2" x14ac:dyDescent="0.25">
      <c r="A1224" s="14">
        <v>1896764000170</v>
      </c>
      <c r="B1224" s="15" t="str">
        <f t="shared" si="19"/>
        <v>01.896.764/0001-70</v>
      </c>
      <c r="C1224" s="12"/>
      <c r="D1224" s="3" t="s">
        <v>4864</v>
      </c>
      <c r="E1224" s="3" t="s">
        <v>4864</v>
      </c>
      <c r="F1224" s="3" t="s">
        <v>20</v>
      </c>
      <c r="G1224" s="4">
        <v>35503</v>
      </c>
      <c r="H1224" s="3" t="s">
        <v>21</v>
      </c>
      <c r="I1224" s="3" t="s">
        <v>33</v>
      </c>
      <c r="J1224" s="5">
        <v>65547410</v>
      </c>
      <c r="K1224" s="3">
        <v>4645101</v>
      </c>
      <c r="L1224" s="3" t="s">
        <v>135</v>
      </c>
      <c r="M1224" s="3" t="s">
        <v>837</v>
      </c>
      <c r="N1224" s="3">
        <v>1500</v>
      </c>
      <c r="O1224" s="3" t="s">
        <v>4865</v>
      </c>
      <c r="P1224" s="3" t="s">
        <v>137</v>
      </c>
      <c r="Q1224" s="3" t="s">
        <v>27</v>
      </c>
      <c r="R1224" s="3" t="s">
        <v>28</v>
      </c>
      <c r="S1224" s="3">
        <v>5001100</v>
      </c>
      <c r="T1224" s="3">
        <v>1136186000</v>
      </c>
      <c r="U1224" s="3" t="s">
        <v>29</v>
      </c>
    </row>
    <row r="1225" spans="1:21" ht="13.2" x14ac:dyDescent="0.25">
      <c r="A1225" s="14">
        <v>83413591000156</v>
      </c>
      <c r="B1225" s="15" t="str">
        <f t="shared" si="19"/>
        <v>83.413.591/0001-56</v>
      </c>
      <c r="C1225" s="12"/>
      <c r="D1225" s="3" t="s">
        <v>4866</v>
      </c>
      <c r="E1225" s="3" t="s">
        <v>4867</v>
      </c>
      <c r="F1225" s="3" t="s">
        <v>20</v>
      </c>
      <c r="G1225" s="4">
        <v>28135</v>
      </c>
      <c r="H1225" s="3" t="s">
        <v>21</v>
      </c>
      <c r="I1225" s="3" t="s">
        <v>33</v>
      </c>
      <c r="J1225" s="5">
        <v>10000000</v>
      </c>
      <c r="K1225" s="3">
        <v>4686901</v>
      </c>
      <c r="L1225" s="3" t="s">
        <v>4868</v>
      </c>
      <c r="M1225" s="3" t="s">
        <v>1777</v>
      </c>
      <c r="N1225" s="3">
        <v>2022</v>
      </c>
      <c r="O1225" s="3" t="s">
        <v>4869</v>
      </c>
      <c r="P1225" s="3" t="s">
        <v>4870</v>
      </c>
      <c r="Q1225" s="3" t="s">
        <v>4871</v>
      </c>
      <c r="R1225" s="3" t="s">
        <v>91</v>
      </c>
      <c r="S1225" s="3">
        <v>89620000</v>
      </c>
      <c r="T1225" s="3">
        <v>4935410744</v>
      </c>
      <c r="U1225" s="3" t="s">
        <v>29</v>
      </c>
    </row>
    <row r="1226" spans="1:21" ht="13.2" x14ac:dyDescent="0.25">
      <c r="A1226" s="14">
        <v>9476320000197</v>
      </c>
      <c r="B1226" s="15" t="str">
        <f t="shared" si="19"/>
        <v>09.476.320/0001-97</v>
      </c>
      <c r="C1226" s="12"/>
      <c r="D1226" s="3" t="s">
        <v>4872</v>
      </c>
      <c r="E1226" s="3" t="s">
        <v>4873</v>
      </c>
      <c r="F1226" s="3" t="s">
        <v>31</v>
      </c>
      <c r="G1226" s="4">
        <v>39548</v>
      </c>
      <c r="H1226" s="3" t="s">
        <v>21</v>
      </c>
      <c r="I1226" s="3" t="s">
        <v>22</v>
      </c>
      <c r="J1226" s="5">
        <v>98000</v>
      </c>
      <c r="K1226" s="3">
        <v>4530701</v>
      </c>
      <c r="L1226" s="3" t="s">
        <v>2176</v>
      </c>
      <c r="M1226" s="3" t="s">
        <v>4874</v>
      </c>
      <c r="N1226" s="3">
        <v>3087</v>
      </c>
      <c r="P1226" s="3" t="s">
        <v>4875</v>
      </c>
      <c r="Q1226" s="3" t="s">
        <v>224</v>
      </c>
      <c r="R1226" s="3" t="s">
        <v>225</v>
      </c>
      <c r="S1226" s="3">
        <v>78015020</v>
      </c>
      <c r="T1226" s="3">
        <v>6536342808</v>
      </c>
      <c r="U1226" s="3" t="s">
        <v>29</v>
      </c>
    </row>
    <row r="1227" spans="1:21" ht="13.2" x14ac:dyDescent="0.25">
      <c r="A1227" s="14">
        <v>34431156000149</v>
      </c>
      <c r="B1227" s="15" t="str">
        <f t="shared" si="19"/>
        <v>34.431.156/0001-49</v>
      </c>
      <c r="C1227" s="12"/>
      <c r="D1227" s="3" t="s">
        <v>4876</v>
      </c>
      <c r="E1227" s="3" t="s">
        <v>4877</v>
      </c>
      <c r="F1227" s="3" t="s">
        <v>20</v>
      </c>
      <c r="G1227" s="4">
        <v>43682</v>
      </c>
      <c r="H1227" s="3" t="s">
        <v>21</v>
      </c>
      <c r="I1227" s="3" t="s">
        <v>22</v>
      </c>
      <c r="J1227" s="5">
        <v>1000</v>
      </c>
      <c r="K1227" s="3">
        <v>7490104</v>
      </c>
      <c r="L1227" s="3" t="s">
        <v>1597</v>
      </c>
      <c r="M1227" s="3" t="s">
        <v>4878</v>
      </c>
      <c r="N1227" s="3">
        <v>1200</v>
      </c>
      <c r="O1227" s="3" t="s">
        <v>4879</v>
      </c>
      <c r="P1227" s="3" t="s">
        <v>370</v>
      </c>
      <c r="Q1227" s="3" t="s">
        <v>437</v>
      </c>
      <c r="R1227" s="3" t="s">
        <v>53</v>
      </c>
      <c r="S1227" s="3">
        <v>90480000</v>
      </c>
      <c r="T1227" s="3">
        <v>5181556336</v>
      </c>
      <c r="U1227" s="3" t="s">
        <v>29</v>
      </c>
    </row>
    <row r="1228" spans="1:21" ht="13.2" x14ac:dyDescent="0.25">
      <c r="A1228" s="14">
        <v>88020102000110</v>
      </c>
      <c r="B1228" s="15" t="str">
        <f t="shared" si="19"/>
        <v>88.020.102/0001-10</v>
      </c>
      <c r="C1228" s="12" t="str">
        <f>VLOOKUP(B1228,[1]Planilha1!$A:$B,2,0)</f>
        <v>Malu Montesino</v>
      </c>
      <c r="D1228" s="3" t="s">
        <v>4880</v>
      </c>
      <c r="E1228" s="3" t="s">
        <v>4880</v>
      </c>
      <c r="F1228" s="3" t="s">
        <v>20</v>
      </c>
      <c r="G1228" s="4">
        <v>27793</v>
      </c>
      <c r="H1228" s="3" t="s">
        <v>94</v>
      </c>
      <c r="I1228" s="3" t="s">
        <v>33</v>
      </c>
      <c r="J1228" s="5">
        <v>80814020</v>
      </c>
      <c r="K1228" s="3">
        <v>2651500</v>
      </c>
      <c r="L1228" s="3" t="s">
        <v>600</v>
      </c>
      <c r="M1228" s="3" t="s">
        <v>4881</v>
      </c>
      <c r="N1228" s="3">
        <v>640</v>
      </c>
      <c r="P1228" s="3" t="s">
        <v>610</v>
      </c>
      <c r="Q1228" s="3" t="s">
        <v>603</v>
      </c>
      <c r="R1228" s="3" t="s">
        <v>53</v>
      </c>
      <c r="S1228" s="3">
        <v>94045420</v>
      </c>
      <c r="T1228" s="3">
        <v>5121269991</v>
      </c>
      <c r="U1228" s="3" t="s">
        <v>29</v>
      </c>
    </row>
    <row r="1229" spans="1:21" ht="13.2" x14ac:dyDescent="0.25">
      <c r="A1229" s="14">
        <v>60160546000131</v>
      </c>
      <c r="B1229" s="15" t="str">
        <f t="shared" si="19"/>
        <v>60.160.546/0001-31</v>
      </c>
      <c r="C1229" s="12" t="str">
        <f>VLOOKUP(B1229,[1]Planilha1!$A:$B,2,0)</f>
        <v>Malu Montesino</v>
      </c>
      <c r="D1229" s="3" t="s">
        <v>4882</v>
      </c>
      <c r="E1229" s="3" t="s">
        <v>4883</v>
      </c>
      <c r="F1229" s="3" t="s">
        <v>20</v>
      </c>
      <c r="G1229" s="4">
        <v>32566</v>
      </c>
      <c r="H1229" s="3" t="s">
        <v>21</v>
      </c>
      <c r="I1229" s="3" t="s">
        <v>33</v>
      </c>
      <c r="J1229" s="5">
        <v>1000000</v>
      </c>
      <c r="K1229" s="3">
        <v>2651500</v>
      </c>
      <c r="L1229" s="3" t="s">
        <v>600</v>
      </c>
      <c r="M1229" s="3" t="s">
        <v>4884</v>
      </c>
      <c r="N1229" s="3">
        <v>227</v>
      </c>
      <c r="P1229" s="3" t="s">
        <v>1141</v>
      </c>
      <c r="Q1229" s="3" t="s">
        <v>27</v>
      </c>
      <c r="R1229" s="3" t="s">
        <v>28</v>
      </c>
      <c r="S1229" s="3">
        <v>4691110</v>
      </c>
      <c r="T1229" s="3">
        <v>1156332200</v>
      </c>
      <c r="U1229" s="3" t="s">
        <v>29</v>
      </c>
    </row>
    <row r="1230" spans="1:21" ht="13.2" x14ac:dyDescent="0.25">
      <c r="A1230" s="14">
        <v>81783912000189</v>
      </c>
      <c r="B1230" s="15" t="str">
        <f t="shared" si="19"/>
        <v>81.783.912/0001-89</v>
      </c>
      <c r="C1230" s="12"/>
      <c r="D1230" s="3" t="s">
        <v>4885</v>
      </c>
      <c r="E1230" s="3" t="s">
        <v>4885</v>
      </c>
      <c r="F1230" s="3" t="s">
        <v>20</v>
      </c>
      <c r="G1230" s="4">
        <v>32954</v>
      </c>
      <c r="H1230" s="3" t="s">
        <v>21</v>
      </c>
      <c r="I1230" s="3" t="s">
        <v>33</v>
      </c>
      <c r="J1230" s="5">
        <v>792356</v>
      </c>
      <c r="K1230" s="3">
        <v>4751201</v>
      </c>
      <c r="L1230" s="3" t="s">
        <v>23</v>
      </c>
      <c r="M1230" s="3" t="s">
        <v>4886</v>
      </c>
      <c r="N1230" s="3">
        <v>274</v>
      </c>
      <c r="O1230" s="3" t="s">
        <v>4887</v>
      </c>
      <c r="P1230" s="3" t="s">
        <v>70</v>
      </c>
      <c r="Q1230" s="3" t="s">
        <v>4888</v>
      </c>
      <c r="R1230" s="3" t="s">
        <v>91</v>
      </c>
      <c r="S1230" s="3">
        <v>89700041</v>
      </c>
      <c r="T1230" s="3">
        <v>4934411600</v>
      </c>
      <c r="U1230" s="3" t="s">
        <v>29</v>
      </c>
    </row>
    <row r="1231" spans="1:21" ht="13.2" x14ac:dyDescent="0.25">
      <c r="A1231" s="14">
        <v>9284432000146</v>
      </c>
      <c r="B1231" s="15" t="str">
        <f t="shared" si="19"/>
        <v>09.284.432/0001-46</v>
      </c>
      <c r="C1231" s="12"/>
      <c r="D1231" s="3" t="s">
        <v>4889</v>
      </c>
      <c r="E1231" s="3" t="s">
        <v>4889</v>
      </c>
      <c r="F1231" s="3" t="s">
        <v>20</v>
      </c>
      <c r="G1231" s="4">
        <v>39420</v>
      </c>
      <c r="H1231" s="3" t="s">
        <v>21</v>
      </c>
      <c r="I1231" s="3" t="s">
        <v>47</v>
      </c>
      <c r="J1231" s="5">
        <v>1000000</v>
      </c>
      <c r="K1231" s="3">
        <v>8211300</v>
      </c>
      <c r="L1231" s="3" t="s">
        <v>166</v>
      </c>
      <c r="M1231" s="3" t="s">
        <v>4890</v>
      </c>
      <c r="N1231" s="3">
        <v>441</v>
      </c>
      <c r="O1231" s="3" t="s">
        <v>4891</v>
      </c>
      <c r="P1231" s="3" t="s">
        <v>4892</v>
      </c>
      <c r="Q1231" s="3" t="s">
        <v>27</v>
      </c>
      <c r="R1231" s="3" t="s">
        <v>28</v>
      </c>
      <c r="S1231" s="3">
        <v>4078904</v>
      </c>
      <c r="T1231" s="3">
        <v>1193357684</v>
      </c>
      <c r="U1231" s="3" t="s">
        <v>29</v>
      </c>
    </row>
    <row r="1232" spans="1:21" ht="13.2" x14ac:dyDescent="0.25">
      <c r="A1232" s="14">
        <v>53153649000109</v>
      </c>
      <c r="B1232" s="15" t="str">
        <f t="shared" si="19"/>
        <v>53.153.649/0001-09</v>
      </c>
      <c r="C1232" s="12" t="str">
        <f>VLOOKUP(B1232,[1]Planilha1!$A:$B,2,0)</f>
        <v>Malu Montesino</v>
      </c>
      <c r="D1232" s="3" t="s">
        <v>4893</v>
      </c>
      <c r="E1232" s="3" t="s">
        <v>4893</v>
      </c>
      <c r="F1232" s="3" t="s">
        <v>20</v>
      </c>
      <c r="G1232" s="4">
        <v>30678</v>
      </c>
      <c r="H1232" s="3" t="s">
        <v>21</v>
      </c>
      <c r="I1232" s="3" t="s">
        <v>33</v>
      </c>
      <c r="J1232" s="5">
        <v>8729395</v>
      </c>
      <c r="K1232" s="3">
        <v>2651500</v>
      </c>
      <c r="L1232" s="3" t="s">
        <v>600</v>
      </c>
      <c r="M1232" s="3" t="s">
        <v>4485</v>
      </c>
      <c r="N1232" s="3">
        <v>515</v>
      </c>
      <c r="P1232" s="3" t="s">
        <v>4894</v>
      </c>
      <c r="Q1232" s="3" t="s">
        <v>27</v>
      </c>
      <c r="R1232" s="3" t="s">
        <v>28</v>
      </c>
      <c r="S1232" s="3">
        <v>4671245</v>
      </c>
      <c r="T1232" s="3">
        <v>1156320518</v>
      </c>
      <c r="U1232" s="3" t="s">
        <v>29</v>
      </c>
    </row>
    <row r="1233" spans="1:21" ht="13.2" x14ac:dyDescent="0.25">
      <c r="A1233" s="14">
        <v>2520829000140</v>
      </c>
      <c r="B1233" s="15" t="str">
        <f t="shared" si="19"/>
        <v>02.520.829/0001-40</v>
      </c>
      <c r="C1233" s="12"/>
      <c r="D1233" s="3" t="s">
        <v>4895</v>
      </c>
      <c r="E1233" s="3" t="s">
        <v>4896</v>
      </c>
      <c r="F1233" s="3" t="s">
        <v>20</v>
      </c>
      <c r="G1233" s="4">
        <v>35915</v>
      </c>
      <c r="H1233" s="3" t="s">
        <v>21</v>
      </c>
      <c r="I1233" s="3" t="s">
        <v>33</v>
      </c>
      <c r="J1233" s="5">
        <v>42915600</v>
      </c>
      <c r="K1233" s="3">
        <v>4644301</v>
      </c>
      <c r="L1233" s="3" t="s">
        <v>326</v>
      </c>
      <c r="M1233" s="3" t="s">
        <v>4897</v>
      </c>
      <c r="N1233" s="3">
        <v>180</v>
      </c>
      <c r="P1233" s="3" t="s">
        <v>70</v>
      </c>
      <c r="Q1233" s="3" t="s">
        <v>3342</v>
      </c>
      <c r="R1233" s="3" t="s">
        <v>53</v>
      </c>
      <c r="S1233" s="3">
        <v>99740000</v>
      </c>
      <c r="T1233" s="3">
        <v>5435232600</v>
      </c>
      <c r="U1233" s="3" t="s">
        <v>29</v>
      </c>
    </row>
    <row r="1234" spans="1:21" ht="13.2" x14ac:dyDescent="0.25">
      <c r="A1234" s="14">
        <v>92665611000177</v>
      </c>
      <c r="B1234" s="15" t="str">
        <f t="shared" si="19"/>
        <v>92.665.611/0001-77</v>
      </c>
      <c r="C1234" s="12"/>
      <c r="D1234" s="3" t="s">
        <v>4898</v>
      </c>
      <c r="E1234" s="3" t="s">
        <v>4899</v>
      </c>
      <c r="F1234" s="3" t="s">
        <v>20</v>
      </c>
      <c r="G1234" s="4">
        <v>27848</v>
      </c>
      <c r="H1234" s="3" t="s">
        <v>377</v>
      </c>
      <c r="I1234" s="3" t="s">
        <v>33</v>
      </c>
      <c r="J1234" s="5">
        <v>1046458900</v>
      </c>
      <c r="K1234" s="3">
        <v>4771701</v>
      </c>
      <c r="L1234" s="3" t="s">
        <v>4415</v>
      </c>
      <c r="M1234" s="3" t="s">
        <v>4900</v>
      </c>
      <c r="N1234" s="3">
        <v>865</v>
      </c>
      <c r="P1234" s="3" t="s">
        <v>610</v>
      </c>
      <c r="Q1234" s="3" t="s">
        <v>4703</v>
      </c>
      <c r="R1234" s="3" t="s">
        <v>53</v>
      </c>
      <c r="S1234" s="3">
        <v>92990000</v>
      </c>
      <c r="T1234" s="3">
        <v>5132189036</v>
      </c>
      <c r="U1234" s="3" t="s">
        <v>29</v>
      </c>
    </row>
    <row r="1235" spans="1:21" ht="13.2" x14ac:dyDescent="0.25">
      <c r="A1235" s="14">
        <v>6913480000168</v>
      </c>
      <c r="B1235" s="15" t="str">
        <f t="shared" si="19"/>
        <v>06.913.480/0001-68</v>
      </c>
      <c r="C1235" s="12" t="str">
        <f>VLOOKUP(B1235,[1]Planilha1!$A:$B,2,0)</f>
        <v>Malu Montesino</v>
      </c>
      <c r="D1235" s="3" t="s">
        <v>4901</v>
      </c>
      <c r="E1235" s="3" t="s">
        <v>4902</v>
      </c>
      <c r="F1235" s="3" t="s">
        <v>20</v>
      </c>
      <c r="G1235" s="4">
        <v>38183</v>
      </c>
      <c r="H1235" s="3" t="s">
        <v>21</v>
      </c>
      <c r="I1235" s="3" t="s">
        <v>33</v>
      </c>
      <c r="J1235" s="5">
        <v>511634750</v>
      </c>
      <c r="K1235" s="3">
        <v>4673700</v>
      </c>
      <c r="L1235" s="3" t="s">
        <v>861</v>
      </c>
      <c r="M1235" s="3" t="s">
        <v>4903</v>
      </c>
      <c r="N1235" s="3">
        <v>190</v>
      </c>
      <c r="P1235" s="3" t="s">
        <v>4904</v>
      </c>
      <c r="Q1235" s="3" t="s">
        <v>854</v>
      </c>
      <c r="R1235" s="3" t="s">
        <v>28</v>
      </c>
      <c r="S1235" s="3">
        <v>13481316</v>
      </c>
      <c r="T1235" s="3">
        <v>1934467548</v>
      </c>
      <c r="U1235" s="3" t="s">
        <v>29</v>
      </c>
    </row>
    <row r="1236" spans="1:21" ht="13.2" x14ac:dyDescent="0.25">
      <c r="A1236" s="14">
        <v>7065479000193</v>
      </c>
      <c r="B1236" s="15" t="str">
        <f t="shared" si="19"/>
        <v>07.065.479/0001-93</v>
      </c>
      <c r="C1236" s="12" t="str">
        <f>VLOOKUP(B1236,[1]Planilha1!$A:$B,2,0)</f>
        <v>Malu Montesino</v>
      </c>
      <c r="D1236" s="3" t="s">
        <v>4905</v>
      </c>
      <c r="E1236" s="3" t="s">
        <v>4906</v>
      </c>
      <c r="F1236" s="3" t="s">
        <v>20</v>
      </c>
      <c r="G1236" s="4">
        <v>38296</v>
      </c>
      <c r="H1236" s="3" t="s">
        <v>21</v>
      </c>
      <c r="I1236" s="3" t="s">
        <v>22</v>
      </c>
      <c r="J1236" s="5">
        <v>500000</v>
      </c>
      <c r="K1236" s="3">
        <v>4744001</v>
      </c>
      <c r="L1236" s="3" t="s">
        <v>396</v>
      </c>
      <c r="M1236" s="3" t="s">
        <v>4907</v>
      </c>
      <c r="N1236" s="3">
        <v>1537</v>
      </c>
      <c r="P1236" s="3" t="s">
        <v>4908</v>
      </c>
      <c r="Q1236" s="3" t="s">
        <v>1886</v>
      </c>
      <c r="R1236" s="3" t="s">
        <v>187</v>
      </c>
      <c r="S1236" s="3">
        <v>85690202</v>
      </c>
      <c r="T1236" s="3">
        <v>4632625901</v>
      </c>
      <c r="U1236" s="3" t="s">
        <v>29</v>
      </c>
    </row>
    <row r="1237" spans="1:21" ht="13.2" x14ac:dyDescent="0.25">
      <c r="A1237" s="14">
        <v>4503070000113</v>
      </c>
      <c r="B1237" s="15" t="str">
        <f t="shared" si="19"/>
        <v>04.503.070/0001-13</v>
      </c>
      <c r="C1237" s="12"/>
      <c r="D1237" s="3" t="s">
        <v>4909</v>
      </c>
      <c r="E1237" s="3" t="s">
        <v>4910</v>
      </c>
      <c r="F1237" s="3" t="s">
        <v>20</v>
      </c>
      <c r="G1237" s="4">
        <v>37053</v>
      </c>
      <c r="H1237" s="3" t="s">
        <v>21</v>
      </c>
      <c r="I1237" s="3" t="s">
        <v>22</v>
      </c>
      <c r="J1237" s="5">
        <v>600000</v>
      </c>
      <c r="K1237" s="3">
        <v>4221904</v>
      </c>
      <c r="L1237" s="3" t="s">
        <v>4911</v>
      </c>
      <c r="M1237" s="3" t="s">
        <v>4912</v>
      </c>
      <c r="N1237" s="3">
        <v>157</v>
      </c>
      <c r="O1237" s="3" t="s">
        <v>2029</v>
      </c>
      <c r="P1237" s="3" t="s">
        <v>4913</v>
      </c>
      <c r="Q1237" s="3" t="s">
        <v>4914</v>
      </c>
      <c r="R1237" s="3" t="s">
        <v>187</v>
      </c>
      <c r="S1237" s="3">
        <v>86057060</v>
      </c>
      <c r="T1237" s="3">
        <v>4333232443</v>
      </c>
      <c r="U1237" s="3" t="s">
        <v>29</v>
      </c>
    </row>
    <row r="1238" spans="1:21" ht="13.2" x14ac:dyDescent="0.25">
      <c r="A1238" s="14">
        <v>699158000100</v>
      </c>
      <c r="B1238" s="15" t="str">
        <f t="shared" si="19"/>
        <v>00.699.158/0001-00</v>
      </c>
      <c r="C1238" s="12"/>
      <c r="D1238" s="3" t="s">
        <v>4915</v>
      </c>
      <c r="E1238" s="3" t="s">
        <v>4915</v>
      </c>
      <c r="F1238" s="3" t="s">
        <v>31</v>
      </c>
      <c r="G1238" s="4">
        <v>34894</v>
      </c>
      <c r="H1238" s="3" t="s">
        <v>21</v>
      </c>
      <c r="I1238" s="3" t="s">
        <v>22</v>
      </c>
      <c r="J1238" s="5">
        <v>280000</v>
      </c>
      <c r="K1238" s="3">
        <v>8129000</v>
      </c>
      <c r="L1238" s="3" t="s">
        <v>3626</v>
      </c>
      <c r="M1238" s="3" t="s">
        <v>4916</v>
      </c>
      <c r="N1238" s="3">
        <v>805</v>
      </c>
      <c r="O1238" s="3" t="s">
        <v>198</v>
      </c>
      <c r="P1238" s="3" t="s">
        <v>4917</v>
      </c>
      <c r="Q1238" s="3" t="s">
        <v>4918</v>
      </c>
      <c r="R1238" s="3" t="s">
        <v>53</v>
      </c>
      <c r="S1238" s="3">
        <v>97760000</v>
      </c>
      <c r="T1238" s="3">
        <v>5532551988</v>
      </c>
      <c r="U1238" s="3" t="s">
        <v>29</v>
      </c>
    </row>
    <row r="1239" spans="1:21" ht="13.2" x14ac:dyDescent="0.25">
      <c r="A1239" s="14">
        <v>16366888000110</v>
      </c>
      <c r="B1239" s="15" t="str">
        <f t="shared" si="19"/>
        <v>16.366.888/0001-10</v>
      </c>
      <c r="C1239" s="12"/>
      <c r="D1239" s="3" t="s">
        <v>4919</v>
      </c>
      <c r="E1239" s="3" t="s">
        <v>4920</v>
      </c>
      <c r="F1239" s="3" t="s">
        <v>20</v>
      </c>
      <c r="G1239" s="4">
        <v>41099</v>
      </c>
      <c r="H1239" s="3" t="s">
        <v>21</v>
      </c>
      <c r="I1239" s="3" t="s">
        <v>22</v>
      </c>
      <c r="J1239" s="5">
        <v>20000</v>
      </c>
      <c r="K1239" s="3">
        <v>4645101</v>
      </c>
      <c r="L1239" s="3" t="s">
        <v>135</v>
      </c>
      <c r="M1239" s="3" t="s">
        <v>4921</v>
      </c>
      <c r="N1239" s="3">
        <v>80</v>
      </c>
      <c r="P1239" s="3" t="s">
        <v>4922</v>
      </c>
      <c r="Q1239" s="3" t="s">
        <v>4923</v>
      </c>
      <c r="R1239" s="3" t="s">
        <v>100</v>
      </c>
      <c r="S1239" s="3">
        <v>37558466</v>
      </c>
      <c r="T1239" s="3">
        <v>3534227889</v>
      </c>
      <c r="U1239" s="3" t="s">
        <v>29</v>
      </c>
    </row>
    <row r="1240" spans="1:21" ht="13.2" x14ac:dyDescent="0.25">
      <c r="A1240" s="14">
        <v>47869078000100</v>
      </c>
      <c r="B1240" s="15" t="str">
        <f t="shared" si="19"/>
        <v>47.869.078/0001-00</v>
      </c>
      <c r="C1240" s="12"/>
      <c r="D1240" s="3" t="s">
        <v>4924</v>
      </c>
      <c r="E1240" s="3" t="s">
        <v>4924</v>
      </c>
      <c r="F1240" s="3" t="s">
        <v>20</v>
      </c>
      <c r="G1240" s="4">
        <v>27856</v>
      </c>
      <c r="H1240" s="3" t="s">
        <v>21</v>
      </c>
      <c r="I1240" s="3" t="s">
        <v>33</v>
      </c>
      <c r="J1240" s="5">
        <v>1000000</v>
      </c>
      <c r="K1240" s="3">
        <v>4645101</v>
      </c>
      <c r="L1240" s="3" t="s">
        <v>135</v>
      </c>
      <c r="M1240" s="3" t="s">
        <v>4925</v>
      </c>
      <c r="N1240" s="3">
        <v>441</v>
      </c>
      <c r="P1240" s="3" t="s">
        <v>4926</v>
      </c>
      <c r="Q1240" s="3" t="s">
        <v>27</v>
      </c>
      <c r="R1240" s="3" t="s">
        <v>28</v>
      </c>
      <c r="S1240" s="3">
        <v>5092000</v>
      </c>
      <c r="T1240" s="3">
        <v>1136460166</v>
      </c>
      <c r="U1240" s="3" t="s">
        <v>29</v>
      </c>
    </row>
    <row r="1241" spans="1:21" ht="13.2" x14ac:dyDescent="0.25">
      <c r="A1241" s="14">
        <v>32963001000128</v>
      </c>
      <c r="B1241" s="15" t="str">
        <f t="shared" si="19"/>
        <v>32.963.001/0001-28</v>
      </c>
      <c r="C1241" s="12" t="str">
        <f>VLOOKUP(B1241,[1]Planilha1!$A:$B,2,0)</f>
        <v>Mariane Nascimento</v>
      </c>
      <c r="D1241" s="3" t="s">
        <v>4927</v>
      </c>
      <c r="E1241" s="3" t="s">
        <v>4927</v>
      </c>
      <c r="F1241" s="3" t="s">
        <v>20</v>
      </c>
      <c r="G1241" s="4">
        <v>32639</v>
      </c>
      <c r="H1241" s="3" t="s">
        <v>21</v>
      </c>
      <c r="I1241" s="3" t="s">
        <v>33</v>
      </c>
      <c r="J1241" s="5">
        <v>5400688</v>
      </c>
      <c r="K1241" s="3">
        <v>7112000</v>
      </c>
      <c r="L1241" s="3" t="s">
        <v>276</v>
      </c>
      <c r="M1241" s="3" t="s">
        <v>4928</v>
      </c>
      <c r="N1241" s="3">
        <v>80</v>
      </c>
      <c r="O1241" s="3" t="s">
        <v>4929</v>
      </c>
      <c r="P1241" s="3" t="s">
        <v>4930</v>
      </c>
      <c r="Q1241" s="3" t="s">
        <v>476</v>
      </c>
      <c r="R1241" s="3" t="s">
        <v>100</v>
      </c>
      <c r="S1241" s="3">
        <v>30320670</v>
      </c>
      <c r="T1241" s="3">
        <v>3130291400</v>
      </c>
      <c r="U1241" s="3" t="s">
        <v>29</v>
      </c>
    </row>
    <row r="1242" spans="1:21" ht="13.2" x14ac:dyDescent="0.25">
      <c r="A1242" s="14">
        <v>16614075000100</v>
      </c>
      <c r="B1242" s="15" t="str">
        <f t="shared" si="19"/>
        <v>16.614.075/0001-00</v>
      </c>
      <c r="C1242" s="12"/>
      <c r="D1242" s="3" t="s">
        <v>4931</v>
      </c>
      <c r="E1242" s="3" t="s">
        <v>4931</v>
      </c>
      <c r="F1242" s="3" t="s">
        <v>20</v>
      </c>
      <c r="G1242" s="4">
        <v>29651</v>
      </c>
      <c r="H1242" s="3" t="s">
        <v>377</v>
      </c>
      <c r="I1242" s="3" t="s">
        <v>33</v>
      </c>
      <c r="J1242" s="5">
        <v>1181857400</v>
      </c>
      <c r="K1242" s="3">
        <v>4120400</v>
      </c>
      <c r="L1242" s="3" t="s">
        <v>87</v>
      </c>
      <c r="M1242" s="3" t="s">
        <v>4932</v>
      </c>
      <c r="N1242" s="3">
        <v>177</v>
      </c>
      <c r="P1242" s="3" t="s">
        <v>3599</v>
      </c>
      <c r="Q1242" s="3" t="s">
        <v>476</v>
      </c>
      <c r="R1242" s="3" t="s">
        <v>100</v>
      </c>
      <c r="S1242" s="3">
        <v>30150270</v>
      </c>
      <c r="T1242" s="3">
        <v>3134315686</v>
      </c>
      <c r="U1242" s="3" t="s">
        <v>29</v>
      </c>
    </row>
    <row r="1243" spans="1:21" ht="13.2" x14ac:dyDescent="0.25">
      <c r="A1243" s="14">
        <v>24792972000124</v>
      </c>
      <c r="B1243" s="15" t="str">
        <f t="shared" si="19"/>
        <v>24.792.972/0001-24</v>
      </c>
      <c r="C1243" s="12"/>
      <c r="D1243" s="3" t="s">
        <v>4933</v>
      </c>
      <c r="E1243" s="3" t="s">
        <v>4934</v>
      </c>
      <c r="F1243" s="3" t="s">
        <v>31</v>
      </c>
      <c r="G1243" s="4">
        <v>42503</v>
      </c>
      <c r="H1243" s="3" t="s">
        <v>244</v>
      </c>
      <c r="I1243" s="3" t="s">
        <v>33</v>
      </c>
      <c r="J1243" s="5">
        <v>0</v>
      </c>
      <c r="K1243" s="3">
        <v>9499500</v>
      </c>
      <c r="L1243" s="3" t="s">
        <v>245</v>
      </c>
      <c r="M1243" s="3" t="s">
        <v>4935</v>
      </c>
      <c r="N1243" s="3">
        <v>190</v>
      </c>
      <c r="P1243" s="3" t="s">
        <v>70</v>
      </c>
      <c r="Q1243" s="3" t="s">
        <v>476</v>
      </c>
      <c r="R1243" s="3" t="s">
        <v>100</v>
      </c>
      <c r="S1243" s="3">
        <v>30130100</v>
      </c>
      <c r="T1243" s="3">
        <v>3173018304</v>
      </c>
      <c r="U1243" s="3" t="s">
        <v>29</v>
      </c>
    </row>
    <row r="1244" spans="1:21" ht="13.2" x14ac:dyDescent="0.25">
      <c r="A1244" s="14">
        <v>15709490000177</v>
      </c>
      <c r="B1244" s="15" t="str">
        <f t="shared" si="19"/>
        <v>15.709.490/0001-77</v>
      </c>
      <c r="C1244" s="12"/>
      <c r="D1244" s="3" t="s">
        <v>4936</v>
      </c>
      <c r="E1244" s="3" t="s">
        <v>4936</v>
      </c>
      <c r="F1244" s="3" t="s">
        <v>20</v>
      </c>
      <c r="G1244" s="4">
        <v>41074</v>
      </c>
      <c r="H1244" s="3" t="s">
        <v>46</v>
      </c>
      <c r="I1244" s="3" t="s">
        <v>47</v>
      </c>
      <c r="J1244" s="5">
        <v>20000</v>
      </c>
      <c r="K1244" s="3">
        <v>3321000</v>
      </c>
      <c r="L1244" s="3" t="s">
        <v>2479</v>
      </c>
      <c r="M1244" s="3" t="s">
        <v>4937</v>
      </c>
      <c r="N1244" s="3">
        <v>230</v>
      </c>
      <c r="O1244" s="3" t="s">
        <v>513</v>
      </c>
      <c r="P1244" s="3" t="s">
        <v>4938</v>
      </c>
      <c r="Q1244" s="3" t="s">
        <v>4939</v>
      </c>
      <c r="R1244" s="3" t="s">
        <v>100</v>
      </c>
      <c r="S1244" s="3">
        <v>35670000</v>
      </c>
      <c r="T1244" s="3">
        <v>3193568446</v>
      </c>
      <c r="U1244" s="3" t="s">
        <v>29</v>
      </c>
    </row>
    <row r="1245" spans="1:21" ht="13.2" x14ac:dyDescent="0.25">
      <c r="A1245" s="14">
        <v>6267403000188</v>
      </c>
      <c r="B1245" s="15" t="str">
        <f t="shared" si="19"/>
        <v>06.267.403/0001-88</v>
      </c>
      <c r="C1245" s="12"/>
      <c r="D1245" s="3" t="s">
        <v>4940</v>
      </c>
      <c r="E1245" s="3" t="s">
        <v>4941</v>
      </c>
      <c r="F1245" s="3" t="s">
        <v>20</v>
      </c>
      <c r="G1245" s="4">
        <v>38131</v>
      </c>
      <c r="H1245" s="3" t="s">
        <v>21</v>
      </c>
      <c r="I1245" s="3" t="s">
        <v>33</v>
      </c>
      <c r="J1245" s="5">
        <v>1080000</v>
      </c>
      <c r="K1245" s="3">
        <v>4639701</v>
      </c>
      <c r="L1245" s="3" t="s">
        <v>3611</v>
      </c>
      <c r="M1245" s="3" t="s">
        <v>4942</v>
      </c>
      <c r="N1245" s="3">
        <v>2298</v>
      </c>
      <c r="P1245" s="3" t="s">
        <v>4943</v>
      </c>
      <c r="Q1245" s="3" t="s">
        <v>4944</v>
      </c>
      <c r="R1245" s="3" t="s">
        <v>281</v>
      </c>
      <c r="S1245" s="3">
        <v>45030140</v>
      </c>
      <c r="T1245" s="3">
        <v>7730170203</v>
      </c>
      <c r="U1245" s="3" t="s">
        <v>29</v>
      </c>
    </row>
    <row r="1246" spans="1:21" ht="13.2" x14ac:dyDescent="0.25">
      <c r="A1246" s="14">
        <v>4187910000186</v>
      </c>
      <c r="B1246" s="15" t="str">
        <f t="shared" si="19"/>
        <v>04.187.910/0001-86</v>
      </c>
      <c r="C1246" s="12"/>
      <c r="D1246" s="3" t="s">
        <v>4945</v>
      </c>
      <c r="E1246" s="3" t="s">
        <v>4946</v>
      </c>
      <c r="F1246" s="3" t="s">
        <v>20</v>
      </c>
      <c r="G1246" s="4">
        <v>26567</v>
      </c>
      <c r="H1246" s="3" t="s">
        <v>21</v>
      </c>
      <c r="I1246" s="3" t="s">
        <v>33</v>
      </c>
      <c r="J1246" s="5">
        <v>300000</v>
      </c>
      <c r="K1246" s="3">
        <v>4647801</v>
      </c>
      <c r="L1246" s="3" t="s">
        <v>4947</v>
      </c>
      <c r="M1246" s="3" t="s">
        <v>4948</v>
      </c>
      <c r="N1246" s="3">
        <v>198</v>
      </c>
      <c r="P1246" s="3" t="s">
        <v>70</v>
      </c>
      <c r="Q1246" s="3" t="s">
        <v>448</v>
      </c>
      <c r="R1246" s="3" t="s">
        <v>449</v>
      </c>
      <c r="S1246" s="3">
        <v>69005090</v>
      </c>
      <c r="U1246" s="3" t="s">
        <v>29</v>
      </c>
    </row>
    <row r="1247" spans="1:21" ht="13.2" x14ac:dyDescent="0.25">
      <c r="A1247" s="14">
        <v>69252872000143</v>
      </c>
      <c r="B1247" s="15" t="str">
        <f t="shared" si="19"/>
        <v>69.252.872/0001-43</v>
      </c>
      <c r="C1247" s="12" t="str">
        <f>VLOOKUP(B1247,[1]Planilha1!$A:$B,2,0)</f>
        <v>Malu Montesino</v>
      </c>
      <c r="D1247" s="3" t="s">
        <v>4949</v>
      </c>
      <c r="E1247" s="3" t="s">
        <v>4949</v>
      </c>
      <c r="F1247" s="3" t="s">
        <v>20</v>
      </c>
      <c r="G1247" s="4">
        <v>33988</v>
      </c>
      <c r="H1247" s="3" t="s">
        <v>21</v>
      </c>
      <c r="I1247" s="3" t="s">
        <v>33</v>
      </c>
      <c r="J1247" s="5">
        <v>11003714</v>
      </c>
      <c r="K1247" s="3">
        <v>4789099</v>
      </c>
      <c r="L1247" s="3" t="s">
        <v>774</v>
      </c>
      <c r="M1247" s="3" t="s">
        <v>4950</v>
      </c>
      <c r="N1247" s="3">
        <v>1424</v>
      </c>
      <c r="P1247" s="3" t="s">
        <v>4951</v>
      </c>
      <c r="Q1247" s="3" t="s">
        <v>65</v>
      </c>
      <c r="R1247" s="3" t="s">
        <v>28</v>
      </c>
      <c r="S1247" s="3">
        <v>13065531</v>
      </c>
      <c r="T1247" s="3">
        <v>1937859000</v>
      </c>
      <c r="U1247" s="3" t="s">
        <v>29</v>
      </c>
    </row>
    <row r="1248" spans="1:21" ht="13.2" x14ac:dyDescent="0.25">
      <c r="A1248" s="14">
        <v>66438011000166</v>
      </c>
      <c r="B1248" s="15" t="str">
        <f t="shared" si="19"/>
        <v>66.438.011/0001-66</v>
      </c>
      <c r="C1248" s="12"/>
      <c r="D1248" s="3" t="s">
        <v>4952</v>
      </c>
      <c r="E1248" s="3" t="s">
        <v>4953</v>
      </c>
      <c r="F1248" s="3" t="s">
        <v>20</v>
      </c>
      <c r="G1248" s="4">
        <v>33548</v>
      </c>
      <c r="H1248" s="3" t="s">
        <v>21</v>
      </c>
      <c r="I1248" s="3" t="s">
        <v>33</v>
      </c>
      <c r="J1248" s="5">
        <v>25375000</v>
      </c>
      <c r="K1248" s="3">
        <v>4644301</v>
      </c>
      <c r="L1248" s="3" t="s">
        <v>326</v>
      </c>
      <c r="M1248" s="3" t="s">
        <v>4954</v>
      </c>
      <c r="N1248" s="3">
        <v>2022</v>
      </c>
      <c r="P1248" s="3" t="s">
        <v>4955</v>
      </c>
      <c r="Q1248" s="3" t="s">
        <v>4956</v>
      </c>
      <c r="R1248" s="3" t="s">
        <v>100</v>
      </c>
      <c r="S1248" s="3">
        <v>35585000</v>
      </c>
      <c r="T1248" s="3">
        <v>3733241244</v>
      </c>
      <c r="U1248" s="3" t="s">
        <v>29</v>
      </c>
    </row>
    <row r="1249" spans="1:21" ht="13.2" x14ac:dyDescent="0.25">
      <c r="A1249" s="14">
        <v>5624947000197</v>
      </c>
      <c r="B1249" s="15" t="str">
        <f t="shared" si="19"/>
        <v>05.624.947/0001-97</v>
      </c>
      <c r="C1249" s="12"/>
      <c r="D1249" s="3" t="s">
        <v>4957</v>
      </c>
      <c r="E1249" s="3" t="s">
        <v>4958</v>
      </c>
      <c r="F1249" s="3" t="s">
        <v>20</v>
      </c>
      <c r="G1249" s="4">
        <v>37746</v>
      </c>
      <c r="H1249" s="3" t="s">
        <v>21</v>
      </c>
      <c r="I1249" s="3" t="s">
        <v>47</v>
      </c>
      <c r="J1249" s="5">
        <v>10000</v>
      </c>
      <c r="K1249" s="3">
        <v>4639701</v>
      </c>
      <c r="L1249" s="3" t="s">
        <v>3611</v>
      </c>
      <c r="M1249" s="3" t="s">
        <v>4959</v>
      </c>
      <c r="N1249" s="3">
        <v>225</v>
      </c>
      <c r="O1249" s="3" t="s">
        <v>4960</v>
      </c>
      <c r="P1249" s="3" t="s">
        <v>4961</v>
      </c>
      <c r="Q1249" s="3" t="s">
        <v>4962</v>
      </c>
      <c r="R1249" s="3" t="s">
        <v>100</v>
      </c>
      <c r="S1249" s="3">
        <v>37044000</v>
      </c>
      <c r="T1249" s="3">
        <v>3532144647</v>
      </c>
      <c r="U1249" s="3" t="s">
        <v>29</v>
      </c>
    </row>
    <row r="1250" spans="1:21" ht="13.2" x14ac:dyDescent="0.25">
      <c r="A1250" s="14">
        <v>79065181000194</v>
      </c>
      <c r="B1250" s="15" t="str">
        <f t="shared" si="19"/>
        <v>79.065.181/0001-94</v>
      </c>
      <c r="C1250" s="12"/>
      <c r="D1250" s="3" t="s">
        <v>4963</v>
      </c>
      <c r="E1250" s="3" t="s">
        <v>4964</v>
      </c>
      <c r="F1250" s="3" t="s">
        <v>20</v>
      </c>
      <c r="G1250" s="4">
        <v>31376</v>
      </c>
      <c r="H1250" s="3" t="s">
        <v>94</v>
      </c>
      <c r="I1250" s="3" t="s">
        <v>33</v>
      </c>
      <c r="J1250" s="5">
        <v>54614624</v>
      </c>
      <c r="K1250" s="3">
        <v>4761001</v>
      </c>
      <c r="L1250" s="3" t="s">
        <v>4965</v>
      </c>
      <c r="M1250" s="3" t="s">
        <v>4966</v>
      </c>
      <c r="N1250" s="3">
        <v>455</v>
      </c>
      <c r="P1250" s="3" t="s">
        <v>1112</v>
      </c>
      <c r="Q1250" s="3" t="s">
        <v>204</v>
      </c>
      <c r="R1250" s="3" t="s">
        <v>187</v>
      </c>
      <c r="S1250" s="3">
        <v>81560653</v>
      </c>
      <c r="T1250" s="3">
        <v>4133306798</v>
      </c>
      <c r="U1250" s="3" t="s">
        <v>29</v>
      </c>
    </row>
    <row r="1251" spans="1:21" ht="13.2" x14ac:dyDescent="0.25">
      <c r="A1251" s="14">
        <v>3074096000120</v>
      </c>
      <c r="B1251" s="15" t="str">
        <f t="shared" si="19"/>
        <v>03.074.096/0001-20</v>
      </c>
      <c r="C1251" s="12"/>
      <c r="D1251" s="3" t="s">
        <v>4967</v>
      </c>
      <c r="E1251" s="3" t="s">
        <v>4967</v>
      </c>
      <c r="F1251" s="3" t="s">
        <v>20</v>
      </c>
      <c r="G1251" s="4">
        <v>36255</v>
      </c>
      <c r="H1251" s="3" t="s">
        <v>21</v>
      </c>
      <c r="I1251" s="3" t="s">
        <v>47</v>
      </c>
      <c r="J1251" s="5">
        <v>0</v>
      </c>
      <c r="K1251" s="3">
        <v>4723700</v>
      </c>
      <c r="L1251" s="3" t="s">
        <v>2008</v>
      </c>
      <c r="M1251" s="3" t="s">
        <v>4968</v>
      </c>
      <c r="N1251" s="3">
        <v>43</v>
      </c>
      <c r="P1251" s="3" t="s">
        <v>4969</v>
      </c>
      <c r="Q1251" s="3" t="s">
        <v>2822</v>
      </c>
      <c r="R1251" s="3" t="s">
        <v>28</v>
      </c>
      <c r="S1251" s="3">
        <v>12212650</v>
      </c>
      <c r="T1251" s="3">
        <v>123851522</v>
      </c>
      <c r="U1251" s="3" t="s">
        <v>29</v>
      </c>
    </row>
    <row r="1252" spans="1:21" ht="13.2" x14ac:dyDescent="0.25">
      <c r="A1252" s="14">
        <v>42893222000120</v>
      </c>
      <c r="B1252" s="15" t="str">
        <f t="shared" si="19"/>
        <v>42.893.222/0001-20</v>
      </c>
      <c r="C1252" s="12"/>
      <c r="D1252" s="3" t="s">
        <v>4970</v>
      </c>
      <c r="E1252" s="3" t="s">
        <v>4971</v>
      </c>
      <c r="F1252" s="3" t="s">
        <v>20</v>
      </c>
      <c r="G1252" s="4">
        <v>33836</v>
      </c>
      <c r="H1252" s="3" t="s">
        <v>21</v>
      </c>
      <c r="I1252" s="3" t="s">
        <v>22</v>
      </c>
      <c r="J1252" s="5">
        <v>500000</v>
      </c>
      <c r="K1252" s="3">
        <v>4645103</v>
      </c>
      <c r="L1252" s="3" t="s">
        <v>1568</v>
      </c>
      <c r="M1252" s="3" t="s">
        <v>4972</v>
      </c>
      <c r="N1252" s="3">
        <v>266</v>
      </c>
      <c r="P1252" s="3" t="s">
        <v>4973</v>
      </c>
      <c r="Q1252" s="3" t="s">
        <v>2630</v>
      </c>
      <c r="R1252" s="3" t="s">
        <v>100</v>
      </c>
      <c r="S1252" s="3">
        <v>35430214</v>
      </c>
      <c r="T1252" s="3">
        <v>3138172366</v>
      </c>
      <c r="U1252" s="3" t="s">
        <v>29</v>
      </c>
    </row>
    <row r="1253" spans="1:21" ht="13.2" x14ac:dyDescent="0.25">
      <c r="A1253" s="14">
        <v>24415000103</v>
      </c>
      <c r="B1253" s="15" t="str">
        <f t="shared" si="19"/>
        <v>00.024.415/0001-03</v>
      </c>
      <c r="C1253" s="12"/>
      <c r="D1253" s="3" t="s">
        <v>4974</v>
      </c>
      <c r="E1253" s="3" t="s">
        <v>4974</v>
      </c>
      <c r="F1253" s="3" t="s">
        <v>20</v>
      </c>
      <c r="G1253" s="4">
        <v>34513</v>
      </c>
      <c r="H1253" s="3" t="s">
        <v>21</v>
      </c>
      <c r="I1253" s="3" t="s">
        <v>22</v>
      </c>
      <c r="J1253" s="5">
        <v>500000</v>
      </c>
      <c r="K1253" s="3">
        <v>4634602</v>
      </c>
      <c r="L1253" s="3" t="s">
        <v>4975</v>
      </c>
      <c r="M1253" s="3" t="s">
        <v>4976</v>
      </c>
      <c r="N1253" s="3">
        <v>113</v>
      </c>
      <c r="P1253" s="3" t="s">
        <v>4977</v>
      </c>
      <c r="Q1253" s="3" t="s">
        <v>4978</v>
      </c>
      <c r="R1253" s="3" t="s">
        <v>28</v>
      </c>
      <c r="S1253" s="3">
        <v>13604188</v>
      </c>
      <c r="T1253" s="3">
        <v>1935423939</v>
      </c>
      <c r="U1253" s="3" t="s">
        <v>29</v>
      </c>
    </row>
    <row r="1254" spans="1:21" ht="13.2" x14ac:dyDescent="0.25">
      <c r="A1254" s="14">
        <v>10737688000140</v>
      </c>
      <c r="B1254" s="15" t="str">
        <f t="shared" si="19"/>
        <v>10.737.688/0001-40</v>
      </c>
      <c r="C1254" s="12"/>
      <c r="D1254" s="3" t="s">
        <v>4979</v>
      </c>
      <c r="E1254" s="3" t="s">
        <v>4979</v>
      </c>
      <c r="F1254" s="3" t="s">
        <v>20</v>
      </c>
      <c r="G1254" s="4">
        <v>39892</v>
      </c>
      <c r="H1254" s="3" t="s">
        <v>21</v>
      </c>
      <c r="I1254" s="3" t="s">
        <v>22</v>
      </c>
      <c r="J1254" s="5">
        <v>110000</v>
      </c>
      <c r="K1254" s="3">
        <v>3312102</v>
      </c>
      <c r="L1254" s="3" t="s">
        <v>3184</v>
      </c>
      <c r="M1254" s="3" t="s">
        <v>4980</v>
      </c>
      <c r="N1254" s="3">
        <v>419</v>
      </c>
      <c r="O1254" s="3" t="s">
        <v>4981</v>
      </c>
      <c r="P1254" s="3" t="s">
        <v>4982</v>
      </c>
      <c r="Q1254" s="3" t="s">
        <v>253</v>
      </c>
      <c r="R1254" s="3" t="s">
        <v>78</v>
      </c>
      <c r="S1254" s="3">
        <v>21032025</v>
      </c>
      <c r="T1254" s="3">
        <v>2122322442</v>
      </c>
      <c r="U1254" s="3" t="s">
        <v>29</v>
      </c>
    </row>
    <row r="1255" spans="1:21" ht="13.2" x14ac:dyDescent="0.25">
      <c r="A1255" s="14">
        <v>4889013000114</v>
      </c>
      <c r="B1255" s="15" t="str">
        <f t="shared" si="19"/>
        <v>04.889.013/0001-14</v>
      </c>
      <c r="C1255" s="12"/>
      <c r="D1255" s="3" t="s">
        <v>4983</v>
      </c>
      <c r="E1255" s="3" t="s">
        <v>4984</v>
      </c>
      <c r="F1255" s="3" t="s">
        <v>20</v>
      </c>
      <c r="G1255" s="4">
        <v>37292</v>
      </c>
      <c r="H1255" s="3" t="s">
        <v>21</v>
      </c>
      <c r="I1255" s="3" t="s">
        <v>33</v>
      </c>
      <c r="J1255" s="5">
        <v>800000</v>
      </c>
      <c r="K1255" s="3">
        <v>4644301</v>
      </c>
      <c r="L1255" s="3" t="s">
        <v>326</v>
      </c>
      <c r="M1255" s="3" t="s">
        <v>4985</v>
      </c>
      <c r="N1255" s="3">
        <v>76</v>
      </c>
      <c r="P1255" s="3" t="s">
        <v>4986</v>
      </c>
      <c r="Q1255" s="3" t="s">
        <v>4987</v>
      </c>
      <c r="R1255" s="3" t="s">
        <v>100</v>
      </c>
      <c r="S1255" s="3">
        <v>36404315</v>
      </c>
      <c r="T1255" s="3">
        <v>3137645600</v>
      </c>
      <c r="U1255" s="3" t="s">
        <v>29</v>
      </c>
    </row>
    <row r="1256" spans="1:21" ht="13.2" x14ac:dyDescent="0.25">
      <c r="A1256" s="14">
        <v>10210196000100</v>
      </c>
      <c r="B1256" s="15" t="str">
        <f t="shared" si="19"/>
        <v>10.210.196/0001-00</v>
      </c>
      <c r="C1256" s="12"/>
      <c r="D1256" s="3" t="s">
        <v>4988</v>
      </c>
      <c r="E1256" s="3" t="s">
        <v>4988</v>
      </c>
      <c r="F1256" s="3" t="s">
        <v>20</v>
      </c>
      <c r="G1256" s="4">
        <v>39645</v>
      </c>
      <c r="H1256" s="3" t="s">
        <v>21</v>
      </c>
      <c r="I1256" s="3" t="s">
        <v>47</v>
      </c>
      <c r="J1256" s="5">
        <v>449300</v>
      </c>
      <c r="K1256" s="3">
        <v>4751201</v>
      </c>
      <c r="L1256" s="3" t="s">
        <v>23</v>
      </c>
      <c r="M1256" s="3" t="s">
        <v>4989</v>
      </c>
      <c r="N1256" s="3">
        <v>431</v>
      </c>
      <c r="P1256" s="3" t="s">
        <v>4990</v>
      </c>
      <c r="Q1256" s="3" t="s">
        <v>148</v>
      </c>
      <c r="R1256" s="3" t="s">
        <v>28</v>
      </c>
      <c r="S1256" s="3">
        <v>15014420</v>
      </c>
      <c r="T1256" s="3">
        <v>1721380700</v>
      </c>
      <c r="U1256" s="3" t="s">
        <v>29</v>
      </c>
    </row>
    <row r="1257" spans="1:21" ht="13.2" x14ac:dyDescent="0.25">
      <c r="A1257" s="14">
        <v>2990234000159</v>
      </c>
      <c r="B1257" s="15" t="str">
        <f t="shared" si="19"/>
        <v>02.990.234/0001-59</v>
      </c>
      <c r="C1257" s="12" t="str">
        <f>VLOOKUP(B1257,[1]Planilha1!$A:$B,2,0)</f>
        <v>Malu Montesino</v>
      </c>
      <c r="D1257" s="3" t="s">
        <v>4991</v>
      </c>
      <c r="E1257" s="3" t="s">
        <v>4991</v>
      </c>
      <c r="F1257" s="3" t="s">
        <v>20</v>
      </c>
      <c r="G1257" s="4">
        <v>36200</v>
      </c>
      <c r="H1257" s="3" t="s">
        <v>21</v>
      </c>
      <c r="I1257" s="3" t="s">
        <v>33</v>
      </c>
      <c r="J1257" s="5">
        <v>7661085</v>
      </c>
      <c r="K1257" s="3">
        <v>4511104</v>
      </c>
      <c r="L1257" s="3" t="s">
        <v>2728</v>
      </c>
      <c r="M1257" s="3" t="s">
        <v>4992</v>
      </c>
      <c r="N1257" s="3">
        <v>2521</v>
      </c>
      <c r="P1257" s="3" t="s">
        <v>4993</v>
      </c>
      <c r="Q1257" s="3" t="s">
        <v>294</v>
      </c>
      <c r="R1257" s="3" t="s">
        <v>28</v>
      </c>
      <c r="S1257" s="3">
        <v>11090001</v>
      </c>
      <c r="T1257" s="3">
        <v>1302959933</v>
      </c>
      <c r="U1257" s="3" t="s">
        <v>29</v>
      </c>
    </row>
    <row r="1258" spans="1:21" ht="13.2" x14ac:dyDescent="0.25">
      <c r="A1258" s="14">
        <v>3049181000139</v>
      </c>
      <c r="B1258" s="15" t="str">
        <f t="shared" si="19"/>
        <v>03.049.181/0001-39</v>
      </c>
      <c r="C1258" s="12"/>
      <c r="D1258" s="3" t="s">
        <v>4994</v>
      </c>
      <c r="E1258" s="3" t="s">
        <v>4995</v>
      </c>
      <c r="F1258" s="3" t="s">
        <v>20</v>
      </c>
      <c r="G1258" s="4">
        <v>36224</v>
      </c>
      <c r="H1258" s="3" t="s">
        <v>21</v>
      </c>
      <c r="I1258" s="3" t="s">
        <v>33</v>
      </c>
      <c r="J1258" s="5">
        <v>203786380</v>
      </c>
      <c r="K1258" s="3">
        <v>2061400</v>
      </c>
      <c r="L1258" s="3" t="s">
        <v>2791</v>
      </c>
      <c r="M1258" s="3" t="s">
        <v>4996</v>
      </c>
      <c r="N1258" s="3">
        <v>125</v>
      </c>
      <c r="P1258" s="3" t="s">
        <v>2214</v>
      </c>
      <c r="Q1258" s="3" t="s">
        <v>27</v>
      </c>
      <c r="R1258" s="3" t="s">
        <v>28</v>
      </c>
      <c r="S1258" s="3">
        <v>4764020</v>
      </c>
      <c r="T1258" s="3">
        <v>1130899351</v>
      </c>
      <c r="U1258" s="3" t="s">
        <v>29</v>
      </c>
    </row>
    <row r="1259" spans="1:21" ht="13.2" x14ac:dyDescent="0.25">
      <c r="A1259" s="14">
        <v>19001659000190</v>
      </c>
      <c r="B1259" s="15" t="str">
        <f t="shared" si="19"/>
        <v>19.001.659/0001-90</v>
      </c>
      <c r="C1259" s="12" t="str">
        <f>VLOOKUP(B1259,[1]Planilha1!$A:$B,2,0)</f>
        <v>Mariane Nascimento</v>
      </c>
      <c r="D1259" s="3" t="s">
        <v>4997</v>
      </c>
      <c r="E1259" s="3" t="s">
        <v>4998</v>
      </c>
      <c r="F1259" s="3" t="s">
        <v>20</v>
      </c>
      <c r="G1259" s="4">
        <v>41549</v>
      </c>
      <c r="H1259" s="3" t="s">
        <v>21</v>
      </c>
      <c r="I1259" s="3" t="s">
        <v>22</v>
      </c>
      <c r="J1259" s="5">
        <v>520506</v>
      </c>
      <c r="K1259" s="3">
        <v>4664800</v>
      </c>
      <c r="L1259" s="3" t="s">
        <v>691</v>
      </c>
      <c r="M1259" s="3" t="s">
        <v>4999</v>
      </c>
      <c r="N1259" s="3">
        <v>308</v>
      </c>
      <c r="P1259" s="3" t="s">
        <v>5000</v>
      </c>
      <c r="Q1259" s="3" t="s">
        <v>27</v>
      </c>
      <c r="R1259" s="3" t="s">
        <v>28</v>
      </c>
      <c r="S1259" s="3">
        <v>5717270</v>
      </c>
      <c r="T1259" s="3">
        <v>1121440808</v>
      </c>
      <c r="U1259" s="3" t="s">
        <v>29</v>
      </c>
    </row>
    <row r="1260" spans="1:21" ht="13.2" x14ac:dyDescent="0.25">
      <c r="A1260" s="14">
        <v>6698560000148</v>
      </c>
      <c r="B1260" s="15" t="str">
        <f t="shared" si="19"/>
        <v>06.698.560/0001-48</v>
      </c>
      <c r="C1260" s="12" t="str">
        <f>VLOOKUP(B1260,[1]Planilha1!$A:$B,2,0)</f>
        <v>Vanessa</v>
      </c>
      <c r="D1260" s="3" t="s">
        <v>5001</v>
      </c>
      <c r="E1260" s="3" t="s">
        <v>5002</v>
      </c>
      <c r="F1260" s="3" t="s">
        <v>20</v>
      </c>
      <c r="G1260" s="4">
        <v>38163</v>
      </c>
      <c r="H1260" s="3" t="s">
        <v>21</v>
      </c>
      <c r="I1260" s="3" t="s">
        <v>33</v>
      </c>
      <c r="J1260" s="5">
        <v>1027000</v>
      </c>
      <c r="K1260" s="3">
        <v>8230001</v>
      </c>
      <c r="L1260" s="3" t="s">
        <v>2141</v>
      </c>
      <c r="M1260" s="3" t="s">
        <v>1583</v>
      </c>
      <c r="N1260" s="3">
        <v>72</v>
      </c>
      <c r="O1260" s="3" t="s">
        <v>5003</v>
      </c>
      <c r="P1260" s="3" t="s">
        <v>241</v>
      </c>
      <c r="Q1260" s="3" t="s">
        <v>27</v>
      </c>
      <c r="R1260" s="3" t="s">
        <v>28</v>
      </c>
      <c r="S1260" s="3">
        <v>4739010</v>
      </c>
      <c r="T1260" s="3">
        <v>1155248948</v>
      </c>
      <c r="U1260" s="3" t="s">
        <v>29</v>
      </c>
    </row>
    <row r="1261" spans="1:21" ht="13.2" x14ac:dyDescent="0.25">
      <c r="A1261" s="14">
        <v>38756680000140</v>
      </c>
      <c r="B1261" s="15" t="str">
        <f t="shared" si="19"/>
        <v>38.756.680/0001-40</v>
      </c>
      <c r="C1261" s="12"/>
      <c r="D1261" s="3" t="s">
        <v>5004</v>
      </c>
      <c r="E1261" s="3" t="s">
        <v>5004</v>
      </c>
      <c r="F1261" s="3" t="s">
        <v>20</v>
      </c>
      <c r="G1261" s="4">
        <v>33094</v>
      </c>
      <c r="H1261" s="3" t="s">
        <v>21</v>
      </c>
      <c r="I1261" s="3" t="s">
        <v>33</v>
      </c>
      <c r="J1261" s="5">
        <v>18131904</v>
      </c>
      <c r="K1261" s="3">
        <v>4644301</v>
      </c>
      <c r="L1261" s="3" t="s">
        <v>326</v>
      </c>
      <c r="M1261" s="3" t="s">
        <v>543</v>
      </c>
      <c r="N1261" s="3">
        <v>1912</v>
      </c>
      <c r="O1261" s="3" t="s">
        <v>5005</v>
      </c>
      <c r="P1261" s="3" t="s">
        <v>545</v>
      </c>
      <c r="Q1261" s="3" t="s">
        <v>27</v>
      </c>
      <c r="R1261" s="3" t="s">
        <v>28</v>
      </c>
      <c r="S1261" s="3">
        <v>1451000</v>
      </c>
      <c r="T1261" s="3">
        <v>1130935220</v>
      </c>
      <c r="U1261" s="3" t="s">
        <v>29</v>
      </c>
    </row>
    <row r="1262" spans="1:21" ht="13.2" x14ac:dyDescent="0.25">
      <c r="A1262" s="14">
        <v>3594661000180</v>
      </c>
      <c r="B1262" s="15" t="str">
        <f t="shared" si="19"/>
        <v>03.594.661/0001-80</v>
      </c>
      <c r="C1262" s="12"/>
      <c r="D1262" s="3" t="s">
        <v>5006</v>
      </c>
      <c r="E1262" s="3" t="s">
        <v>5007</v>
      </c>
      <c r="F1262" s="3" t="s">
        <v>20</v>
      </c>
      <c r="G1262" s="4">
        <v>36543</v>
      </c>
      <c r="H1262" s="3" t="s">
        <v>21</v>
      </c>
      <c r="I1262" s="3" t="s">
        <v>33</v>
      </c>
      <c r="J1262" s="5">
        <v>1200000</v>
      </c>
      <c r="K1262" s="3">
        <v>6311900</v>
      </c>
      <c r="L1262" s="3" t="s">
        <v>3132</v>
      </c>
      <c r="M1262" s="3" t="s">
        <v>5008</v>
      </c>
      <c r="N1262" s="3">
        <v>1028</v>
      </c>
      <c r="P1262" s="3" t="s">
        <v>5009</v>
      </c>
      <c r="Q1262" s="3" t="s">
        <v>617</v>
      </c>
      <c r="R1262" s="3" t="s">
        <v>28</v>
      </c>
      <c r="S1262" s="3">
        <v>6413000</v>
      </c>
      <c r="T1262" s="3">
        <v>1162415798</v>
      </c>
      <c r="U1262" s="3" t="s">
        <v>29</v>
      </c>
    </row>
    <row r="1263" spans="1:21" ht="13.2" x14ac:dyDescent="0.25">
      <c r="A1263" s="14">
        <v>28618062000180</v>
      </c>
      <c r="B1263" s="15" t="str">
        <f t="shared" si="19"/>
        <v>28.618.062/0001-80</v>
      </c>
      <c r="C1263" s="12"/>
      <c r="D1263" s="3" t="s">
        <v>5010</v>
      </c>
      <c r="E1263" s="3" t="s">
        <v>5011</v>
      </c>
      <c r="F1263" s="3" t="s">
        <v>45</v>
      </c>
      <c r="G1263" s="4">
        <v>42990</v>
      </c>
      <c r="H1263" s="3" t="s">
        <v>21</v>
      </c>
      <c r="I1263" s="3" t="s">
        <v>47</v>
      </c>
      <c r="J1263" s="5">
        <v>10000</v>
      </c>
      <c r="K1263" s="3">
        <v>8211300</v>
      </c>
      <c r="L1263" s="3" t="s">
        <v>166</v>
      </c>
      <c r="M1263" s="3" t="s">
        <v>5012</v>
      </c>
      <c r="N1263" s="3">
        <v>999</v>
      </c>
      <c r="O1263" s="3" t="s">
        <v>5013</v>
      </c>
      <c r="P1263" s="3" t="s">
        <v>1818</v>
      </c>
      <c r="Q1263" s="3" t="s">
        <v>667</v>
      </c>
      <c r="R1263" s="3" t="s">
        <v>301</v>
      </c>
      <c r="S1263" s="3">
        <v>60170079</v>
      </c>
      <c r="T1263" s="3">
        <v>8587765066</v>
      </c>
      <c r="U1263" s="3" t="s">
        <v>29</v>
      </c>
    </row>
    <row r="1264" spans="1:21" ht="13.2" x14ac:dyDescent="0.25">
      <c r="A1264" s="14">
        <v>2827605000186</v>
      </c>
      <c r="B1264" s="15" t="str">
        <f t="shared" si="19"/>
        <v>02.827.605/0001-86</v>
      </c>
      <c r="C1264" s="12"/>
      <c r="D1264" s="3" t="s">
        <v>5014</v>
      </c>
      <c r="E1264" s="3" t="s">
        <v>5014</v>
      </c>
      <c r="F1264" s="3" t="s">
        <v>20</v>
      </c>
      <c r="G1264" s="4">
        <v>36089</v>
      </c>
      <c r="H1264" s="3" t="s">
        <v>21</v>
      </c>
      <c r="I1264" s="3" t="s">
        <v>33</v>
      </c>
      <c r="J1264" s="5">
        <v>1800000</v>
      </c>
      <c r="K1264" s="3">
        <v>2660400</v>
      </c>
      <c r="L1264" s="3" t="s">
        <v>953</v>
      </c>
      <c r="M1264" s="3" t="s">
        <v>5015</v>
      </c>
      <c r="N1264" s="3">
        <v>831</v>
      </c>
      <c r="P1264" s="3" t="s">
        <v>5016</v>
      </c>
      <c r="Q1264" s="3" t="s">
        <v>2406</v>
      </c>
      <c r="R1264" s="3" t="s">
        <v>28</v>
      </c>
      <c r="S1264" s="3">
        <v>13562030</v>
      </c>
      <c r="U1264" s="3" t="s">
        <v>29</v>
      </c>
    </row>
    <row r="1265" spans="1:21" ht="13.2" x14ac:dyDescent="0.25">
      <c r="A1265" s="14">
        <v>5332851000155</v>
      </c>
      <c r="B1265" s="15" t="str">
        <f t="shared" si="19"/>
        <v>05.332.851/0001-55</v>
      </c>
      <c r="C1265" s="12"/>
      <c r="D1265" s="3" t="s">
        <v>5017</v>
      </c>
      <c r="E1265" s="3" t="s">
        <v>5017</v>
      </c>
      <c r="F1265" s="3" t="s">
        <v>20</v>
      </c>
      <c r="G1265" s="4">
        <v>37459</v>
      </c>
      <c r="H1265" s="3" t="s">
        <v>21</v>
      </c>
      <c r="I1265" s="3" t="s">
        <v>33</v>
      </c>
      <c r="J1265" s="5">
        <v>40000000</v>
      </c>
      <c r="K1265" s="3">
        <v>7112000</v>
      </c>
      <c r="L1265" s="3" t="s">
        <v>276</v>
      </c>
      <c r="M1265" s="3" t="s">
        <v>5018</v>
      </c>
      <c r="N1265" s="3">
        <v>137</v>
      </c>
      <c r="P1265" s="3" t="s">
        <v>5019</v>
      </c>
      <c r="Q1265" s="3" t="s">
        <v>617</v>
      </c>
      <c r="R1265" s="3" t="s">
        <v>28</v>
      </c>
      <c r="S1265" s="3">
        <v>6485360</v>
      </c>
      <c r="T1265" s="3">
        <v>1122074880</v>
      </c>
      <c r="U1265" s="3" t="s">
        <v>29</v>
      </c>
    </row>
    <row r="1266" spans="1:21" ht="13.2" x14ac:dyDescent="0.25">
      <c r="A1266" s="14">
        <v>45428839000163</v>
      </c>
      <c r="B1266" s="15" t="str">
        <f t="shared" si="19"/>
        <v>45.428.839/0001-63</v>
      </c>
      <c r="C1266" s="12" t="str">
        <f>VLOOKUP(B1266,[1]Planilha1!$A:$B,2,0)</f>
        <v>Malu Montesino</v>
      </c>
      <c r="D1266" s="3" t="s">
        <v>5020</v>
      </c>
      <c r="E1266" s="3" t="s">
        <v>5021</v>
      </c>
      <c r="F1266" s="3" t="s">
        <v>20</v>
      </c>
      <c r="G1266" s="4">
        <v>44615</v>
      </c>
      <c r="H1266" s="3" t="s">
        <v>21</v>
      </c>
      <c r="I1266" s="3" t="s">
        <v>47</v>
      </c>
      <c r="J1266" s="5">
        <v>100000</v>
      </c>
      <c r="K1266" s="3">
        <v>7490104</v>
      </c>
      <c r="L1266" s="3" t="s">
        <v>1597</v>
      </c>
      <c r="M1266" s="3" t="s">
        <v>5022</v>
      </c>
      <c r="N1266" s="3">
        <v>10</v>
      </c>
      <c r="P1266" s="3" t="s">
        <v>5023</v>
      </c>
      <c r="Q1266" s="3" t="s">
        <v>2063</v>
      </c>
      <c r="R1266" s="3" t="s">
        <v>382</v>
      </c>
      <c r="S1266" s="3">
        <v>65075770</v>
      </c>
      <c r="T1266" s="3">
        <v>9984439870</v>
      </c>
      <c r="U1266" s="3" t="s">
        <v>29</v>
      </c>
    </row>
    <row r="1267" spans="1:21" ht="13.2" x14ac:dyDescent="0.25">
      <c r="A1267" s="14">
        <v>13524344000141</v>
      </c>
      <c r="B1267" s="15" t="str">
        <f t="shared" si="19"/>
        <v>13.524.344/0001-41</v>
      </c>
      <c r="C1267" s="12"/>
      <c r="D1267" s="3" t="s">
        <v>5024</v>
      </c>
      <c r="E1267" s="3" t="s">
        <v>5025</v>
      </c>
      <c r="F1267" s="3" t="s">
        <v>20</v>
      </c>
      <c r="G1267" s="4">
        <v>40645</v>
      </c>
      <c r="H1267" s="3" t="s">
        <v>21</v>
      </c>
      <c r="I1267" s="3" t="s">
        <v>22</v>
      </c>
      <c r="J1267" s="5">
        <v>500000</v>
      </c>
      <c r="K1267" s="3">
        <v>4639701</v>
      </c>
      <c r="L1267" s="3" t="s">
        <v>3611</v>
      </c>
      <c r="M1267" s="3" t="s">
        <v>5026</v>
      </c>
      <c r="N1267" s="3">
        <v>75</v>
      </c>
      <c r="P1267" s="3" t="s">
        <v>5027</v>
      </c>
      <c r="Q1267" s="3" t="s">
        <v>27</v>
      </c>
      <c r="R1267" s="3" t="s">
        <v>28</v>
      </c>
      <c r="S1267" s="3">
        <v>5117100</v>
      </c>
      <c r="T1267" s="3">
        <v>1125287778</v>
      </c>
      <c r="U1267" s="3" t="s">
        <v>29</v>
      </c>
    </row>
    <row r="1268" spans="1:21" ht="13.2" x14ac:dyDescent="0.25">
      <c r="A1268" s="14">
        <v>71619928000105</v>
      </c>
      <c r="B1268" s="15" t="str">
        <f t="shared" si="19"/>
        <v>71.619.928/0001-05</v>
      </c>
      <c r="C1268" s="12"/>
      <c r="D1268" s="3" t="s">
        <v>5028</v>
      </c>
      <c r="E1268" s="3" t="s">
        <v>5029</v>
      </c>
      <c r="F1268" s="3" t="s">
        <v>20</v>
      </c>
      <c r="G1268" s="4">
        <v>34120</v>
      </c>
      <c r="H1268" s="3" t="s">
        <v>21</v>
      </c>
      <c r="I1268" s="3" t="s">
        <v>33</v>
      </c>
      <c r="J1268" s="5">
        <v>2000000</v>
      </c>
      <c r="K1268" s="3">
        <v>2229399</v>
      </c>
      <c r="L1268" s="3" t="s">
        <v>414</v>
      </c>
      <c r="M1268" s="3" t="s">
        <v>5030</v>
      </c>
      <c r="N1268" s="3">
        <v>151</v>
      </c>
      <c r="P1268" s="3" t="s">
        <v>1977</v>
      </c>
      <c r="Q1268" s="3" t="s">
        <v>1177</v>
      </c>
      <c r="R1268" s="3" t="s">
        <v>28</v>
      </c>
      <c r="S1268" s="3">
        <v>13457198</v>
      </c>
      <c r="T1268" s="3">
        <v>1934641111</v>
      </c>
      <c r="U1268" s="3" t="s">
        <v>29</v>
      </c>
    </row>
    <row r="1269" spans="1:21" ht="13.2" x14ac:dyDescent="0.25">
      <c r="A1269" s="14">
        <v>66877184000180</v>
      </c>
      <c r="B1269" s="15" t="str">
        <f t="shared" si="19"/>
        <v>66.877.184/0001-80</v>
      </c>
      <c r="C1269" s="12"/>
      <c r="D1269" s="3" t="s">
        <v>5031</v>
      </c>
      <c r="E1269" s="3" t="s">
        <v>5032</v>
      </c>
      <c r="F1269" s="3" t="s">
        <v>20</v>
      </c>
      <c r="G1269" s="4">
        <v>33487</v>
      </c>
      <c r="H1269" s="3" t="s">
        <v>21</v>
      </c>
      <c r="I1269" s="3" t="s">
        <v>33</v>
      </c>
      <c r="J1269" s="5">
        <v>19000000</v>
      </c>
      <c r="K1269" s="3">
        <v>4645101</v>
      </c>
      <c r="L1269" s="3" t="s">
        <v>135</v>
      </c>
      <c r="M1269" s="3" t="s">
        <v>5033</v>
      </c>
      <c r="N1269" s="3">
        <v>4900</v>
      </c>
      <c r="O1269" s="3" t="s">
        <v>5034</v>
      </c>
      <c r="P1269" s="3" t="s">
        <v>5035</v>
      </c>
      <c r="Q1269" s="3" t="s">
        <v>262</v>
      </c>
      <c r="R1269" s="3" t="s">
        <v>28</v>
      </c>
      <c r="S1269" s="3">
        <v>6194060</v>
      </c>
      <c r="T1269" s="3">
        <v>1136245936</v>
      </c>
      <c r="U1269" s="3" t="s">
        <v>29</v>
      </c>
    </row>
    <row r="1270" spans="1:21" ht="13.2" x14ac:dyDescent="0.25">
      <c r="A1270" s="14">
        <v>1919410000101</v>
      </c>
      <c r="B1270" s="15" t="str">
        <f t="shared" si="19"/>
        <v>01.919.410/0001-01</v>
      </c>
      <c r="C1270" s="12"/>
      <c r="D1270" s="3" t="s">
        <v>5036</v>
      </c>
      <c r="E1270" s="3" t="s">
        <v>5036</v>
      </c>
      <c r="F1270" s="3" t="s">
        <v>20</v>
      </c>
      <c r="G1270" s="4">
        <v>35598</v>
      </c>
      <c r="H1270" s="3" t="s">
        <v>21</v>
      </c>
      <c r="I1270" s="3" t="s">
        <v>33</v>
      </c>
      <c r="J1270" s="5">
        <v>171795380</v>
      </c>
      <c r="K1270" s="3">
        <v>1099699</v>
      </c>
      <c r="L1270" s="3" t="s">
        <v>3307</v>
      </c>
      <c r="M1270" s="3" t="s">
        <v>5037</v>
      </c>
      <c r="N1270" s="3">
        <v>905</v>
      </c>
      <c r="P1270" s="3" t="s">
        <v>5038</v>
      </c>
      <c r="Q1270" s="3" t="s">
        <v>854</v>
      </c>
      <c r="R1270" s="3" t="s">
        <v>28</v>
      </c>
      <c r="S1270" s="3">
        <v>13485342</v>
      </c>
      <c r="T1270" s="3">
        <v>1921146005</v>
      </c>
      <c r="U1270" s="3" t="s">
        <v>29</v>
      </c>
    </row>
    <row r="1271" spans="1:21" ht="13.2" x14ac:dyDescent="0.25">
      <c r="A1271" s="14">
        <v>16586753000160</v>
      </c>
      <c r="B1271" s="15" t="str">
        <f t="shared" si="19"/>
        <v>16.586.753/0001-60</v>
      </c>
      <c r="C1271" s="12" t="str">
        <f>VLOOKUP(B1271,[1]Planilha1!$A:$B,2,0)</f>
        <v>Malu Montesino</v>
      </c>
      <c r="D1271" s="3" t="s">
        <v>5039</v>
      </c>
      <c r="E1271" s="3" t="s">
        <v>5039</v>
      </c>
      <c r="F1271" s="3" t="s">
        <v>20</v>
      </c>
      <c r="G1271" s="4">
        <v>41080</v>
      </c>
      <c r="H1271" s="3" t="s">
        <v>94</v>
      </c>
      <c r="I1271" s="3" t="s">
        <v>33</v>
      </c>
      <c r="J1271" s="5">
        <v>8778828</v>
      </c>
      <c r="K1271" s="3">
        <v>2521700</v>
      </c>
      <c r="L1271" s="3" t="s">
        <v>5040</v>
      </c>
      <c r="M1271" s="3" t="s">
        <v>5041</v>
      </c>
      <c r="N1271" s="3">
        <v>285</v>
      </c>
      <c r="O1271" s="3" t="s">
        <v>5042</v>
      </c>
      <c r="P1271" s="3" t="s">
        <v>5043</v>
      </c>
      <c r="Q1271" s="3" t="s">
        <v>688</v>
      </c>
      <c r="R1271" s="3" t="s">
        <v>28</v>
      </c>
      <c r="S1271" s="3">
        <v>6715815</v>
      </c>
      <c r="T1271" s="3">
        <v>1126134479</v>
      </c>
      <c r="U1271" s="3" t="s">
        <v>29</v>
      </c>
    </row>
    <row r="1272" spans="1:21" ht="13.2" x14ac:dyDescent="0.25">
      <c r="A1272" s="14">
        <v>5324072000108</v>
      </c>
      <c r="B1272" s="15" t="str">
        <f t="shared" si="19"/>
        <v>05.324.072/0001-08</v>
      </c>
      <c r="C1272" s="12"/>
      <c r="D1272" s="3" t="s">
        <v>5044</v>
      </c>
      <c r="E1272" s="3" t="s">
        <v>5044</v>
      </c>
      <c r="F1272" s="3" t="s">
        <v>20</v>
      </c>
      <c r="G1272" s="4">
        <v>37537</v>
      </c>
      <c r="H1272" s="3" t="s">
        <v>21</v>
      </c>
      <c r="I1272" s="3" t="s">
        <v>33</v>
      </c>
      <c r="J1272" s="5">
        <v>168285400</v>
      </c>
      <c r="K1272" s="3">
        <v>2099199</v>
      </c>
      <c r="L1272" s="3" t="s">
        <v>80</v>
      </c>
      <c r="M1272" s="3" t="s">
        <v>5045</v>
      </c>
      <c r="N1272" s="3">
        <v>559</v>
      </c>
      <c r="P1272" s="3" t="s">
        <v>5046</v>
      </c>
      <c r="Q1272" s="3" t="s">
        <v>5047</v>
      </c>
      <c r="R1272" s="3" t="s">
        <v>53</v>
      </c>
      <c r="S1272" s="3">
        <v>92480000</v>
      </c>
      <c r="T1272" s="3">
        <v>5130612211</v>
      </c>
      <c r="U1272" s="3" t="s">
        <v>29</v>
      </c>
    </row>
    <row r="1273" spans="1:21" ht="13.2" x14ac:dyDescent="0.25">
      <c r="A1273" s="14">
        <v>18174270000184</v>
      </c>
      <c r="B1273" s="15" t="str">
        <f t="shared" si="19"/>
        <v>18.174.270/0001-84</v>
      </c>
      <c r="C1273" s="12"/>
      <c r="D1273" s="3" t="s">
        <v>5048</v>
      </c>
      <c r="E1273" s="3" t="s">
        <v>5048</v>
      </c>
      <c r="F1273" s="3" t="s">
        <v>20</v>
      </c>
      <c r="G1273" s="4">
        <v>41417</v>
      </c>
      <c r="H1273" s="3" t="s">
        <v>377</v>
      </c>
      <c r="I1273" s="3" t="s">
        <v>33</v>
      </c>
      <c r="J1273" s="5">
        <v>204390400</v>
      </c>
      <c r="K1273" s="3">
        <v>6462000</v>
      </c>
      <c r="L1273" s="3" t="s">
        <v>250</v>
      </c>
      <c r="M1273" s="3" t="s">
        <v>308</v>
      </c>
      <c r="N1273" s="3">
        <v>12995</v>
      </c>
      <c r="O1273" s="3" t="s">
        <v>5049</v>
      </c>
      <c r="P1273" s="3" t="s">
        <v>1397</v>
      </c>
      <c r="Q1273" s="3" t="s">
        <v>27</v>
      </c>
      <c r="R1273" s="3" t="s">
        <v>28</v>
      </c>
      <c r="S1273" s="3">
        <v>4578911</v>
      </c>
      <c r="T1273" s="3">
        <v>1137364500</v>
      </c>
      <c r="U1273" s="3" t="s">
        <v>29</v>
      </c>
    </row>
    <row r="1274" spans="1:21" ht="13.2" x14ac:dyDescent="0.25">
      <c r="A1274" s="14">
        <v>60435351000157</v>
      </c>
      <c r="B1274" s="15" t="str">
        <f t="shared" si="19"/>
        <v>60.435.351/0001-57</v>
      </c>
      <c r="C1274" s="12"/>
      <c r="D1274" s="3" t="s">
        <v>5050</v>
      </c>
      <c r="E1274" s="3" t="s">
        <v>5050</v>
      </c>
      <c r="F1274" s="3" t="s">
        <v>20</v>
      </c>
      <c r="G1274" s="4">
        <v>24349</v>
      </c>
      <c r="H1274" s="3" t="s">
        <v>21</v>
      </c>
      <c r="I1274" s="3" t="s">
        <v>33</v>
      </c>
      <c r="J1274" s="5">
        <v>376191940</v>
      </c>
      <c r="K1274" s="3">
        <v>8211300</v>
      </c>
      <c r="L1274" s="3" t="s">
        <v>166</v>
      </c>
      <c r="M1274" s="3" t="s">
        <v>308</v>
      </c>
      <c r="N1274" s="3">
        <v>14401</v>
      </c>
      <c r="O1274" s="3" t="s">
        <v>5051</v>
      </c>
      <c r="P1274" s="3" t="s">
        <v>310</v>
      </c>
      <c r="Q1274" s="3" t="s">
        <v>27</v>
      </c>
      <c r="R1274" s="3" t="s">
        <v>28</v>
      </c>
      <c r="S1274" s="3">
        <v>4794000</v>
      </c>
      <c r="T1274" s="3">
        <v>1151889184</v>
      </c>
      <c r="U1274" s="3" t="s">
        <v>29</v>
      </c>
    </row>
    <row r="1275" spans="1:21" ht="13.2" x14ac:dyDescent="0.25">
      <c r="A1275" s="14">
        <v>34681768000190</v>
      </c>
      <c r="B1275" s="15" t="str">
        <f t="shared" si="19"/>
        <v>34.681.768/0001-90</v>
      </c>
      <c r="C1275" s="12"/>
      <c r="D1275" s="3" t="s">
        <v>5052</v>
      </c>
      <c r="E1275" s="3" t="s">
        <v>5052</v>
      </c>
      <c r="F1275" s="3" t="s">
        <v>20</v>
      </c>
      <c r="G1275" s="4">
        <v>43705</v>
      </c>
      <c r="H1275" s="3" t="s">
        <v>21</v>
      </c>
      <c r="I1275" s="3" t="s">
        <v>47</v>
      </c>
      <c r="J1275" s="5">
        <v>10000</v>
      </c>
      <c r="K1275" s="3">
        <v>6209100</v>
      </c>
      <c r="L1275" s="3" t="s">
        <v>303</v>
      </c>
      <c r="M1275" s="3" t="s">
        <v>5053</v>
      </c>
      <c r="N1275" s="3">
        <v>128</v>
      </c>
      <c r="O1275" s="3" t="s">
        <v>25</v>
      </c>
      <c r="P1275" s="3" t="s">
        <v>1740</v>
      </c>
      <c r="Q1275" s="3" t="s">
        <v>27</v>
      </c>
      <c r="R1275" s="3" t="s">
        <v>28</v>
      </c>
      <c r="S1275" s="3">
        <v>5427000</v>
      </c>
      <c r="T1275" s="3">
        <v>1137919662</v>
      </c>
      <c r="U1275" s="3" t="s">
        <v>29</v>
      </c>
    </row>
    <row r="1276" spans="1:21" ht="13.2" x14ac:dyDescent="0.25">
      <c r="A1276" s="14">
        <v>61185922000105</v>
      </c>
      <c r="B1276" s="15" t="str">
        <f t="shared" si="19"/>
        <v>61.185.922/0001-05</v>
      </c>
      <c r="C1276" s="12" t="str">
        <f>VLOOKUP(B1276,[1]Planilha1!$A:$B,2,0)</f>
        <v>Malu Montesino</v>
      </c>
      <c r="D1276" s="3" t="s">
        <v>5054</v>
      </c>
      <c r="E1276" s="3" t="s">
        <v>5054</v>
      </c>
      <c r="F1276" s="3" t="s">
        <v>20</v>
      </c>
      <c r="G1276" s="4">
        <v>24319</v>
      </c>
      <c r="H1276" s="3" t="s">
        <v>21</v>
      </c>
      <c r="I1276" s="3" t="s">
        <v>33</v>
      </c>
      <c r="J1276" s="5">
        <v>165268210</v>
      </c>
      <c r="K1276" s="3">
        <v>4664800</v>
      </c>
      <c r="L1276" s="3" t="s">
        <v>691</v>
      </c>
      <c r="M1276" s="3" t="s">
        <v>5055</v>
      </c>
      <c r="N1276" s="3">
        <v>59</v>
      </c>
      <c r="P1276" s="3" t="s">
        <v>5056</v>
      </c>
      <c r="Q1276" s="3" t="s">
        <v>617</v>
      </c>
      <c r="R1276" s="3" t="s">
        <v>28</v>
      </c>
      <c r="S1276" s="3">
        <v>6460100</v>
      </c>
      <c r="T1276" s="3">
        <v>1146894625</v>
      </c>
      <c r="U1276" s="3" t="s">
        <v>29</v>
      </c>
    </row>
    <row r="1277" spans="1:21" ht="13.2" x14ac:dyDescent="0.25">
      <c r="A1277" s="14">
        <v>2535707000128</v>
      </c>
      <c r="B1277" s="15" t="str">
        <f t="shared" si="19"/>
        <v>02.535.707/0001-28</v>
      </c>
      <c r="C1277" s="12" t="str">
        <f>VLOOKUP(B1277,[1]Planilha1!$A:$B,2,0)</f>
        <v>Mariane Nascimento</v>
      </c>
      <c r="D1277" s="3" t="s">
        <v>5057</v>
      </c>
      <c r="E1277" s="3" t="s">
        <v>5057</v>
      </c>
      <c r="F1277" s="3" t="s">
        <v>45</v>
      </c>
      <c r="G1277" s="4">
        <v>35928</v>
      </c>
      <c r="H1277" s="3" t="s">
        <v>21</v>
      </c>
      <c r="I1277" s="3" t="s">
        <v>33</v>
      </c>
      <c r="J1277" s="5">
        <v>106242990</v>
      </c>
      <c r="K1277" s="3">
        <v>4664800</v>
      </c>
      <c r="L1277" s="3" t="s">
        <v>691</v>
      </c>
      <c r="M1277" s="3" t="s">
        <v>5055</v>
      </c>
      <c r="N1277" s="3">
        <v>51</v>
      </c>
      <c r="P1277" s="3" t="s">
        <v>5058</v>
      </c>
      <c r="Q1277" s="3" t="s">
        <v>617</v>
      </c>
      <c r="R1277" s="3" t="s">
        <v>28</v>
      </c>
      <c r="S1277" s="3">
        <v>6460100</v>
      </c>
      <c r="T1277" s="3">
        <v>1146894925</v>
      </c>
      <c r="U1277" s="3" t="s">
        <v>29</v>
      </c>
    </row>
    <row r="1278" spans="1:21" ht="13.2" x14ac:dyDescent="0.25">
      <c r="A1278" s="14">
        <v>7857433000107</v>
      </c>
      <c r="B1278" s="15" t="str">
        <f t="shared" si="19"/>
        <v>07.857.433/0001-07</v>
      </c>
      <c r="C1278" s="12"/>
      <c r="D1278" s="3" t="s">
        <v>5059</v>
      </c>
      <c r="E1278" s="3" t="s">
        <v>5060</v>
      </c>
      <c r="F1278" s="3" t="s">
        <v>20</v>
      </c>
      <c r="G1278" s="4">
        <v>38698</v>
      </c>
      <c r="H1278" s="3" t="s">
        <v>21</v>
      </c>
      <c r="I1278" s="3" t="s">
        <v>33</v>
      </c>
      <c r="J1278" s="5">
        <v>46160010</v>
      </c>
      <c r="K1278" s="3">
        <v>4669999</v>
      </c>
      <c r="L1278" s="3" t="s">
        <v>558</v>
      </c>
      <c r="M1278" s="3" t="s">
        <v>5055</v>
      </c>
      <c r="N1278" s="3">
        <v>61</v>
      </c>
      <c r="O1278" s="3" t="s">
        <v>5061</v>
      </c>
      <c r="P1278" s="3" t="s">
        <v>616</v>
      </c>
      <c r="Q1278" s="3" t="s">
        <v>617</v>
      </c>
      <c r="R1278" s="3" t="s">
        <v>28</v>
      </c>
      <c r="S1278" s="3">
        <v>6460100</v>
      </c>
      <c r="T1278" s="3">
        <v>1146894944</v>
      </c>
      <c r="U1278" s="3" t="s">
        <v>29</v>
      </c>
    </row>
    <row r="1279" spans="1:21" ht="13.2" x14ac:dyDescent="0.25">
      <c r="A1279" s="14">
        <v>27613731000169</v>
      </c>
      <c r="B1279" s="15" t="str">
        <f t="shared" si="19"/>
        <v>27.613.731/0001-69</v>
      </c>
      <c r="C1279" s="12"/>
      <c r="D1279" s="3" t="s">
        <v>5062</v>
      </c>
      <c r="E1279" s="3" t="s">
        <v>5063</v>
      </c>
      <c r="F1279" s="3" t="s">
        <v>20</v>
      </c>
      <c r="G1279" s="4">
        <v>42852</v>
      </c>
      <c r="H1279" s="3" t="s">
        <v>21</v>
      </c>
      <c r="I1279" s="3" t="s">
        <v>33</v>
      </c>
      <c r="J1279" s="5">
        <v>1000000</v>
      </c>
      <c r="K1279" s="3">
        <v>2099199</v>
      </c>
      <c r="L1279" s="3" t="s">
        <v>80</v>
      </c>
      <c r="M1279" s="3" t="s">
        <v>5064</v>
      </c>
      <c r="N1279" s="3">
        <v>23</v>
      </c>
      <c r="P1279" s="3" t="s">
        <v>5065</v>
      </c>
      <c r="Q1279" s="3" t="s">
        <v>119</v>
      </c>
      <c r="R1279" s="3" t="s">
        <v>28</v>
      </c>
      <c r="S1279" s="3">
        <v>6612250</v>
      </c>
      <c r="T1279" s="3">
        <v>1126841000</v>
      </c>
      <c r="U1279" s="3" t="s">
        <v>29</v>
      </c>
    </row>
    <row r="1280" spans="1:21" ht="13.2" x14ac:dyDescent="0.25">
      <c r="A1280" s="14">
        <v>30535156000138</v>
      </c>
      <c r="B1280" s="15" t="str">
        <f t="shared" si="19"/>
        <v>30.535.156/0001-38</v>
      </c>
      <c r="C1280" s="12"/>
      <c r="D1280" s="3" t="s">
        <v>5066</v>
      </c>
      <c r="E1280" s="3" t="s">
        <v>5067</v>
      </c>
      <c r="F1280" s="3" t="s">
        <v>20</v>
      </c>
      <c r="G1280" s="4">
        <v>43243</v>
      </c>
      <c r="H1280" s="3" t="s">
        <v>46</v>
      </c>
      <c r="I1280" s="3" t="s">
        <v>47</v>
      </c>
      <c r="J1280" s="5">
        <v>10000</v>
      </c>
      <c r="K1280" s="3">
        <v>6319400</v>
      </c>
      <c r="L1280" s="3" t="s">
        <v>1953</v>
      </c>
      <c r="M1280" s="3" t="s">
        <v>5068</v>
      </c>
      <c r="N1280" s="3">
        <v>723</v>
      </c>
      <c r="O1280" s="3" t="s">
        <v>534</v>
      </c>
      <c r="P1280" s="3" t="s">
        <v>5069</v>
      </c>
      <c r="Q1280" s="3" t="s">
        <v>27</v>
      </c>
      <c r="R1280" s="3" t="s">
        <v>28</v>
      </c>
      <c r="S1280" s="3">
        <v>3694000</v>
      </c>
      <c r="T1280" s="3">
        <v>1140139078</v>
      </c>
      <c r="U1280" s="3" t="s">
        <v>29</v>
      </c>
    </row>
    <row r="1281" spans="1:21" ht="13.2" x14ac:dyDescent="0.25">
      <c r="A1281" s="14">
        <v>677870000108</v>
      </c>
      <c r="B1281" s="15" t="str">
        <f t="shared" si="19"/>
        <v>00.677.870/0001-08</v>
      </c>
      <c r="C1281" s="12"/>
      <c r="D1281" s="3" t="s">
        <v>5070</v>
      </c>
      <c r="E1281" s="3" t="s">
        <v>5071</v>
      </c>
      <c r="F1281" s="3" t="s">
        <v>20</v>
      </c>
      <c r="G1281" s="4">
        <v>34880</v>
      </c>
      <c r="H1281" s="3" t="s">
        <v>21</v>
      </c>
      <c r="I1281" s="3" t="s">
        <v>33</v>
      </c>
      <c r="J1281" s="5">
        <v>1000000</v>
      </c>
      <c r="K1281" s="3">
        <v>4751201</v>
      </c>
      <c r="L1281" s="3" t="s">
        <v>23</v>
      </c>
      <c r="M1281" s="3" t="s">
        <v>5072</v>
      </c>
      <c r="N1281" s="3">
        <v>960</v>
      </c>
      <c r="O1281" s="3" t="s">
        <v>4818</v>
      </c>
      <c r="P1281" s="3" t="s">
        <v>924</v>
      </c>
      <c r="Q1281" s="3" t="s">
        <v>476</v>
      </c>
      <c r="R1281" s="3" t="s">
        <v>100</v>
      </c>
      <c r="S1281" s="3">
        <v>30190085</v>
      </c>
      <c r="T1281" s="3">
        <v>3121050370</v>
      </c>
      <c r="U1281" s="3" t="s">
        <v>29</v>
      </c>
    </row>
    <row r="1282" spans="1:21" ht="13.2" x14ac:dyDescent="0.25">
      <c r="A1282" s="14">
        <v>17256512000116</v>
      </c>
      <c r="B1282" s="15" t="str">
        <f t="shared" si="19"/>
        <v>17.256.512/0001-16</v>
      </c>
      <c r="C1282" s="12"/>
      <c r="D1282" s="3" t="s">
        <v>5073</v>
      </c>
      <c r="E1282" s="3" t="s">
        <v>5073</v>
      </c>
      <c r="F1282" s="3" t="s">
        <v>20</v>
      </c>
      <c r="G1282" s="4">
        <v>24371</v>
      </c>
      <c r="H1282" s="3" t="s">
        <v>94</v>
      </c>
      <c r="I1282" s="3" t="s">
        <v>33</v>
      </c>
      <c r="J1282" s="5">
        <v>642000000</v>
      </c>
      <c r="K1282" s="3">
        <v>4771701</v>
      </c>
      <c r="L1282" s="3" t="s">
        <v>4415</v>
      </c>
      <c r="M1282" s="3" t="s">
        <v>204</v>
      </c>
      <c r="N1282" s="3">
        <v>327</v>
      </c>
      <c r="P1282" s="3" t="s">
        <v>70</v>
      </c>
      <c r="Q1282" s="3" t="s">
        <v>476</v>
      </c>
      <c r="R1282" s="3" t="s">
        <v>100</v>
      </c>
      <c r="S1282" s="3">
        <v>30170120</v>
      </c>
      <c r="T1282" s="3">
        <v>3132705058</v>
      </c>
      <c r="U1282" s="3" t="s">
        <v>29</v>
      </c>
    </row>
    <row r="1283" spans="1:21" ht="13.2" x14ac:dyDescent="0.25">
      <c r="A1283" s="14">
        <v>372383000633</v>
      </c>
      <c r="B1283" s="15" t="str">
        <f t="shared" ref="B1283:B1346" si="20">TEXT(A1283,"00\.000\.000\/0000\-00")</f>
        <v>00.372.383/0006-33</v>
      </c>
      <c r="C1283" s="12"/>
      <c r="D1283" s="3" t="s">
        <v>5074</v>
      </c>
      <c r="E1283" s="3" t="s">
        <v>5075</v>
      </c>
      <c r="F1283" s="3" t="s">
        <v>45</v>
      </c>
      <c r="G1283" s="4">
        <v>39164</v>
      </c>
      <c r="H1283" s="3" t="s">
        <v>21</v>
      </c>
      <c r="I1283" s="3" t="s">
        <v>33</v>
      </c>
      <c r="J1283" s="5">
        <v>8456500</v>
      </c>
      <c r="K1283" s="3">
        <v>4771701</v>
      </c>
      <c r="L1283" s="3" t="s">
        <v>4415</v>
      </c>
      <c r="M1283" s="3" t="s">
        <v>5076</v>
      </c>
      <c r="N1283" s="3" t="s">
        <v>82</v>
      </c>
      <c r="P1283" s="3" t="s">
        <v>1745</v>
      </c>
      <c r="Q1283" s="3" t="s">
        <v>631</v>
      </c>
      <c r="R1283" s="3" t="s">
        <v>632</v>
      </c>
      <c r="S1283" s="3">
        <v>70338520</v>
      </c>
      <c r="T1283" s="3">
        <v>6133498001</v>
      </c>
      <c r="U1283" s="3" t="s">
        <v>29</v>
      </c>
    </row>
    <row r="1284" spans="1:21" ht="13.2" x14ac:dyDescent="0.25">
      <c r="A1284" s="14">
        <v>61412110000155</v>
      </c>
      <c r="B1284" s="15" t="str">
        <f t="shared" si="20"/>
        <v>61.412.110/0001-55</v>
      </c>
      <c r="C1284" s="12"/>
      <c r="D1284" s="3" t="s">
        <v>5077</v>
      </c>
      <c r="E1284" s="3" t="s">
        <v>5078</v>
      </c>
      <c r="F1284" s="3" t="s">
        <v>20</v>
      </c>
      <c r="G1284" s="4">
        <v>24318</v>
      </c>
      <c r="H1284" s="3" t="s">
        <v>94</v>
      </c>
      <c r="I1284" s="3" t="s">
        <v>33</v>
      </c>
      <c r="J1284" s="5">
        <v>720261100</v>
      </c>
      <c r="K1284" s="3">
        <v>4771701</v>
      </c>
      <c r="L1284" s="3" t="s">
        <v>4415</v>
      </c>
      <c r="M1284" s="3" t="s">
        <v>1470</v>
      </c>
      <c r="N1284" s="3">
        <v>840</v>
      </c>
      <c r="P1284" s="3" t="s">
        <v>2392</v>
      </c>
      <c r="Q1284" s="3" t="s">
        <v>27</v>
      </c>
      <c r="R1284" s="3" t="s">
        <v>28</v>
      </c>
      <c r="S1284" s="3">
        <v>1502001</v>
      </c>
      <c r="T1284" s="3">
        <v>1132747400</v>
      </c>
      <c r="U1284" s="3" t="s">
        <v>29</v>
      </c>
    </row>
    <row r="1285" spans="1:21" ht="13.2" x14ac:dyDescent="0.25">
      <c r="A1285" s="14">
        <v>14500398000130</v>
      </c>
      <c r="B1285" s="15" t="str">
        <f t="shared" si="20"/>
        <v>14.500.398/0001-30</v>
      </c>
      <c r="C1285" s="12"/>
      <c r="D1285" s="3" t="s">
        <v>5079</v>
      </c>
      <c r="E1285" s="3" t="s">
        <v>5079</v>
      </c>
      <c r="F1285" s="3" t="s">
        <v>45</v>
      </c>
      <c r="G1285" s="4">
        <v>40704</v>
      </c>
      <c r="H1285" s="3" t="s">
        <v>21</v>
      </c>
      <c r="I1285" s="3" t="s">
        <v>33</v>
      </c>
      <c r="J1285" s="5">
        <v>51000</v>
      </c>
      <c r="K1285" s="3">
        <v>4110700</v>
      </c>
      <c r="L1285" s="3" t="s">
        <v>4133</v>
      </c>
      <c r="M1285" s="3">
        <v>3</v>
      </c>
      <c r="N1285" s="3">
        <v>13</v>
      </c>
      <c r="O1285" s="3" t="s">
        <v>5080</v>
      </c>
      <c r="P1285" s="3" t="s">
        <v>5081</v>
      </c>
      <c r="Q1285" s="3" t="s">
        <v>59</v>
      </c>
      <c r="R1285" s="3" t="s">
        <v>28</v>
      </c>
      <c r="S1285" s="3">
        <v>13270005</v>
      </c>
      <c r="T1285" s="3">
        <v>1932335456</v>
      </c>
      <c r="U1285" s="3" t="s">
        <v>29</v>
      </c>
    </row>
    <row r="1286" spans="1:21" ht="13.2" x14ac:dyDescent="0.25">
      <c r="A1286" s="14">
        <v>11523392000190</v>
      </c>
      <c r="B1286" s="15" t="str">
        <f t="shared" si="20"/>
        <v>11.523.392/0001-90</v>
      </c>
      <c r="C1286" s="12"/>
      <c r="D1286" s="3" t="s">
        <v>5082</v>
      </c>
      <c r="E1286" s="3" t="s">
        <v>5083</v>
      </c>
      <c r="F1286" s="3" t="s">
        <v>20</v>
      </c>
      <c r="G1286" s="4">
        <v>40218</v>
      </c>
      <c r="H1286" s="3" t="s">
        <v>21</v>
      </c>
      <c r="I1286" s="3" t="s">
        <v>47</v>
      </c>
      <c r="J1286" s="5">
        <v>200000</v>
      </c>
      <c r="K1286" s="3">
        <v>4763603</v>
      </c>
      <c r="L1286" s="3" t="s">
        <v>5084</v>
      </c>
      <c r="M1286" s="3" t="s">
        <v>5085</v>
      </c>
      <c r="N1286" s="3">
        <v>68</v>
      </c>
      <c r="P1286" s="3" t="s">
        <v>137</v>
      </c>
      <c r="Q1286" s="3" t="s">
        <v>27</v>
      </c>
      <c r="R1286" s="3" t="s">
        <v>28</v>
      </c>
      <c r="S1286" s="3">
        <v>5037090</v>
      </c>
      <c r="T1286" s="3">
        <v>1132240785</v>
      </c>
      <c r="U1286" s="3" t="s">
        <v>29</v>
      </c>
    </row>
    <row r="1287" spans="1:21" ht="13.2" x14ac:dyDescent="0.25">
      <c r="A1287" s="14">
        <v>11550400000197</v>
      </c>
      <c r="B1287" s="15" t="str">
        <f t="shared" si="20"/>
        <v>11.550.400/0001-97</v>
      </c>
      <c r="C1287" s="12"/>
      <c r="D1287" s="3" t="s">
        <v>5086</v>
      </c>
      <c r="E1287" s="3" t="s">
        <v>5087</v>
      </c>
      <c r="F1287" s="3" t="s">
        <v>31</v>
      </c>
      <c r="G1287" s="4">
        <v>40220</v>
      </c>
      <c r="H1287" s="3" t="s">
        <v>21</v>
      </c>
      <c r="I1287" s="3" t="s">
        <v>22</v>
      </c>
      <c r="J1287" s="5">
        <v>150000</v>
      </c>
      <c r="K1287" s="3">
        <v>8011101</v>
      </c>
      <c r="L1287" s="3" t="s">
        <v>943</v>
      </c>
      <c r="M1287" s="3" t="s">
        <v>5088</v>
      </c>
      <c r="N1287" s="3">
        <v>265</v>
      </c>
      <c r="P1287" s="3" t="s">
        <v>70</v>
      </c>
      <c r="Q1287" s="3" t="s">
        <v>5089</v>
      </c>
      <c r="R1287" s="3" t="s">
        <v>281</v>
      </c>
      <c r="S1287" s="3">
        <v>42700130</v>
      </c>
      <c r="T1287" s="3">
        <v>7133791807</v>
      </c>
      <c r="U1287" s="3" t="s">
        <v>29</v>
      </c>
    </row>
    <row r="1288" spans="1:21" ht="13.2" x14ac:dyDescent="0.25">
      <c r="A1288" s="14">
        <v>11541913000131</v>
      </c>
      <c r="B1288" s="15" t="str">
        <f t="shared" si="20"/>
        <v>11.541.913/0001-31</v>
      </c>
      <c r="C1288" s="12"/>
      <c r="D1288" s="3" t="s">
        <v>5090</v>
      </c>
      <c r="E1288" s="3" t="s">
        <v>5090</v>
      </c>
      <c r="F1288" s="3" t="s">
        <v>20</v>
      </c>
      <c r="G1288" s="4">
        <v>40219</v>
      </c>
      <c r="H1288" s="3" t="s">
        <v>46</v>
      </c>
      <c r="I1288" s="3" t="s">
        <v>47</v>
      </c>
      <c r="J1288" s="5">
        <v>30000</v>
      </c>
      <c r="K1288" s="3">
        <v>6920601</v>
      </c>
      <c r="L1288" s="3" t="s">
        <v>1507</v>
      </c>
      <c r="M1288" s="3" t="s">
        <v>5091</v>
      </c>
      <c r="N1288" s="3">
        <v>563</v>
      </c>
      <c r="P1288" s="3" t="s">
        <v>70</v>
      </c>
      <c r="Q1288" s="3" t="s">
        <v>5092</v>
      </c>
      <c r="R1288" s="3" t="s">
        <v>187</v>
      </c>
      <c r="S1288" s="3">
        <v>87910000</v>
      </c>
      <c r="T1288" s="3">
        <v>4484542039</v>
      </c>
      <c r="U1288" s="3" t="s">
        <v>29</v>
      </c>
    </row>
    <row r="1289" spans="1:21" ht="13.2" x14ac:dyDescent="0.25">
      <c r="A1289" s="14">
        <v>30019904000120</v>
      </c>
      <c r="B1289" s="15" t="str">
        <f t="shared" si="20"/>
        <v>30.019.904/0001-20</v>
      </c>
      <c r="C1289" s="12"/>
      <c r="D1289" s="3" t="s">
        <v>5093</v>
      </c>
      <c r="E1289" s="3" t="s">
        <v>5094</v>
      </c>
      <c r="F1289" s="3" t="s">
        <v>20</v>
      </c>
      <c r="G1289" s="4">
        <v>43182</v>
      </c>
      <c r="H1289" s="3" t="s">
        <v>21</v>
      </c>
      <c r="I1289" s="3" t="s">
        <v>22</v>
      </c>
      <c r="J1289" s="5">
        <v>400000</v>
      </c>
      <c r="K1289" s="3">
        <v>4753900</v>
      </c>
      <c r="L1289" s="3" t="s">
        <v>214</v>
      </c>
      <c r="M1289" s="3" t="s">
        <v>5095</v>
      </c>
      <c r="N1289" s="3">
        <v>113</v>
      </c>
      <c r="P1289" s="3" t="s">
        <v>3029</v>
      </c>
      <c r="Q1289" s="3" t="s">
        <v>27</v>
      </c>
      <c r="R1289" s="3" t="s">
        <v>28</v>
      </c>
      <c r="S1289" s="3">
        <v>2726030</v>
      </c>
      <c r="T1289" s="3">
        <v>1142481440</v>
      </c>
      <c r="U1289" s="3" t="s">
        <v>29</v>
      </c>
    </row>
    <row r="1290" spans="1:21" ht="13.2" x14ac:dyDescent="0.25">
      <c r="A1290" s="14">
        <v>2385674000187</v>
      </c>
      <c r="B1290" s="15" t="str">
        <f t="shared" si="20"/>
        <v>02.385.674/0001-87</v>
      </c>
      <c r="C1290" s="12"/>
      <c r="D1290" s="3" t="s">
        <v>5096</v>
      </c>
      <c r="E1290" s="3" t="s">
        <v>5096</v>
      </c>
      <c r="F1290" s="3" t="s">
        <v>20</v>
      </c>
      <c r="G1290" s="4">
        <v>35845</v>
      </c>
      <c r="H1290" s="3" t="s">
        <v>21</v>
      </c>
      <c r="I1290" s="3" t="s">
        <v>33</v>
      </c>
      <c r="J1290" s="5">
        <v>80000000</v>
      </c>
      <c r="K1290" s="3">
        <v>7112000</v>
      </c>
      <c r="L1290" s="3" t="s">
        <v>276</v>
      </c>
      <c r="M1290" s="3" t="s">
        <v>5097</v>
      </c>
      <c r="N1290" s="3">
        <v>45</v>
      </c>
      <c r="O1290" s="3" t="s">
        <v>5098</v>
      </c>
      <c r="P1290" s="3" t="s">
        <v>2596</v>
      </c>
      <c r="Q1290" s="3" t="s">
        <v>27</v>
      </c>
      <c r="R1290" s="3" t="s">
        <v>28</v>
      </c>
      <c r="S1290" s="3">
        <v>4536000</v>
      </c>
      <c r="T1290" s="3">
        <v>1131671909</v>
      </c>
      <c r="U1290" s="3" t="s">
        <v>29</v>
      </c>
    </row>
    <row r="1291" spans="1:21" ht="13.2" x14ac:dyDescent="0.25">
      <c r="A1291" s="14">
        <v>36461952000150</v>
      </c>
      <c r="B1291" s="15" t="str">
        <f t="shared" si="20"/>
        <v>36.461.952/0001-50</v>
      </c>
      <c r="C1291" s="12"/>
      <c r="D1291" s="3" t="s">
        <v>5099</v>
      </c>
      <c r="E1291" s="3" t="s">
        <v>5099</v>
      </c>
      <c r="F1291" s="3" t="s">
        <v>20</v>
      </c>
      <c r="G1291" s="4">
        <v>33430</v>
      </c>
      <c r="H1291" s="3" t="s">
        <v>21</v>
      </c>
      <c r="I1291" s="3" t="s">
        <v>33</v>
      </c>
      <c r="J1291" s="5">
        <v>15000000</v>
      </c>
      <c r="K1291" s="3">
        <v>4684299</v>
      </c>
      <c r="L1291" s="3" t="s">
        <v>419</v>
      </c>
      <c r="M1291" s="3" t="s">
        <v>5100</v>
      </c>
      <c r="N1291" s="3">
        <v>41</v>
      </c>
      <c r="O1291" s="3" t="s">
        <v>5101</v>
      </c>
      <c r="P1291" s="3" t="s">
        <v>5102</v>
      </c>
      <c r="Q1291" s="3" t="s">
        <v>332</v>
      </c>
      <c r="R1291" s="3" t="s">
        <v>78</v>
      </c>
      <c r="S1291" s="3">
        <v>25213310</v>
      </c>
      <c r="T1291" s="3">
        <v>2124376192</v>
      </c>
      <c r="U1291" s="3" t="s">
        <v>29</v>
      </c>
    </row>
    <row r="1292" spans="1:21" ht="13.2" x14ac:dyDescent="0.25">
      <c r="A1292" s="14">
        <v>42913658000134</v>
      </c>
      <c r="B1292" s="15" t="str">
        <f t="shared" si="20"/>
        <v>42.913.658/0001-34</v>
      </c>
      <c r="C1292" s="12" t="str">
        <f>VLOOKUP(B1292,[1]Planilha1!$A:$B,2,0)</f>
        <v>Malu Montesino</v>
      </c>
      <c r="D1292" s="3" t="s">
        <v>5103</v>
      </c>
      <c r="E1292" s="3" t="s">
        <v>5104</v>
      </c>
      <c r="F1292" s="3" t="s">
        <v>20</v>
      </c>
      <c r="G1292" s="4">
        <v>44406</v>
      </c>
      <c r="H1292" s="3" t="s">
        <v>21</v>
      </c>
      <c r="I1292" s="3" t="s">
        <v>47</v>
      </c>
      <c r="J1292" s="5">
        <v>100000</v>
      </c>
      <c r="K1292" s="3">
        <v>1111901</v>
      </c>
      <c r="L1292" s="3" t="s">
        <v>5105</v>
      </c>
      <c r="M1292" s="3" t="s">
        <v>5106</v>
      </c>
      <c r="N1292" s="3">
        <v>1022</v>
      </c>
      <c r="P1292" s="3" t="s">
        <v>5107</v>
      </c>
      <c r="Q1292" s="3" t="s">
        <v>65</v>
      </c>
      <c r="R1292" s="3" t="s">
        <v>28</v>
      </c>
      <c r="S1292" s="3">
        <v>13082105</v>
      </c>
      <c r="T1292" s="3">
        <v>1998110126</v>
      </c>
      <c r="U1292" s="3" t="s">
        <v>29</v>
      </c>
    </row>
    <row r="1293" spans="1:21" ht="13.2" x14ac:dyDescent="0.25">
      <c r="A1293" s="14">
        <v>61190120000193</v>
      </c>
      <c r="B1293" s="15" t="str">
        <f t="shared" si="20"/>
        <v>61.190.120/0001-93</v>
      </c>
      <c r="C1293" s="12"/>
      <c r="D1293" s="3" t="s">
        <v>5108</v>
      </c>
      <c r="E1293" s="3" t="s">
        <v>5109</v>
      </c>
      <c r="F1293" s="3" t="s">
        <v>20</v>
      </c>
      <c r="G1293" s="4">
        <v>24302</v>
      </c>
      <c r="H1293" s="3" t="s">
        <v>21</v>
      </c>
      <c r="I1293" s="3" t="s">
        <v>33</v>
      </c>
      <c r="J1293" s="5">
        <v>1500000</v>
      </c>
      <c r="K1293" s="3">
        <v>4663000</v>
      </c>
      <c r="L1293" s="3" t="s">
        <v>128</v>
      </c>
      <c r="M1293" s="3" t="s">
        <v>5110</v>
      </c>
      <c r="N1293" s="3">
        <v>120</v>
      </c>
      <c r="P1293" s="3" t="s">
        <v>5111</v>
      </c>
      <c r="Q1293" s="3" t="s">
        <v>27</v>
      </c>
      <c r="R1293" s="3" t="s">
        <v>28</v>
      </c>
      <c r="S1293" s="3">
        <v>4460040</v>
      </c>
      <c r="T1293" s="3">
        <v>1196739092</v>
      </c>
      <c r="U1293" s="3" t="s">
        <v>29</v>
      </c>
    </row>
    <row r="1294" spans="1:21" ht="13.2" x14ac:dyDescent="0.25">
      <c r="A1294" s="14">
        <v>426978000110</v>
      </c>
      <c r="B1294" s="15" t="str">
        <f t="shared" si="20"/>
        <v>00.426.978/0001-10</v>
      </c>
      <c r="C1294" s="12" t="str">
        <f>VLOOKUP(B1294,[1]Planilha1!$A:$B,2,0)</f>
        <v>Malu Montesino</v>
      </c>
      <c r="D1294" s="3" t="s">
        <v>5112</v>
      </c>
      <c r="E1294" s="3" t="s">
        <v>5113</v>
      </c>
      <c r="F1294" s="3" t="s">
        <v>20</v>
      </c>
      <c r="G1294" s="4">
        <v>34740</v>
      </c>
      <c r="H1294" s="3" t="s">
        <v>21</v>
      </c>
      <c r="I1294" s="3" t="s">
        <v>33</v>
      </c>
      <c r="J1294" s="5">
        <v>6529371</v>
      </c>
      <c r="K1294" s="3">
        <v>2223400</v>
      </c>
      <c r="L1294" s="3" t="s">
        <v>868</v>
      </c>
      <c r="M1294" s="3" t="s">
        <v>2480</v>
      </c>
      <c r="N1294" s="3" t="s">
        <v>82</v>
      </c>
      <c r="O1294" s="3" t="s">
        <v>5114</v>
      </c>
      <c r="P1294" s="3" t="s">
        <v>1475</v>
      </c>
      <c r="Q1294" s="3" t="s">
        <v>573</v>
      </c>
      <c r="R1294" s="3" t="s">
        <v>274</v>
      </c>
      <c r="S1294" s="3">
        <v>74993160</v>
      </c>
      <c r="T1294" s="3">
        <v>6232744800</v>
      </c>
      <c r="U1294" s="3" t="s">
        <v>29</v>
      </c>
    </row>
    <row r="1295" spans="1:21" ht="13.2" x14ac:dyDescent="0.25">
      <c r="A1295" s="14">
        <v>7439329000526</v>
      </c>
      <c r="B1295" s="15" t="str">
        <f t="shared" si="20"/>
        <v>07.439.329/0005-26</v>
      </c>
      <c r="C1295" s="12"/>
      <c r="D1295" s="3" t="s">
        <v>5115</v>
      </c>
      <c r="E1295" s="3" t="s">
        <v>5116</v>
      </c>
      <c r="F1295" s="3" t="s">
        <v>20</v>
      </c>
      <c r="G1295" s="4">
        <v>43656</v>
      </c>
      <c r="H1295" s="3" t="s">
        <v>21</v>
      </c>
      <c r="I1295" s="3" t="s">
        <v>33</v>
      </c>
      <c r="J1295" s="5">
        <v>282045540</v>
      </c>
      <c r="K1295" s="3">
        <v>4642702</v>
      </c>
      <c r="L1295" s="3" t="s">
        <v>1139</v>
      </c>
      <c r="M1295" s="3" t="s">
        <v>5117</v>
      </c>
      <c r="N1295" s="3">
        <v>180</v>
      </c>
      <c r="O1295" s="3" t="s">
        <v>5118</v>
      </c>
      <c r="P1295" s="3" t="s">
        <v>5119</v>
      </c>
      <c r="Q1295" s="3" t="s">
        <v>357</v>
      </c>
      <c r="R1295" s="3" t="s">
        <v>28</v>
      </c>
      <c r="S1295" s="3">
        <v>7170150</v>
      </c>
      <c r="T1295" s="3">
        <v>1131335766</v>
      </c>
      <c r="U1295" s="3" t="s">
        <v>29</v>
      </c>
    </row>
    <row r="1296" spans="1:21" ht="13.2" x14ac:dyDescent="0.25">
      <c r="A1296" s="14">
        <v>7439329000445</v>
      </c>
      <c r="B1296" s="15" t="str">
        <f t="shared" si="20"/>
        <v>07.439.329/0004-45</v>
      </c>
      <c r="C1296" s="12" t="str">
        <f>VLOOKUP(B1296,[1]Planilha1!$A:$B,2,0)</f>
        <v>Malu Montesino</v>
      </c>
      <c r="D1296" s="3" t="s">
        <v>5115</v>
      </c>
      <c r="E1296" s="3" t="s">
        <v>5116</v>
      </c>
      <c r="F1296" s="3" t="s">
        <v>20</v>
      </c>
      <c r="G1296" s="4">
        <v>43656</v>
      </c>
      <c r="H1296" s="3" t="s">
        <v>21</v>
      </c>
      <c r="I1296" s="3" t="s">
        <v>33</v>
      </c>
      <c r="J1296" s="5">
        <v>282045540</v>
      </c>
      <c r="K1296" s="3">
        <v>8211300</v>
      </c>
      <c r="L1296" s="3" t="s">
        <v>166</v>
      </c>
      <c r="M1296" s="3" t="s">
        <v>5120</v>
      </c>
      <c r="N1296" s="3">
        <v>286</v>
      </c>
      <c r="O1296" s="3" t="s">
        <v>5121</v>
      </c>
      <c r="P1296" s="3" t="s">
        <v>5122</v>
      </c>
      <c r="Q1296" s="3" t="s">
        <v>357</v>
      </c>
      <c r="R1296" s="3" t="s">
        <v>28</v>
      </c>
      <c r="S1296" s="3">
        <v>7020021</v>
      </c>
      <c r="T1296" s="3">
        <v>1131335766</v>
      </c>
      <c r="U1296" s="3" t="s">
        <v>29</v>
      </c>
    </row>
    <row r="1297" spans="1:21" ht="13.2" x14ac:dyDescent="0.25">
      <c r="A1297" s="14">
        <v>6314429000130</v>
      </c>
      <c r="B1297" s="15" t="str">
        <f t="shared" si="20"/>
        <v>06.314.429/0001-30</v>
      </c>
      <c r="C1297" s="12" t="str">
        <f>VLOOKUP(B1297,[1]Planilha1!$A:$B,2,0)</f>
        <v>Malu Montesino</v>
      </c>
      <c r="D1297" s="3" t="s">
        <v>5123</v>
      </c>
      <c r="E1297" s="3" t="s">
        <v>5123</v>
      </c>
      <c r="F1297" s="3" t="s">
        <v>20</v>
      </c>
      <c r="G1297" s="4">
        <v>38153</v>
      </c>
      <c r="H1297" s="3" t="s">
        <v>21</v>
      </c>
      <c r="I1297" s="3" t="s">
        <v>33</v>
      </c>
      <c r="J1297" s="5">
        <v>142910430</v>
      </c>
      <c r="K1297" s="3">
        <v>2854200</v>
      </c>
      <c r="L1297" s="3" t="s">
        <v>5124</v>
      </c>
      <c r="M1297" s="3" t="s">
        <v>4294</v>
      </c>
      <c r="N1297" s="3">
        <v>430</v>
      </c>
      <c r="P1297" s="3" t="s">
        <v>230</v>
      </c>
      <c r="Q1297" s="3" t="s">
        <v>231</v>
      </c>
      <c r="R1297" s="3" t="s">
        <v>28</v>
      </c>
      <c r="S1297" s="3">
        <v>18087175</v>
      </c>
      <c r="T1297" s="3">
        <v>1534127536</v>
      </c>
      <c r="U1297" s="3" t="s">
        <v>29</v>
      </c>
    </row>
    <row r="1298" spans="1:21" ht="13.2" x14ac:dyDescent="0.25">
      <c r="A1298" s="14">
        <v>34849836000187</v>
      </c>
      <c r="B1298" s="15" t="str">
        <f t="shared" si="20"/>
        <v>34.849.836/0001-87</v>
      </c>
      <c r="C1298" s="12"/>
      <c r="D1298" s="3" t="s">
        <v>5125</v>
      </c>
      <c r="E1298" s="3" t="s">
        <v>5126</v>
      </c>
      <c r="F1298" s="3" t="s">
        <v>20</v>
      </c>
      <c r="G1298" s="4">
        <v>33008</v>
      </c>
      <c r="H1298" s="3" t="s">
        <v>21</v>
      </c>
      <c r="I1298" s="3" t="s">
        <v>33</v>
      </c>
      <c r="J1298" s="5" t="s">
        <v>5127</v>
      </c>
      <c r="K1298" s="3">
        <v>8121400</v>
      </c>
      <c r="L1298" s="3" t="s">
        <v>494</v>
      </c>
      <c r="M1298" s="3" t="s">
        <v>5128</v>
      </c>
      <c r="N1298" s="3">
        <v>386</v>
      </c>
      <c r="P1298" s="3" t="s">
        <v>5129</v>
      </c>
      <c r="Q1298" s="3" t="s">
        <v>199</v>
      </c>
      <c r="R1298" s="3" t="s">
        <v>792</v>
      </c>
      <c r="S1298" s="3">
        <v>66623284</v>
      </c>
      <c r="T1298" s="3">
        <v>9132433670</v>
      </c>
      <c r="U1298" s="3" t="s">
        <v>29</v>
      </c>
    </row>
    <row r="1299" spans="1:21" ht="13.2" x14ac:dyDescent="0.25">
      <c r="A1299" s="14">
        <v>33100082001177</v>
      </c>
      <c r="B1299" s="15" t="str">
        <f t="shared" si="20"/>
        <v>33.100.082/0011-77</v>
      </c>
      <c r="C1299" s="12"/>
      <c r="D1299" s="3" t="s">
        <v>5130</v>
      </c>
      <c r="E1299" s="3" t="s">
        <v>5130</v>
      </c>
      <c r="F1299" s="3" t="s">
        <v>20</v>
      </c>
      <c r="G1299" s="4">
        <v>43644</v>
      </c>
      <c r="H1299" s="3" t="s">
        <v>21</v>
      </c>
      <c r="I1299" s="3" t="s">
        <v>33</v>
      </c>
      <c r="J1299" s="5">
        <v>5000000</v>
      </c>
      <c r="K1299" s="3">
        <v>4664800</v>
      </c>
      <c r="L1299" s="3" t="s">
        <v>691</v>
      </c>
      <c r="M1299" s="3" t="s">
        <v>277</v>
      </c>
      <c r="N1299" s="3">
        <v>125</v>
      </c>
      <c r="O1299" s="3" t="s">
        <v>5131</v>
      </c>
      <c r="P1299" s="3" t="s">
        <v>279</v>
      </c>
      <c r="Q1299" s="3" t="s">
        <v>280</v>
      </c>
      <c r="R1299" s="3" t="s">
        <v>281</v>
      </c>
      <c r="S1299" s="3">
        <v>41820774</v>
      </c>
      <c r="T1299" s="3">
        <v>2132218000</v>
      </c>
      <c r="U1299" s="3" t="s">
        <v>29</v>
      </c>
    </row>
    <row r="1300" spans="1:21" ht="13.2" x14ac:dyDescent="0.25">
      <c r="A1300" s="14">
        <v>33100082000103</v>
      </c>
      <c r="B1300" s="15" t="str">
        <f t="shared" si="20"/>
        <v>33.100.082/0001-03</v>
      </c>
      <c r="C1300" s="12"/>
      <c r="D1300" s="3" t="s">
        <v>5130</v>
      </c>
      <c r="E1300" s="3" t="s">
        <v>5130</v>
      </c>
      <c r="F1300" s="3" t="s">
        <v>20</v>
      </c>
      <c r="G1300" s="4">
        <v>25465</v>
      </c>
      <c r="H1300" s="3" t="s">
        <v>21</v>
      </c>
      <c r="I1300" s="3" t="s">
        <v>33</v>
      </c>
      <c r="J1300" s="5">
        <v>5000000</v>
      </c>
      <c r="K1300" s="3">
        <v>4664800</v>
      </c>
      <c r="L1300" s="3" t="s">
        <v>691</v>
      </c>
      <c r="M1300" s="3" t="s">
        <v>5132</v>
      </c>
      <c r="N1300" s="3">
        <v>260</v>
      </c>
      <c r="P1300" s="3" t="s">
        <v>70</v>
      </c>
      <c r="Q1300" s="3" t="s">
        <v>253</v>
      </c>
      <c r="R1300" s="3" t="s">
        <v>78</v>
      </c>
      <c r="S1300" s="3">
        <v>20231006</v>
      </c>
      <c r="T1300" s="3">
        <v>2132218000</v>
      </c>
      <c r="U1300" s="3" t="s">
        <v>29</v>
      </c>
    </row>
    <row r="1301" spans="1:21" ht="13.2" x14ac:dyDescent="0.25">
      <c r="A1301" s="14">
        <v>31574583000198</v>
      </c>
      <c r="B1301" s="15" t="str">
        <f t="shared" si="20"/>
        <v>31.574.583/0001-98</v>
      </c>
      <c r="C1301" s="12"/>
      <c r="D1301" s="3" t="s">
        <v>5133</v>
      </c>
      <c r="E1301" s="3" t="s">
        <v>5134</v>
      </c>
      <c r="F1301" s="3" t="s">
        <v>20</v>
      </c>
      <c r="G1301" s="4">
        <v>43364</v>
      </c>
      <c r="H1301" s="3" t="s">
        <v>21</v>
      </c>
      <c r="I1301" s="3" t="s">
        <v>22</v>
      </c>
      <c r="J1301" s="5">
        <v>30000</v>
      </c>
      <c r="K1301" s="3">
        <v>3321000</v>
      </c>
      <c r="L1301" s="3" t="s">
        <v>2479</v>
      </c>
      <c r="M1301" s="3" t="s">
        <v>5135</v>
      </c>
      <c r="N1301" s="3">
        <v>1007</v>
      </c>
      <c r="O1301" s="3" t="s">
        <v>5136</v>
      </c>
      <c r="P1301" s="3" t="s">
        <v>5137</v>
      </c>
      <c r="Q1301" s="3" t="s">
        <v>567</v>
      </c>
      <c r="R1301" s="3" t="s">
        <v>28</v>
      </c>
      <c r="S1301" s="3">
        <v>13212070</v>
      </c>
      <c r="T1301" s="3">
        <v>1170975126</v>
      </c>
      <c r="U1301" s="3" t="s">
        <v>29</v>
      </c>
    </row>
    <row r="1302" spans="1:21" ht="13.2" x14ac:dyDescent="0.25">
      <c r="A1302" s="14">
        <v>7671244000145</v>
      </c>
      <c r="B1302" s="15" t="str">
        <f t="shared" si="20"/>
        <v>07.671.244/0001-45</v>
      </c>
      <c r="C1302" s="12"/>
      <c r="D1302" s="3" t="s">
        <v>5138</v>
      </c>
      <c r="E1302" s="3" t="s">
        <v>5138</v>
      </c>
      <c r="F1302" s="3" t="s">
        <v>20</v>
      </c>
      <c r="G1302" s="4">
        <v>38644</v>
      </c>
      <c r="H1302" s="3" t="s">
        <v>21</v>
      </c>
      <c r="I1302" s="3" t="s">
        <v>33</v>
      </c>
      <c r="J1302" s="5">
        <v>200000</v>
      </c>
      <c r="K1302" s="3">
        <v>4751201</v>
      </c>
      <c r="L1302" s="3" t="s">
        <v>23</v>
      </c>
      <c r="M1302" s="3" t="s">
        <v>204</v>
      </c>
      <c r="N1302" s="3">
        <v>1016</v>
      </c>
      <c r="P1302" s="3" t="s">
        <v>3498</v>
      </c>
      <c r="Q1302" s="3" t="s">
        <v>1375</v>
      </c>
      <c r="R1302" s="3" t="s">
        <v>187</v>
      </c>
      <c r="S1302" s="3">
        <v>85605070</v>
      </c>
      <c r="T1302" s="3">
        <v>4630554304</v>
      </c>
      <c r="U1302" s="3" t="s">
        <v>29</v>
      </c>
    </row>
    <row r="1303" spans="1:21" ht="13.2" x14ac:dyDescent="0.25">
      <c r="A1303" s="14">
        <v>38486770000169</v>
      </c>
      <c r="B1303" s="15" t="str">
        <f t="shared" si="20"/>
        <v>38.486.770/0001-69</v>
      </c>
      <c r="C1303" s="12"/>
      <c r="D1303" s="3" t="s">
        <v>5139</v>
      </c>
      <c r="E1303" s="3" t="s">
        <v>5140</v>
      </c>
      <c r="F1303" s="3" t="s">
        <v>45</v>
      </c>
      <c r="G1303" s="4">
        <v>44090</v>
      </c>
      <c r="H1303" s="3" t="s">
        <v>46</v>
      </c>
      <c r="I1303" s="3" t="s">
        <v>22</v>
      </c>
      <c r="J1303" s="5">
        <v>100000</v>
      </c>
      <c r="K1303" s="3">
        <v>8122200</v>
      </c>
      <c r="L1303" s="3" t="s">
        <v>2910</v>
      </c>
      <c r="M1303" s="3" t="s">
        <v>5141</v>
      </c>
      <c r="N1303" s="3">
        <v>126</v>
      </c>
      <c r="O1303" s="3" t="s">
        <v>5142</v>
      </c>
      <c r="P1303" s="3" t="s">
        <v>5143</v>
      </c>
      <c r="Q1303" s="3" t="s">
        <v>1878</v>
      </c>
      <c r="R1303" s="3" t="s">
        <v>28</v>
      </c>
      <c r="S1303" s="3">
        <v>6820140</v>
      </c>
      <c r="T1303" s="3">
        <v>1143211151</v>
      </c>
      <c r="U1303" s="3" t="s">
        <v>29</v>
      </c>
    </row>
    <row r="1304" spans="1:21" ht="13.2" x14ac:dyDescent="0.25">
      <c r="A1304" s="14">
        <v>3345558000105</v>
      </c>
      <c r="B1304" s="15" t="str">
        <f t="shared" si="20"/>
        <v>03.345.558/0001-05</v>
      </c>
      <c r="C1304" s="12"/>
      <c r="D1304" s="3" t="s">
        <v>5144</v>
      </c>
      <c r="E1304" s="3" t="s">
        <v>5145</v>
      </c>
      <c r="F1304" s="3" t="s">
        <v>20</v>
      </c>
      <c r="G1304" s="4">
        <v>36325</v>
      </c>
      <c r="H1304" s="3" t="s">
        <v>21</v>
      </c>
      <c r="I1304" s="3" t="s">
        <v>33</v>
      </c>
      <c r="J1304" s="5">
        <v>400000</v>
      </c>
      <c r="K1304" s="3">
        <v>7112000</v>
      </c>
      <c r="L1304" s="3" t="s">
        <v>276</v>
      </c>
      <c r="M1304" s="3" t="s">
        <v>5146</v>
      </c>
      <c r="N1304" s="3">
        <v>1317</v>
      </c>
      <c r="P1304" s="3" t="s">
        <v>5147</v>
      </c>
      <c r="Q1304" s="3" t="s">
        <v>2721</v>
      </c>
      <c r="R1304" s="3" t="s">
        <v>28</v>
      </c>
      <c r="S1304" s="3">
        <v>13506750</v>
      </c>
      <c r="T1304" s="3">
        <v>1935245327</v>
      </c>
      <c r="U1304" s="3" t="s">
        <v>29</v>
      </c>
    </row>
    <row r="1305" spans="1:21" ht="13.2" x14ac:dyDescent="0.25">
      <c r="A1305" s="14">
        <v>24107160000364</v>
      </c>
      <c r="B1305" s="15" t="str">
        <f t="shared" si="20"/>
        <v>24.107.160/0003-64</v>
      </c>
      <c r="C1305" s="12"/>
      <c r="D1305" s="3" t="s">
        <v>5148</v>
      </c>
      <c r="E1305" s="3" t="s">
        <v>5149</v>
      </c>
      <c r="F1305" s="3" t="s">
        <v>20</v>
      </c>
      <c r="G1305" s="4">
        <v>43483</v>
      </c>
      <c r="H1305" s="3" t="s">
        <v>21</v>
      </c>
      <c r="I1305" s="3" t="s">
        <v>33</v>
      </c>
      <c r="J1305" s="5">
        <v>300000</v>
      </c>
      <c r="K1305" s="3">
        <v>4711302</v>
      </c>
      <c r="L1305" s="3" t="s">
        <v>5150</v>
      </c>
      <c r="M1305" s="3" t="s">
        <v>5151</v>
      </c>
      <c r="N1305" s="3">
        <v>43</v>
      </c>
      <c r="P1305" s="3" t="s">
        <v>5152</v>
      </c>
      <c r="Q1305" s="3" t="s">
        <v>4555</v>
      </c>
      <c r="R1305" s="3" t="s">
        <v>187</v>
      </c>
      <c r="S1305" s="3">
        <v>84030070</v>
      </c>
      <c r="T1305" s="3">
        <v>4133462412</v>
      </c>
      <c r="U1305" s="3" t="s">
        <v>29</v>
      </c>
    </row>
    <row r="1306" spans="1:21" ht="13.2" x14ac:dyDescent="0.25">
      <c r="A1306" s="14">
        <v>12070562000190</v>
      </c>
      <c r="B1306" s="15" t="str">
        <f t="shared" si="20"/>
        <v>12.070.562/0001-90</v>
      </c>
      <c r="C1306" s="12"/>
      <c r="D1306" s="3" t="s">
        <v>5153</v>
      </c>
      <c r="E1306" s="3" t="s">
        <v>5154</v>
      </c>
      <c r="F1306" s="3" t="s">
        <v>20</v>
      </c>
      <c r="G1306" s="4">
        <v>40023</v>
      </c>
      <c r="H1306" s="3" t="s">
        <v>21</v>
      </c>
      <c r="I1306" s="3" t="s">
        <v>22</v>
      </c>
      <c r="J1306" s="5">
        <v>2000000</v>
      </c>
      <c r="K1306" s="3">
        <v>2229399</v>
      </c>
      <c r="L1306" s="3" t="s">
        <v>414</v>
      </c>
      <c r="M1306" s="3" t="s">
        <v>4764</v>
      </c>
      <c r="N1306" s="3" t="s">
        <v>5155</v>
      </c>
      <c r="O1306" s="3" t="s">
        <v>5156</v>
      </c>
      <c r="P1306" s="3" t="s">
        <v>1541</v>
      </c>
      <c r="Q1306" s="3" t="s">
        <v>688</v>
      </c>
      <c r="R1306" s="3" t="s">
        <v>28</v>
      </c>
      <c r="S1306" s="3">
        <v>6707050</v>
      </c>
      <c r="T1306" s="3">
        <v>1147032626</v>
      </c>
      <c r="U1306" s="3" t="s">
        <v>29</v>
      </c>
    </row>
    <row r="1307" spans="1:21" ht="13.2" x14ac:dyDescent="0.25">
      <c r="A1307" s="14">
        <v>50086453000150</v>
      </c>
      <c r="B1307" s="15" t="str">
        <f t="shared" si="20"/>
        <v>50.086.453/0001-50</v>
      </c>
      <c r="C1307" s="12" t="str">
        <f>VLOOKUP(B1307,[1]Planilha1!$A:$B,2,0)</f>
        <v>Malu Montesino</v>
      </c>
      <c r="D1307" s="3" t="s">
        <v>5157</v>
      </c>
      <c r="E1307" s="3" t="s">
        <v>5157</v>
      </c>
      <c r="F1307" s="3" t="s">
        <v>20</v>
      </c>
      <c r="G1307" s="4">
        <v>28842</v>
      </c>
      <c r="H1307" s="3" t="s">
        <v>21</v>
      </c>
      <c r="I1307" s="3" t="s">
        <v>33</v>
      </c>
      <c r="J1307" s="5">
        <v>24721052</v>
      </c>
      <c r="K1307" s="3">
        <v>4663000</v>
      </c>
      <c r="L1307" s="3" t="s">
        <v>128</v>
      </c>
      <c r="M1307" s="3" t="s">
        <v>5158</v>
      </c>
      <c r="N1307" s="3">
        <v>990</v>
      </c>
      <c r="O1307" s="3" t="s">
        <v>5159</v>
      </c>
      <c r="P1307" s="3" t="s">
        <v>4008</v>
      </c>
      <c r="Q1307" s="3" t="s">
        <v>59</v>
      </c>
      <c r="R1307" s="3" t="s">
        <v>28</v>
      </c>
      <c r="S1307" s="3">
        <v>13279452</v>
      </c>
      <c r="T1307" s="3">
        <v>1931145627</v>
      </c>
      <c r="U1307" s="3" t="s">
        <v>29</v>
      </c>
    </row>
    <row r="1308" spans="1:21" ht="13.2" x14ac:dyDescent="0.25">
      <c r="A1308" s="14">
        <v>20260776000158</v>
      </c>
      <c r="B1308" s="15" t="str">
        <f t="shared" si="20"/>
        <v>20.260.776/0001-58</v>
      </c>
      <c r="C1308" s="12" t="str">
        <f>VLOOKUP(B1308,[1]Planilha1!$A:$B,2,0)</f>
        <v>Malu Montesino</v>
      </c>
      <c r="D1308" s="3" t="s">
        <v>5160</v>
      </c>
      <c r="E1308" s="3" t="s">
        <v>5161</v>
      </c>
      <c r="F1308" s="3" t="s">
        <v>20</v>
      </c>
      <c r="G1308" s="4">
        <v>41695</v>
      </c>
      <c r="H1308" s="3" t="s">
        <v>21</v>
      </c>
      <c r="I1308" s="3" t="s">
        <v>47</v>
      </c>
      <c r="J1308" s="5">
        <v>1000000</v>
      </c>
      <c r="K1308" s="3">
        <v>4520003</v>
      </c>
      <c r="L1308" s="3" t="s">
        <v>5162</v>
      </c>
      <c r="M1308" s="3" t="s">
        <v>5163</v>
      </c>
      <c r="N1308" s="3">
        <v>320</v>
      </c>
      <c r="O1308" s="3" t="s">
        <v>5164</v>
      </c>
      <c r="P1308" s="3" t="s">
        <v>252</v>
      </c>
      <c r="Q1308" s="3" t="s">
        <v>253</v>
      </c>
      <c r="R1308" s="3" t="s">
        <v>78</v>
      </c>
      <c r="S1308" s="3">
        <v>22793170</v>
      </c>
      <c r="T1308" s="3">
        <v>2125866226</v>
      </c>
      <c r="U1308" s="3" t="s">
        <v>29</v>
      </c>
    </row>
    <row r="1309" spans="1:21" ht="13.2" x14ac:dyDescent="0.25">
      <c r="A1309" s="14">
        <v>54625819000173</v>
      </c>
      <c r="B1309" s="15" t="str">
        <f t="shared" si="20"/>
        <v>54.625.819/0001-73</v>
      </c>
      <c r="C1309" s="12" t="str">
        <f>VLOOKUP(B1309,[1]Planilha1!$A:$B,2,0)</f>
        <v>Malu Montesino</v>
      </c>
      <c r="D1309" s="3" t="s">
        <v>5165</v>
      </c>
      <c r="E1309" s="3" t="s">
        <v>5166</v>
      </c>
      <c r="F1309" s="3" t="s">
        <v>20</v>
      </c>
      <c r="G1309" s="4">
        <v>31265</v>
      </c>
      <c r="H1309" s="3" t="s">
        <v>21</v>
      </c>
      <c r="I1309" s="3" t="s">
        <v>33</v>
      </c>
      <c r="J1309" s="5">
        <v>588938430</v>
      </c>
      <c r="K1309" s="3">
        <v>8211300</v>
      </c>
      <c r="L1309" s="3" t="s">
        <v>166</v>
      </c>
      <c r="M1309" s="3" t="s">
        <v>5167</v>
      </c>
      <c r="N1309" s="7">
        <v>2061</v>
      </c>
      <c r="O1309" s="3" t="s">
        <v>5168</v>
      </c>
      <c r="P1309" s="3" t="s">
        <v>4008</v>
      </c>
      <c r="Q1309" s="3" t="s">
        <v>59</v>
      </c>
      <c r="R1309" s="3" t="s">
        <v>28</v>
      </c>
      <c r="S1309" s="3">
        <v>13279400</v>
      </c>
      <c r="T1309" s="3">
        <v>1938819634</v>
      </c>
      <c r="U1309" s="3" t="s">
        <v>29</v>
      </c>
    </row>
    <row r="1310" spans="1:21" ht="13.2" x14ac:dyDescent="0.25">
      <c r="A1310" s="14">
        <v>12615299000178</v>
      </c>
      <c r="B1310" s="15" t="str">
        <f t="shared" si="20"/>
        <v>12.615.299/0001-78</v>
      </c>
      <c r="C1310" s="12" t="str">
        <f>VLOOKUP(B1310,[1]Planilha1!$A:$B,2,0)</f>
        <v>Malu Montesino</v>
      </c>
      <c r="D1310" s="3" t="s">
        <v>5169</v>
      </c>
      <c r="E1310" s="3" t="s">
        <v>5169</v>
      </c>
      <c r="F1310" s="3" t="s">
        <v>20</v>
      </c>
      <c r="G1310" s="4">
        <v>40393</v>
      </c>
      <c r="H1310" s="3" t="s">
        <v>21</v>
      </c>
      <c r="I1310" s="3" t="s">
        <v>33</v>
      </c>
      <c r="J1310" s="5">
        <v>12000000</v>
      </c>
      <c r="K1310" s="3">
        <v>2812700</v>
      </c>
      <c r="L1310" s="3" t="s">
        <v>1534</v>
      </c>
      <c r="M1310" s="3" t="s">
        <v>5170</v>
      </c>
      <c r="N1310" s="3">
        <v>585</v>
      </c>
      <c r="P1310" s="3" t="s">
        <v>5171</v>
      </c>
      <c r="Q1310" s="3" t="s">
        <v>367</v>
      </c>
      <c r="R1310" s="3" t="s">
        <v>28</v>
      </c>
      <c r="S1310" s="3">
        <v>13413081</v>
      </c>
      <c r="T1310" s="3">
        <v>1934296800</v>
      </c>
      <c r="U1310" s="3" t="s">
        <v>29</v>
      </c>
    </row>
    <row r="1311" spans="1:21" ht="13.2" x14ac:dyDescent="0.25">
      <c r="A1311" s="14">
        <v>46138319000189</v>
      </c>
      <c r="B1311" s="15" t="str">
        <f t="shared" si="20"/>
        <v>46.138.319/0001-89</v>
      </c>
      <c r="C1311" s="12" t="str">
        <f>VLOOKUP(B1311,[1]Planilha1!$A:$B,2,0)</f>
        <v>Malu Montesino</v>
      </c>
      <c r="D1311" s="3" t="s">
        <v>5172</v>
      </c>
      <c r="E1311" s="3" t="s">
        <v>5172</v>
      </c>
      <c r="F1311" s="3" t="s">
        <v>20</v>
      </c>
      <c r="G1311" s="4">
        <v>27438</v>
      </c>
      <c r="H1311" s="3" t="s">
        <v>21</v>
      </c>
      <c r="I1311" s="3" t="s">
        <v>33</v>
      </c>
      <c r="J1311" s="5">
        <v>99106056</v>
      </c>
      <c r="K1311" s="3">
        <v>2812700</v>
      </c>
      <c r="L1311" s="3" t="s">
        <v>1534</v>
      </c>
      <c r="M1311" s="3" t="s">
        <v>5173</v>
      </c>
      <c r="N1311" s="3" t="s">
        <v>5174</v>
      </c>
      <c r="P1311" s="3" t="s">
        <v>153</v>
      </c>
      <c r="Q1311" s="3" t="s">
        <v>324</v>
      </c>
      <c r="R1311" s="3" t="s">
        <v>28</v>
      </c>
      <c r="S1311" s="3">
        <v>17034290</v>
      </c>
      <c r="T1311" s="3">
        <v>1440090000</v>
      </c>
      <c r="U1311" s="3" t="s">
        <v>29</v>
      </c>
    </row>
    <row r="1312" spans="1:21" ht="13.2" x14ac:dyDescent="0.25">
      <c r="A1312" s="14">
        <v>3007331000141</v>
      </c>
      <c r="B1312" s="15" t="str">
        <f t="shared" si="20"/>
        <v>03.007.331/0001-41</v>
      </c>
      <c r="C1312" s="12"/>
      <c r="D1312" s="3" t="s">
        <v>5175</v>
      </c>
      <c r="E1312" s="8" t="s">
        <v>5176</v>
      </c>
      <c r="F1312" s="3" t="s">
        <v>20</v>
      </c>
      <c r="G1312" s="4">
        <v>36203</v>
      </c>
      <c r="H1312" s="3" t="s">
        <v>21</v>
      </c>
      <c r="I1312" s="3" t="s">
        <v>33</v>
      </c>
      <c r="J1312" s="5">
        <v>1650558200</v>
      </c>
      <c r="K1312" s="3">
        <v>7490104</v>
      </c>
      <c r="L1312" s="3" t="s">
        <v>1597</v>
      </c>
      <c r="M1312" s="3" t="s">
        <v>5177</v>
      </c>
      <c r="N1312" s="3">
        <v>3003</v>
      </c>
      <c r="O1312" s="3" t="s">
        <v>5178</v>
      </c>
      <c r="P1312" s="3" t="s">
        <v>261</v>
      </c>
      <c r="Q1312" s="3" t="s">
        <v>262</v>
      </c>
      <c r="R1312" s="3" t="s">
        <v>28</v>
      </c>
      <c r="S1312" s="3">
        <v>6233903</v>
      </c>
      <c r="T1312" s="3">
        <v>1121212121</v>
      </c>
      <c r="U1312" s="3" t="s">
        <v>29</v>
      </c>
    </row>
    <row r="1313" spans="1:21" ht="13.2" x14ac:dyDescent="0.25">
      <c r="A1313" s="14">
        <v>56631781000177</v>
      </c>
      <c r="B1313" s="15" t="str">
        <f t="shared" si="20"/>
        <v>56.631.781/0001-77</v>
      </c>
      <c r="C1313" s="12"/>
      <c r="D1313" s="3" t="s">
        <v>5179</v>
      </c>
      <c r="E1313" s="3" t="s">
        <v>5179</v>
      </c>
      <c r="F1313" s="3" t="s">
        <v>20</v>
      </c>
      <c r="G1313" s="4">
        <v>31709</v>
      </c>
      <c r="H1313" s="3" t="s">
        <v>21</v>
      </c>
      <c r="I1313" s="3" t="s">
        <v>22</v>
      </c>
      <c r="J1313" s="5">
        <v>1250000</v>
      </c>
      <c r="K1313" s="3">
        <v>4120400</v>
      </c>
      <c r="L1313" s="3" t="s">
        <v>87</v>
      </c>
      <c r="M1313" s="3" t="s">
        <v>5180</v>
      </c>
      <c r="N1313" s="3">
        <v>805</v>
      </c>
      <c r="P1313" s="3" t="s">
        <v>5181</v>
      </c>
      <c r="Q1313" s="3" t="s">
        <v>524</v>
      </c>
      <c r="R1313" s="3" t="s">
        <v>28</v>
      </c>
      <c r="S1313" s="3">
        <v>14020520</v>
      </c>
      <c r="T1313" s="3">
        <v>1636326168</v>
      </c>
      <c r="U1313" s="3" t="s">
        <v>29</v>
      </c>
    </row>
    <row r="1314" spans="1:21" ht="13.2" x14ac:dyDescent="0.25">
      <c r="A1314" s="14">
        <v>51761351000156</v>
      </c>
      <c r="B1314" s="15" t="str">
        <f t="shared" si="20"/>
        <v>51.761.351/0001-56</v>
      </c>
      <c r="C1314" s="12"/>
      <c r="D1314" s="3" t="s">
        <v>5182</v>
      </c>
      <c r="E1314" s="3" t="s">
        <v>5182</v>
      </c>
      <c r="F1314" s="3" t="s">
        <v>20</v>
      </c>
      <c r="G1314" s="4">
        <v>29152</v>
      </c>
      <c r="H1314" s="3" t="s">
        <v>21</v>
      </c>
      <c r="I1314" s="3" t="s">
        <v>33</v>
      </c>
      <c r="J1314" s="5">
        <v>12510554</v>
      </c>
      <c r="K1314" s="3">
        <v>7119799</v>
      </c>
      <c r="L1314" s="3" t="s">
        <v>5183</v>
      </c>
      <c r="M1314" s="3" t="s">
        <v>308</v>
      </c>
      <c r="N1314" s="3">
        <v>14261</v>
      </c>
      <c r="O1314" s="3" t="s">
        <v>5184</v>
      </c>
      <c r="P1314" s="3" t="s">
        <v>310</v>
      </c>
      <c r="Q1314" s="3" t="s">
        <v>27</v>
      </c>
      <c r="R1314" s="3" t="s">
        <v>28</v>
      </c>
      <c r="S1314" s="3">
        <v>4794000</v>
      </c>
      <c r="T1314" s="3">
        <v>1155013781</v>
      </c>
      <c r="U1314" s="3" t="s">
        <v>29</v>
      </c>
    </row>
    <row r="1315" spans="1:21" ht="13.2" x14ac:dyDescent="0.25">
      <c r="A1315" s="14">
        <v>44770497000100</v>
      </c>
      <c r="B1315" s="15" t="str">
        <f t="shared" si="20"/>
        <v>44.770.497/0001-00</v>
      </c>
      <c r="C1315" s="12" t="str">
        <f>VLOOKUP(B1315,[1]Planilha1!$A:$B,2,0)</f>
        <v>Malu Montesino</v>
      </c>
      <c r="D1315" s="3" t="s">
        <v>5185</v>
      </c>
      <c r="E1315" s="3" t="s">
        <v>5185</v>
      </c>
      <c r="F1315" s="3" t="s">
        <v>20</v>
      </c>
      <c r="G1315" s="4">
        <v>44567</v>
      </c>
      <c r="H1315" s="3" t="s">
        <v>21</v>
      </c>
      <c r="I1315" s="3" t="s">
        <v>22</v>
      </c>
      <c r="J1315" s="5">
        <v>50000</v>
      </c>
      <c r="K1315" s="3">
        <v>4652400</v>
      </c>
      <c r="L1315" s="3" t="s">
        <v>1031</v>
      </c>
      <c r="M1315" s="3" t="s">
        <v>5186</v>
      </c>
      <c r="N1315" s="3">
        <v>830</v>
      </c>
      <c r="O1315" s="3" t="s">
        <v>5187</v>
      </c>
      <c r="P1315" s="3" t="s">
        <v>5188</v>
      </c>
      <c r="Q1315" s="3" t="s">
        <v>1339</v>
      </c>
      <c r="R1315" s="3" t="s">
        <v>456</v>
      </c>
      <c r="S1315" s="3">
        <v>51021310</v>
      </c>
      <c r="T1315" s="3">
        <v>8131271365</v>
      </c>
      <c r="U1315" s="3" t="s">
        <v>29</v>
      </c>
    </row>
    <row r="1316" spans="1:21" ht="13.2" x14ac:dyDescent="0.25">
      <c r="A1316" s="14">
        <v>16572376000100</v>
      </c>
      <c r="B1316" s="15" t="str">
        <f t="shared" si="20"/>
        <v>16.572.376/0001-00</v>
      </c>
      <c r="C1316" s="12"/>
      <c r="D1316" s="3" t="s">
        <v>5189</v>
      </c>
      <c r="E1316" s="3" t="s">
        <v>5190</v>
      </c>
      <c r="F1316" s="3" t="s">
        <v>20</v>
      </c>
      <c r="G1316" s="4">
        <v>40952</v>
      </c>
      <c r="H1316" s="3" t="s">
        <v>21</v>
      </c>
      <c r="I1316" s="3" t="s">
        <v>22</v>
      </c>
      <c r="J1316" s="5">
        <v>200000</v>
      </c>
      <c r="K1316" s="3">
        <v>8211300</v>
      </c>
      <c r="L1316" s="3" t="s">
        <v>166</v>
      </c>
      <c r="M1316" s="3" t="s">
        <v>5191</v>
      </c>
      <c r="N1316" s="3">
        <v>584</v>
      </c>
      <c r="P1316" s="3" t="s">
        <v>70</v>
      </c>
      <c r="Q1316" s="3" t="s">
        <v>673</v>
      </c>
      <c r="R1316" s="3" t="s">
        <v>28</v>
      </c>
      <c r="S1316" s="3">
        <v>13910005</v>
      </c>
      <c r="T1316" s="3">
        <v>1938523856</v>
      </c>
      <c r="U1316" s="3" t="s">
        <v>29</v>
      </c>
    </row>
    <row r="1317" spans="1:21" ht="13.2" x14ac:dyDescent="0.25">
      <c r="A1317" s="14">
        <v>10399398000134</v>
      </c>
      <c r="B1317" s="15" t="str">
        <f t="shared" si="20"/>
        <v>10.399.398/0001-34</v>
      </c>
      <c r="C1317" s="12" t="str">
        <f>VLOOKUP(B1317,[1]Planilha1!$A:$B,2,0)</f>
        <v>Malu Montesino</v>
      </c>
      <c r="D1317" s="3" t="s">
        <v>5192</v>
      </c>
      <c r="E1317" s="3" t="s">
        <v>5193</v>
      </c>
      <c r="F1317" s="3" t="s">
        <v>20</v>
      </c>
      <c r="G1317" s="4">
        <v>39717</v>
      </c>
      <c r="H1317" s="3" t="s">
        <v>21</v>
      </c>
      <c r="I1317" s="3" t="s">
        <v>33</v>
      </c>
      <c r="J1317" s="5">
        <v>80000</v>
      </c>
      <c r="K1317" s="3">
        <v>2710402</v>
      </c>
      <c r="L1317" s="3" t="s">
        <v>5194</v>
      </c>
      <c r="M1317" s="3" t="s">
        <v>5195</v>
      </c>
      <c r="N1317" s="3">
        <v>360</v>
      </c>
      <c r="P1317" s="3" t="s">
        <v>1465</v>
      </c>
      <c r="Q1317" s="3" t="s">
        <v>217</v>
      </c>
      <c r="R1317" s="3" t="s">
        <v>28</v>
      </c>
      <c r="S1317" s="3">
        <v>9895280</v>
      </c>
      <c r="T1317" s="3">
        <v>1143413570</v>
      </c>
      <c r="U1317" s="3" t="s">
        <v>29</v>
      </c>
    </row>
    <row r="1318" spans="1:21" ht="13.2" x14ac:dyDescent="0.25">
      <c r="A1318" s="14">
        <v>3090848000147</v>
      </c>
      <c r="B1318" s="15" t="str">
        <f t="shared" si="20"/>
        <v>03.090.848/0001-47</v>
      </c>
      <c r="C1318" s="12"/>
      <c r="D1318" s="3" t="s">
        <v>5196</v>
      </c>
      <c r="E1318" s="3" t="s">
        <v>5197</v>
      </c>
      <c r="F1318" s="3" t="s">
        <v>20</v>
      </c>
      <c r="G1318" s="4">
        <v>36259</v>
      </c>
      <c r="H1318" s="3" t="s">
        <v>21</v>
      </c>
      <c r="I1318" s="3" t="s">
        <v>22</v>
      </c>
      <c r="J1318" s="5">
        <v>0</v>
      </c>
      <c r="K1318" s="3">
        <v>2660400</v>
      </c>
      <c r="L1318" s="3" t="s">
        <v>953</v>
      </c>
      <c r="M1318" s="3" t="s">
        <v>5198</v>
      </c>
      <c r="N1318" s="3">
        <v>1854</v>
      </c>
      <c r="P1318" s="3" t="s">
        <v>5199</v>
      </c>
      <c r="Q1318" s="3" t="s">
        <v>524</v>
      </c>
      <c r="R1318" s="3" t="s">
        <v>28</v>
      </c>
      <c r="S1318" s="3">
        <v>14075270</v>
      </c>
      <c r="U1318" s="3" t="s">
        <v>29</v>
      </c>
    </row>
    <row r="1319" spans="1:21" ht="13.2" x14ac:dyDescent="0.25">
      <c r="A1319" s="14">
        <v>28849546000130</v>
      </c>
      <c r="B1319" s="15" t="str">
        <f t="shared" si="20"/>
        <v>28.849.546/0001-30</v>
      </c>
      <c r="C1319" s="12"/>
      <c r="D1319" s="3" t="s">
        <v>5200</v>
      </c>
      <c r="E1319" s="3" t="s">
        <v>5201</v>
      </c>
      <c r="F1319" s="3" t="s">
        <v>20</v>
      </c>
      <c r="G1319" s="4">
        <v>43021</v>
      </c>
      <c r="H1319" s="3" t="s">
        <v>21</v>
      </c>
      <c r="I1319" s="3" t="s">
        <v>22</v>
      </c>
      <c r="J1319" s="5">
        <v>93700</v>
      </c>
      <c r="K1319" s="3">
        <v>1811302</v>
      </c>
      <c r="L1319" s="3" t="s">
        <v>5202</v>
      </c>
      <c r="M1319" s="3" t="s">
        <v>5203</v>
      </c>
      <c r="N1319" s="3">
        <v>853</v>
      </c>
      <c r="P1319" s="3" t="s">
        <v>5204</v>
      </c>
      <c r="Q1319" s="3" t="s">
        <v>881</v>
      </c>
      <c r="R1319" s="3" t="s">
        <v>28</v>
      </c>
      <c r="S1319" s="3">
        <v>9310695</v>
      </c>
      <c r="T1319" s="3">
        <v>1145430715</v>
      </c>
      <c r="U1319" s="3" t="s">
        <v>29</v>
      </c>
    </row>
    <row r="1320" spans="1:21" ht="13.2" x14ac:dyDescent="0.25">
      <c r="A1320" s="14">
        <v>13852007000183</v>
      </c>
      <c r="B1320" s="15" t="str">
        <f t="shared" si="20"/>
        <v>13.852.007/0001-83</v>
      </c>
      <c r="C1320" s="12" t="str">
        <f>VLOOKUP(B1320,[1]Planilha1!$A:$B,2,0)</f>
        <v>Malu Montesino</v>
      </c>
      <c r="D1320" s="3" t="s">
        <v>5205</v>
      </c>
      <c r="E1320" s="3" t="s">
        <v>5205</v>
      </c>
      <c r="F1320" s="3" t="s">
        <v>20</v>
      </c>
      <c r="G1320" s="4">
        <v>40702</v>
      </c>
      <c r="H1320" s="3" t="s">
        <v>21</v>
      </c>
      <c r="I1320" s="3" t="s">
        <v>33</v>
      </c>
      <c r="J1320" s="5">
        <v>2000000</v>
      </c>
      <c r="K1320" s="3">
        <v>1354500</v>
      </c>
      <c r="L1320" s="3" t="s">
        <v>190</v>
      </c>
      <c r="M1320" s="3" t="s">
        <v>5206</v>
      </c>
      <c r="N1320" s="3">
        <v>129</v>
      </c>
      <c r="O1320" s="3" t="s">
        <v>427</v>
      </c>
      <c r="P1320" s="3" t="s">
        <v>5207</v>
      </c>
      <c r="Q1320" s="3" t="s">
        <v>37</v>
      </c>
      <c r="R1320" s="3" t="s">
        <v>28</v>
      </c>
      <c r="S1320" s="3">
        <v>13478801</v>
      </c>
      <c r="T1320" s="3">
        <v>1934693208</v>
      </c>
      <c r="U1320" s="3" t="s">
        <v>29</v>
      </c>
    </row>
    <row r="1321" spans="1:21" ht="13.2" x14ac:dyDescent="0.25">
      <c r="A1321" s="14">
        <v>24603882000148</v>
      </c>
      <c r="B1321" s="15" t="str">
        <f t="shared" si="20"/>
        <v>24.603.882/0001-48</v>
      </c>
      <c r="C1321" s="12"/>
      <c r="D1321" s="3" t="s">
        <v>5208</v>
      </c>
      <c r="E1321" s="3" t="s">
        <v>5209</v>
      </c>
      <c r="F1321" s="3" t="s">
        <v>20</v>
      </c>
      <c r="G1321" s="4">
        <v>42475</v>
      </c>
      <c r="H1321" s="3" t="s">
        <v>21</v>
      </c>
      <c r="I1321" s="3" t="s">
        <v>33</v>
      </c>
      <c r="J1321" s="5">
        <v>30000</v>
      </c>
      <c r="K1321" s="3">
        <v>4321500</v>
      </c>
      <c r="L1321" s="3" t="s">
        <v>964</v>
      </c>
      <c r="M1321" s="3" t="s">
        <v>5210</v>
      </c>
      <c r="N1321" s="3">
        <v>486</v>
      </c>
      <c r="O1321" s="3" t="s">
        <v>4848</v>
      </c>
      <c r="P1321" s="3" t="s">
        <v>5211</v>
      </c>
      <c r="Q1321" s="3" t="s">
        <v>27</v>
      </c>
      <c r="R1321" s="3" t="s">
        <v>28</v>
      </c>
      <c r="S1321" s="3">
        <v>4304000</v>
      </c>
      <c r="T1321" s="3">
        <v>1142219922</v>
      </c>
      <c r="U1321" s="3" t="s">
        <v>29</v>
      </c>
    </row>
    <row r="1322" spans="1:21" ht="13.2" x14ac:dyDescent="0.25">
      <c r="A1322" s="14">
        <v>536772000142</v>
      </c>
      <c r="B1322" s="15" t="str">
        <f t="shared" si="20"/>
        <v>00.536.772/0001-42</v>
      </c>
      <c r="C1322" s="12" t="str">
        <f>VLOOKUP(B1322,[1]Planilha1!$A:$B,2,0)</f>
        <v>Malu Montesino</v>
      </c>
      <c r="D1322" s="3" t="s">
        <v>5212</v>
      </c>
      <c r="E1322" s="3" t="s">
        <v>5212</v>
      </c>
      <c r="F1322" s="3" t="s">
        <v>20</v>
      </c>
      <c r="G1322" s="4">
        <v>34737</v>
      </c>
      <c r="H1322" s="3" t="s">
        <v>21</v>
      </c>
      <c r="I1322" s="3" t="s">
        <v>33</v>
      </c>
      <c r="J1322" s="5">
        <v>481606900</v>
      </c>
      <c r="K1322" s="3">
        <v>2061400</v>
      </c>
      <c r="L1322" s="3" t="s">
        <v>2791</v>
      </c>
      <c r="M1322" s="3" t="s">
        <v>5213</v>
      </c>
      <c r="N1322" s="7">
        <v>10933</v>
      </c>
      <c r="O1322" s="3" t="s">
        <v>5214</v>
      </c>
      <c r="P1322" s="3" t="s">
        <v>5215</v>
      </c>
      <c r="Q1322" s="3" t="s">
        <v>617</v>
      </c>
      <c r="R1322" s="3" t="s">
        <v>28</v>
      </c>
      <c r="S1322" s="3">
        <v>6422120</v>
      </c>
      <c r="T1322" s="3">
        <v>1121342754</v>
      </c>
      <c r="U1322" s="3" t="s">
        <v>29</v>
      </c>
    </row>
    <row r="1323" spans="1:21" ht="13.2" x14ac:dyDescent="0.25">
      <c r="A1323" s="14">
        <v>4486774000125</v>
      </c>
      <c r="B1323" s="15" t="str">
        <f t="shared" si="20"/>
        <v>04.486.774/0001-25</v>
      </c>
      <c r="C1323" s="12"/>
      <c r="D1323" s="3" t="s">
        <v>5216</v>
      </c>
      <c r="E1323" s="3" t="s">
        <v>5216</v>
      </c>
      <c r="F1323" s="3" t="s">
        <v>20</v>
      </c>
      <c r="G1323" s="4">
        <v>37047</v>
      </c>
      <c r="H1323" s="3" t="s">
        <v>21</v>
      </c>
      <c r="I1323" s="3" t="s">
        <v>22</v>
      </c>
      <c r="J1323" s="5">
        <v>350000</v>
      </c>
      <c r="K1323" s="3">
        <v>4684299</v>
      </c>
      <c r="L1323" s="3" t="s">
        <v>419</v>
      </c>
      <c r="M1323" s="3" t="s">
        <v>5217</v>
      </c>
      <c r="N1323" s="3">
        <v>64</v>
      </c>
      <c r="P1323" s="3" t="s">
        <v>5218</v>
      </c>
      <c r="Q1323" s="3" t="s">
        <v>211</v>
      </c>
      <c r="R1323" s="3" t="s">
        <v>187</v>
      </c>
      <c r="S1323" s="3">
        <v>85803730</v>
      </c>
      <c r="T1323" s="3">
        <v>4532246676</v>
      </c>
      <c r="U1323" s="3" t="s">
        <v>29</v>
      </c>
    </row>
    <row r="1324" spans="1:21" ht="13.2" x14ac:dyDescent="0.25">
      <c r="A1324" s="14">
        <v>73078131000165</v>
      </c>
      <c r="B1324" s="15" t="str">
        <f t="shared" si="20"/>
        <v>73.078.131/0001-65</v>
      </c>
      <c r="C1324" s="12"/>
      <c r="D1324" s="3" t="s">
        <v>5219</v>
      </c>
      <c r="E1324" s="3" t="s">
        <v>5220</v>
      </c>
      <c r="F1324" s="3" t="s">
        <v>20</v>
      </c>
      <c r="G1324" s="4">
        <v>34284</v>
      </c>
      <c r="H1324" s="3" t="s">
        <v>21</v>
      </c>
      <c r="I1324" s="3" t="s">
        <v>33</v>
      </c>
      <c r="J1324" s="5">
        <v>500000</v>
      </c>
      <c r="K1324" s="3">
        <v>4684201</v>
      </c>
      <c r="L1324" s="3" t="s">
        <v>5221</v>
      </c>
      <c r="M1324" s="3" t="s">
        <v>5222</v>
      </c>
      <c r="N1324" s="3">
        <v>124</v>
      </c>
      <c r="O1324" s="3" t="s">
        <v>5223</v>
      </c>
      <c r="P1324" s="3" t="s">
        <v>5224</v>
      </c>
      <c r="Q1324" s="3" t="s">
        <v>357</v>
      </c>
      <c r="R1324" s="3" t="s">
        <v>28</v>
      </c>
      <c r="S1324" s="3">
        <v>7140030</v>
      </c>
      <c r="T1324" s="3">
        <v>1120904200</v>
      </c>
      <c r="U1324" s="3" t="s">
        <v>29</v>
      </c>
    </row>
    <row r="1325" spans="1:21" ht="13.2" x14ac:dyDescent="0.25">
      <c r="A1325" s="14">
        <v>29992682000148</v>
      </c>
      <c r="B1325" s="15" t="str">
        <f t="shared" si="20"/>
        <v>29.992.682/0001-48</v>
      </c>
      <c r="C1325" s="12"/>
      <c r="D1325" s="3" t="s">
        <v>5225</v>
      </c>
      <c r="E1325" s="3" t="s">
        <v>5225</v>
      </c>
      <c r="F1325" s="3" t="s">
        <v>20</v>
      </c>
      <c r="G1325" s="4">
        <v>28747</v>
      </c>
      <c r="H1325" s="3" t="s">
        <v>21</v>
      </c>
      <c r="I1325" s="3" t="s">
        <v>33</v>
      </c>
      <c r="J1325" s="5">
        <v>2536000</v>
      </c>
      <c r="K1325" s="3">
        <v>4645101</v>
      </c>
      <c r="L1325" s="3" t="s">
        <v>135</v>
      </c>
      <c r="M1325" s="3" t="s">
        <v>5226</v>
      </c>
      <c r="N1325" s="3">
        <v>156</v>
      </c>
      <c r="O1325" s="3" t="s">
        <v>5227</v>
      </c>
      <c r="P1325" s="3" t="s">
        <v>3878</v>
      </c>
      <c r="Q1325" s="3" t="s">
        <v>253</v>
      </c>
      <c r="R1325" s="3" t="s">
        <v>78</v>
      </c>
      <c r="S1325" s="3">
        <v>20021040</v>
      </c>
      <c r="T1325" s="3">
        <v>2125581960</v>
      </c>
      <c r="U1325" s="3" t="s">
        <v>29</v>
      </c>
    </row>
    <row r="1326" spans="1:21" ht="13.2" x14ac:dyDescent="0.25">
      <c r="A1326" s="14">
        <v>15515215000112</v>
      </c>
      <c r="B1326" s="15" t="str">
        <f t="shared" si="20"/>
        <v>15.515.215/0001-12</v>
      </c>
      <c r="C1326" s="12"/>
      <c r="D1326" s="3" t="s">
        <v>5228</v>
      </c>
      <c r="E1326" s="3" t="s">
        <v>5229</v>
      </c>
      <c r="F1326" s="3" t="s">
        <v>20</v>
      </c>
      <c r="G1326" s="4">
        <v>41024</v>
      </c>
      <c r="H1326" s="3" t="s">
        <v>21</v>
      </c>
      <c r="I1326" s="3" t="s">
        <v>47</v>
      </c>
      <c r="J1326" s="5">
        <v>100000</v>
      </c>
      <c r="K1326" s="3">
        <v>4645101</v>
      </c>
      <c r="L1326" s="3" t="s">
        <v>135</v>
      </c>
      <c r="M1326" s="3" t="s">
        <v>5230</v>
      </c>
      <c r="N1326" s="3">
        <v>691</v>
      </c>
      <c r="P1326" s="3" t="s">
        <v>1064</v>
      </c>
      <c r="Q1326" s="3" t="s">
        <v>27</v>
      </c>
      <c r="R1326" s="3" t="s">
        <v>28</v>
      </c>
      <c r="S1326" s="3">
        <v>4111081</v>
      </c>
      <c r="T1326" s="3">
        <v>1137967000</v>
      </c>
      <c r="U1326" s="3" t="s">
        <v>29</v>
      </c>
    </row>
    <row r="1327" spans="1:21" ht="13.2" x14ac:dyDescent="0.25">
      <c r="A1327" s="14">
        <v>4149454000180</v>
      </c>
      <c r="B1327" s="15" t="str">
        <f t="shared" si="20"/>
        <v>04.149.454/0001-80</v>
      </c>
      <c r="C1327" s="12" t="str">
        <f>VLOOKUP(B1327,[1]Planilha1!$A:$B,2,0)</f>
        <v>Malu Montesino</v>
      </c>
      <c r="D1327" s="3" t="s">
        <v>5231</v>
      </c>
      <c r="E1327" s="3" t="s">
        <v>5231</v>
      </c>
      <c r="F1327" s="3" t="s">
        <v>20</v>
      </c>
      <c r="G1327" s="4">
        <v>36846</v>
      </c>
      <c r="H1327" s="3" t="s">
        <v>377</v>
      </c>
      <c r="I1327" s="3" t="s">
        <v>33</v>
      </c>
      <c r="J1327" s="5">
        <v>2101489400</v>
      </c>
      <c r="K1327" s="3">
        <v>6462000</v>
      </c>
      <c r="L1327" s="3" t="s">
        <v>250</v>
      </c>
      <c r="M1327" s="3" t="s">
        <v>3121</v>
      </c>
      <c r="N1327" s="7">
        <v>1510</v>
      </c>
      <c r="O1327" s="3" t="s">
        <v>5232</v>
      </c>
      <c r="P1327" s="3" t="s">
        <v>316</v>
      </c>
      <c r="Q1327" s="3" t="s">
        <v>27</v>
      </c>
      <c r="R1327" s="3" t="s">
        <v>28</v>
      </c>
      <c r="S1327" s="3">
        <v>4547005</v>
      </c>
      <c r="T1327" s="3">
        <v>1143596000</v>
      </c>
      <c r="U1327" s="3" t="s">
        <v>29</v>
      </c>
    </row>
    <row r="1328" spans="1:21" ht="13.2" x14ac:dyDescent="0.25">
      <c r="A1328" s="14">
        <v>3797748000155</v>
      </c>
      <c r="B1328" s="15" t="str">
        <f t="shared" si="20"/>
        <v>03.797.748/0001-55</v>
      </c>
      <c r="C1328" s="12" t="str">
        <f>VLOOKUP(B1328,[1]Planilha1!$A:$B,2,0)</f>
        <v>Malu Montesino</v>
      </c>
      <c r="D1328" s="3" t="s">
        <v>5233</v>
      </c>
      <c r="E1328" s="3" t="s">
        <v>5234</v>
      </c>
      <c r="F1328" s="3" t="s">
        <v>20</v>
      </c>
      <c r="G1328" s="4">
        <v>36545</v>
      </c>
      <c r="H1328" s="3" t="s">
        <v>21</v>
      </c>
      <c r="I1328" s="3" t="s">
        <v>33</v>
      </c>
      <c r="J1328" s="5">
        <v>15000000</v>
      </c>
      <c r="K1328" s="3">
        <v>2825900</v>
      </c>
      <c r="L1328" s="3" t="s">
        <v>345</v>
      </c>
      <c r="M1328" s="3" t="s">
        <v>5235</v>
      </c>
      <c r="N1328" s="3">
        <v>420</v>
      </c>
      <c r="O1328" s="3" t="s">
        <v>5236</v>
      </c>
      <c r="P1328" s="3" t="s">
        <v>1409</v>
      </c>
      <c r="Q1328" s="3" t="s">
        <v>1410</v>
      </c>
      <c r="R1328" s="3" t="s">
        <v>28</v>
      </c>
      <c r="S1328" s="3">
        <v>9090521</v>
      </c>
      <c r="T1328" s="3">
        <v>1134683800</v>
      </c>
      <c r="U1328" s="3" t="s">
        <v>29</v>
      </c>
    </row>
    <row r="1329" spans="1:21" ht="13.2" x14ac:dyDescent="0.25">
      <c r="A1329" s="14">
        <v>33510452000172</v>
      </c>
      <c r="B1329" s="15" t="str">
        <f t="shared" si="20"/>
        <v>33.510.452/0001-72</v>
      </c>
      <c r="C1329" s="12"/>
      <c r="D1329" s="3" t="s">
        <v>5237</v>
      </c>
      <c r="E1329" s="3" t="s">
        <v>5238</v>
      </c>
      <c r="F1329" s="3" t="s">
        <v>20</v>
      </c>
      <c r="G1329" s="4">
        <v>43587</v>
      </c>
      <c r="H1329" s="3" t="s">
        <v>21</v>
      </c>
      <c r="I1329" s="3" t="s">
        <v>33</v>
      </c>
      <c r="J1329" s="5">
        <v>100000</v>
      </c>
      <c r="K1329" s="3">
        <v>7112000</v>
      </c>
      <c r="L1329" s="3" t="s">
        <v>276</v>
      </c>
      <c r="M1329" s="3" t="s">
        <v>5239</v>
      </c>
      <c r="N1329" s="3">
        <v>316</v>
      </c>
      <c r="P1329" s="3" t="s">
        <v>5240</v>
      </c>
      <c r="Q1329" s="3" t="s">
        <v>27</v>
      </c>
      <c r="R1329" s="3" t="s">
        <v>28</v>
      </c>
      <c r="S1329" s="3">
        <v>5307190</v>
      </c>
      <c r="T1329" s="3">
        <v>1138379107</v>
      </c>
      <c r="U1329" s="3" t="s">
        <v>29</v>
      </c>
    </row>
    <row r="1330" spans="1:21" ht="13.2" x14ac:dyDescent="0.25">
      <c r="A1330" s="14">
        <v>7037123000146</v>
      </c>
      <c r="B1330" s="15" t="str">
        <f t="shared" si="20"/>
        <v>07.037.123/0001-46</v>
      </c>
      <c r="C1330" s="12"/>
      <c r="D1330" s="3" t="s">
        <v>5241</v>
      </c>
      <c r="E1330" s="3" t="s">
        <v>5241</v>
      </c>
      <c r="F1330" s="3" t="s">
        <v>20</v>
      </c>
      <c r="G1330" s="4">
        <v>38266</v>
      </c>
      <c r="H1330" s="3" t="s">
        <v>94</v>
      </c>
      <c r="I1330" s="3" t="s">
        <v>33</v>
      </c>
      <c r="J1330" s="5">
        <v>0</v>
      </c>
      <c r="K1330" s="3">
        <v>3811400</v>
      </c>
      <c r="L1330" s="3" t="s">
        <v>1243</v>
      </c>
      <c r="M1330" s="3" t="s">
        <v>5242</v>
      </c>
      <c r="N1330" s="3">
        <v>117</v>
      </c>
      <c r="O1330" s="3" t="s">
        <v>5243</v>
      </c>
      <c r="P1330" s="3" t="s">
        <v>5244</v>
      </c>
      <c r="Q1330" s="3" t="s">
        <v>27</v>
      </c>
      <c r="R1330" s="3" t="s">
        <v>28</v>
      </c>
      <c r="S1330" s="3">
        <v>5781320</v>
      </c>
      <c r="T1330" s="3">
        <v>1155123200</v>
      </c>
      <c r="U1330" s="3" t="s">
        <v>29</v>
      </c>
    </row>
    <row r="1331" spans="1:21" ht="13.2" x14ac:dyDescent="0.25">
      <c r="A1331" s="14">
        <v>5257192000130</v>
      </c>
      <c r="B1331" s="15" t="str">
        <f t="shared" si="20"/>
        <v>05.257.192/0001-30</v>
      </c>
      <c r="C1331" s="12" t="str">
        <f>VLOOKUP(B1331,[1]Planilha1!$A:$B,2,0)</f>
        <v>Malu Montesino</v>
      </c>
      <c r="D1331" s="3" t="s">
        <v>5245</v>
      </c>
      <c r="E1331" s="3" t="s">
        <v>5245</v>
      </c>
      <c r="F1331" s="3" t="s">
        <v>20</v>
      </c>
      <c r="G1331" s="4">
        <v>37476</v>
      </c>
      <c r="H1331" s="3" t="s">
        <v>94</v>
      </c>
      <c r="I1331" s="3" t="s">
        <v>33</v>
      </c>
      <c r="J1331" s="5">
        <v>40000</v>
      </c>
      <c r="K1331" s="3">
        <v>2825900</v>
      </c>
      <c r="L1331" s="3" t="s">
        <v>345</v>
      </c>
      <c r="M1331" s="3" t="s">
        <v>5246</v>
      </c>
      <c r="N1331" s="3">
        <v>1803</v>
      </c>
      <c r="P1331" s="3" t="s">
        <v>5247</v>
      </c>
      <c r="Q1331" s="3" t="s">
        <v>423</v>
      </c>
      <c r="R1331" s="3" t="s">
        <v>91</v>
      </c>
      <c r="S1331" s="3">
        <v>89219504</v>
      </c>
      <c r="T1331" s="3">
        <v>4730331200</v>
      </c>
      <c r="U1331" s="3" t="s">
        <v>29</v>
      </c>
    </row>
    <row r="1332" spans="1:21" ht="13.2" x14ac:dyDescent="0.25">
      <c r="A1332" s="14">
        <v>566472000106</v>
      </c>
      <c r="B1332" s="15" t="str">
        <f t="shared" si="20"/>
        <v>00.566.472/0001-06</v>
      </c>
      <c r="C1332" s="12"/>
      <c r="D1332" s="3" t="s">
        <v>5248</v>
      </c>
      <c r="E1332" s="3" t="s">
        <v>5248</v>
      </c>
      <c r="F1332" s="3" t="s">
        <v>20</v>
      </c>
      <c r="G1332" s="4">
        <v>34813</v>
      </c>
      <c r="H1332" s="3" t="s">
        <v>21</v>
      </c>
      <c r="I1332" s="3" t="s">
        <v>22</v>
      </c>
      <c r="J1332" s="5">
        <v>202500</v>
      </c>
      <c r="K1332" s="3">
        <v>4712100</v>
      </c>
      <c r="L1332" s="3" t="s">
        <v>3264</v>
      </c>
      <c r="M1332" s="3" t="s">
        <v>5249</v>
      </c>
      <c r="N1332" s="3">
        <v>196</v>
      </c>
      <c r="O1332" s="3" t="s">
        <v>5250</v>
      </c>
      <c r="P1332" s="3" t="s">
        <v>5251</v>
      </c>
      <c r="Q1332" s="3" t="s">
        <v>122</v>
      </c>
      <c r="R1332" s="3" t="s">
        <v>91</v>
      </c>
      <c r="S1332" s="3">
        <v>89900000</v>
      </c>
      <c r="T1332" s="3">
        <v>4936221398</v>
      </c>
      <c r="U1332" s="3" t="s">
        <v>29</v>
      </c>
    </row>
    <row r="1333" spans="1:21" ht="13.2" x14ac:dyDescent="0.25">
      <c r="A1333" s="14">
        <v>11380978000142</v>
      </c>
      <c r="B1333" s="15" t="str">
        <f t="shared" si="20"/>
        <v>11.380.978/0001-42</v>
      </c>
      <c r="C1333" s="12"/>
      <c r="D1333" s="3" t="s">
        <v>5252</v>
      </c>
      <c r="E1333" s="3" t="s">
        <v>5253</v>
      </c>
      <c r="F1333" s="3" t="s">
        <v>20</v>
      </c>
      <c r="G1333" s="4">
        <v>40144</v>
      </c>
      <c r="H1333" s="3" t="s">
        <v>94</v>
      </c>
      <c r="I1333" s="3" t="s">
        <v>33</v>
      </c>
      <c r="J1333" s="5">
        <v>500000</v>
      </c>
      <c r="K1333" s="3">
        <v>7112000</v>
      </c>
      <c r="L1333" s="3" t="s">
        <v>276</v>
      </c>
      <c r="M1333" s="3" t="s">
        <v>246</v>
      </c>
      <c r="N1333" s="3">
        <v>1374</v>
      </c>
      <c r="O1333" s="3" t="s">
        <v>5254</v>
      </c>
      <c r="P1333" s="3" t="s">
        <v>248</v>
      </c>
      <c r="Q1333" s="3" t="s">
        <v>27</v>
      </c>
      <c r="R1333" s="3" t="s">
        <v>28</v>
      </c>
      <c r="S1333" s="3">
        <v>1310916</v>
      </c>
      <c r="T1333" s="3">
        <v>1155097151</v>
      </c>
      <c r="U1333" s="3" t="s">
        <v>29</v>
      </c>
    </row>
    <row r="1334" spans="1:21" ht="13.2" x14ac:dyDescent="0.25">
      <c r="A1334" s="14">
        <v>9519881000126</v>
      </c>
      <c r="B1334" s="15" t="str">
        <f t="shared" si="20"/>
        <v>09.519.881/0001-26</v>
      </c>
      <c r="C1334" s="12"/>
      <c r="D1334" s="3" t="s">
        <v>5255</v>
      </c>
      <c r="E1334" s="3" t="s">
        <v>5256</v>
      </c>
      <c r="F1334" s="3" t="s">
        <v>20</v>
      </c>
      <c r="G1334" s="4">
        <v>39563</v>
      </c>
      <c r="H1334" s="3" t="s">
        <v>21</v>
      </c>
      <c r="I1334" s="3" t="s">
        <v>33</v>
      </c>
      <c r="J1334" s="5">
        <v>10000</v>
      </c>
      <c r="K1334" s="3">
        <v>4646001</v>
      </c>
      <c r="L1334" s="3" t="s">
        <v>5257</v>
      </c>
      <c r="M1334" s="3" t="s">
        <v>5258</v>
      </c>
      <c r="N1334" s="3">
        <v>1217</v>
      </c>
      <c r="O1334" s="3" t="s">
        <v>5259</v>
      </c>
      <c r="P1334" s="3" t="s">
        <v>5260</v>
      </c>
      <c r="Q1334" s="3" t="s">
        <v>27</v>
      </c>
      <c r="R1334" s="3" t="s">
        <v>28</v>
      </c>
      <c r="S1334" s="3">
        <v>4089014</v>
      </c>
      <c r="T1334" s="3">
        <v>1125388588</v>
      </c>
      <c r="U1334" s="3" t="s">
        <v>29</v>
      </c>
    </row>
    <row r="1335" spans="1:21" ht="13.2" x14ac:dyDescent="0.25">
      <c r="A1335" s="14">
        <v>24313762000106</v>
      </c>
      <c r="B1335" s="15" t="str">
        <f t="shared" si="20"/>
        <v>24.313.762/0001-06</v>
      </c>
      <c r="C1335" s="12"/>
      <c r="D1335" s="3" t="s">
        <v>5261</v>
      </c>
      <c r="E1335" s="3" t="s">
        <v>5262</v>
      </c>
      <c r="F1335" s="3" t="s">
        <v>20</v>
      </c>
      <c r="G1335" s="4">
        <v>42433</v>
      </c>
      <c r="H1335" s="3" t="s">
        <v>46</v>
      </c>
      <c r="I1335" s="3" t="s">
        <v>47</v>
      </c>
      <c r="J1335" s="5">
        <v>30000</v>
      </c>
      <c r="K1335" s="3">
        <v>4645101</v>
      </c>
      <c r="L1335" s="3" t="s">
        <v>135</v>
      </c>
      <c r="M1335" s="3" t="s">
        <v>5263</v>
      </c>
      <c r="N1335" s="3" t="s">
        <v>111</v>
      </c>
      <c r="O1335" s="3" t="s">
        <v>5264</v>
      </c>
      <c r="P1335" s="3" t="s">
        <v>4285</v>
      </c>
      <c r="Q1335" s="3" t="s">
        <v>631</v>
      </c>
      <c r="R1335" s="3" t="s">
        <v>632</v>
      </c>
      <c r="S1335" s="3">
        <v>72010110</v>
      </c>
      <c r="T1335" s="3">
        <v>6181048789</v>
      </c>
      <c r="U1335" s="3" t="s">
        <v>29</v>
      </c>
    </row>
    <row r="1336" spans="1:21" ht="13.2" x14ac:dyDescent="0.25">
      <c r="A1336" s="14">
        <v>42169508000168</v>
      </c>
      <c r="B1336" s="15" t="str">
        <f t="shared" si="20"/>
        <v>42.169.508/0001-68</v>
      </c>
      <c r="C1336" s="12"/>
      <c r="D1336" s="3" t="s">
        <v>5265</v>
      </c>
      <c r="E1336" s="3" t="s">
        <v>5265</v>
      </c>
      <c r="F1336" s="3" t="s">
        <v>20</v>
      </c>
      <c r="G1336" s="4">
        <v>26591</v>
      </c>
      <c r="H1336" s="3" t="s">
        <v>94</v>
      </c>
      <c r="I1336" s="3" t="s">
        <v>33</v>
      </c>
      <c r="J1336" s="5">
        <v>1689377500</v>
      </c>
      <c r="K1336" s="3">
        <v>6462000</v>
      </c>
      <c r="L1336" s="3" t="s">
        <v>250</v>
      </c>
      <c r="M1336" s="3" t="s">
        <v>2281</v>
      </c>
      <c r="N1336" s="3">
        <v>7815</v>
      </c>
      <c r="O1336" s="3" t="s">
        <v>5266</v>
      </c>
      <c r="P1336" s="3" t="s">
        <v>1740</v>
      </c>
      <c r="Q1336" s="3" t="s">
        <v>27</v>
      </c>
      <c r="R1336" s="3" t="s">
        <v>28</v>
      </c>
      <c r="S1336" s="3">
        <v>5425905</v>
      </c>
      <c r="T1336" s="3">
        <v>1130664000</v>
      </c>
      <c r="U1336" s="3" t="s">
        <v>29</v>
      </c>
    </row>
    <row r="1337" spans="1:21" ht="13.2" x14ac:dyDescent="0.25">
      <c r="A1337" s="14">
        <v>11108001000170</v>
      </c>
      <c r="B1337" s="15" t="str">
        <f t="shared" si="20"/>
        <v>11.108.001/0001-70</v>
      </c>
      <c r="C1337" s="12"/>
      <c r="D1337" s="3" t="s">
        <v>5267</v>
      </c>
      <c r="E1337" s="3" t="s">
        <v>5268</v>
      </c>
      <c r="F1337" s="3" t="s">
        <v>20</v>
      </c>
      <c r="G1337" s="4">
        <v>40056</v>
      </c>
      <c r="H1337" s="3" t="s">
        <v>21</v>
      </c>
      <c r="I1337" s="3" t="s">
        <v>22</v>
      </c>
      <c r="J1337" s="5">
        <v>400000</v>
      </c>
      <c r="K1337" s="3">
        <v>8121400</v>
      </c>
      <c r="L1337" s="3" t="s">
        <v>494</v>
      </c>
      <c r="M1337" s="3" t="s">
        <v>5269</v>
      </c>
      <c r="N1337" s="3" t="s">
        <v>82</v>
      </c>
      <c r="P1337" s="3" t="s">
        <v>5270</v>
      </c>
      <c r="Q1337" s="3" t="s">
        <v>631</v>
      </c>
      <c r="R1337" s="3" t="s">
        <v>632</v>
      </c>
      <c r="S1337" s="3">
        <v>71551212</v>
      </c>
      <c r="T1337" s="3">
        <v>6196669733</v>
      </c>
      <c r="U1337" s="3" t="s">
        <v>29</v>
      </c>
    </row>
    <row r="1338" spans="1:21" ht="13.2" x14ac:dyDescent="0.25">
      <c r="A1338" s="14">
        <v>55789390000112</v>
      </c>
      <c r="B1338" s="15" t="str">
        <f t="shared" si="20"/>
        <v>55.789.390/0001-12</v>
      </c>
      <c r="C1338" s="12"/>
      <c r="D1338" s="3" t="s">
        <v>5271</v>
      </c>
      <c r="E1338" s="3" t="s">
        <v>5271</v>
      </c>
      <c r="F1338" s="3" t="s">
        <v>20</v>
      </c>
      <c r="G1338" s="4">
        <v>31561</v>
      </c>
      <c r="H1338" s="3" t="s">
        <v>94</v>
      </c>
      <c r="I1338" s="3" t="s">
        <v>33</v>
      </c>
      <c r="J1338" s="5">
        <v>147493280</v>
      </c>
      <c r="K1338" s="3">
        <v>5811500</v>
      </c>
      <c r="L1338" s="3" t="s">
        <v>5272</v>
      </c>
      <c r="M1338" s="3" t="s">
        <v>5273</v>
      </c>
      <c r="N1338" s="3">
        <v>702</v>
      </c>
      <c r="O1338" s="3" t="s">
        <v>5274</v>
      </c>
      <c r="P1338" s="3" t="s">
        <v>1230</v>
      </c>
      <c r="Q1338" s="3" t="s">
        <v>27</v>
      </c>
      <c r="R1338" s="3" t="s">
        <v>28</v>
      </c>
      <c r="S1338" s="3">
        <v>4532002</v>
      </c>
      <c r="T1338" s="3">
        <v>1137073500</v>
      </c>
      <c r="U1338" s="3" t="s">
        <v>29</v>
      </c>
    </row>
    <row r="1339" spans="1:21" ht="13.2" x14ac:dyDescent="0.25">
      <c r="A1339" s="14">
        <v>5905964000100</v>
      </c>
      <c r="B1339" s="15" t="str">
        <f t="shared" si="20"/>
        <v>05.905.964/0001-00</v>
      </c>
      <c r="C1339" s="12"/>
      <c r="D1339" s="3" t="s">
        <v>5275</v>
      </c>
      <c r="E1339" s="3" t="s">
        <v>5276</v>
      </c>
      <c r="F1339" s="3" t="s">
        <v>20</v>
      </c>
      <c r="G1339" s="4">
        <v>37886</v>
      </c>
      <c r="H1339" s="3" t="s">
        <v>46</v>
      </c>
      <c r="I1339" s="3" t="s">
        <v>47</v>
      </c>
      <c r="J1339" s="5">
        <v>0</v>
      </c>
      <c r="K1339" s="3">
        <v>8122200</v>
      </c>
      <c r="L1339" s="3" t="s">
        <v>2910</v>
      </c>
      <c r="M1339" s="3" t="s">
        <v>5277</v>
      </c>
      <c r="N1339" s="3">
        <v>133</v>
      </c>
      <c r="P1339" s="3" t="s">
        <v>5278</v>
      </c>
      <c r="Q1339" s="3" t="s">
        <v>1284</v>
      </c>
      <c r="R1339" s="3" t="s">
        <v>28</v>
      </c>
      <c r="S1339" s="3">
        <v>6757220</v>
      </c>
      <c r="T1339" s="3">
        <v>1147864300</v>
      </c>
      <c r="U1339" s="3" t="s">
        <v>29</v>
      </c>
    </row>
    <row r="1340" spans="1:21" ht="13.2" x14ac:dyDescent="0.25">
      <c r="A1340" s="14">
        <v>3983431000103</v>
      </c>
      <c r="B1340" s="15" t="str">
        <f t="shared" si="20"/>
        <v>03.983.431/0001-03</v>
      </c>
      <c r="C1340" s="12"/>
      <c r="D1340" s="3" t="s">
        <v>5279</v>
      </c>
      <c r="E1340" s="3" t="s">
        <v>5280</v>
      </c>
      <c r="F1340" s="3" t="s">
        <v>20</v>
      </c>
      <c r="G1340" s="4">
        <v>36731</v>
      </c>
      <c r="H1340" s="3" t="s">
        <v>94</v>
      </c>
      <c r="I1340" s="3" t="s">
        <v>33</v>
      </c>
      <c r="J1340" s="5">
        <v>6002716000</v>
      </c>
      <c r="K1340" s="3">
        <v>6462000</v>
      </c>
      <c r="L1340" s="3" t="s">
        <v>250</v>
      </c>
      <c r="M1340" s="3" t="s">
        <v>2884</v>
      </c>
      <c r="N1340" s="3">
        <v>111</v>
      </c>
      <c r="O1340" s="3" t="s">
        <v>5281</v>
      </c>
      <c r="P1340" s="3" t="s">
        <v>1492</v>
      </c>
      <c r="Q1340" s="3" t="s">
        <v>27</v>
      </c>
      <c r="R1340" s="3" t="s">
        <v>28</v>
      </c>
      <c r="S1340" s="3">
        <v>5069900</v>
      </c>
      <c r="T1340" s="3">
        <v>1121855199</v>
      </c>
      <c r="U1340" s="3" t="s">
        <v>29</v>
      </c>
    </row>
    <row r="1341" spans="1:21" ht="13.2" x14ac:dyDescent="0.25">
      <c r="A1341" s="14">
        <v>28152650000171</v>
      </c>
      <c r="B1341" s="15" t="str">
        <f t="shared" si="20"/>
        <v>28.152.650/0001-71</v>
      </c>
      <c r="C1341" s="12"/>
      <c r="D1341" s="3" t="s">
        <v>5282</v>
      </c>
      <c r="E1341" s="3" t="s">
        <v>5283</v>
      </c>
      <c r="F1341" s="3" t="s">
        <v>20</v>
      </c>
      <c r="G1341" s="4">
        <v>25029</v>
      </c>
      <c r="H1341" s="3" t="s">
        <v>377</v>
      </c>
      <c r="I1341" s="3" t="s">
        <v>33</v>
      </c>
      <c r="J1341" s="5">
        <v>893995800</v>
      </c>
      <c r="K1341" s="3">
        <v>3514000</v>
      </c>
      <c r="L1341" s="3" t="s">
        <v>3329</v>
      </c>
      <c r="M1341" s="3" t="s">
        <v>5284</v>
      </c>
      <c r="N1341" s="3">
        <v>80</v>
      </c>
      <c r="O1341" s="3" t="s">
        <v>835</v>
      </c>
      <c r="P1341" s="3" t="s">
        <v>1252</v>
      </c>
      <c r="Q1341" s="3" t="s">
        <v>1253</v>
      </c>
      <c r="R1341" s="3" t="s">
        <v>765</v>
      </c>
      <c r="S1341" s="3">
        <v>29050310</v>
      </c>
      <c r="T1341" s="3">
        <v>1121855199</v>
      </c>
      <c r="U1341" s="3" t="s">
        <v>29</v>
      </c>
    </row>
    <row r="1342" spans="1:21" ht="13.2" x14ac:dyDescent="0.25">
      <c r="A1342" s="14">
        <v>2302100000106</v>
      </c>
      <c r="B1342" s="15" t="str">
        <f t="shared" si="20"/>
        <v>02.302.100/0001-06</v>
      </c>
      <c r="C1342" s="12"/>
      <c r="D1342" s="3" t="s">
        <v>5285</v>
      </c>
      <c r="E1342" s="3" t="s">
        <v>5286</v>
      </c>
      <c r="F1342" s="3" t="s">
        <v>20</v>
      </c>
      <c r="G1342" s="4">
        <v>35786</v>
      </c>
      <c r="H1342" s="3" t="s">
        <v>377</v>
      </c>
      <c r="I1342" s="3" t="s">
        <v>33</v>
      </c>
      <c r="J1342" s="5">
        <v>596669100</v>
      </c>
      <c r="K1342" s="3">
        <v>3514000</v>
      </c>
      <c r="L1342" s="3" t="s">
        <v>3329</v>
      </c>
      <c r="M1342" s="3" t="s">
        <v>2884</v>
      </c>
      <c r="N1342" s="3">
        <v>111</v>
      </c>
      <c r="O1342" s="3" t="s">
        <v>5287</v>
      </c>
      <c r="P1342" s="3" t="s">
        <v>1492</v>
      </c>
      <c r="Q1342" s="3" t="s">
        <v>27</v>
      </c>
      <c r="R1342" s="3" t="s">
        <v>28</v>
      </c>
      <c r="S1342" s="3">
        <v>5069900</v>
      </c>
      <c r="T1342" s="3">
        <v>1121855199</v>
      </c>
      <c r="U1342" s="3" t="s">
        <v>29</v>
      </c>
    </row>
    <row r="1343" spans="1:21" ht="13.2" x14ac:dyDescent="0.25">
      <c r="A1343" s="14">
        <v>4508943000180</v>
      </c>
      <c r="B1343" s="15" t="str">
        <f t="shared" si="20"/>
        <v>04.508.943/0001-80</v>
      </c>
      <c r="C1343" s="12"/>
      <c r="D1343" s="3" t="s">
        <v>5288</v>
      </c>
      <c r="E1343" s="3" t="s">
        <v>5289</v>
      </c>
      <c r="F1343" s="3" t="s">
        <v>31</v>
      </c>
      <c r="G1343" s="4">
        <v>37047</v>
      </c>
      <c r="H1343" s="3" t="s">
        <v>46</v>
      </c>
      <c r="I1343" s="3" t="s">
        <v>47</v>
      </c>
      <c r="J1343" s="5">
        <v>0</v>
      </c>
      <c r="K1343" s="3">
        <v>4744005</v>
      </c>
      <c r="L1343" s="3" t="s">
        <v>1483</v>
      </c>
      <c r="M1343" s="3" t="s">
        <v>5290</v>
      </c>
      <c r="N1343" s="3">
        <v>269</v>
      </c>
      <c r="O1343" s="3" t="s">
        <v>5291</v>
      </c>
      <c r="P1343" s="3" t="s">
        <v>70</v>
      </c>
      <c r="Q1343" s="3" t="s">
        <v>5292</v>
      </c>
      <c r="R1343" s="3" t="s">
        <v>1887</v>
      </c>
      <c r="S1343" s="3">
        <v>77870000</v>
      </c>
      <c r="T1343" s="3">
        <v>634481432</v>
      </c>
      <c r="U1343" s="3" t="s">
        <v>29</v>
      </c>
    </row>
    <row r="1344" spans="1:21" ht="13.2" x14ac:dyDescent="0.25">
      <c r="A1344" s="14">
        <v>19233237000140</v>
      </c>
      <c r="B1344" s="15" t="str">
        <f t="shared" si="20"/>
        <v>19.233.237/0001-40</v>
      </c>
      <c r="C1344" s="12"/>
      <c r="D1344" s="3" t="s">
        <v>5293</v>
      </c>
      <c r="E1344" s="3" t="s">
        <v>5293</v>
      </c>
      <c r="F1344" s="3" t="s">
        <v>31</v>
      </c>
      <c r="G1344" s="4">
        <v>41589</v>
      </c>
      <c r="H1344" s="3" t="s">
        <v>21</v>
      </c>
      <c r="I1344" s="3" t="s">
        <v>47</v>
      </c>
      <c r="J1344" s="5">
        <v>10000</v>
      </c>
      <c r="K1344" s="3">
        <v>5811500</v>
      </c>
      <c r="L1344" s="3" t="s">
        <v>5272</v>
      </c>
      <c r="M1344" s="3" t="s">
        <v>5294</v>
      </c>
      <c r="N1344" s="3" t="s">
        <v>5295</v>
      </c>
      <c r="O1344" s="3" t="s">
        <v>3014</v>
      </c>
      <c r="P1344" s="3" t="s">
        <v>5296</v>
      </c>
      <c r="Q1344" s="3" t="s">
        <v>27</v>
      </c>
      <c r="R1344" s="3" t="s">
        <v>28</v>
      </c>
      <c r="S1344" s="3">
        <v>3870100</v>
      </c>
      <c r="T1344" s="3">
        <v>1120411625</v>
      </c>
      <c r="U1344" s="3" t="s">
        <v>29</v>
      </c>
    </row>
    <row r="1345" spans="1:21" ht="13.2" x14ac:dyDescent="0.25">
      <c r="A1345" s="14">
        <v>9475334000196</v>
      </c>
      <c r="B1345" s="15" t="str">
        <f t="shared" si="20"/>
        <v>09.475.334/0001-96</v>
      </c>
      <c r="C1345" s="12"/>
      <c r="D1345" s="3" t="s">
        <v>5297</v>
      </c>
      <c r="E1345" s="3" t="s">
        <v>5298</v>
      </c>
      <c r="F1345" s="3" t="s">
        <v>20</v>
      </c>
      <c r="G1345" s="4">
        <v>39524</v>
      </c>
      <c r="H1345" s="3" t="s">
        <v>21</v>
      </c>
      <c r="I1345" s="3" t="s">
        <v>33</v>
      </c>
      <c r="J1345" s="5">
        <v>50000</v>
      </c>
      <c r="K1345" s="3">
        <v>8593700</v>
      </c>
      <c r="L1345" s="3" t="s">
        <v>5299</v>
      </c>
      <c r="M1345" s="3" t="s">
        <v>5300</v>
      </c>
      <c r="N1345" s="3">
        <v>3</v>
      </c>
      <c r="P1345" s="3" t="s">
        <v>3985</v>
      </c>
      <c r="Q1345" s="3" t="s">
        <v>27</v>
      </c>
      <c r="R1345" s="3" t="s">
        <v>28</v>
      </c>
      <c r="S1345" s="3">
        <v>2124050</v>
      </c>
      <c r="T1345" s="3">
        <v>1129097126</v>
      </c>
      <c r="U1345" s="3" t="s">
        <v>29</v>
      </c>
    </row>
    <row r="1346" spans="1:21" ht="13.2" x14ac:dyDescent="0.25">
      <c r="A1346" s="14">
        <v>5944604000100</v>
      </c>
      <c r="B1346" s="15" t="str">
        <f t="shared" si="20"/>
        <v>05.944.604/0001-00</v>
      </c>
      <c r="C1346" s="12"/>
      <c r="D1346" s="3" t="s">
        <v>5301</v>
      </c>
      <c r="E1346" s="3" t="s">
        <v>5302</v>
      </c>
      <c r="F1346" s="3" t="s">
        <v>20</v>
      </c>
      <c r="G1346" s="4">
        <v>37895</v>
      </c>
      <c r="H1346" s="3" t="s">
        <v>21</v>
      </c>
      <c r="I1346" s="3" t="s">
        <v>33</v>
      </c>
      <c r="J1346" s="5">
        <v>128472590</v>
      </c>
      <c r="K1346" s="3">
        <v>4664800</v>
      </c>
      <c r="L1346" s="3" t="s">
        <v>691</v>
      </c>
      <c r="M1346" s="3" t="s">
        <v>308</v>
      </c>
      <c r="N1346" s="3">
        <v>14401</v>
      </c>
      <c r="O1346" s="3" t="s">
        <v>5303</v>
      </c>
      <c r="P1346" s="3" t="s">
        <v>310</v>
      </c>
      <c r="Q1346" s="3" t="s">
        <v>27</v>
      </c>
      <c r="R1346" s="3" t="s">
        <v>28</v>
      </c>
      <c r="S1346" s="3">
        <v>4794000</v>
      </c>
      <c r="T1346" s="3">
        <v>1155675325</v>
      </c>
      <c r="U1346" s="3" t="s">
        <v>29</v>
      </c>
    </row>
    <row r="1347" spans="1:21" ht="13.2" x14ac:dyDescent="0.25">
      <c r="A1347" s="14">
        <v>9089356000118</v>
      </c>
      <c r="B1347" s="15" t="str">
        <f t="shared" ref="B1347:B1410" si="21">TEXT(A1347,"00\.000\.000\/0000\-00")</f>
        <v>09.089.356/0001-18</v>
      </c>
      <c r="C1347" s="12"/>
      <c r="D1347" s="3" t="s">
        <v>5304</v>
      </c>
      <c r="E1347" s="3" t="s">
        <v>5305</v>
      </c>
      <c r="F1347" s="3" t="s">
        <v>20</v>
      </c>
      <c r="G1347" s="4">
        <v>39352</v>
      </c>
      <c r="H1347" s="3" t="s">
        <v>94</v>
      </c>
      <c r="I1347" s="3" t="s">
        <v>33</v>
      </c>
      <c r="J1347" s="5">
        <v>48226636</v>
      </c>
      <c r="K1347" s="3">
        <v>6619399</v>
      </c>
      <c r="L1347" s="3" t="s">
        <v>4160</v>
      </c>
      <c r="M1347" s="3" t="s">
        <v>5306</v>
      </c>
      <c r="N1347" s="3">
        <v>31</v>
      </c>
      <c r="O1347" s="3" t="s">
        <v>5307</v>
      </c>
      <c r="P1347" s="3" t="s">
        <v>5308</v>
      </c>
      <c r="Q1347" s="3" t="s">
        <v>479</v>
      </c>
      <c r="R1347" s="3" t="s">
        <v>100</v>
      </c>
      <c r="S1347" s="3">
        <v>35402179</v>
      </c>
      <c r="T1347" s="3">
        <v>1123942208</v>
      </c>
      <c r="U1347" s="3" t="s">
        <v>29</v>
      </c>
    </row>
    <row r="1348" spans="1:21" ht="13.2" x14ac:dyDescent="0.25">
      <c r="A1348" s="14">
        <v>20306489000212</v>
      </c>
      <c r="B1348" s="15" t="str">
        <f t="shared" si="21"/>
        <v>20.306.489/0002-12</v>
      </c>
      <c r="C1348" s="12"/>
      <c r="D1348" s="3" t="s">
        <v>5309</v>
      </c>
      <c r="E1348" s="3" t="s">
        <v>5310</v>
      </c>
      <c r="F1348" s="3" t="s">
        <v>45</v>
      </c>
      <c r="G1348" s="4">
        <v>42912</v>
      </c>
      <c r="H1348" s="3" t="s">
        <v>21</v>
      </c>
      <c r="I1348" s="3" t="s">
        <v>47</v>
      </c>
      <c r="J1348" s="5">
        <v>400000</v>
      </c>
      <c r="K1348" s="3">
        <v>8660700</v>
      </c>
      <c r="L1348" s="3" t="s">
        <v>5311</v>
      </c>
      <c r="M1348" s="3" t="s">
        <v>5312</v>
      </c>
      <c r="N1348" s="3">
        <v>125</v>
      </c>
      <c r="O1348" s="3" t="s">
        <v>5313</v>
      </c>
      <c r="P1348" s="3" t="s">
        <v>70</v>
      </c>
      <c r="Q1348" s="3" t="s">
        <v>1640</v>
      </c>
      <c r="R1348" s="3" t="s">
        <v>78</v>
      </c>
      <c r="S1348" s="3">
        <v>24020085</v>
      </c>
      <c r="T1348" s="3">
        <v>2122222222</v>
      </c>
      <c r="U1348" s="3" t="s">
        <v>29</v>
      </c>
    </row>
    <row r="1349" spans="1:21" ht="13.2" x14ac:dyDescent="0.25">
      <c r="A1349" s="14">
        <v>2166196000114</v>
      </c>
      <c r="B1349" s="15" t="str">
        <f t="shared" si="21"/>
        <v>02.166.196/0001-14</v>
      </c>
      <c r="C1349" s="12"/>
      <c r="D1349" s="3" t="s">
        <v>5314</v>
      </c>
      <c r="E1349" s="3" t="s">
        <v>5314</v>
      </c>
      <c r="F1349" s="3" t="s">
        <v>20</v>
      </c>
      <c r="G1349" s="4">
        <v>35711</v>
      </c>
      <c r="H1349" s="3" t="s">
        <v>21</v>
      </c>
      <c r="I1349" s="3" t="s">
        <v>33</v>
      </c>
      <c r="J1349" s="5">
        <v>171000</v>
      </c>
      <c r="K1349" s="3">
        <v>8121400</v>
      </c>
      <c r="L1349" s="3" t="s">
        <v>494</v>
      </c>
      <c r="M1349" s="3" t="s">
        <v>5315</v>
      </c>
      <c r="N1349" s="3">
        <v>256</v>
      </c>
      <c r="O1349" s="3" t="s">
        <v>5316</v>
      </c>
      <c r="P1349" s="3" t="s">
        <v>70</v>
      </c>
      <c r="Q1349" s="3" t="s">
        <v>1846</v>
      </c>
      <c r="R1349" s="3" t="s">
        <v>1847</v>
      </c>
      <c r="S1349" s="3">
        <v>57020290</v>
      </c>
      <c r="T1349" s="3">
        <v>8232213799</v>
      </c>
      <c r="U1349" s="3" t="s">
        <v>29</v>
      </c>
    </row>
    <row r="1350" spans="1:21" ht="13.2" x14ac:dyDescent="0.25">
      <c r="A1350" s="14">
        <v>12753310000166</v>
      </c>
      <c r="B1350" s="15" t="str">
        <f t="shared" si="21"/>
        <v>12.753.310/0001-66</v>
      </c>
      <c r="C1350" s="12"/>
      <c r="D1350" s="3" t="s">
        <v>5317</v>
      </c>
      <c r="E1350" s="3" t="s">
        <v>5318</v>
      </c>
      <c r="F1350" s="3" t="s">
        <v>20</v>
      </c>
      <c r="G1350" s="4">
        <v>40470</v>
      </c>
      <c r="H1350" s="3" t="s">
        <v>21</v>
      </c>
      <c r="I1350" s="3" t="s">
        <v>22</v>
      </c>
      <c r="J1350" s="5">
        <v>200000</v>
      </c>
      <c r="K1350" s="3">
        <v>4639701</v>
      </c>
      <c r="L1350" s="3" t="s">
        <v>3611</v>
      </c>
      <c r="M1350" s="3" t="s">
        <v>5319</v>
      </c>
      <c r="N1350" s="3">
        <v>110</v>
      </c>
      <c r="O1350" s="3" t="s">
        <v>5320</v>
      </c>
      <c r="P1350" s="3" t="s">
        <v>5321</v>
      </c>
      <c r="Q1350" s="3" t="s">
        <v>253</v>
      </c>
      <c r="R1350" s="3" t="s">
        <v>78</v>
      </c>
      <c r="S1350" s="3">
        <v>20920900</v>
      </c>
      <c r="T1350" s="3">
        <v>2125890070</v>
      </c>
      <c r="U1350" s="3" t="s">
        <v>29</v>
      </c>
    </row>
    <row r="1351" spans="1:21" ht="13.2" x14ac:dyDescent="0.25">
      <c r="A1351" s="14">
        <v>26696411000157</v>
      </c>
      <c r="B1351" s="15" t="str">
        <f t="shared" si="21"/>
        <v>26.696.411/0001-57</v>
      </c>
      <c r="C1351" s="12" t="str">
        <f>VLOOKUP(B1351,[1]Planilha1!$A:$B,2,0)</f>
        <v>Malu Montesino</v>
      </c>
      <c r="D1351" s="3" t="s">
        <v>5322</v>
      </c>
      <c r="E1351" s="3" t="s">
        <v>5323</v>
      </c>
      <c r="F1351" s="3" t="s">
        <v>20</v>
      </c>
      <c r="G1351" s="4">
        <v>42716</v>
      </c>
      <c r="H1351" s="3" t="s">
        <v>21</v>
      </c>
      <c r="I1351" s="3" t="s">
        <v>22</v>
      </c>
      <c r="J1351" s="5">
        <v>93700</v>
      </c>
      <c r="K1351" s="3">
        <v>2651500</v>
      </c>
      <c r="L1351" s="3" t="s">
        <v>600</v>
      </c>
      <c r="M1351" s="3" t="s">
        <v>5324</v>
      </c>
      <c r="N1351" s="3">
        <v>50</v>
      </c>
      <c r="O1351" s="3" t="s">
        <v>5325</v>
      </c>
      <c r="P1351" s="3" t="s">
        <v>5326</v>
      </c>
      <c r="Q1351" s="3" t="s">
        <v>2287</v>
      </c>
      <c r="R1351" s="3" t="s">
        <v>91</v>
      </c>
      <c r="S1351" s="3">
        <v>88316370</v>
      </c>
      <c r="T1351" s="3">
        <v>4735141651</v>
      </c>
      <c r="U1351" s="3" t="s">
        <v>29</v>
      </c>
    </row>
    <row r="1352" spans="1:21" ht="13.2" x14ac:dyDescent="0.25">
      <c r="A1352" s="14">
        <v>81618753000167</v>
      </c>
      <c r="B1352" s="15" t="str">
        <f t="shared" si="21"/>
        <v>81.618.753/0001-67</v>
      </c>
      <c r="C1352" s="12"/>
      <c r="D1352" s="3" t="s">
        <v>5327</v>
      </c>
      <c r="E1352" s="3" t="s">
        <v>5328</v>
      </c>
      <c r="F1352" s="3" t="s">
        <v>20</v>
      </c>
      <c r="G1352" s="4">
        <v>32869</v>
      </c>
      <c r="H1352" s="3" t="s">
        <v>21</v>
      </c>
      <c r="I1352" s="3" t="s">
        <v>33</v>
      </c>
      <c r="J1352" s="5">
        <v>6896810</v>
      </c>
      <c r="K1352" s="3">
        <v>2823200</v>
      </c>
      <c r="L1352" s="3" t="s">
        <v>1667</v>
      </c>
      <c r="M1352" s="3" t="s">
        <v>5329</v>
      </c>
      <c r="N1352" s="3">
        <v>150</v>
      </c>
      <c r="P1352" s="3" t="s">
        <v>70</v>
      </c>
      <c r="Q1352" s="3" t="s">
        <v>5330</v>
      </c>
      <c r="R1352" s="3" t="s">
        <v>91</v>
      </c>
      <c r="S1352" s="3">
        <v>89188000</v>
      </c>
      <c r="T1352" s="3">
        <v>4735423000</v>
      </c>
      <c r="U1352" s="3" t="s">
        <v>29</v>
      </c>
    </row>
    <row r="1353" spans="1:21" ht="13.2" x14ac:dyDescent="0.25">
      <c r="A1353" s="14">
        <v>44683061000176</v>
      </c>
      <c r="B1353" s="15" t="str">
        <f t="shared" si="21"/>
        <v>44.683.061/0001-76</v>
      </c>
      <c r="C1353" s="12"/>
      <c r="D1353" s="3" t="s">
        <v>5331</v>
      </c>
      <c r="E1353" s="3" t="s">
        <v>5331</v>
      </c>
      <c r="F1353" s="3" t="s">
        <v>20</v>
      </c>
      <c r="G1353" s="4">
        <v>44557</v>
      </c>
      <c r="H1353" s="3" t="s">
        <v>94</v>
      </c>
      <c r="I1353" s="3" t="s">
        <v>33</v>
      </c>
      <c r="J1353" s="5" t="s">
        <v>5332</v>
      </c>
      <c r="K1353" s="3">
        <v>7490104</v>
      </c>
      <c r="L1353" s="3" t="s">
        <v>1597</v>
      </c>
      <c r="M1353" s="3" t="s">
        <v>5333</v>
      </c>
      <c r="N1353" s="3">
        <v>1681</v>
      </c>
      <c r="O1353" s="3" t="s">
        <v>5334</v>
      </c>
      <c r="P1353" s="3" t="s">
        <v>1019</v>
      </c>
      <c r="Q1353" s="3" t="s">
        <v>27</v>
      </c>
      <c r="R1353" s="3" t="s">
        <v>28</v>
      </c>
      <c r="S1353" s="3">
        <v>4571011</v>
      </c>
      <c r="T1353" s="3">
        <v>1188984795</v>
      </c>
      <c r="U1353" s="3" t="s">
        <v>29</v>
      </c>
    </row>
    <row r="1354" spans="1:21" ht="13.2" x14ac:dyDescent="0.25">
      <c r="A1354" s="14">
        <v>7791107000144</v>
      </c>
      <c r="B1354" s="15" t="str">
        <f t="shared" si="21"/>
        <v>07.791.107/0001-44</v>
      </c>
      <c r="C1354" s="12"/>
      <c r="D1354" s="3" t="s">
        <v>5335</v>
      </c>
      <c r="E1354" s="3" t="s">
        <v>5336</v>
      </c>
      <c r="F1354" s="3" t="s">
        <v>20</v>
      </c>
      <c r="G1354" s="4">
        <v>38603</v>
      </c>
      <c r="H1354" s="3" t="s">
        <v>21</v>
      </c>
      <c r="I1354" s="3" t="s">
        <v>33</v>
      </c>
      <c r="J1354" s="5">
        <v>100000</v>
      </c>
      <c r="K1354" s="3">
        <v>2651500</v>
      </c>
      <c r="L1354" s="3" t="s">
        <v>600</v>
      </c>
      <c r="M1354" s="3" t="s">
        <v>5337</v>
      </c>
      <c r="N1354" s="3">
        <v>79</v>
      </c>
      <c r="P1354" s="3" t="s">
        <v>70</v>
      </c>
      <c r="Q1354" s="3" t="s">
        <v>541</v>
      </c>
      <c r="R1354" s="3" t="s">
        <v>28</v>
      </c>
      <c r="S1354" s="3">
        <v>12120087</v>
      </c>
      <c r="T1354" s="3">
        <v>1236072999</v>
      </c>
      <c r="U1354" s="3" t="s">
        <v>29</v>
      </c>
    </row>
    <row r="1355" spans="1:21" ht="13.2" x14ac:dyDescent="0.25">
      <c r="A1355" s="14">
        <v>4518259000180</v>
      </c>
      <c r="B1355" s="15" t="str">
        <f t="shared" si="21"/>
        <v>04.518.259/0001-80</v>
      </c>
      <c r="C1355" s="12"/>
      <c r="D1355" s="3" t="s">
        <v>5338</v>
      </c>
      <c r="E1355" s="3" t="s">
        <v>5338</v>
      </c>
      <c r="F1355" s="3" t="s">
        <v>20</v>
      </c>
      <c r="G1355" s="4">
        <v>37067</v>
      </c>
      <c r="H1355" s="3" t="s">
        <v>94</v>
      </c>
      <c r="I1355" s="3" t="s">
        <v>33</v>
      </c>
      <c r="J1355" s="5">
        <v>40777864</v>
      </c>
      <c r="K1355" s="3">
        <v>3513100</v>
      </c>
      <c r="L1355" s="3" t="s">
        <v>1192</v>
      </c>
      <c r="M1355" s="3" t="s">
        <v>5339</v>
      </c>
      <c r="N1355" s="3">
        <v>111</v>
      </c>
      <c r="O1355" s="3" t="s">
        <v>5340</v>
      </c>
      <c r="P1355" s="3" t="s">
        <v>5341</v>
      </c>
      <c r="Q1355" s="3" t="s">
        <v>204</v>
      </c>
      <c r="R1355" s="3" t="s">
        <v>187</v>
      </c>
      <c r="S1355" s="3">
        <v>81200526</v>
      </c>
      <c r="T1355" s="3">
        <v>4135213336</v>
      </c>
      <c r="U1355" s="3" t="s">
        <v>29</v>
      </c>
    </row>
    <row r="1356" spans="1:21" ht="13.2" x14ac:dyDescent="0.25">
      <c r="A1356" s="14">
        <v>13788120000147</v>
      </c>
      <c r="B1356" s="15" t="str">
        <f t="shared" si="21"/>
        <v>13.788.120/0001-47</v>
      </c>
      <c r="C1356" s="12" t="str">
        <f>VLOOKUP(B1356,[1]Planilha1!$A:$B,2,0)</f>
        <v>Malu Montesino</v>
      </c>
      <c r="D1356" s="3" t="s">
        <v>5342</v>
      </c>
      <c r="E1356" s="3" t="s">
        <v>5343</v>
      </c>
      <c r="F1356" s="3" t="s">
        <v>20</v>
      </c>
      <c r="G1356" s="4">
        <v>25434</v>
      </c>
      <c r="H1356" s="3" t="s">
        <v>94</v>
      </c>
      <c r="I1356" s="3" t="s">
        <v>33</v>
      </c>
      <c r="J1356" s="5">
        <v>50106800</v>
      </c>
      <c r="K1356" s="3">
        <v>2022300</v>
      </c>
      <c r="L1356" s="3" t="s">
        <v>5344</v>
      </c>
      <c r="M1356" s="3" t="s">
        <v>5345</v>
      </c>
      <c r="N1356" s="3">
        <v>392</v>
      </c>
      <c r="P1356" s="3" t="s">
        <v>5346</v>
      </c>
      <c r="Q1356" s="3" t="s">
        <v>1915</v>
      </c>
      <c r="R1356" s="3" t="s">
        <v>28</v>
      </c>
      <c r="S1356" s="3">
        <v>13224030</v>
      </c>
      <c r="T1356" s="3">
        <v>1145968908</v>
      </c>
      <c r="U1356" s="3" t="s">
        <v>29</v>
      </c>
    </row>
    <row r="1357" spans="1:21" ht="13.2" x14ac:dyDescent="0.25">
      <c r="A1357" s="14">
        <v>2328280000197</v>
      </c>
      <c r="B1357" s="15" t="str">
        <f t="shared" si="21"/>
        <v>02.328.280/0001-97</v>
      </c>
      <c r="C1357" s="12"/>
      <c r="D1357" s="3" t="s">
        <v>5347</v>
      </c>
      <c r="E1357" s="3" t="s">
        <v>5348</v>
      </c>
      <c r="F1357" s="3" t="s">
        <v>20</v>
      </c>
      <c r="G1357" s="4">
        <v>35811</v>
      </c>
      <c r="H1357" s="3" t="s">
        <v>377</v>
      </c>
      <c r="I1357" s="3" t="s">
        <v>33</v>
      </c>
      <c r="J1357" s="5">
        <v>0</v>
      </c>
      <c r="K1357" s="3">
        <v>3514000</v>
      </c>
      <c r="L1357" s="3" t="s">
        <v>3329</v>
      </c>
      <c r="M1357" s="3" t="s">
        <v>5349</v>
      </c>
      <c r="N1357" s="3">
        <v>321</v>
      </c>
      <c r="P1357" s="3" t="s">
        <v>5350</v>
      </c>
      <c r="Q1357" s="3" t="s">
        <v>65</v>
      </c>
      <c r="R1357" s="3" t="s">
        <v>28</v>
      </c>
      <c r="S1357" s="3">
        <v>13053024</v>
      </c>
      <c r="T1357" s="3">
        <v>1921221000</v>
      </c>
      <c r="U1357" s="3" t="s">
        <v>29</v>
      </c>
    </row>
    <row r="1358" spans="1:21" ht="13.2" x14ac:dyDescent="0.25">
      <c r="A1358" s="14">
        <v>4121069000124</v>
      </c>
      <c r="B1358" s="15" t="str">
        <f t="shared" si="21"/>
        <v>04.121.069/0001-24</v>
      </c>
      <c r="C1358" s="12" t="str">
        <f>VLOOKUP(B1358,[1]Planilha1!$A:$B,2,0)</f>
        <v>Malu Montesino</v>
      </c>
      <c r="D1358" s="3" t="s">
        <v>5351</v>
      </c>
      <c r="E1358" s="3" t="s">
        <v>5351</v>
      </c>
      <c r="F1358" s="3" t="s">
        <v>20</v>
      </c>
      <c r="G1358" s="4">
        <v>36826</v>
      </c>
      <c r="H1358" s="3" t="s">
        <v>21</v>
      </c>
      <c r="I1358" s="3" t="s">
        <v>33</v>
      </c>
      <c r="J1358" s="5">
        <v>23000000</v>
      </c>
      <c r="K1358" s="3">
        <v>2920401</v>
      </c>
      <c r="L1358" s="3" t="s">
        <v>4553</v>
      </c>
      <c r="M1358" s="3" t="s">
        <v>5352</v>
      </c>
      <c r="N1358" s="3">
        <v>176</v>
      </c>
      <c r="P1358" s="3" t="s">
        <v>1661</v>
      </c>
      <c r="Q1358" s="3" t="s">
        <v>217</v>
      </c>
      <c r="R1358" s="3" t="s">
        <v>28</v>
      </c>
      <c r="S1358" s="3">
        <v>9695900</v>
      </c>
      <c r="T1358" s="3">
        <v>1141776400</v>
      </c>
      <c r="U1358" s="3" t="s">
        <v>29</v>
      </c>
    </row>
    <row r="1359" spans="1:21" ht="13.2" x14ac:dyDescent="0.25">
      <c r="A1359" s="14">
        <v>61310256000190</v>
      </c>
      <c r="B1359" s="15" t="str">
        <f t="shared" si="21"/>
        <v>61.310.256/0001-90</v>
      </c>
      <c r="C1359" s="12"/>
      <c r="D1359" s="3" t="s">
        <v>5353</v>
      </c>
      <c r="E1359" s="3" t="s">
        <v>5354</v>
      </c>
      <c r="F1359" s="3" t="s">
        <v>20</v>
      </c>
      <c r="G1359" s="4">
        <v>25136</v>
      </c>
      <c r="H1359" s="3" t="s">
        <v>21</v>
      </c>
      <c r="I1359" s="3" t="s">
        <v>33</v>
      </c>
      <c r="J1359" s="5">
        <v>280000000</v>
      </c>
      <c r="K1359" s="3">
        <v>2733300</v>
      </c>
      <c r="L1359" s="3" t="s">
        <v>2719</v>
      </c>
      <c r="M1359" s="3" t="s">
        <v>5355</v>
      </c>
      <c r="N1359" s="3">
        <v>319</v>
      </c>
      <c r="P1359" s="3" t="s">
        <v>406</v>
      </c>
      <c r="Q1359" s="3" t="s">
        <v>357</v>
      </c>
      <c r="R1359" s="3" t="s">
        <v>28</v>
      </c>
      <c r="S1359" s="3">
        <v>7222015</v>
      </c>
      <c r="T1359" s="3">
        <v>1133773333</v>
      </c>
      <c r="U1359" s="3" t="s">
        <v>29</v>
      </c>
    </row>
    <row r="1360" spans="1:21" ht="13.2" x14ac:dyDescent="0.25">
      <c r="A1360" s="14">
        <v>61467528000160</v>
      </c>
      <c r="B1360" s="15" t="str">
        <f t="shared" si="21"/>
        <v>61.467.528/0001-60</v>
      </c>
      <c r="C1360" s="12" t="str">
        <f>VLOOKUP(B1360,[1]Planilha1!$A:$B,2,0)</f>
        <v>Mariane Nascimento</v>
      </c>
      <c r="D1360" s="3" t="s">
        <v>5356</v>
      </c>
      <c r="E1360" s="3" t="s">
        <v>5356</v>
      </c>
      <c r="F1360" s="3" t="s">
        <v>20</v>
      </c>
      <c r="G1360" s="4">
        <v>24316</v>
      </c>
      <c r="H1360" s="3" t="s">
        <v>21</v>
      </c>
      <c r="I1360" s="3" t="s">
        <v>33</v>
      </c>
      <c r="J1360" s="5">
        <v>850000</v>
      </c>
      <c r="K1360" s="3">
        <v>4673700</v>
      </c>
      <c r="L1360" s="3" t="s">
        <v>861</v>
      </c>
      <c r="M1360" s="3" t="s">
        <v>5357</v>
      </c>
      <c r="N1360" s="3">
        <v>21</v>
      </c>
      <c r="P1360" s="3" t="s">
        <v>4510</v>
      </c>
      <c r="Q1360" s="3" t="s">
        <v>27</v>
      </c>
      <c r="R1360" s="3" t="s">
        <v>28</v>
      </c>
      <c r="S1360" s="3">
        <v>2521090</v>
      </c>
      <c r="T1360" s="3">
        <v>1139596870</v>
      </c>
      <c r="U1360" s="3" t="s">
        <v>29</v>
      </c>
    </row>
    <row r="1361" spans="1:21" ht="13.2" x14ac:dyDescent="0.25">
      <c r="A1361" s="14">
        <v>1104937000170</v>
      </c>
      <c r="B1361" s="15" t="str">
        <f t="shared" si="21"/>
        <v>01.104.937/0001-70</v>
      </c>
      <c r="C1361" s="12"/>
      <c r="D1361" s="3" t="s">
        <v>5358</v>
      </c>
      <c r="E1361" s="3" t="s">
        <v>5359</v>
      </c>
      <c r="F1361" s="3" t="s">
        <v>45</v>
      </c>
      <c r="G1361" s="4">
        <v>35101</v>
      </c>
      <c r="H1361" s="3" t="s">
        <v>377</v>
      </c>
      <c r="I1361" s="3" t="s">
        <v>33</v>
      </c>
      <c r="J1361" s="5">
        <v>118054890</v>
      </c>
      <c r="K1361" s="3">
        <v>7020400</v>
      </c>
      <c r="L1361" s="3" t="s">
        <v>170</v>
      </c>
      <c r="M1361" s="3" t="s">
        <v>4197</v>
      </c>
      <c r="N1361" s="3">
        <v>1</v>
      </c>
      <c r="O1361" s="3" t="s">
        <v>5360</v>
      </c>
      <c r="P1361" s="3" t="s">
        <v>70</v>
      </c>
      <c r="Q1361" s="3" t="s">
        <v>253</v>
      </c>
      <c r="R1361" s="3" t="s">
        <v>78</v>
      </c>
      <c r="S1361" s="3">
        <v>20090010</v>
      </c>
      <c r="T1361" s="3">
        <v>2125144518</v>
      </c>
      <c r="U1361" s="3" t="s">
        <v>29</v>
      </c>
    </row>
    <row r="1362" spans="1:21" ht="13.2" x14ac:dyDescent="0.25">
      <c r="A1362" s="14">
        <v>66573759000171</v>
      </c>
      <c r="B1362" s="15" t="str">
        <f t="shared" si="21"/>
        <v>66.573.759/0001-71</v>
      </c>
      <c r="C1362" s="12"/>
      <c r="D1362" s="3" t="s">
        <v>5361</v>
      </c>
      <c r="E1362" s="3" t="s">
        <v>5361</v>
      </c>
      <c r="F1362" s="3" t="s">
        <v>20</v>
      </c>
      <c r="G1362" s="4">
        <v>33437</v>
      </c>
      <c r="H1362" s="3" t="s">
        <v>21</v>
      </c>
      <c r="I1362" s="3" t="s">
        <v>33</v>
      </c>
      <c r="J1362" s="5">
        <v>2490000</v>
      </c>
      <c r="K1362" s="3">
        <v>4673700</v>
      </c>
      <c r="L1362" s="3" t="s">
        <v>861</v>
      </c>
      <c r="M1362" s="3" t="s">
        <v>3706</v>
      </c>
      <c r="N1362" s="3">
        <v>5200</v>
      </c>
      <c r="O1362" s="3">
        <v>5186</v>
      </c>
      <c r="P1362" s="3" t="s">
        <v>5362</v>
      </c>
      <c r="Q1362" s="3" t="s">
        <v>27</v>
      </c>
      <c r="R1362" s="3" t="s">
        <v>28</v>
      </c>
      <c r="S1362" s="3">
        <v>3490000</v>
      </c>
      <c r="U1362" s="3" t="s">
        <v>29</v>
      </c>
    </row>
    <row r="1363" spans="1:21" ht="13.2" x14ac:dyDescent="0.25">
      <c r="A1363" s="14">
        <v>63834097000158</v>
      </c>
      <c r="B1363" s="15" t="str">
        <f t="shared" si="21"/>
        <v>63.834.097/0001-58</v>
      </c>
      <c r="C1363" s="12"/>
      <c r="D1363" s="3" t="s">
        <v>5363</v>
      </c>
      <c r="E1363" s="3" t="s">
        <v>5363</v>
      </c>
      <c r="F1363" s="3" t="s">
        <v>45</v>
      </c>
      <c r="G1363" s="4">
        <v>33365</v>
      </c>
      <c r="H1363" s="3" t="s">
        <v>21</v>
      </c>
      <c r="I1363" s="3" t="s">
        <v>33</v>
      </c>
      <c r="J1363" s="5">
        <v>0</v>
      </c>
      <c r="K1363" s="3">
        <v>4649401</v>
      </c>
      <c r="L1363" s="3" t="s">
        <v>2257</v>
      </c>
      <c r="M1363" s="3" t="s">
        <v>4194</v>
      </c>
      <c r="N1363" s="3">
        <v>81</v>
      </c>
      <c r="P1363" s="3" t="s">
        <v>5364</v>
      </c>
      <c r="Q1363" s="3" t="s">
        <v>199</v>
      </c>
      <c r="R1363" s="3" t="s">
        <v>792</v>
      </c>
      <c r="S1363" s="3">
        <v>66083000</v>
      </c>
      <c r="U1363" s="3" t="s">
        <v>29</v>
      </c>
    </row>
    <row r="1364" spans="1:21" ht="13.2" x14ac:dyDescent="0.25">
      <c r="A1364" s="14">
        <v>9347516000181</v>
      </c>
      <c r="B1364" s="15" t="str">
        <f t="shared" si="21"/>
        <v>09.347.516/0001-81</v>
      </c>
      <c r="C1364" s="12"/>
      <c r="D1364" s="3" t="s">
        <v>5365</v>
      </c>
      <c r="E1364" s="3" t="s">
        <v>5365</v>
      </c>
      <c r="F1364" s="3" t="s">
        <v>20</v>
      </c>
      <c r="G1364" s="4">
        <v>39461</v>
      </c>
      <c r="H1364" s="3" t="s">
        <v>94</v>
      </c>
      <c r="I1364" s="3" t="s">
        <v>33</v>
      </c>
      <c r="J1364" s="5">
        <v>257809220</v>
      </c>
      <c r="K1364" s="3">
        <v>7312200</v>
      </c>
      <c r="L1364" s="3" t="s">
        <v>5366</v>
      </c>
      <c r="M1364" s="3" t="s">
        <v>5367</v>
      </c>
      <c r="N1364" s="3">
        <v>700</v>
      </c>
      <c r="O1364" s="3" t="s">
        <v>5368</v>
      </c>
      <c r="P1364" s="3" t="s">
        <v>1230</v>
      </c>
      <c r="Q1364" s="3" t="s">
        <v>27</v>
      </c>
      <c r="R1364" s="3" t="s">
        <v>28</v>
      </c>
      <c r="S1364" s="3">
        <v>4542000</v>
      </c>
      <c r="T1364" s="3">
        <v>1122059958</v>
      </c>
      <c r="U1364" s="3" t="s">
        <v>29</v>
      </c>
    </row>
    <row r="1365" spans="1:21" ht="13.2" x14ac:dyDescent="0.25">
      <c r="A1365" s="14">
        <v>1090305000102</v>
      </c>
      <c r="B1365" s="15" t="str">
        <f t="shared" si="21"/>
        <v>01.090.305/0001-02</v>
      </c>
      <c r="C1365" s="12"/>
      <c r="D1365" s="3" t="s">
        <v>5369</v>
      </c>
      <c r="E1365" s="3" t="s">
        <v>5370</v>
      </c>
      <c r="F1365" s="3" t="s">
        <v>20</v>
      </c>
      <c r="G1365" s="4">
        <v>35090</v>
      </c>
      <c r="H1365" s="3" t="s">
        <v>21</v>
      </c>
      <c r="I1365" s="3" t="s">
        <v>47</v>
      </c>
      <c r="J1365" s="5">
        <v>40000</v>
      </c>
      <c r="K1365" s="3">
        <v>4742300</v>
      </c>
      <c r="L1365" s="3" t="s">
        <v>1152</v>
      </c>
      <c r="M1365" s="3" t="s">
        <v>5371</v>
      </c>
      <c r="N1365" s="3">
        <v>7</v>
      </c>
      <c r="P1365" s="3" t="s">
        <v>5372</v>
      </c>
      <c r="Q1365" s="3" t="s">
        <v>27</v>
      </c>
      <c r="R1365" s="3" t="s">
        <v>28</v>
      </c>
      <c r="S1365" s="3">
        <v>3351055</v>
      </c>
      <c r="T1365" s="3">
        <v>1124312088</v>
      </c>
      <c r="U1365" s="3" t="s">
        <v>29</v>
      </c>
    </row>
    <row r="1366" spans="1:21" ht="13.2" x14ac:dyDescent="0.25">
      <c r="A1366" s="14">
        <v>2554116000106</v>
      </c>
      <c r="B1366" s="15" t="str">
        <f t="shared" si="21"/>
        <v>02.554.116/0001-06</v>
      </c>
      <c r="C1366" s="12"/>
      <c r="D1366" s="3" t="s">
        <v>5373</v>
      </c>
      <c r="E1366" s="3" t="s">
        <v>5374</v>
      </c>
      <c r="F1366" s="3" t="s">
        <v>20</v>
      </c>
      <c r="G1366" s="4">
        <v>35922</v>
      </c>
      <c r="H1366" s="3" t="s">
        <v>21</v>
      </c>
      <c r="I1366" s="3" t="s">
        <v>33</v>
      </c>
      <c r="J1366" s="5">
        <v>200000</v>
      </c>
      <c r="K1366" s="3">
        <v>4742300</v>
      </c>
      <c r="L1366" s="3" t="s">
        <v>1152</v>
      </c>
      <c r="M1366" s="3" t="s">
        <v>2680</v>
      </c>
      <c r="N1366" s="3">
        <v>2855</v>
      </c>
      <c r="P1366" s="3" t="s">
        <v>70</v>
      </c>
      <c r="Q1366" s="3" t="s">
        <v>211</v>
      </c>
      <c r="R1366" s="3" t="s">
        <v>187</v>
      </c>
      <c r="S1366" s="3">
        <v>85810150</v>
      </c>
      <c r="T1366" s="3">
        <v>4530381020</v>
      </c>
      <c r="U1366" s="3" t="s">
        <v>29</v>
      </c>
    </row>
    <row r="1367" spans="1:21" ht="13.2" x14ac:dyDescent="0.25">
      <c r="A1367" s="14">
        <v>28986000108</v>
      </c>
      <c r="B1367" s="15" t="str">
        <f t="shared" si="21"/>
        <v>00.028.986/0001-08</v>
      </c>
      <c r="C1367" s="12" t="str">
        <f>VLOOKUP(B1367,[1]Planilha1!$A:$B,2,0)</f>
        <v>Malu Montesino</v>
      </c>
      <c r="D1367" s="3" t="s">
        <v>5375</v>
      </c>
      <c r="E1367" s="3" t="s">
        <v>5375</v>
      </c>
      <c r="F1367" s="3" t="s">
        <v>20</v>
      </c>
      <c r="G1367" s="4">
        <v>34556</v>
      </c>
      <c r="H1367" s="3" t="s">
        <v>21</v>
      </c>
      <c r="I1367" s="3" t="s">
        <v>33</v>
      </c>
      <c r="J1367" s="5">
        <v>70478640</v>
      </c>
      <c r="K1367" s="3">
        <v>4329103</v>
      </c>
      <c r="L1367" s="3" t="s">
        <v>4193</v>
      </c>
      <c r="M1367" s="3" t="s">
        <v>5376</v>
      </c>
      <c r="N1367" s="3">
        <v>6116</v>
      </c>
      <c r="P1367" s="3" t="s">
        <v>4806</v>
      </c>
      <c r="Q1367" s="3" t="s">
        <v>27</v>
      </c>
      <c r="R1367" s="3" t="s">
        <v>28</v>
      </c>
      <c r="S1367" s="3">
        <v>1516900</v>
      </c>
      <c r="T1367" s="3">
        <v>1161205650</v>
      </c>
      <c r="U1367" s="3" t="s">
        <v>29</v>
      </c>
    </row>
    <row r="1368" spans="1:21" ht="13.2" x14ac:dyDescent="0.25">
      <c r="A1368" s="14">
        <v>2474174000111</v>
      </c>
      <c r="B1368" s="15" t="str">
        <f t="shared" si="21"/>
        <v>02.474.174/0001-11</v>
      </c>
      <c r="C1368" s="12"/>
      <c r="D1368" s="3" t="s">
        <v>5377</v>
      </c>
      <c r="E1368" s="3" t="s">
        <v>5378</v>
      </c>
      <c r="F1368" s="3" t="s">
        <v>20</v>
      </c>
      <c r="G1368" s="4">
        <v>35898</v>
      </c>
      <c r="H1368" s="3" t="s">
        <v>21</v>
      </c>
      <c r="I1368" s="3" t="s">
        <v>22</v>
      </c>
      <c r="J1368" s="5">
        <v>1200000</v>
      </c>
      <c r="K1368" s="3">
        <v>4329103</v>
      </c>
      <c r="L1368" s="3" t="s">
        <v>4193</v>
      </c>
      <c r="M1368" s="3" t="s">
        <v>5379</v>
      </c>
      <c r="N1368" s="3">
        <v>472</v>
      </c>
      <c r="P1368" s="3" t="s">
        <v>5380</v>
      </c>
      <c r="Q1368" s="3" t="s">
        <v>2477</v>
      </c>
      <c r="R1368" s="3" t="s">
        <v>1725</v>
      </c>
      <c r="S1368" s="3">
        <v>59060440</v>
      </c>
      <c r="T1368" s="3">
        <v>8432212427</v>
      </c>
      <c r="U1368" s="3" t="s">
        <v>29</v>
      </c>
    </row>
    <row r="1369" spans="1:21" ht="13.2" x14ac:dyDescent="0.25">
      <c r="A1369" s="14">
        <v>5012368000193</v>
      </c>
      <c r="B1369" s="15" t="str">
        <f t="shared" si="21"/>
        <v>05.012.368/0001-93</v>
      </c>
      <c r="C1369" s="12" t="str">
        <f>VLOOKUP(B1369,[1]Planilha1!$A:$B,2,0)</f>
        <v>Malu Montesino</v>
      </c>
      <c r="D1369" s="3" t="s">
        <v>5381</v>
      </c>
      <c r="E1369" s="3" t="s">
        <v>5382</v>
      </c>
      <c r="F1369" s="3" t="s">
        <v>20</v>
      </c>
      <c r="G1369" s="4">
        <v>37361</v>
      </c>
      <c r="H1369" s="3" t="s">
        <v>21</v>
      </c>
      <c r="I1369" s="3" t="s">
        <v>33</v>
      </c>
      <c r="J1369" s="5">
        <v>11100000</v>
      </c>
      <c r="K1369" s="3">
        <v>4689399</v>
      </c>
      <c r="L1369" s="3" t="s">
        <v>783</v>
      </c>
      <c r="M1369" s="3" t="s">
        <v>3586</v>
      </c>
      <c r="N1369" s="3">
        <v>8300</v>
      </c>
      <c r="O1369" s="3" t="s">
        <v>5383</v>
      </c>
      <c r="P1369" s="3" t="s">
        <v>153</v>
      </c>
      <c r="Q1369" s="3" t="s">
        <v>423</v>
      </c>
      <c r="R1369" s="3" t="s">
        <v>91</v>
      </c>
      <c r="S1369" s="3">
        <v>89219600</v>
      </c>
      <c r="T1369" s="3">
        <v>4734674299</v>
      </c>
      <c r="U1369" s="3" t="s">
        <v>29</v>
      </c>
    </row>
    <row r="1370" spans="1:21" ht="13.2" x14ac:dyDescent="0.25">
      <c r="A1370" s="14">
        <v>52556578000122</v>
      </c>
      <c r="B1370" s="15" t="str">
        <f t="shared" si="21"/>
        <v>52.556.578/0001-22</v>
      </c>
      <c r="C1370" s="12" t="str">
        <f>VLOOKUP(B1370,[1]Planilha1!$A:$B,2,0)</f>
        <v>Mariane Nascimento</v>
      </c>
      <c r="D1370" s="3" t="s">
        <v>5384</v>
      </c>
      <c r="E1370" s="3" t="s">
        <v>5384</v>
      </c>
      <c r="F1370" s="3" t="s">
        <v>20</v>
      </c>
      <c r="G1370" s="4">
        <v>24364</v>
      </c>
      <c r="H1370" s="3" t="s">
        <v>94</v>
      </c>
      <c r="I1370" s="3" t="s">
        <v>33</v>
      </c>
      <c r="J1370" s="5">
        <v>299600000</v>
      </c>
      <c r="K1370" s="3">
        <v>2790299</v>
      </c>
      <c r="L1370" s="3" t="s">
        <v>2875</v>
      </c>
      <c r="M1370" s="3" t="s">
        <v>5385</v>
      </c>
      <c r="N1370" s="3">
        <v>47</v>
      </c>
      <c r="P1370" s="3" t="s">
        <v>5386</v>
      </c>
      <c r="Q1370" s="3" t="s">
        <v>3193</v>
      </c>
      <c r="R1370" s="3" t="s">
        <v>28</v>
      </c>
      <c r="S1370" s="3">
        <v>8820390</v>
      </c>
      <c r="T1370" s="3">
        <v>1134112010</v>
      </c>
      <c r="U1370" s="3" t="s">
        <v>29</v>
      </c>
    </row>
    <row r="1371" spans="1:21" ht="13.2" x14ac:dyDescent="0.25">
      <c r="A1371" s="14">
        <v>23276649000135</v>
      </c>
      <c r="B1371" s="15" t="str">
        <f t="shared" si="21"/>
        <v>23.276.649/0001-35</v>
      </c>
      <c r="C1371" s="12"/>
      <c r="D1371" s="3" t="s">
        <v>5387</v>
      </c>
      <c r="E1371" s="3" t="s">
        <v>5388</v>
      </c>
      <c r="F1371" s="3" t="s">
        <v>20</v>
      </c>
      <c r="G1371" s="4">
        <v>42262</v>
      </c>
      <c r="H1371" s="3" t="s">
        <v>21</v>
      </c>
      <c r="I1371" s="3" t="s">
        <v>22</v>
      </c>
      <c r="J1371" s="5">
        <v>30000</v>
      </c>
      <c r="K1371" s="3">
        <v>4633801</v>
      </c>
      <c r="L1371" s="3" t="s">
        <v>750</v>
      </c>
      <c r="M1371" s="3" t="s">
        <v>5389</v>
      </c>
      <c r="N1371" s="3">
        <v>422</v>
      </c>
      <c r="P1371" s="3" t="s">
        <v>5390</v>
      </c>
      <c r="Q1371" s="3" t="s">
        <v>2427</v>
      </c>
      <c r="R1371" s="3" t="s">
        <v>28</v>
      </c>
      <c r="S1371" s="3">
        <v>14702238</v>
      </c>
      <c r="T1371" s="3">
        <v>1733426214</v>
      </c>
      <c r="U1371" s="3" t="s">
        <v>29</v>
      </c>
    </row>
    <row r="1372" spans="1:21" ht="13.2" x14ac:dyDescent="0.25">
      <c r="A1372" s="14">
        <v>43940618000144</v>
      </c>
      <c r="B1372" s="15" t="str">
        <f t="shared" si="21"/>
        <v>43.940.618/0001-44</v>
      </c>
      <c r="C1372" s="12"/>
      <c r="D1372" s="3" t="s">
        <v>5391</v>
      </c>
      <c r="E1372" s="3" t="s">
        <v>5391</v>
      </c>
      <c r="F1372" s="3" t="s">
        <v>20</v>
      </c>
      <c r="G1372" s="4">
        <v>27010</v>
      </c>
      <c r="H1372" s="3" t="s">
        <v>21</v>
      </c>
      <c r="I1372" s="3" t="s">
        <v>33</v>
      </c>
      <c r="J1372" s="5">
        <v>1304166000</v>
      </c>
      <c r="K1372" s="3">
        <v>4644301</v>
      </c>
      <c r="L1372" s="3" t="s">
        <v>326</v>
      </c>
      <c r="M1372" s="3" t="s">
        <v>834</v>
      </c>
      <c r="N1372" s="3">
        <v>8264</v>
      </c>
      <c r="P1372" s="3" t="s">
        <v>1397</v>
      </c>
      <c r="Q1372" s="3" t="s">
        <v>27</v>
      </c>
      <c r="R1372" s="3" t="s">
        <v>28</v>
      </c>
      <c r="S1372" s="3">
        <v>4703002</v>
      </c>
      <c r="T1372" s="3">
        <v>1121446750</v>
      </c>
      <c r="U1372" s="3" t="s">
        <v>29</v>
      </c>
    </row>
    <row r="1373" spans="1:21" ht="13.2" x14ac:dyDescent="0.25">
      <c r="A1373" s="14">
        <v>22860881000153</v>
      </c>
      <c r="B1373" s="15" t="str">
        <f t="shared" si="21"/>
        <v>22.860.881/0001-53</v>
      </c>
      <c r="C1373" s="12"/>
      <c r="D1373" s="3" t="s">
        <v>5392</v>
      </c>
      <c r="E1373" s="3" t="s">
        <v>5393</v>
      </c>
      <c r="F1373" s="3" t="s">
        <v>31</v>
      </c>
      <c r="G1373" s="4">
        <v>42201</v>
      </c>
      <c r="H1373" s="3" t="s">
        <v>46</v>
      </c>
      <c r="I1373" s="3" t="s">
        <v>47</v>
      </c>
      <c r="J1373" s="5">
        <v>50000</v>
      </c>
      <c r="K1373" s="3">
        <v>4751201</v>
      </c>
      <c r="L1373" s="3" t="s">
        <v>23</v>
      </c>
      <c r="M1373" s="3" t="s">
        <v>3568</v>
      </c>
      <c r="N1373" s="3" t="s">
        <v>5394</v>
      </c>
      <c r="O1373" s="3" t="s">
        <v>5395</v>
      </c>
      <c r="P1373" s="3" t="s">
        <v>70</v>
      </c>
      <c r="Q1373" s="3" t="s">
        <v>294</v>
      </c>
      <c r="R1373" s="3" t="s">
        <v>28</v>
      </c>
      <c r="S1373" s="3">
        <v>11010080</v>
      </c>
      <c r="T1373" s="3">
        <v>1332191560</v>
      </c>
      <c r="U1373" s="3" t="s">
        <v>29</v>
      </c>
    </row>
    <row r="1374" spans="1:21" ht="13.2" x14ac:dyDescent="0.25">
      <c r="A1374" s="14">
        <v>12885673000155</v>
      </c>
      <c r="B1374" s="15" t="str">
        <f t="shared" si="21"/>
        <v>12.885.673/0001-55</v>
      </c>
      <c r="C1374" s="12"/>
      <c r="D1374" s="3" t="s">
        <v>5396</v>
      </c>
      <c r="E1374" s="3" t="s">
        <v>5396</v>
      </c>
      <c r="F1374" s="3" t="s">
        <v>31</v>
      </c>
      <c r="G1374" s="4">
        <v>40501</v>
      </c>
      <c r="H1374" s="3" t="s">
        <v>46</v>
      </c>
      <c r="I1374" s="3" t="s">
        <v>22</v>
      </c>
      <c r="J1374" s="5">
        <v>50000</v>
      </c>
      <c r="K1374" s="3">
        <v>4754701</v>
      </c>
      <c r="L1374" s="3" t="s">
        <v>2125</v>
      </c>
      <c r="M1374" s="3" t="s">
        <v>1077</v>
      </c>
      <c r="N1374" s="3">
        <v>121</v>
      </c>
      <c r="P1374" s="3" t="s">
        <v>5397</v>
      </c>
      <c r="Q1374" s="3" t="s">
        <v>5398</v>
      </c>
      <c r="R1374" s="3" t="s">
        <v>28</v>
      </c>
      <c r="S1374" s="3">
        <v>13183693</v>
      </c>
      <c r="T1374" s="3">
        <v>1938192214</v>
      </c>
      <c r="U1374" s="3" t="s">
        <v>29</v>
      </c>
    </row>
    <row r="1375" spans="1:21" ht="13.2" x14ac:dyDescent="0.25">
      <c r="A1375" s="14">
        <v>17133688000180</v>
      </c>
      <c r="B1375" s="15" t="str">
        <f t="shared" si="21"/>
        <v>17.133.688/0001-80</v>
      </c>
      <c r="C1375" s="12"/>
      <c r="D1375" s="3" t="s">
        <v>5399</v>
      </c>
      <c r="E1375" s="3" t="s">
        <v>5400</v>
      </c>
      <c r="F1375" s="3" t="s">
        <v>45</v>
      </c>
      <c r="G1375" s="4">
        <v>41193</v>
      </c>
      <c r="H1375" s="3" t="s">
        <v>21</v>
      </c>
      <c r="I1375" s="3" t="s">
        <v>33</v>
      </c>
      <c r="J1375" s="5">
        <v>494640700</v>
      </c>
      <c r="K1375" s="3">
        <v>7723300</v>
      </c>
      <c r="L1375" s="3" t="s">
        <v>5401</v>
      </c>
      <c r="M1375" s="3" t="s">
        <v>5402</v>
      </c>
      <c r="N1375" s="3" t="s">
        <v>82</v>
      </c>
      <c r="O1375" s="3" t="s">
        <v>5403</v>
      </c>
      <c r="P1375" s="3" t="s">
        <v>153</v>
      </c>
      <c r="Q1375" s="3" t="s">
        <v>567</v>
      </c>
      <c r="R1375" s="3" t="s">
        <v>28</v>
      </c>
      <c r="S1375" s="3">
        <v>13213009</v>
      </c>
      <c r="T1375" s="3">
        <v>1130502828</v>
      </c>
      <c r="U1375" s="3" t="s">
        <v>29</v>
      </c>
    </row>
    <row r="1376" spans="1:21" ht="13.2" x14ac:dyDescent="0.25">
      <c r="A1376" s="14">
        <v>29219978000120</v>
      </c>
      <c r="B1376" s="15" t="str">
        <f t="shared" si="21"/>
        <v>29.219.978/0001-20</v>
      </c>
      <c r="C1376" s="12"/>
      <c r="D1376" s="3" t="s">
        <v>5404</v>
      </c>
      <c r="E1376" s="3" t="s">
        <v>5405</v>
      </c>
      <c r="F1376" s="3" t="s">
        <v>20</v>
      </c>
      <c r="G1376" s="4">
        <v>43059</v>
      </c>
      <c r="H1376" s="3" t="s">
        <v>21</v>
      </c>
      <c r="I1376" s="3" t="s">
        <v>22</v>
      </c>
      <c r="J1376" s="5">
        <v>150000</v>
      </c>
      <c r="K1376" s="3">
        <v>2731700</v>
      </c>
      <c r="L1376" s="3" t="s">
        <v>440</v>
      </c>
      <c r="M1376" s="3" t="s">
        <v>5406</v>
      </c>
      <c r="N1376" s="3">
        <v>6115</v>
      </c>
      <c r="P1376" s="3" t="s">
        <v>5407</v>
      </c>
      <c r="Q1376" s="3" t="s">
        <v>204</v>
      </c>
      <c r="R1376" s="3" t="s">
        <v>187</v>
      </c>
      <c r="S1376" s="3">
        <v>80630060</v>
      </c>
      <c r="T1376" s="3">
        <v>4135694998</v>
      </c>
      <c r="U1376" s="3" t="s">
        <v>29</v>
      </c>
    </row>
    <row r="1377" spans="1:21" ht="13.2" x14ac:dyDescent="0.25">
      <c r="A1377" s="14">
        <v>33648169000101</v>
      </c>
      <c r="B1377" s="15" t="str">
        <f t="shared" si="21"/>
        <v>33.648.169/0001-01</v>
      </c>
      <c r="C1377" s="12" t="str">
        <f>VLOOKUP(B1377,[1]Planilha1!$A:$B,2,0)</f>
        <v>Malu Montesino</v>
      </c>
      <c r="D1377" s="3" t="s">
        <v>5408</v>
      </c>
      <c r="E1377" s="3" t="s">
        <v>5408</v>
      </c>
      <c r="F1377" s="3" t="s">
        <v>20</v>
      </c>
      <c r="G1377" s="4">
        <v>43601</v>
      </c>
      <c r="H1377" s="3" t="s">
        <v>21</v>
      </c>
      <c r="I1377" s="3" t="s">
        <v>33</v>
      </c>
      <c r="J1377" s="5">
        <v>2800000</v>
      </c>
      <c r="K1377" s="3">
        <v>4669999</v>
      </c>
      <c r="L1377" s="3" t="s">
        <v>558</v>
      </c>
      <c r="M1377" s="3" t="s">
        <v>2680</v>
      </c>
      <c r="N1377" s="3">
        <v>104</v>
      </c>
      <c r="O1377" s="3" t="s">
        <v>3552</v>
      </c>
      <c r="P1377" s="3" t="s">
        <v>1640</v>
      </c>
      <c r="Q1377" s="3" t="s">
        <v>611</v>
      </c>
      <c r="R1377" s="3" t="s">
        <v>53</v>
      </c>
      <c r="S1377" s="3">
        <v>92110470</v>
      </c>
      <c r="T1377" s="3">
        <v>5139398634</v>
      </c>
      <c r="U1377" s="3" t="s">
        <v>29</v>
      </c>
    </row>
    <row r="1378" spans="1:21" ht="13.2" x14ac:dyDescent="0.25">
      <c r="A1378" s="14">
        <v>25343545000121</v>
      </c>
      <c r="B1378" s="15" t="str">
        <f t="shared" si="21"/>
        <v>25.343.545/0001-21</v>
      </c>
      <c r="C1378" s="12" t="str">
        <f>VLOOKUP(B1378,[1]Planilha1!$A:$B,2,0)</f>
        <v>Malu Montesino</v>
      </c>
      <c r="D1378" s="3" t="s">
        <v>5409</v>
      </c>
      <c r="E1378" s="3" t="s">
        <v>5410</v>
      </c>
      <c r="F1378" s="3" t="s">
        <v>45</v>
      </c>
      <c r="G1378" s="4">
        <v>42583</v>
      </c>
      <c r="H1378" s="3" t="s">
        <v>1329</v>
      </c>
      <c r="I1378" s="3" t="s">
        <v>22</v>
      </c>
      <c r="J1378" s="5">
        <v>500000</v>
      </c>
      <c r="K1378" s="3">
        <v>4669999</v>
      </c>
      <c r="L1378" s="3" t="s">
        <v>558</v>
      </c>
      <c r="M1378" s="3" t="s">
        <v>5411</v>
      </c>
      <c r="N1378" s="3">
        <v>195</v>
      </c>
      <c r="P1378" s="3" t="s">
        <v>5412</v>
      </c>
      <c r="Q1378" s="3" t="s">
        <v>27</v>
      </c>
      <c r="R1378" s="3" t="s">
        <v>28</v>
      </c>
      <c r="S1378" s="3">
        <v>3707050</v>
      </c>
      <c r="T1378" s="3">
        <v>1126476772</v>
      </c>
      <c r="U1378" s="3" t="s">
        <v>29</v>
      </c>
    </row>
    <row r="1379" spans="1:21" ht="13.2" x14ac:dyDescent="0.25">
      <c r="A1379" s="14">
        <v>3326448000198</v>
      </c>
      <c r="B1379" s="15" t="str">
        <f t="shared" si="21"/>
        <v>03.326.448/0001-98</v>
      </c>
      <c r="C1379" s="12"/>
      <c r="D1379" s="3" t="s">
        <v>5413</v>
      </c>
      <c r="E1379" s="3" t="s">
        <v>5413</v>
      </c>
      <c r="F1379" s="3" t="s">
        <v>20</v>
      </c>
      <c r="G1379" s="4">
        <v>36381</v>
      </c>
      <c r="H1379" s="3" t="s">
        <v>21</v>
      </c>
      <c r="I1379" s="3" t="s">
        <v>33</v>
      </c>
      <c r="J1379" s="5">
        <v>1000000</v>
      </c>
      <c r="K1379" s="3">
        <v>4646002</v>
      </c>
      <c r="L1379" s="3" t="s">
        <v>139</v>
      </c>
      <c r="M1379" s="3" t="s">
        <v>5414</v>
      </c>
      <c r="N1379" s="3" t="s">
        <v>5415</v>
      </c>
      <c r="O1379" s="3" t="s">
        <v>3007</v>
      </c>
      <c r="P1379" s="3" t="s">
        <v>5416</v>
      </c>
      <c r="Q1379" s="3" t="s">
        <v>280</v>
      </c>
      <c r="R1379" s="3" t="s">
        <v>281</v>
      </c>
      <c r="S1379" s="3">
        <v>40435480</v>
      </c>
      <c r="T1379" s="3">
        <v>7131144200</v>
      </c>
      <c r="U1379" s="3" t="s">
        <v>29</v>
      </c>
    </row>
    <row r="1380" spans="1:21" ht="13.2" x14ac:dyDescent="0.25">
      <c r="A1380" s="14">
        <v>28750038000109</v>
      </c>
      <c r="B1380" s="15" t="str">
        <f t="shared" si="21"/>
        <v>28.750.038/0001-09</v>
      </c>
      <c r="C1380" s="12"/>
      <c r="D1380" s="3" t="s">
        <v>5417</v>
      </c>
      <c r="E1380" s="3" t="s">
        <v>5418</v>
      </c>
      <c r="F1380" s="3" t="s">
        <v>20</v>
      </c>
      <c r="G1380" s="4">
        <v>43006</v>
      </c>
      <c r="H1380" s="3" t="s">
        <v>21</v>
      </c>
      <c r="I1380" s="3" t="s">
        <v>33</v>
      </c>
      <c r="J1380" s="5">
        <v>4000000</v>
      </c>
      <c r="K1380" s="3">
        <v>4789099</v>
      </c>
      <c r="L1380" s="3" t="s">
        <v>774</v>
      </c>
      <c r="M1380" s="3" t="s">
        <v>5419</v>
      </c>
      <c r="N1380" s="3">
        <v>149</v>
      </c>
      <c r="P1380" s="3" t="s">
        <v>4926</v>
      </c>
      <c r="Q1380" s="3" t="s">
        <v>27</v>
      </c>
      <c r="R1380" s="3" t="s">
        <v>28</v>
      </c>
      <c r="S1380" s="3">
        <v>5094010</v>
      </c>
      <c r="T1380" s="3">
        <v>1138055537</v>
      </c>
      <c r="U1380" s="3" t="s">
        <v>29</v>
      </c>
    </row>
    <row r="1381" spans="1:21" ht="13.2" x14ac:dyDescent="0.25">
      <c r="A1381" s="14">
        <v>31626973000164</v>
      </c>
      <c r="B1381" s="15" t="str">
        <f t="shared" si="21"/>
        <v>31.626.973/0001-64</v>
      </c>
      <c r="C1381" s="12" t="str">
        <f>VLOOKUP(B1381,[1]Planilha1!$A:$B,2,0)</f>
        <v>Malu Montesino</v>
      </c>
      <c r="D1381" s="3" t="s">
        <v>5420</v>
      </c>
      <c r="E1381" s="3" t="s">
        <v>5421</v>
      </c>
      <c r="F1381" s="3" t="s">
        <v>20</v>
      </c>
      <c r="G1381" s="4">
        <v>43370</v>
      </c>
      <c r="H1381" s="3" t="s">
        <v>21</v>
      </c>
      <c r="I1381" s="3" t="s">
        <v>33</v>
      </c>
      <c r="J1381" s="5">
        <v>100000</v>
      </c>
      <c r="K1381" s="3">
        <v>4930201</v>
      </c>
      <c r="L1381" s="3" t="s">
        <v>3161</v>
      </c>
      <c r="M1381" s="3" t="s">
        <v>5422</v>
      </c>
      <c r="N1381" s="3">
        <v>333</v>
      </c>
      <c r="O1381" s="3" t="s">
        <v>5423</v>
      </c>
      <c r="P1381" s="3" t="s">
        <v>70</v>
      </c>
      <c r="Q1381" s="3" t="s">
        <v>2287</v>
      </c>
      <c r="R1381" s="3" t="s">
        <v>91</v>
      </c>
      <c r="S1381" s="3">
        <v>88301030</v>
      </c>
      <c r="T1381" s="3">
        <v>4730651251</v>
      </c>
      <c r="U1381" s="3" t="s">
        <v>29</v>
      </c>
    </row>
    <row r="1382" spans="1:21" ht="13.2" x14ac:dyDescent="0.25">
      <c r="A1382" s="14">
        <v>3814038000196</v>
      </c>
      <c r="B1382" s="15" t="str">
        <f t="shared" si="21"/>
        <v>03.814.038/0001-96</v>
      </c>
      <c r="C1382" s="12"/>
      <c r="D1382" s="3" t="s">
        <v>5424</v>
      </c>
      <c r="E1382" s="3" t="s">
        <v>5424</v>
      </c>
      <c r="F1382" s="3" t="s">
        <v>20</v>
      </c>
      <c r="G1382" s="4">
        <v>36630</v>
      </c>
      <c r="H1382" s="3" t="s">
        <v>21</v>
      </c>
      <c r="I1382" s="3" t="s">
        <v>33</v>
      </c>
      <c r="J1382" s="5">
        <v>974001</v>
      </c>
      <c r="K1382" s="3">
        <v>4686901</v>
      </c>
      <c r="L1382" s="3" t="s">
        <v>4868</v>
      </c>
      <c r="M1382" s="3" t="s">
        <v>5425</v>
      </c>
      <c r="N1382" s="3">
        <v>293</v>
      </c>
      <c r="O1382" s="3" t="s">
        <v>5426</v>
      </c>
      <c r="P1382" s="3" t="s">
        <v>70</v>
      </c>
      <c r="Q1382" s="3" t="s">
        <v>27</v>
      </c>
      <c r="R1382" s="3" t="s">
        <v>28</v>
      </c>
      <c r="S1382" s="3">
        <v>1009907</v>
      </c>
      <c r="T1382" s="3">
        <v>1131015257</v>
      </c>
      <c r="U1382" s="3" t="s">
        <v>29</v>
      </c>
    </row>
    <row r="1383" spans="1:21" ht="13.2" x14ac:dyDescent="0.25">
      <c r="A1383" s="14">
        <v>26933427000136</v>
      </c>
      <c r="B1383" s="15" t="str">
        <f t="shared" si="21"/>
        <v>26.933.427/0001-36</v>
      </c>
      <c r="C1383" s="12"/>
      <c r="D1383" s="3" t="s">
        <v>5427</v>
      </c>
      <c r="E1383" s="3" t="s">
        <v>5428</v>
      </c>
      <c r="F1383" s="3" t="s">
        <v>31</v>
      </c>
      <c r="G1383" s="4">
        <v>42758</v>
      </c>
      <c r="H1383" s="3" t="s">
        <v>46</v>
      </c>
      <c r="I1383" s="3" t="s">
        <v>47</v>
      </c>
      <c r="J1383" s="5">
        <v>50000</v>
      </c>
      <c r="K1383" s="3">
        <v>4723700</v>
      </c>
      <c r="L1383" s="3" t="s">
        <v>2008</v>
      </c>
      <c r="M1383" s="3" t="s">
        <v>5429</v>
      </c>
      <c r="N1383" s="3">
        <v>37</v>
      </c>
      <c r="O1383" s="3" t="s">
        <v>2221</v>
      </c>
      <c r="P1383" s="3" t="s">
        <v>248</v>
      </c>
      <c r="Q1383" s="3" t="s">
        <v>27</v>
      </c>
      <c r="R1383" s="3" t="s">
        <v>28</v>
      </c>
      <c r="S1383" s="3">
        <v>1311902</v>
      </c>
      <c r="T1383" s="3">
        <v>1999474836</v>
      </c>
      <c r="U1383" s="3" t="s">
        <v>29</v>
      </c>
    </row>
    <row r="1384" spans="1:21" ht="13.2" x14ac:dyDescent="0.25">
      <c r="A1384" s="14">
        <v>7046094000189</v>
      </c>
      <c r="B1384" s="15" t="str">
        <f t="shared" si="21"/>
        <v>07.046.094/0001-89</v>
      </c>
      <c r="C1384" s="12"/>
      <c r="D1384" s="3" t="s">
        <v>5430</v>
      </c>
      <c r="E1384" s="3" t="s">
        <v>5430</v>
      </c>
      <c r="F1384" s="3" t="s">
        <v>20</v>
      </c>
      <c r="G1384" s="4">
        <v>38216</v>
      </c>
      <c r="H1384" s="3" t="s">
        <v>21</v>
      </c>
      <c r="I1384" s="3" t="s">
        <v>33</v>
      </c>
      <c r="J1384" s="5">
        <v>11811632</v>
      </c>
      <c r="K1384" s="3">
        <v>1813099</v>
      </c>
      <c r="L1384" s="3" t="s">
        <v>2362</v>
      </c>
      <c r="M1384" s="3" t="s">
        <v>5431</v>
      </c>
      <c r="N1384" s="3">
        <v>242</v>
      </c>
      <c r="P1384" s="3" t="s">
        <v>5432</v>
      </c>
      <c r="Q1384" s="3" t="s">
        <v>27</v>
      </c>
      <c r="R1384" s="3" t="s">
        <v>28</v>
      </c>
      <c r="S1384" s="3">
        <v>5550060</v>
      </c>
      <c r="T1384" s="3">
        <v>1137836527</v>
      </c>
      <c r="U1384" s="3" t="s">
        <v>29</v>
      </c>
    </row>
    <row r="1385" spans="1:21" ht="13.2" x14ac:dyDescent="0.25">
      <c r="A1385" s="14">
        <v>2302101000142</v>
      </c>
      <c r="B1385" s="15" t="str">
        <f t="shared" si="21"/>
        <v>02.302.101/0001-42</v>
      </c>
      <c r="C1385" s="12"/>
      <c r="D1385" s="3" t="s">
        <v>5433</v>
      </c>
      <c r="E1385" s="3" t="s">
        <v>5433</v>
      </c>
      <c r="F1385" s="3" t="s">
        <v>20</v>
      </c>
      <c r="G1385" s="4">
        <v>35786</v>
      </c>
      <c r="H1385" s="3" t="s">
        <v>377</v>
      </c>
      <c r="I1385" s="3" t="s">
        <v>33</v>
      </c>
      <c r="J1385" s="5">
        <v>285411300</v>
      </c>
      <c r="K1385" s="3">
        <v>3511501</v>
      </c>
      <c r="L1385" s="3" t="s">
        <v>1917</v>
      </c>
      <c r="M1385" s="3" t="s">
        <v>5434</v>
      </c>
      <c r="N1385" s="3">
        <v>85</v>
      </c>
      <c r="O1385" s="3" t="s">
        <v>5435</v>
      </c>
      <c r="P1385" s="3" t="s">
        <v>1019</v>
      </c>
      <c r="Q1385" s="3" t="s">
        <v>27</v>
      </c>
      <c r="R1385" s="3" t="s">
        <v>28</v>
      </c>
      <c r="S1385" s="3">
        <v>4576010</v>
      </c>
      <c r="T1385" s="3">
        <v>1127636514</v>
      </c>
      <c r="U1385" s="3" t="s">
        <v>29</v>
      </c>
    </row>
    <row r="1386" spans="1:21" ht="13.2" x14ac:dyDescent="0.25">
      <c r="A1386" s="14">
        <v>4420916000151</v>
      </c>
      <c r="B1386" s="15" t="str">
        <f t="shared" si="21"/>
        <v>04.420.916/0001-51</v>
      </c>
      <c r="C1386" s="12"/>
      <c r="D1386" s="3" t="s">
        <v>5436</v>
      </c>
      <c r="E1386" s="3" t="s">
        <v>5437</v>
      </c>
      <c r="F1386" s="3" t="s">
        <v>20</v>
      </c>
      <c r="G1386" s="4">
        <v>37018</v>
      </c>
      <c r="H1386" s="3" t="s">
        <v>21</v>
      </c>
      <c r="I1386" s="3" t="s">
        <v>33</v>
      </c>
      <c r="J1386" s="5">
        <v>63584040</v>
      </c>
      <c r="K1386" s="3">
        <v>2099199</v>
      </c>
      <c r="L1386" s="3" t="s">
        <v>80</v>
      </c>
      <c r="M1386" s="3" t="s">
        <v>5438</v>
      </c>
      <c r="N1386" s="3">
        <v>1</v>
      </c>
      <c r="P1386" s="3" t="s">
        <v>5439</v>
      </c>
      <c r="Q1386" s="3" t="s">
        <v>448</v>
      </c>
      <c r="R1386" s="3" t="s">
        <v>449</v>
      </c>
      <c r="S1386" s="3">
        <v>69035351</v>
      </c>
      <c r="T1386" s="3">
        <v>9236250553</v>
      </c>
      <c r="U1386" s="3" t="s">
        <v>29</v>
      </c>
    </row>
    <row r="1387" spans="1:21" ht="13.2" x14ac:dyDescent="0.25">
      <c r="A1387" s="14">
        <v>27098270000133</v>
      </c>
      <c r="B1387" s="15" t="str">
        <f t="shared" si="21"/>
        <v>27.098.270/0001-33</v>
      </c>
      <c r="C1387" s="12" t="str">
        <f>VLOOKUP(B1387,[1]Planilha1!$A:$B,2,0)</f>
        <v>Malu Montesino</v>
      </c>
      <c r="D1387" s="3" t="s">
        <v>5440</v>
      </c>
      <c r="E1387" s="3" t="s">
        <v>5441</v>
      </c>
      <c r="F1387" s="3" t="s">
        <v>20</v>
      </c>
      <c r="G1387" s="4">
        <v>42779</v>
      </c>
      <c r="H1387" s="3" t="s">
        <v>21</v>
      </c>
      <c r="I1387" s="3" t="s">
        <v>33</v>
      </c>
      <c r="J1387" s="5">
        <v>10000000</v>
      </c>
      <c r="K1387" s="3">
        <v>2930101</v>
      </c>
      <c r="L1387" s="3" t="s">
        <v>856</v>
      </c>
      <c r="M1387" s="3" t="s">
        <v>5442</v>
      </c>
      <c r="N1387" s="3" t="s">
        <v>111</v>
      </c>
      <c r="O1387" s="3" t="s">
        <v>5443</v>
      </c>
      <c r="P1387" s="3" t="s">
        <v>1475</v>
      </c>
      <c r="Q1387" s="3" t="s">
        <v>573</v>
      </c>
      <c r="R1387" s="3" t="s">
        <v>274</v>
      </c>
      <c r="S1387" s="3">
        <v>74993020</v>
      </c>
      <c r="T1387" s="3">
        <v>6234142300</v>
      </c>
      <c r="U1387" s="3" t="s">
        <v>29</v>
      </c>
    </row>
    <row r="1388" spans="1:21" ht="13.2" x14ac:dyDescent="0.25">
      <c r="A1388" s="14">
        <v>55647515000170</v>
      </c>
      <c r="B1388" s="15" t="str">
        <f t="shared" si="21"/>
        <v>55.647.515/0001-70</v>
      </c>
      <c r="C1388" s="12"/>
      <c r="D1388" s="3" t="s">
        <v>5444</v>
      </c>
      <c r="E1388" s="3" t="s">
        <v>5444</v>
      </c>
      <c r="F1388" s="3" t="s">
        <v>20</v>
      </c>
      <c r="G1388" s="4">
        <v>31525</v>
      </c>
      <c r="H1388" s="3" t="s">
        <v>21</v>
      </c>
      <c r="I1388" s="3" t="s">
        <v>33</v>
      </c>
      <c r="J1388" s="5">
        <v>600000</v>
      </c>
      <c r="K1388" s="3">
        <v>1733800</v>
      </c>
      <c r="L1388" s="3" t="s">
        <v>5445</v>
      </c>
      <c r="M1388" s="3" t="s">
        <v>5446</v>
      </c>
      <c r="N1388" s="3">
        <v>198</v>
      </c>
      <c r="P1388" s="3" t="s">
        <v>5447</v>
      </c>
      <c r="Q1388" s="3" t="s">
        <v>1943</v>
      </c>
      <c r="R1388" s="3" t="s">
        <v>28</v>
      </c>
      <c r="S1388" s="3">
        <v>9961720</v>
      </c>
      <c r="T1388" s="3">
        <v>1140611100</v>
      </c>
      <c r="U1388" s="3" t="s">
        <v>29</v>
      </c>
    </row>
    <row r="1389" spans="1:21" ht="13.2" x14ac:dyDescent="0.25">
      <c r="A1389" s="14">
        <v>10347424000180</v>
      </c>
      <c r="B1389" s="15" t="str">
        <f t="shared" si="21"/>
        <v>10.347.424/0001-80</v>
      </c>
      <c r="C1389" s="12"/>
      <c r="D1389" s="3" t="s">
        <v>5448</v>
      </c>
      <c r="E1389" s="3" t="s">
        <v>5449</v>
      </c>
      <c r="F1389" s="3" t="s">
        <v>20</v>
      </c>
      <c r="G1389" s="4">
        <v>39710</v>
      </c>
      <c r="H1389" s="3" t="s">
        <v>21</v>
      </c>
      <c r="I1389" s="3" t="s">
        <v>22</v>
      </c>
      <c r="J1389" s="5">
        <v>5468100</v>
      </c>
      <c r="K1389" s="3">
        <v>4686902</v>
      </c>
      <c r="L1389" s="3" t="s">
        <v>2027</v>
      </c>
      <c r="M1389" s="3" t="s">
        <v>3565</v>
      </c>
      <c r="N1389" s="3" t="s">
        <v>82</v>
      </c>
      <c r="O1389" s="3" t="s">
        <v>5450</v>
      </c>
      <c r="P1389" s="3" t="s">
        <v>5451</v>
      </c>
      <c r="Q1389" s="3" t="s">
        <v>5452</v>
      </c>
      <c r="R1389" s="3" t="s">
        <v>1847</v>
      </c>
      <c r="S1389" s="3">
        <v>57100000</v>
      </c>
      <c r="T1389" s="3">
        <v>8233596241</v>
      </c>
      <c r="U1389" s="3" t="s">
        <v>29</v>
      </c>
    </row>
    <row r="1390" spans="1:21" ht="13.2" x14ac:dyDescent="0.25">
      <c r="A1390" s="14">
        <v>59937524000156</v>
      </c>
      <c r="B1390" s="15" t="str">
        <f t="shared" si="21"/>
        <v>59.937.524/0001-56</v>
      </c>
      <c r="C1390" s="12"/>
      <c r="D1390" s="3" t="s">
        <v>5453</v>
      </c>
      <c r="E1390" s="3" t="s">
        <v>5454</v>
      </c>
      <c r="F1390" s="3" t="s">
        <v>20</v>
      </c>
      <c r="G1390" s="4">
        <v>32510</v>
      </c>
      <c r="H1390" s="3" t="s">
        <v>21</v>
      </c>
      <c r="I1390" s="3" t="s">
        <v>33</v>
      </c>
      <c r="J1390" s="5">
        <v>257306180</v>
      </c>
      <c r="K1390" s="3">
        <v>8291100</v>
      </c>
      <c r="L1390" s="3" t="s">
        <v>1502</v>
      </c>
      <c r="M1390" s="3" t="s">
        <v>5455</v>
      </c>
      <c r="N1390" s="3">
        <v>230</v>
      </c>
      <c r="O1390" s="3" t="s">
        <v>5456</v>
      </c>
      <c r="P1390" s="3" t="s">
        <v>3910</v>
      </c>
      <c r="Q1390" s="3" t="s">
        <v>27</v>
      </c>
      <c r="R1390" s="3" t="s">
        <v>28</v>
      </c>
      <c r="S1390" s="3">
        <v>1044000</v>
      </c>
      <c r="T1390" s="3">
        <v>1121010400</v>
      </c>
      <c r="U1390" s="3" t="s">
        <v>29</v>
      </c>
    </row>
    <row r="1391" spans="1:21" ht="13.2" x14ac:dyDescent="0.25">
      <c r="A1391" s="14">
        <v>2837834000181</v>
      </c>
      <c r="B1391" s="15" t="str">
        <f t="shared" si="21"/>
        <v>02.837.834/0001-81</v>
      </c>
      <c r="C1391" s="12"/>
      <c r="D1391" s="3" t="s">
        <v>5457</v>
      </c>
      <c r="E1391" s="3" t="s">
        <v>5458</v>
      </c>
      <c r="F1391" s="3" t="s">
        <v>20</v>
      </c>
      <c r="G1391" s="4">
        <v>36108</v>
      </c>
      <c r="H1391" s="3" t="s">
        <v>21</v>
      </c>
      <c r="I1391" s="3" t="s">
        <v>33</v>
      </c>
      <c r="J1391" s="5">
        <v>600000</v>
      </c>
      <c r="K1391" s="3">
        <v>2229399</v>
      </c>
      <c r="L1391" s="3" t="s">
        <v>414</v>
      </c>
      <c r="M1391" s="3" t="s">
        <v>1704</v>
      </c>
      <c r="N1391" s="3">
        <v>74</v>
      </c>
      <c r="O1391" s="3" t="s">
        <v>5459</v>
      </c>
      <c r="P1391" s="3" t="s">
        <v>5460</v>
      </c>
      <c r="Q1391" s="3" t="s">
        <v>5461</v>
      </c>
      <c r="R1391" s="3" t="s">
        <v>28</v>
      </c>
      <c r="S1391" s="3">
        <v>6866250</v>
      </c>
      <c r="T1391" s="3">
        <v>1134637445</v>
      </c>
      <c r="U1391" s="3" t="s">
        <v>29</v>
      </c>
    </row>
    <row r="1392" spans="1:21" ht="13.2" x14ac:dyDescent="0.25">
      <c r="A1392" s="14">
        <v>4196290000141</v>
      </c>
      <c r="B1392" s="15" t="str">
        <f t="shared" si="21"/>
        <v>04.196.290/0001-41</v>
      </c>
      <c r="C1392" s="12" t="str">
        <f>VLOOKUP(B1392,[1]Planilha1!$A:$B,2,0)</f>
        <v>Malu Montesino</v>
      </c>
      <c r="D1392" s="3" t="s">
        <v>5462</v>
      </c>
      <c r="E1392" s="3" t="s">
        <v>5462</v>
      </c>
      <c r="F1392" s="3" t="s">
        <v>20</v>
      </c>
      <c r="G1392" s="4">
        <v>36864</v>
      </c>
      <c r="H1392" s="3" t="s">
        <v>21</v>
      </c>
      <c r="I1392" s="3" t="s">
        <v>33</v>
      </c>
      <c r="J1392" s="5">
        <v>800000</v>
      </c>
      <c r="K1392" s="3">
        <v>4663000</v>
      </c>
      <c r="L1392" s="3" t="s">
        <v>128</v>
      </c>
      <c r="M1392" s="3" t="s">
        <v>5463</v>
      </c>
      <c r="N1392" s="3">
        <v>179</v>
      </c>
      <c r="O1392" s="3" t="s">
        <v>5464</v>
      </c>
      <c r="P1392" s="3" t="s">
        <v>5465</v>
      </c>
      <c r="Q1392" s="3" t="s">
        <v>217</v>
      </c>
      <c r="R1392" s="3" t="s">
        <v>28</v>
      </c>
      <c r="S1392" s="3">
        <v>9850090</v>
      </c>
      <c r="T1392" s="3">
        <v>1143561130</v>
      </c>
      <c r="U1392" s="3" t="s">
        <v>29</v>
      </c>
    </row>
    <row r="1393" spans="1:21" ht="13.2" x14ac:dyDescent="0.25">
      <c r="A1393" s="14">
        <v>1682344000190</v>
      </c>
      <c r="B1393" s="15" t="str">
        <f t="shared" si="21"/>
        <v>01.682.344/0001-90</v>
      </c>
      <c r="C1393" s="12"/>
      <c r="D1393" s="3" t="s">
        <v>5466</v>
      </c>
      <c r="E1393" s="3" t="s">
        <v>5466</v>
      </c>
      <c r="F1393" s="3" t="s">
        <v>20</v>
      </c>
      <c r="G1393" s="4">
        <v>35481</v>
      </c>
      <c r="H1393" s="3" t="s">
        <v>21</v>
      </c>
      <c r="I1393" s="3" t="s">
        <v>33</v>
      </c>
      <c r="J1393" s="5">
        <v>3600000</v>
      </c>
      <c r="K1393" s="3">
        <v>4211101</v>
      </c>
      <c r="L1393" s="3" t="s">
        <v>313</v>
      </c>
      <c r="M1393" s="3" t="s">
        <v>476</v>
      </c>
      <c r="N1393" s="3">
        <v>309</v>
      </c>
      <c r="O1393" s="3" t="s">
        <v>5467</v>
      </c>
      <c r="P1393" s="3" t="s">
        <v>5468</v>
      </c>
      <c r="Q1393" s="3" t="s">
        <v>5469</v>
      </c>
      <c r="R1393" s="3" t="s">
        <v>1604</v>
      </c>
      <c r="S1393" s="3">
        <v>76888000</v>
      </c>
      <c r="T1393" s="3">
        <v>6935368112</v>
      </c>
      <c r="U1393" s="3" t="s">
        <v>29</v>
      </c>
    </row>
    <row r="1394" spans="1:21" ht="13.2" x14ac:dyDescent="0.25">
      <c r="A1394" s="14">
        <v>1686183000103</v>
      </c>
      <c r="B1394" s="15" t="str">
        <f t="shared" si="21"/>
        <v>01.686.183/0001-03</v>
      </c>
      <c r="C1394" s="12"/>
      <c r="D1394" s="3" t="s">
        <v>5470</v>
      </c>
      <c r="E1394" s="3" t="s">
        <v>5471</v>
      </c>
      <c r="F1394" s="3" t="s">
        <v>20</v>
      </c>
      <c r="G1394" s="4">
        <v>35494</v>
      </c>
      <c r="H1394" s="3" t="s">
        <v>21</v>
      </c>
      <c r="I1394" s="3" t="s">
        <v>22</v>
      </c>
      <c r="J1394" s="5">
        <v>200000</v>
      </c>
      <c r="K1394" s="3">
        <v>4645103</v>
      </c>
      <c r="L1394" s="3" t="s">
        <v>1568</v>
      </c>
      <c r="M1394" s="3" t="s">
        <v>5472</v>
      </c>
      <c r="N1394" s="3" t="s">
        <v>82</v>
      </c>
      <c r="P1394" s="3" t="s">
        <v>5473</v>
      </c>
      <c r="Q1394" s="3" t="s">
        <v>631</v>
      </c>
      <c r="R1394" s="3" t="s">
        <v>632</v>
      </c>
      <c r="S1394" s="3">
        <v>72110150</v>
      </c>
      <c r="T1394" s="3">
        <v>6133517572</v>
      </c>
      <c r="U1394" s="3" t="s">
        <v>29</v>
      </c>
    </row>
    <row r="1395" spans="1:21" ht="13.2" x14ac:dyDescent="0.25">
      <c r="A1395" s="14">
        <v>18105833000182</v>
      </c>
      <c r="B1395" s="15" t="str">
        <f t="shared" si="21"/>
        <v>18.105.833/0001-82</v>
      </c>
      <c r="C1395" s="12"/>
      <c r="D1395" s="3" t="s">
        <v>5474</v>
      </c>
      <c r="E1395" s="3" t="s">
        <v>5474</v>
      </c>
      <c r="F1395" s="3" t="s">
        <v>20</v>
      </c>
      <c r="G1395" s="4">
        <v>30482</v>
      </c>
      <c r="H1395" s="3" t="s">
        <v>21</v>
      </c>
      <c r="I1395" s="3" t="s">
        <v>22</v>
      </c>
      <c r="J1395" s="5">
        <v>300000</v>
      </c>
      <c r="K1395" s="3">
        <v>7732201</v>
      </c>
      <c r="L1395" s="3" t="s">
        <v>1620</v>
      </c>
      <c r="M1395" s="3" t="s">
        <v>5475</v>
      </c>
      <c r="N1395" s="3">
        <v>806</v>
      </c>
      <c r="P1395" s="3" t="s">
        <v>2345</v>
      </c>
      <c r="Q1395" s="3" t="s">
        <v>476</v>
      </c>
      <c r="R1395" s="3" t="s">
        <v>100</v>
      </c>
      <c r="S1395" s="3">
        <v>31130100</v>
      </c>
      <c r="T1395" s="3">
        <v>3134498800</v>
      </c>
      <c r="U1395" s="3" t="s">
        <v>29</v>
      </c>
    </row>
    <row r="1396" spans="1:21" ht="13.2" x14ac:dyDescent="0.25">
      <c r="A1396" s="14">
        <v>59014100000110</v>
      </c>
      <c r="B1396" s="15" t="str">
        <f t="shared" si="21"/>
        <v>59.014.100/0001-10</v>
      </c>
      <c r="C1396" s="12"/>
      <c r="D1396" s="3" t="s">
        <v>5476</v>
      </c>
      <c r="E1396" s="3" t="s">
        <v>5477</v>
      </c>
      <c r="F1396" s="3" t="s">
        <v>20</v>
      </c>
      <c r="G1396" s="4">
        <v>32882</v>
      </c>
      <c r="H1396" s="3" t="s">
        <v>1550</v>
      </c>
      <c r="I1396" s="3" t="s">
        <v>33</v>
      </c>
      <c r="J1396" s="5">
        <v>230000</v>
      </c>
      <c r="K1396" s="3">
        <v>6911701</v>
      </c>
      <c r="L1396" s="3" t="s">
        <v>1551</v>
      </c>
      <c r="M1396" s="3" t="s">
        <v>5478</v>
      </c>
      <c r="N1396" s="3">
        <v>655</v>
      </c>
      <c r="O1396" s="3" t="s">
        <v>3219</v>
      </c>
      <c r="P1396" s="3" t="s">
        <v>70</v>
      </c>
      <c r="Q1396" s="3" t="s">
        <v>65</v>
      </c>
      <c r="R1396" s="3" t="s">
        <v>28</v>
      </c>
      <c r="S1396" s="3">
        <v>13015001</v>
      </c>
      <c r="T1396" s="3">
        <v>1921027600</v>
      </c>
      <c r="U1396" s="3" t="s">
        <v>29</v>
      </c>
    </row>
    <row r="1397" spans="1:21" ht="13.2" x14ac:dyDescent="0.25">
      <c r="A1397" s="14">
        <v>43213776000100</v>
      </c>
      <c r="B1397" s="15" t="str">
        <f t="shared" si="21"/>
        <v>43.213.776/0001-00</v>
      </c>
      <c r="C1397" s="12"/>
      <c r="D1397" s="3" t="s">
        <v>5479</v>
      </c>
      <c r="E1397" s="3" t="s">
        <v>5479</v>
      </c>
      <c r="F1397" s="3" t="s">
        <v>20</v>
      </c>
      <c r="G1397" s="4">
        <v>26424</v>
      </c>
      <c r="H1397" s="3" t="s">
        <v>21</v>
      </c>
      <c r="I1397" s="3" t="s">
        <v>33</v>
      </c>
      <c r="J1397" s="5">
        <v>314228160</v>
      </c>
      <c r="K1397" s="3">
        <v>2651500</v>
      </c>
      <c r="L1397" s="3" t="s">
        <v>600</v>
      </c>
      <c r="M1397" s="3" t="s">
        <v>5480</v>
      </c>
      <c r="N1397" s="3">
        <v>325</v>
      </c>
      <c r="P1397" s="3" t="s">
        <v>230</v>
      </c>
      <c r="Q1397" s="3" t="s">
        <v>231</v>
      </c>
      <c r="R1397" s="3" t="s">
        <v>28</v>
      </c>
      <c r="S1397" s="3">
        <v>18087105</v>
      </c>
      <c r="T1397" s="3">
        <v>1534138249</v>
      </c>
      <c r="U1397" s="3" t="s">
        <v>29</v>
      </c>
    </row>
    <row r="1398" spans="1:21" ht="13.2" x14ac:dyDescent="0.25">
      <c r="A1398" s="14">
        <v>37071313000140</v>
      </c>
      <c r="B1398" s="15" t="str">
        <f t="shared" si="21"/>
        <v>37.071.313/0001-40</v>
      </c>
      <c r="C1398" s="12"/>
      <c r="D1398" s="3" t="s">
        <v>5481</v>
      </c>
      <c r="E1398" s="3" t="s">
        <v>5482</v>
      </c>
      <c r="F1398" s="3" t="s">
        <v>20</v>
      </c>
      <c r="G1398" s="4">
        <v>33651</v>
      </c>
      <c r="H1398" s="3" t="s">
        <v>21</v>
      </c>
      <c r="I1398" s="3" t="s">
        <v>33</v>
      </c>
      <c r="J1398" s="5">
        <v>18000000</v>
      </c>
      <c r="K1398" s="3">
        <v>7112000</v>
      </c>
      <c r="L1398" s="3" t="s">
        <v>276</v>
      </c>
      <c r="M1398" s="3" t="s">
        <v>5483</v>
      </c>
      <c r="N1398" s="3">
        <v>72</v>
      </c>
      <c r="O1398" s="3" t="s">
        <v>5484</v>
      </c>
      <c r="P1398" s="3" t="s">
        <v>2699</v>
      </c>
      <c r="Q1398" s="3" t="s">
        <v>631</v>
      </c>
      <c r="R1398" s="3" t="s">
        <v>632</v>
      </c>
      <c r="S1398" s="3">
        <v>70610433</v>
      </c>
      <c r="T1398" s="3">
        <v>6133442380</v>
      </c>
      <c r="U1398" s="3" t="s">
        <v>29</v>
      </c>
    </row>
    <row r="1399" spans="1:21" ht="13.2" x14ac:dyDescent="0.25">
      <c r="A1399" s="14">
        <v>61685723000166</v>
      </c>
      <c r="B1399" s="15" t="str">
        <f t="shared" si="21"/>
        <v>61.685.723/0001-66</v>
      </c>
      <c r="C1399" s="12" t="str">
        <f>VLOOKUP(B1399,[1]Planilha1!$A:$B,2,0)</f>
        <v>Malu Montesino</v>
      </c>
      <c r="D1399" s="3" t="s">
        <v>5485</v>
      </c>
      <c r="E1399" s="3" t="s">
        <v>5485</v>
      </c>
      <c r="F1399" s="3" t="s">
        <v>20</v>
      </c>
      <c r="G1399" s="4">
        <v>24692</v>
      </c>
      <c r="H1399" s="3" t="s">
        <v>94</v>
      </c>
      <c r="I1399" s="3" t="s">
        <v>33</v>
      </c>
      <c r="J1399" s="5">
        <v>69987880</v>
      </c>
      <c r="K1399" s="3">
        <v>2790299</v>
      </c>
      <c r="L1399" s="3" t="s">
        <v>2875</v>
      </c>
      <c r="M1399" s="3" t="s">
        <v>5486</v>
      </c>
      <c r="N1399" s="3">
        <v>1200</v>
      </c>
      <c r="O1399" s="3" t="s">
        <v>5487</v>
      </c>
      <c r="P1399" s="3" t="s">
        <v>5488</v>
      </c>
      <c r="Q1399" s="3" t="s">
        <v>1312</v>
      </c>
      <c r="R1399" s="3" t="s">
        <v>28</v>
      </c>
      <c r="S1399" s="3">
        <v>13312902</v>
      </c>
      <c r="T1399" s="3">
        <v>1140249800</v>
      </c>
      <c r="U1399" s="3" t="s">
        <v>29</v>
      </c>
    </row>
    <row r="1400" spans="1:21" ht="13.2" x14ac:dyDescent="0.25">
      <c r="A1400" s="14">
        <v>71505564000124</v>
      </c>
      <c r="B1400" s="15" t="str">
        <f t="shared" si="21"/>
        <v>71.505.564/0001-24</v>
      </c>
      <c r="C1400" s="12"/>
      <c r="D1400" s="3" t="s">
        <v>5489</v>
      </c>
      <c r="E1400" s="3" t="s">
        <v>5489</v>
      </c>
      <c r="F1400" s="3" t="s">
        <v>20</v>
      </c>
      <c r="G1400" s="4">
        <v>34374</v>
      </c>
      <c r="H1400" s="3" t="s">
        <v>21</v>
      </c>
      <c r="I1400" s="3" t="s">
        <v>33</v>
      </c>
      <c r="J1400" s="5">
        <v>500000</v>
      </c>
      <c r="K1400" s="3">
        <v>4645103</v>
      </c>
      <c r="L1400" s="3" t="s">
        <v>1568</v>
      </c>
      <c r="M1400" s="3" t="s">
        <v>4734</v>
      </c>
      <c r="N1400" s="3">
        <v>34</v>
      </c>
      <c r="O1400" s="3" t="s">
        <v>222</v>
      </c>
      <c r="P1400" s="3" t="s">
        <v>4736</v>
      </c>
      <c r="Q1400" s="3" t="s">
        <v>476</v>
      </c>
      <c r="R1400" s="3" t="s">
        <v>100</v>
      </c>
      <c r="S1400" s="3">
        <v>30411052</v>
      </c>
      <c r="T1400" s="3">
        <v>3125228200</v>
      </c>
      <c r="U1400" s="3" t="s">
        <v>29</v>
      </c>
    </row>
    <row r="1401" spans="1:21" ht="13.2" x14ac:dyDescent="0.25">
      <c r="A1401" s="14">
        <v>2059753000106</v>
      </c>
      <c r="B1401" s="15" t="str">
        <f t="shared" si="21"/>
        <v>02.059.753/0001-06</v>
      </c>
      <c r="C1401" s="12" t="str">
        <f>VLOOKUP(B1401,[1]Planilha1!$A:$B,2,0)</f>
        <v>Malu Montesino</v>
      </c>
      <c r="D1401" s="3" t="s">
        <v>5490</v>
      </c>
      <c r="E1401" s="3" t="s">
        <v>5491</v>
      </c>
      <c r="F1401" s="3" t="s">
        <v>20</v>
      </c>
      <c r="G1401" s="4">
        <v>35650</v>
      </c>
      <c r="H1401" s="3" t="s">
        <v>21</v>
      </c>
      <c r="I1401" s="3" t="s">
        <v>33</v>
      </c>
      <c r="J1401" s="5">
        <v>400000000</v>
      </c>
      <c r="K1401" s="3">
        <v>8020001</v>
      </c>
      <c r="L1401" s="3" t="s">
        <v>196</v>
      </c>
      <c r="M1401" s="3" t="s">
        <v>5492</v>
      </c>
      <c r="N1401" s="3">
        <v>3079</v>
      </c>
      <c r="O1401" s="3" t="s">
        <v>5493</v>
      </c>
      <c r="P1401" s="3" t="s">
        <v>4197</v>
      </c>
      <c r="Q1401" s="3" t="s">
        <v>476</v>
      </c>
      <c r="R1401" s="3" t="s">
        <v>100</v>
      </c>
      <c r="S1401" s="3">
        <v>30350563</v>
      </c>
      <c r="T1401" s="3">
        <v>3132985151</v>
      </c>
      <c r="U1401" s="3" t="s">
        <v>29</v>
      </c>
    </row>
    <row r="1402" spans="1:21" ht="13.2" x14ac:dyDescent="0.25">
      <c r="A1402" s="14">
        <v>4720388000156</v>
      </c>
      <c r="B1402" s="15" t="str">
        <f t="shared" si="21"/>
        <v>04.720.388/0001-56</v>
      </c>
      <c r="C1402" s="12"/>
      <c r="D1402" s="3" t="s">
        <v>5494</v>
      </c>
      <c r="E1402" s="3" t="s">
        <v>5494</v>
      </c>
      <c r="F1402" s="3" t="s">
        <v>45</v>
      </c>
      <c r="G1402" s="4">
        <v>37159</v>
      </c>
      <c r="H1402" s="3" t="s">
        <v>21</v>
      </c>
      <c r="I1402" s="3" t="s">
        <v>33</v>
      </c>
      <c r="J1402" s="5">
        <v>600000</v>
      </c>
      <c r="K1402" s="3">
        <v>8121400</v>
      </c>
      <c r="L1402" s="3" t="s">
        <v>494</v>
      </c>
      <c r="M1402" s="3" t="s">
        <v>5033</v>
      </c>
      <c r="N1402" s="3">
        <v>900</v>
      </c>
      <c r="O1402" s="3" t="s">
        <v>5495</v>
      </c>
      <c r="P1402" s="3" t="s">
        <v>5496</v>
      </c>
      <c r="Q1402" s="3" t="s">
        <v>262</v>
      </c>
      <c r="R1402" s="3" t="s">
        <v>28</v>
      </c>
      <c r="S1402" s="3">
        <v>6020012</v>
      </c>
      <c r="T1402" s="3">
        <v>1131379400</v>
      </c>
      <c r="U1402" s="3" t="s">
        <v>29</v>
      </c>
    </row>
    <row r="1403" spans="1:21" ht="13.2" x14ac:dyDescent="0.25">
      <c r="A1403" s="14">
        <v>2781376000106</v>
      </c>
      <c r="B1403" s="15" t="str">
        <f t="shared" si="21"/>
        <v>02.781.376/0001-06</v>
      </c>
      <c r="C1403" s="12" t="str">
        <f>VLOOKUP(B1403,[1]Planilha1!$A:$B,2,0)</f>
        <v>Malu Montesino</v>
      </c>
      <c r="D1403" s="3" t="s">
        <v>5497</v>
      </c>
      <c r="E1403" s="3" t="s">
        <v>5497</v>
      </c>
      <c r="F1403" s="3" t="s">
        <v>20</v>
      </c>
      <c r="G1403" s="4">
        <v>36052</v>
      </c>
      <c r="H1403" s="3" t="s">
        <v>21</v>
      </c>
      <c r="I1403" s="3" t="s">
        <v>33</v>
      </c>
      <c r="J1403" s="5">
        <v>13048000</v>
      </c>
      <c r="K1403" s="3">
        <v>2330301</v>
      </c>
      <c r="L1403" s="3" t="s">
        <v>5498</v>
      </c>
      <c r="M1403" s="3" t="s">
        <v>5499</v>
      </c>
      <c r="N1403" s="3" t="s">
        <v>82</v>
      </c>
      <c r="O1403" s="3" t="s">
        <v>5500</v>
      </c>
      <c r="P1403" s="3" t="s">
        <v>911</v>
      </c>
      <c r="Q1403" s="3" t="s">
        <v>1363</v>
      </c>
      <c r="R1403" s="3" t="s">
        <v>100</v>
      </c>
      <c r="S1403" s="3">
        <v>36512000</v>
      </c>
      <c r="T1403" s="3">
        <v>3235741580</v>
      </c>
      <c r="U1403" s="3" t="s">
        <v>29</v>
      </c>
    </row>
    <row r="1404" spans="1:21" ht="13.2" x14ac:dyDescent="0.25">
      <c r="A1404" s="14">
        <v>4106730000122</v>
      </c>
      <c r="B1404" s="15" t="str">
        <f t="shared" si="21"/>
        <v>04.106.730/0001-22</v>
      </c>
      <c r="C1404" s="12"/>
      <c r="D1404" s="3" t="s">
        <v>5501</v>
      </c>
      <c r="E1404" s="3" t="s">
        <v>5501</v>
      </c>
      <c r="F1404" s="3" t="s">
        <v>20</v>
      </c>
      <c r="G1404" s="4">
        <v>36780</v>
      </c>
      <c r="H1404" s="3" t="s">
        <v>21</v>
      </c>
      <c r="I1404" s="3" t="s">
        <v>33</v>
      </c>
      <c r="J1404" s="5">
        <v>3700500</v>
      </c>
      <c r="K1404" s="3">
        <v>4645101</v>
      </c>
      <c r="L1404" s="3" t="s">
        <v>135</v>
      </c>
      <c r="M1404" s="3" t="s">
        <v>5502</v>
      </c>
      <c r="N1404" s="3">
        <v>91</v>
      </c>
      <c r="O1404" s="3" t="s">
        <v>5503</v>
      </c>
      <c r="P1404" s="3" t="s">
        <v>1606</v>
      </c>
      <c r="Q1404" s="3" t="s">
        <v>148</v>
      </c>
      <c r="R1404" s="3" t="s">
        <v>28</v>
      </c>
      <c r="S1404" s="3">
        <v>15020200</v>
      </c>
      <c r="T1404" s="3">
        <v>1733027000</v>
      </c>
      <c r="U1404" s="3" t="s">
        <v>29</v>
      </c>
    </row>
    <row r="1405" spans="1:21" ht="13.2" x14ac:dyDescent="0.25">
      <c r="A1405" s="14">
        <v>6626253000151</v>
      </c>
      <c r="B1405" s="15" t="str">
        <f t="shared" si="21"/>
        <v>06.626.253/0001-51</v>
      </c>
      <c r="C1405" s="12"/>
      <c r="D1405" s="3" t="s">
        <v>5504</v>
      </c>
      <c r="E1405" s="3" t="s">
        <v>5505</v>
      </c>
      <c r="F1405" s="3" t="s">
        <v>20</v>
      </c>
      <c r="G1405" s="4">
        <v>29727</v>
      </c>
      <c r="H1405" s="3" t="s">
        <v>377</v>
      </c>
      <c r="I1405" s="3" t="s">
        <v>33</v>
      </c>
      <c r="J1405" s="5">
        <v>2028650600</v>
      </c>
      <c r="K1405" s="3">
        <v>4771701</v>
      </c>
      <c r="L1405" s="3" t="s">
        <v>4415</v>
      </c>
      <c r="M1405" s="3" t="s">
        <v>5506</v>
      </c>
      <c r="N1405" s="3">
        <v>1520</v>
      </c>
      <c r="P1405" s="3" t="s">
        <v>70</v>
      </c>
      <c r="Q1405" s="3" t="s">
        <v>667</v>
      </c>
      <c r="R1405" s="3" t="s">
        <v>301</v>
      </c>
      <c r="S1405" s="3">
        <v>60025002</v>
      </c>
      <c r="U1405" s="3" t="s">
        <v>29</v>
      </c>
    </row>
    <row r="1406" spans="1:21" ht="13.2" x14ac:dyDescent="0.25">
      <c r="A1406" s="14">
        <v>33534793000188</v>
      </c>
      <c r="B1406" s="15" t="str">
        <f t="shared" si="21"/>
        <v>33.534.793/0001-88</v>
      </c>
      <c r="C1406" s="12"/>
      <c r="D1406" s="3" t="s">
        <v>5507</v>
      </c>
      <c r="E1406" s="3" t="s">
        <v>5507</v>
      </c>
      <c r="F1406" s="3" t="s">
        <v>20</v>
      </c>
      <c r="G1406" s="4">
        <v>32848</v>
      </c>
      <c r="H1406" s="3" t="s">
        <v>21</v>
      </c>
      <c r="I1406" s="3" t="s">
        <v>33</v>
      </c>
      <c r="J1406" s="5">
        <v>4500000</v>
      </c>
      <c r="K1406" s="3">
        <v>4321500</v>
      </c>
      <c r="L1406" s="3" t="s">
        <v>964</v>
      </c>
      <c r="M1406" s="3" t="s">
        <v>5508</v>
      </c>
      <c r="N1406" s="3">
        <v>122</v>
      </c>
      <c r="P1406" s="3" t="s">
        <v>5509</v>
      </c>
      <c r="Q1406" s="3" t="s">
        <v>357</v>
      </c>
      <c r="R1406" s="3" t="s">
        <v>28</v>
      </c>
      <c r="S1406" s="3">
        <v>7122100</v>
      </c>
      <c r="T1406" s="3">
        <v>1124032600</v>
      </c>
      <c r="U1406" s="3" t="s">
        <v>29</v>
      </c>
    </row>
    <row r="1407" spans="1:21" ht="13.2" x14ac:dyDescent="0.25">
      <c r="A1407" s="14">
        <v>13504675000110</v>
      </c>
      <c r="B1407" s="15" t="str">
        <f t="shared" si="21"/>
        <v>13.504.675/0001-10</v>
      </c>
      <c r="C1407" s="12"/>
      <c r="D1407" s="3" t="s">
        <v>5510</v>
      </c>
      <c r="E1407" s="3" t="s">
        <v>5511</v>
      </c>
      <c r="F1407" s="3" t="s">
        <v>20</v>
      </c>
      <c r="G1407" s="4">
        <v>26122</v>
      </c>
      <c r="H1407" s="3" t="s">
        <v>3881</v>
      </c>
      <c r="I1407" s="3" t="s">
        <v>33</v>
      </c>
      <c r="J1407" s="5">
        <v>5121542700</v>
      </c>
      <c r="K1407" s="3">
        <v>3600601</v>
      </c>
      <c r="L1407" s="3" t="s">
        <v>788</v>
      </c>
      <c r="M1407" s="3" t="s">
        <v>5512</v>
      </c>
      <c r="N1407" s="3">
        <v>420</v>
      </c>
      <c r="O1407" s="3" t="s">
        <v>5513</v>
      </c>
      <c r="P1407" s="3" t="s">
        <v>5514</v>
      </c>
      <c r="Q1407" s="3" t="s">
        <v>280</v>
      </c>
      <c r="R1407" s="3" t="s">
        <v>281</v>
      </c>
      <c r="S1407" s="3">
        <v>41745010</v>
      </c>
      <c r="T1407" s="3">
        <v>7133724779</v>
      </c>
      <c r="U1407" s="3" t="s">
        <v>29</v>
      </c>
    </row>
    <row r="1408" spans="1:21" ht="13.2" x14ac:dyDescent="0.25">
      <c r="A1408" s="14">
        <v>33449007000144</v>
      </c>
      <c r="B1408" s="15" t="str">
        <f t="shared" si="21"/>
        <v>33.449.007/0001-44</v>
      </c>
      <c r="C1408" s="12" t="str">
        <f>VLOOKUP(B1408,[1]Planilha1!$A:$B,2,0)</f>
        <v>Malu Montesino</v>
      </c>
      <c r="D1408" s="3" t="s">
        <v>5515</v>
      </c>
      <c r="E1408" s="3" t="s">
        <v>5516</v>
      </c>
      <c r="F1408" s="3" t="s">
        <v>20</v>
      </c>
      <c r="G1408" s="4">
        <v>43579</v>
      </c>
      <c r="H1408" s="3" t="s">
        <v>21</v>
      </c>
      <c r="I1408" s="3" t="s">
        <v>33</v>
      </c>
      <c r="J1408" s="5">
        <v>163728200</v>
      </c>
      <c r="K1408" s="3">
        <v>8299702</v>
      </c>
      <c r="L1408" s="3" t="s">
        <v>937</v>
      </c>
      <c r="M1408" s="3" t="s">
        <v>294</v>
      </c>
      <c r="N1408" s="3">
        <v>2477</v>
      </c>
      <c r="O1408" s="3" t="s">
        <v>1461</v>
      </c>
      <c r="P1408" s="3" t="s">
        <v>296</v>
      </c>
      <c r="Q1408" s="3" t="s">
        <v>27</v>
      </c>
      <c r="R1408" s="3" t="s">
        <v>28</v>
      </c>
      <c r="S1408" s="3">
        <v>1419907</v>
      </c>
      <c r="T1408" s="3">
        <v>1199999999</v>
      </c>
      <c r="U1408" s="3" t="s">
        <v>29</v>
      </c>
    </row>
    <row r="1409" spans="1:21" ht="13.2" x14ac:dyDescent="0.25">
      <c r="A1409" s="14">
        <v>34028316000103</v>
      </c>
      <c r="B1409" s="15" t="str">
        <f t="shared" si="21"/>
        <v>34.028.316/0001-03</v>
      </c>
      <c r="C1409" s="12"/>
      <c r="D1409" s="3" t="s">
        <v>5517</v>
      </c>
      <c r="E1409" s="3" t="s">
        <v>5518</v>
      </c>
      <c r="F1409" s="3" t="s">
        <v>20</v>
      </c>
      <c r="G1409" s="4">
        <v>25612</v>
      </c>
      <c r="H1409" s="3" t="s">
        <v>3061</v>
      </c>
      <c r="I1409" s="3" t="s">
        <v>33</v>
      </c>
      <c r="J1409" s="5">
        <v>3403457800</v>
      </c>
      <c r="K1409" s="3">
        <v>5310501</v>
      </c>
      <c r="L1409" s="3" t="s">
        <v>5519</v>
      </c>
      <c r="M1409" s="3" t="s">
        <v>5520</v>
      </c>
      <c r="N1409" s="3" t="s">
        <v>82</v>
      </c>
      <c r="P1409" s="3" t="s">
        <v>630</v>
      </c>
      <c r="Q1409" s="3" t="s">
        <v>631</v>
      </c>
      <c r="R1409" s="3" t="s">
        <v>632</v>
      </c>
      <c r="S1409" s="3">
        <v>70002900</v>
      </c>
      <c r="T1409" s="3">
        <v>6132144316</v>
      </c>
      <c r="U1409" s="3" t="s">
        <v>29</v>
      </c>
    </row>
    <row r="1410" spans="1:21" ht="13.2" x14ac:dyDescent="0.25">
      <c r="A1410" s="14">
        <v>7607851000146</v>
      </c>
      <c r="B1410" s="15" t="str">
        <f t="shared" si="21"/>
        <v>07.607.851/0001-46</v>
      </c>
      <c r="C1410" s="12"/>
      <c r="D1410" s="3" t="s">
        <v>5521</v>
      </c>
      <c r="E1410" s="3" t="s">
        <v>5522</v>
      </c>
      <c r="F1410" s="3" t="s">
        <v>20</v>
      </c>
      <c r="G1410" s="4">
        <v>38497</v>
      </c>
      <c r="H1410" s="3" t="s">
        <v>3061</v>
      </c>
      <c r="I1410" s="3" t="s">
        <v>33</v>
      </c>
      <c r="J1410" s="5">
        <v>1272154600</v>
      </c>
      <c r="K1410" s="3">
        <v>2110600</v>
      </c>
      <c r="L1410" s="3" t="s">
        <v>1425</v>
      </c>
      <c r="M1410" s="3" t="s">
        <v>5523</v>
      </c>
      <c r="N1410" s="3" t="s">
        <v>82</v>
      </c>
      <c r="O1410" s="3" t="s">
        <v>5524</v>
      </c>
      <c r="P1410" s="3" t="s">
        <v>1745</v>
      </c>
      <c r="Q1410" s="3" t="s">
        <v>631</v>
      </c>
      <c r="R1410" s="3" t="s">
        <v>632</v>
      </c>
      <c r="S1410" s="3">
        <v>70340000</v>
      </c>
      <c r="T1410" s="3">
        <v>8134649922</v>
      </c>
      <c r="U1410" s="3" t="s">
        <v>29</v>
      </c>
    </row>
    <row r="1411" spans="1:21" ht="13.2" x14ac:dyDescent="0.25">
      <c r="A1411" s="14">
        <v>11113342000134</v>
      </c>
      <c r="B1411" s="15" t="str">
        <f t="shared" ref="B1411:B1474" si="22">TEXT(A1411,"00\.000\.000\/0000\-00")</f>
        <v>11.113.342/0001-34</v>
      </c>
      <c r="C1411" s="12" t="str">
        <f>VLOOKUP(B1411,[1]Planilha1!$A:$B,2,0)</f>
        <v>Mariane Nascimento</v>
      </c>
      <c r="D1411" s="3" t="s">
        <v>5525</v>
      </c>
      <c r="E1411" s="3" t="s">
        <v>5526</v>
      </c>
      <c r="F1411" s="3" t="s">
        <v>20</v>
      </c>
      <c r="G1411" s="4">
        <v>40050</v>
      </c>
      <c r="H1411" s="3" t="s">
        <v>21</v>
      </c>
      <c r="I1411" s="3" t="s">
        <v>33</v>
      </c>
      <c r="J1411" s="5">
        <v>3700000</v>
      </c>
      <c r="K1411" s="3">
        <v>8660700</v>
      </c>
      <c r="L1411" s="3" t="s">
        <v>5311</v>
      </c>
      <c r="M1411" s="3" t="s">
        <v>5527</v>
      </c>
      <c r="N1411" s="3">
        <v>259</v>
      </c>
      <c r="O1411" s="3" t="s">
        <v>5528</v>
      </c>
      <c r="P1411" s="3" t="s">
        <v>1585</v>
      </c>
      <c r="Q1411" s="3" t="s">
        <v>27</v>
      </c>
      <c r="R1411" s="3" t="s">
        <v>28</v>
      </c>
      <c r="S1411" s="3">
        <v>1403001</v>
      </c>
      <c r="T1411" s="3">
        <v>1150716250</v>
      </c>
      <c r="U1411" s="3" t="s">
        <v>29</v>
      </c>
    </row>
    <row r="1412" spans="1:21" ht="13.2" x14ac:dyDescent="0.25">
      <c r="A1412" s="14">
        <v>348003000110</v>
      </c>
      <c r="B1412" s="15" t="str">
        <f t="shared" si="22"/>
        <v>00.348.003/0001-10</v>
      </c>
      <c r="C1412" s="12"/>
      <c r="D1412" s="3" t="s">
        <v>5529</v>
      </c>
      <c r="E1412" s="3" t="s">
        <v>5530</v>
      </c>
      <c r="F1412" s="3" t="s">
        <v>20</v>
      </c>
      <c r="G1412" s="4">
        <v>26786</v>
      </c>
      <c r="H1412" s="3" t="s">
        <v>3061</v>
      </c>
      <c r="I1412" s="3" t="s">
        <v>33</v>
      </c>
      <c r="J1412" s="5">
        <v>3149185500</v>
      </c>
      <c r="K1412" s="3">
        <v>7210000</v>
      </c>
      <c r="L1412" s="3" t="s">
        <v>4111</v>
      </c>
      <c r="M1412" s="3" t="s">
        <v>5531</v>
      </c>
      <c r="N1412" s="3" t="s">
        <v>82</v>
      </c>
      <c r="O1412" s="3" t="s">
        <v>3903</v>
      </c>
      <c r="P1412" s="3" t="s">
        <v>5532</v>
      </c>
      <c r="Q1412" s="3" t="s">
        <v>631</v>
      </c>
      <c r="R1412" s="3" t="s">
        <v>632</v>
      </c>
      <c r="S1412" s="3">
        <v>70770901</v>
      </c>
      <c r="U1412" s="3" t="s">
        <v>29</v>
      </c>
    </row>
    <row r="1413" spans="1:21" ht="13.2" x14ac:dyDescent="0.25">
      <c r="A1413" s="14">
        <v>33530486000129</v>
      </c>
      <c r="B1413" s="15" t="str">
        <f t="shared" si="22"/>
        <v>33.530.486/0001-29</v>
      </c>
      <c r="C1413" s="12"/>
      <c r="D1413" s="3" t="s">
        <v>5533</v>
      </c>
      <c r="E1413" s="3" t="s">
        <v>5533</v>
      </c>
      <c r="F1413" s="3" t="s">
        <v>45</v>
      </c>
      <c r="G1413" s="4">
        <v>26589</v>
      </c>
      <c r="H1413" s="3" t="s">
        <v>94</v>
      </c>
      <c r="I1413" s="3" t="s">
        <v>33</v>
      </c>
      <c r="J1413" s="5">
        <v>3440781800</v>
      </c>
      <c r="K1413" s="3">
        <v>6110899</v>
      </c>
      <c r="L1413" s="3" t="s">
        <v>5534</v>
      </c>
      <c r="M1413" s="3" t="s">
        <v>3391</v>
      </c>
      <c r="N1413" s="3">
        <v>1012</v>
      </c>
      <c r="P1413" s="3" t="s">
        <v>70</v>
      </c>
      <c r="Q1413" s="3" t="s">
        <v>253</v>
      </c>
      <c r="R1413" s="3" t="s">
        <v>78</v>
      </c>
      <c r="S1413" s="3">
        <v>20071004</v>
      </c>
      <c r="U1413" s="3" t="s">
        <v>29</v>
      </c>
    </row>
    <row r="1414" spans="1:21" ht="13.2" x14ac:dyDescent="0.25">
      <c r="A1414" s="14">
        <v>3982931000120</v>
      </c>
      <c r="B1414" s="15" t="str">
        <f t="shared" si="22"/>
        <v>03.982.931/0001-20</v>
      </c>
      <c r="C1414" s="12"/>
      <c r="D1414" s="3" t="s">
        <v>5535</v>
      </c>
      <c r="E1414" s="3" t="s">
        <v>5536</v>
      </c>
      <c r="F1414" s="3" t="s">
        <v>20</v>
      </c>
      <c r="G1414" s="4">
        <v>28893</v>
      </c>
      <c r="H1414" s="3" t="s">
        <v>3881</v>
      </c>
      <c r="I1414" s="3" t="s">
        <v>33</v>
      </c>
      <c r="J1414" s="5">
        <v>969140300</v>
      </c>
      <c r="K1414" s="3">
        <v>3600601</v>
      </c>
      <c r="L1414" s="3" t="s">
        <v>788</v>
      </c>
      <c r="M1414" s="3" t="s">
        <v>5537</v>
      </c>
      <c r="N1414" s="3">
        <v>421</v>
      </c>
      <c r="P1414" s="3" t="s">
        <v>5538</v>
      </c>
      <c r="Q1414" s="3" t="s">
        <v>1141</v>
      </c>
      <c r="R1414" s="3" t="s">
        <v>1142</v>
      </c>
      <c r="S1414" s="3">
        <v>79040040</v>
      </c>
      <c r="T1414" s="3">
        <v>6733187878</v>
      </c>
      <c r="U1414" s="3" t="s">
        <v>29</v>
      </c>
    </row>
    <row r="1415" spans="1:21" ht="13.2" x14ac:dyDescent="0.25">
      <c r="A1415" s="14">
        <v>27816487000301</v>
      </c>
      <c r="B1415" s="15" t="str">
        <f t="shared" si="22"/>
        <v>27.816.487/0003-01</v>
      </c>
      <c r="C1415" s="12" t="str">
        <f>VLOOKUP(B1415,[1]Planilha1!$A:$B,2,0)</f>
        <v>Malu Montesino</v>
      </c>
      <c r="D1415" s="3" t="s">
        <v>5539</v>
      </c>
      <c r="E1415" s="3" t="s">
        <v>5540</v>
      </c>
      <c r="F1415" s="3" t="s">
        <v>20</v>
      </c>
      <c r="G1415" s="4">
        <v>37859</v>
      </c>
      <c r="H1415" s="3" t="s">
        <v>3061</v>
      </c>
      <c r="I1415" s="3" t="s">
        <v>33</v>
      </c>
      <c r="J1415" s="5">
        <v>93321704</v>
      </c>
      <c r="K1415" s="3">
        <v>8411600</v>
      </c>
      <c r="L1415" s="3" t="s">
        <v>621</v>
      </c>
      <c r="M1415" s="3" t="s">
        <v>518</v>
      </c>
      <c r="N1415" s="3">
        <v>44878</v>
      </c>
      <c r="O1415" s="3" t="s">
        <v>5541</v>
      </c>
      <c r="P1415" s="3" t="s">
        <v>1141</v>
      </c>
      <c r="Q1415" s="3" t="s">
        <v>253</v>
      </c>
      <c r="R1415" s="3" t="s">
        <v>78</v>
      </c>
      <c r="S1415" s="3">
        <v>23078001</v>
      </c>
      <c r="U1415" s="3" t="s">
        <v>29</v>
      </c>
    </row>
    <row r="1416" spans="1:21" ht="13.2" x14ac:dyDescent="0.25">
      <c r="A1416" s="14">
        <v>1554021000111</v>
      </c>
      <c r="B1416" s="15" t="str">
        <f t="shared" si="22"/>
        <v>01.554.021/0001-11</v>
      </c>
      <c r="C1416" s="12" t="str">
        <f>VLOOKUP(B1416,[1]Planilha1!$A:$B,2,0)</f>
        <v>Malu Montesino</v>
      </c>
      <c r="D1416" s="3" t="s">
        <v>5542</v>
      </c>
      <c r="E1416" s="3" t="s">
        <v>5542</v>
      </c>
      <c r="F1416" s="3" t="s">
        <v>20</v>
      </c>
      <c r="G1416" s="4">
        <v>24379</v>
      </c>
      <c r="H1416" s="3" t="s">
        <v>94</v>
      </c>
      <c r="I1416" s="3" t="s">
        <v>33</v>
      </c>
      <c r="J1416" s="5">
        <v>0</v>
      </c>
      <c r="K1416" s="3">
        <v>6810202</v>
      </c>
      <c r="L1416" s="3" t="s">
        <v>2714</v>
      </c>
      <c r="M1416" s="3" t="s">
        <v>81</v>
      </c>
      <c r="N1416" s="3">
        <v>4983</v>
      </c>
      <c r="P1416" s="3" t="s">
        <v>4118</v>
      </c>
      <c r="Q1416" s="3" t="s">
        <v>273</v>
      </c>
      <c r="R1416" s="3" t="s">
        <v>274</v>
      </c>
      <c r="S1416" s="3">
        <v>74043011</v>
      </c>
      <c r="T1416" s="3">
        <v>6232240417</v>
      </c>
      <c r="U1416" s="3" t="s">
        <v>29</v>
      </c>
    </row>
    <row r="1417" spans="1:21" ht="13.2" x14ac:dyDescent="0.25">
      <c r="A1417" s="14">
        <v>58518069000191</v>
      </c>
      <c r="B1417" s="15" t="str">
        <f t="shared" si="22"/>
        <v>58.518.069/0001-91</v>
      </c>
      <c r="C1417" s="12"/>
      <c r="D1417" s="3" t="s">
        <v>5543</v>
      </c>
      <c r="E1417" s="3" t="s">
        <v>5544</v>
      </c>
      <c r="F1417" s="3" t="s">
        <v>45</v>
      </c>
      <c r="G1417" s="4">
        <v>32147</v>
      </c>
      <c r="H1417" s="3" t="s">
        <v>3061</v>
      </c>
      <c r="I1417" s="3" t="s">
        <v>33</v>
      </c>
      <c r="J1417" s="5">
        <v>3243739000</v>
      </c>
      <c r="K1417" s="3">
        <v>8413200</v>
      </c>
      <c r="L1417" s="3" t="s">
        <v>641</v>
      </c>
      <c r="M1417" s="3" t="s">
        <v>370</v>
      </c>
      <c r="N1417" s="3">
        <v>170</v>
      </c>
      <c r="O1417" s="3" t="s">
        <v>835</v>
      </c>
      <c r="P1417" s="3" t="s">
        <v>70</v>
      </c>
      <c r="Q1417" s="3" t="s">
        <v>27</v>
      </c>
      <c r="R1417" s="3" t="s">
        <v>28</v>
      </c>
      <c r="S1417" s="3">
        <v>1014930</v>
      </c>
      <c r="T1417" s="3">
        <v>1143411153</v>
      </c>
      <c r="U1417" s="3" t="s">
        <v>29</v>
      </c>
    </row>
    <row r="1418" spans="1:21" ht="13.2" x14ac:dyDescent="0.25">
      <c r="A1418" s="14">
        <v>5004701000112</v>
      </c>
      <c r="B1418" s="15" t="str">
        <f t="shared" si="22"/>
        <v>05.004.701/0001-12</v>
      </c>
      <c r="C1418" s="12"/>
      <c r="D1418" s="3" t="s">
        <v>5545</v>
      </c>
      <c r="E1418" s="3" t="s">
        <v>5546</v>
      </c>
      <c r="F1418" s="3" t="s">
        <v>20</v>
      </c>
      <c r="G1418" s="4">
        <v>37267</v>
      </c>
      <c r="H1418" s="3" t="s">
        <v>21</v>
      </c>
      <c r="I1418" s="3" t="s">
        <v>47</v>
      </c>
      <c r="J1418" s="5">
        <v>30000</v>
      </c>
      <c r="K1418" s="3">
        <v>899199</v>
      </c>
      <c r="L1418" s="3" t="s">
        <v>5547</v>
      </c>
      <c r="M1418" s="3" t="s">
        <v>5548</v>
      </c>
      <c r="N1418" s="3" t="s">
        <v>5549</v>
      </c>
      <c r="O1418" s="3" t="s">
        <v>5550</v>
      </c>
      <c r="P1418" s="3" t="s">
        <v>5551</v>
      </c>
      <c r="Q1418" s="3" t="s">
        <v>5552</v>
      </c>
      <c r="R1418" s="3" t="s">
        <v>78</v>
      </c>
      <c r="S1418" s="3">
        <v>24880000</v>
      </c>
      <c r="U1418" s="3" t="s">
        <v>29</v>
      </c>
    </row>
    <row r="1419" spans="1:21" ht="13.2" x14ac:dyDescent="0.25">
      <c r="A1419" s="14">
        <v>50364645000181</v>
      </c>
      <c r="B1419" s="15" t="str">
        <f t="shared" si="22"/>
        <v>50.364.645/0001-81</v>
      </c>
      <c r="C1419" s="12"/>
      <c r="D1419" s="3" t="s">
        <v>5553</v>
      </c>
      <c r="E1419" s="3" t="s">
        <v>5553</v>
      </c>
      <c r="F1419" s="3" t="s">
        <v>20</v>
      </c>
      <c r="G1419" s="4">
        <v>29139</v>
      </c>
      <c r="H1419" s="3" t="s">
        <v>21</v>
      </c>
      <c r="I1419" s="3" t="s">
        <v>33</v>
      </c>
      <c r="J1419" s="5">
        <v>15627264</v>
      </c>
      <c r="K1419" s="3">
        <v>8020001</v>
      </c>
      <c r="L1419" s="3" t="s">
        <v>196</v>
      </c>
      <c r="M1419" s="3" t="s">
        <v>246</v>
      </c>
      <c r="N1419" s="3">
        <v>453</v>
      </c>
      <c r="O1419" s="3" t="s">
        <v>5554</v>
      </c>
      <c r="P1419" s="3" t="s">
        <v>248</v>
      </c>
      <c r="Q1419" s="3" t="s">
        <v>27</v>
      </c>
      <c r="R1419" s="3" t="s">
        <v>28</v>
      </c>
      <c r="S1419" s="3">
        <v>1311907</v>
      </c>
      <c r="T1419" s="3">
        <v>1145606100</v>
      </c>
      <c r="U1419" s="3" t="s">
        <v>29</v>
      </c>
    </row>
    <row r="1420" spans="1:21" ht="13.2" x14ac:dyDescent="0.25">
      <c r="A1420" s="14">
        <v>61288437000167</v>
      </c>
      <c r="B1420" s="15" t="str">
        <f t="shared" si="22"/>
        <v>61.288.437/0001-67</v>
      </c>
      <c r="C1420" s="12"/>
      <c r="D1420" s="3" t="s">
        <v>5555</v>
      </c>
      <c r="E1420" s="3" t="s">
        <v>5555</v>
      </c>
      <c r="F1420" s="3" t="s">
        <v>20</v>
      </c>
      <c r="G1420" s="4">
        <v>24110</v>
      </c>
      <c r="H1420" s="3" t="s">
        <v>21</v>
      </c>
      <c r="I1420" s="3" t="s">
        <v>33</v>
      </c>
      <c r="J1420" s="5">
        <v>256600000</v>
      </c>
      <c r="K1420" s="3">
        <v>8121400</v>
      </c>
      <c r="L1420" s="3" t="s">
        <v>494</v>
      </c>
      <c r="M1420" s="3" t="s">
        <v>1891</v>
      </c>
      <c r="N1420" s="3">
        <v>585</v>
      </c>
      <c r="O1420" s="3" t="s">
        <v>5556</v>
      </c>
      <c r="P1420" s="3" t="s">
        <v>940</v>
      </c>
      <c r="Q1420" s="3" t="s">
        <v>617</v>
      </c>
      <c r="R1420" s="3" t="s">
        <v>28</v>
      </c>
      <c r="S1420" s="3">
        <v>6454000</v>
      </c>
      <c r="T1420" s="3">
        <v>1133520200</v>
      </c>
      <c r="U1420" s="3" t="s">
        <v>29</v>
      </c>
    </row>
    <row r="1421" spans="1:21" ht="13.2" x14ac:dyDescent="0.25">
      <c r="A1421" s="14">
        <v>10639977000107</v>
      </c>
      <c r="B1421" s="15" t="str">
        <f t="shared" si="22"/>
        <v>10.639.977/0001-07</v>
      </c>
      <c r="C1421" s="12"/>
      <c r="D1421" s="3" t="s">
        <v>5557</v>
      </c>
      <c r="E1421" s="3" t="s">
        <v>5558</v>
      </c>
      <c r="F1421" s="3" t="s">
        <v>45</v>
      </c>
      <c r="G1421" s="4">
        <v>39854</v>
      </c>
      <c r="H1421" s="3" t="s">
        <v>21</v>
      </c>
      <c r="I1421" s="3" t="s">
        <v>33</v>
      </c>
      <c r="J1421" s="5">
        <v>1000000</v>
      </c>
      <c r="K1421" s="3">
        <v>8011101</v>
      </c>
      <c r="L1421" s="3" t="s">
        <v>943</v>
      </c>
      <c r="M1421" s="3" t="s">
        <v>5559</v>
      </c>
      <c r="N1421" s="3">
        <v>695</v>
      </c>
      <c r="P1421" s="3" t="s">
        <v>5560</v>
      </c>
      <c r="Q1421" s="3" t="s">
        <v>2477</v>
      </c>
      <c r="R1421" s="3" t="s">
        <v>1725</v>
      </c>
      <c r="S1421" s="3">
        <v>59129690</v>
      </c>
      <c r="T1421" s="3">
        <v>8432119001</v>
      </c>
      <c r="U1421" s="3" t="s">
        <v>29</v>
      </c>
    </row>
    <row r="1422" spans="1:21" ht="13.2" x14ac:dyDescent="0.25">
      <c r="A1422" s="14">
        <v>57507378000101</v>
      </c>
      <c r="B1422" s="15" t="str">
        <f t="shared" si="22"/>
        <v>57.507.378/0001-01</v>
      </c>
      <c r="C1422" s="12" t="str">
        <f>VLOOKUP(B1422,[1]Planilha1!$A:$B,2,0)</f>
        <v>Mariane Nascimento</v>
      </c>
      <c r="D1422" s="3" t="s">
        <v>5561</v>
      </c>
      <c r="E1422" s="3" t="s">
        <v>5562</v>
      </c>
      <c r="F1422" s="3" t="s">
        <v>45</v>
      </c>
      <c r="G1422" s="4">
        <v>26596</v>
      </c>
      <c r="H1422" s="3" t="s">
        <v>94</v>
      </c>
      <c r="I1422" s="3" t="s">
        <v>33</v>
      </c>
      <c r="J1422" s="5">
        <v>385735970</v>
      </c>
      <c r="K1422" s="3">
        <v>2121101</v>
      </c>
      <c r="L1422" s="3" t="s">
        <v>233</v>
      </c>
      <c r="M1422" s="3" t="s">
        <v>5563</v>
      </c>
      <c r="N1422" s="3">
        <v>450</v>
      </c>
      <c r="P1422" s="3" t="s">
        <v>70</v>
      </c>
      <c r="Q1422" s="3" t="s">
        <v>217</v>
      </c>
      <c r="R1422" s="3" t="s">
        <v>28</v>
      </c>
      <c r="S1422" s="3">
        <v>9720470</v>
      </c>
      <c r="T1422" s="3">
        <v>1938879800</v>
      </c>
      <c r="U1422" s="3" t="s">
        <v>29</v>
      </c>
    </row>
    <row r="1423" spans="1:21" ht="13.2" x14ac:dyDescent="0.25">
      <c r="A1423" s="14">
        <v>55333769000113</v>
      </c>
      <c r="B1423" s="15" t="str">
        <f t="shared" si="22"/>
        <v>55.333.769/0001-13</v>
      </c>
      <c r="C1423" s="12"/>
      <c r="D1423" s="3" t="s">
        <v>5564</v>
      </c>
      <c r="E1423" s="3" t="s">
        <v>5565</v>
      </c>
      <c r="F1423" s="3" t="s">
        <v>20</v>
      </c>
      <c r="G1423" s="4">
        <v>23588</v>
      </c>
      <c r="H1423" s="3" t="s">
        <v>21</v>
      </c>
      <c r="I1423" s="3" t="s">
        <v>33</v>
      </c>
      <c r="J1423" s="5">
        <v>428745200</v>
      </c>
      <c r="K1423" s="3">
        <v>4211101</v>
      </c>
      <c r="L1423" s="3" t="s">
        <v>313</v>
      </c>
      <c r="M1423" s="3" t="s">
        <v>2849</v>
      </c>
      <c r="N1423" s="3">
        <v>3421</v>
      </c>
      <c r="O1423" s="3" t="s">
        <v>5566</v>
      </c>
      <c r="P1423" s="3" t="s">
        <v>1585</v>
      </c>
      <c r="Q1423" s="3" t="s">
        <v>27</v>
      </c>
      <c r="R1423" s="3" t="s">
        <v>28</v>
      </c>
      <c r="S1423" s="3">
        <v>1401001</v>
      </c>
      <c r="T1423" s="3">
        <v>1121718900</v>
      </c>
      <c r="U1423" s="3" t="s">
        <v>29</v>
      </c>
    </row>
    <row r="1424" spans="1:21" ht="13.2" x14ac:dyDescent="0.25">
      <c r="A1424" s="14">
        <v>17514634000165</v>
      </c>
      <c r="B1424" s="15" t="str">
        <f t="shared" si="22"/>
        <v>17.514.634/0001-65</v>
      </c>
      <c r="C1424" s="12"/>
      <c r="D1424" s="3" t="s">
        <v>5567</v>
      </c>
      <c r="E1424" s="3" t="s">
        <v>5568</v>
      </c>
      <c r="F1424" s="3" t="s">
        <v>20</v>
      </c>
      <c r="G1424" s="4">
        <v>41264</v>
      </c>
      <c r="H1424" s="3" t="s">
        <v>21</v>
      </c>
      <c r="I1424" s="3" t="s">
        <v>33</v>
      </c>
      <c r="J1424" s="5">
        <v>2300000</v>
      </c>
      <c r="K1424" s="3">
        <v>2825900</v>
      </c>
      <c r="L1424" s="3" t="s">
        <v>345</v>
      </c>
      <c r="M1424" s="3" t="s">
        <v>5569</v>
      </c>
      <c r="N1424" s="3">
        <v>341</v>
      </c>
      <c r="O1424" s="3" t="s">
        <v>5570</v>
      </c>
      <c r="P1424" s="3" t="s">
        <v>2181</v>
      </c>
      <c r="Q1424" s="3" t="s">
        <v>27</v>
      </c>
      <c r="R1424" s="3" t="s">
        <v>28</v>
      </c>
      <c r="S1424" s="3">
        <v>5075000</v>
      </c>
      <c r="T1424" s="3">
        <v>1143711152</v>
      </c>
      <c r="U1424" s="3" t="s">
        <v>29</v>
      </c>
    </row>
    <row r="1425" spans="1:21" ht="13.2" x14ac:dyDescent="0.25">
      <c r="A1425" s="14">
        <v>714673000103</v>
      </c>
      <c r="B1425" s="15" t="str">
        <f t="shared" si="22"/>
        <v>00.714.673/0001-03</v>
      </c>
      <c r="C1425" s="12"/>
      <c r="D1425" s="3" t="s">
        <v>5571</v>
      </c>
      <c r="E1425" s="3" t="s">
        <v>5572</v>
      </c>
      <c r="F1425" s="3" t="s">
        <v>20</v>
      </c>
      <c r="G1425" s="4">
        <v>34899</v>
      </c>
      <c r="H1425" s="3" t="s">
        <v>21</v>
      </c>
      <c r="I1425" s="3" t="s">
        <v>33</v>
      </c>
      <c r="J1425" s="5" t="s">
        <v>5573</v>
      </c>
      <c r="K1425" s="3">
        <v>4664800</v>
      </c>
      <c r="L1425" s="3" t="s">
        <v>691</v>
      </c>
      <c r="M1425" s="3" t="s">
        <v>5574</v>
      </c>
      <c r="N1425" s="3">
        <v>545</v>
      </c>
      <c r="O1425" s="3" t="s">
        <v>5575</v>
      </c>
      <c r="P1425" s="3" t="s">
        <v>2757</v>
      </c>
      <c r="Q1425" s="3" t="s">
        <v>437</v>
      </c>
      <c r="R1425" s="3" t="s">
        <v>53</v>
      </c>
      <c r="S1425" s="3">
        <v>90220211</v>
      </c>
      <c r="T1425" s="3">
        <v>5130122323</v>
      </c>
      <c r="U1425" s="3" t="s">
        <v>29</v>
      </c>
    </row>
    <row r="1426" spans="1:21" ht="13.2" x14ac:dyDescent="0.25">
      <c r="A1426" s="14">
        <v>5273094000196</v>
      </c>
      <c r="B1426" s="15" t="str">
        <f t="shared" si="22"/>
        <v>05.273.094/0001-96</v>
      </c>
      <c r="C1426" s="12"/>
      <c r="D1426" s="3" t="s">
        <v>5576</v>
      </c>
      <c r="E1426" s="3" t="s">
        <v>5577</v>
      </c>
      <c r="F1426" s="3" t="s">
        <v>20</v>
      </c>
      <c r="G1426" s="4">
        <v>37502</v>
      </c>
      <c r="H1426" s="3" t="s">
        <v>21</v>
      </c>
      <c r="I1426" s="3" t="s">
        <v>22</v>
      </c>
      <c r="J1426" s="5">
        <v>5000</v>
      </c>
      <c r="K1426" s="3">
        <v>3312103</v>
      </c>
      <c r="L1426" s="3" t="s">
        <v>4694</v>
      </c>
      <c r="M1426" s="3" t="s">
        <v>5578</v>
      </c>
      <c r="N1426" s="3">
        <v>185</v>
      </c>
      <c r="P1426" s="3" t="s">
        <v>2392</v>
      </c>
      <c r="Q1426" s="3" t="s">
        <v>27</v>
      </c>
      <c r="R1426" s="3" t="s">
        <v>28</v>
      </c>
      <c r="S1426" s="3">
        <v>1511010</v>
      </c>
      <c r="T1426" s="3">
        <v>1142106904</v>
      </c>
      <c r="U1426" s="3" t="s">
        <v>29</v>
      </c>
    </row>
    <row r="1427" spans="1:21" ht="13.2" x14ac:dyDescent="0.25">
      <c r="A1427" s="14">
        <v>1056338000128</v>
      </c>
      <c r="B1427" s="15" t="str">
        <f t="shared" si="22"/>
        <v>01.056.338/0001-28</v>
      </c>
      <c r="C1427" s="12"/>
      <c r="D1427" s="3" t="s">
        <v>5579</v>
      </c>
      <c r="E1427" s="3" t="s">
        <v>5579</v>
      </c>
      <c r="F1427" s="3" t="s">
        <v>20</v>
      </c>
      <c r="G1427" s="4">
        <v>35086</v>
      </c>
      <c r="H1427" s="3" t="s">
        <v>21</v>
      </c>
      <c r="I1427" s="3" t="s">
        <v>33</v>
      </c>
      <c r="J1427" s="5">
        <v>3000000</v>
      </c>
      <c r="K1427" s="3">
        <v>4645101</v>
      </c>
      <c r="L1427" s="3" t="s">
        <v>135</v>
      </c>
      <c r="M1427" s="3" t="s">
        <v>5580</v>
      </c>
      <c r="N1427" s="3">
        <v>670</v>
      </c>
      <c r="P1427" s="3" t="s">
        <v>5581</v>
      </c>
      <c r="Q1427" s="3" t="s">
        <v>204</v>
      </c>
      <c r="R1427" s="3" t="s">
        <v>187</v>
      </c>
      <c r="S1427" s="3">
        <v>80820070</v>
      </c>
      <c r="T1427" s="3">
        <v>4130941219</v>
      </c>
      <c r="U1427" s="3" t="s">
        <v>29</v>
      </c>
    </row>
    <row r="1428" spans="1:21" ht="13.2" x14ac:dyDescent="0.25">
      <c r="A1428" s="14">
        <v>6059934000185</v>
      </c>
      <c r="B1428" s="15" t="str">
        <f t="shared" si="22"/>
        <v>06.059.934/0001-85</v>
      </c>
      <c r="C1428" s="12"/>
      <c r="D1428" s="3" t="s">
        <v>5582</v>
      </c>
      <c r="E1428" s="3" t="s">
        <v>5582</v>
      </c>
      <c r="F1428" s="3" t="s">
        <v>45</v>
      </c>
      <c r="G1428" s="4">
        <v>37985</v>
      </c>
      <c r="H1428" s="3" t="s">
        <v>21</v>
      </c>
      <c r="I1428" s="3" t="s">
        <v>33</v>
      </c>
      <c r="J1428" s="5">
        <v>500000</v>
      </c>
      <c r="K1428" s="3">
        <v>4645101</v>
      </c>
      <c r="L1428" s="3" t="s">
        <v>135</v>
      </c>
      <c r="M1428" s="3" t="s">
        <v>5583</v>
      </c>
      <c r="N1428" s="3">
        <v>365</v>
      </c>
      <c r="O1428" s="3" t="s">
        <v>5584</v>
      </c>
      <c r="P1428" s="3" t="s">
        <v>5585</v>
      </c>
      <c r="Q1428" s="3" t="s">
        <v>204</v>
      </c>
      <c r="R1428" s="3" t="s">
        <v>187</v>
      </c>
      <c r="S1428" s="3">
        <v>80035030</v>
      </c>
      <c r="T1428" s="3">
        <v>4132092023</v>
      </c>
      <c r="U1428" s="3" t="s">
        <v>29</v>
      </c>
    </row>
    <row r="1429" spans="1:21" ht="13.2" x14ac:dyDescent="0.25">
      <c r="A1429" s="14">
        <v>14883099000121</v>
      </c>
      <c r="B1429" s="15" t="str">
        <f t="shared" si="22"/>
        <v>14.883.099/0001-21</v>
      </c>
      <c r="C1429" s="12" t="str">
        <f>VLOOKUP(B1429,[1]Planilha1!$A:$B,2,0)</f>
        <v>Malu Montesino</v>
      </c>
      <c r="D1429" s="3" t="s">
        <v>5586</v>
      </c>
      <c r="E1429" s="3" t="s">
        <v>5587</v>
      </c>
      <c r="F1429" s="3" t="s">
        <v>20</v>
      </c>
      <c r="G1429" s="4">
        <v>40892</v>
      </c>
      <c r="H1429" s="3" t="s">
        <v>21</v>
      </c>
      <c r="I1429" s="3" t="s">
        <v>33</v>
      </c>
      <c r="J1429" s="5">
        <v>39700000</v>
      </c>
      <c r="K1429" s="3">
        <v>2651500</v>
      </c>
      <c r="L1429" s="3" t="s">
        <v>600</v>
      </c>
      <c r="M1429" s="3" t="s">
        <v>5588</v>
      </c>
      <c r="N1429" s="3">
        <v>600</v>
      </c>
      <c r="P1429" s="3" t="s">
        <v>5589</v>
      </c>
      <c r="Q1429" s="3" t="s">
        <v>2614</v>
      </c>
      <c r="R1429" s="3" t="s">
        <v>28</v>
      </c>
      <c r="S1429" s="3">
        <v>13254085</v>
      </c>
      <c r="T1429" s="3">
        <v>1150334378</v>
      </c>
      <c r="U1429" s="3" t="s">
        <v>29</v>
      </c>
    </row>
    <row r="1430" spans="1:21" ht="13.2" x14ac:dyDescent="0.25">
      <c r="A1430" s="14">
        <v>441012000151</v>
      </c>
      <c r="B1430" s="15" t="str">
        <f t="shared" si="22"/>
        <v>00.441.012/0001-51</v>
      </c>
      <c r="C1430" s="12"/>
      <c r="D1430" s="3" t="s">
        <v>5590</v>
      </c>
      <c r="E1430" s="3" t="s">
        <v>5590</v>
      </c>
      <c r="F1430" s="3" t="s">
        <v>20</v>
      </c>
      <c r="G1430" s="4">
        <v>34739</v>
      </c>
      <c r="H1430" s="3" t="s">
        <v>21</v>
      </c>
      <c r="I1430" s="3" t="s">
        <v>33</v>
      </c>
      <c r="J1430" s="5">
        <v>23809224</v>
      </c>
      <c r="K1430" s="3">
        <v>2732500</v>
      </c>
      <c r="L1430" s="3" t="s">
        <v>1162</v>
      </c>
      <c r="M1430" s="3" t="s">
        <v>5591</v>
      </c>
      <c r="N1430" s="3">
        <v>81</v>
      </c>
      <c r="P1430" s="3" t="s">
        <v>5592</v>
      </c>
      <c r="Q1430" s="3" t="s">
        <v>1538</v>
      </c>
      <c r="R1430" s="3" t="s">
        <v>187</v>
      </c>
      <c r="S1430" s="3">
        <v>83606310</v>
      </c>
      <c r="T1430" s="3">
        <v>413923052</v>
      </c>
      <c r="U1430" s="3" t="s">
        <v>29</v>
      </c>
    </row>
    <row r="1431" spans="1:21" ht="13.2" x14ac:dyDescent="0.25">
      <c r="A1431" s="14">
        <v>3763290000113</v>
      </c>
      <c r="B1431" s="15" t="str">
        <f t="shared" si="22"/>
        <v>03.763.290/0001-13</v>
      </c>
      <c r="C1431" s="12"/>
      <c r="D1431" s="3" t="s">
        <v>5593</v>
      </c>
      <c r="E1431" s="3" t="s">
        <v>5593</v>
      </c>
      <c r="F1431" s="3" t="s">
        <v>20</v>
      </c>
      <c r="G1431" s="4">
        <v>36634</v>
      </c>
      <c r="H1431" s="3" t="s">
        <v>21</v>
      </c>
      <c r="I1431" s="3" t="s">
        <v>22</v>
      </c>
      <c r="J1431" s="5">
        <v>800000</v>
      </c>
      <c r="K1431" s="3">
        <v>4742300</v>
      </c>
      <c r="L1431" s="3" t="s">
        <v>1152</v>
      </c>
      <c r="M1431" s="3" t="s">
        <v>5594</v>
      </c>
      <c r="N1431" s="3">
        <v>99</v>
      </c>
      <c r="P1431" s="3" t="s">
        <v>5595</v>
      </c>
      <c r="Q1431" s="3" t="s">
        <v>246</v>
      </c>
      <c r="R1431" s="3" t="s">
        <v>456</v>
      </c>
      <c r="S1431" s="3">
        <v>53442030</v>
      </c>
      <c r="T1431" s="3">
        <v>8134916974</v>
      </c>
      <c r="U1431" s="3" t="s">
        <v>29</v>
      </c>
    </row>
    <row r="1432" spans="1:21" ht="13.2" x14ac:dyDescent="0.25">
      <c r="A1432" s="14">
        <v>3467321000199</v>
      </c>
      <c r="B1432" s="15" t="str">
        <f t="shared" si="22"/>
        <v>03.467.321/0001-99</v>
      </c>
      <c r="C1432" s="12"/>
      <c r="D1432" s="3" t="s">
        <v>5596</v>
      </c>
      <c r="E1432" s="3" t="s">
        <v>5597</v>
      </c>
      <c r="F1432" s="3" t="s">
        <v>20</v>
      </c>
      <c r="G1432" s="4">
        <v>24344</v>
      </c>
      <c r="H1432" s="3" t="s">
        <v>377</v>
      </c>
      <c r="I1432" s="3" t="s">
        <v>33</v>
      </c>
      <c r="J1432" s="5">
        <v>1680454300</v>
      </c>
      <c r="K1432" s="3">
        <v>3514000</v>
      </c>
      <c r="L1432" s="3" t="s">
        <v>3329</v>
      </c>
      <c r="M1432" s="3" t="s">
        <v>5598</v>
      </c>
      <c r="N1432" s="3">
        <v>184</v>
      </c>
      <c r="P1432" s="3" t="s">
        <v>4690</v>
      </c>
      <c r="Q1432" s="3" t="s">
        <v>224</v>
      </c>
      <c r="R1432" s="3" t="s">
        <v>225</v>
      </c>
      <c r="S1432" s="3">
        <v>78010900</v>
      </c>
      <c r="T1432" s="3">
        <v>6533165362</v>
      </c>
      <c r="U1432" s="3" t="s">
        <v>29</v>
      </c>
    </row>
    <row r="1433" spans="1:21" ht="13.2" x14ac:dyDescent="0.25">
      <c r="A1433" s="14">
        <v>864214000106</v>
      </c>
      <c r="B1433" s="15" t="str">
        <f t="shared" si="22"/>
        <v>00.864.214/0001-06</v>
      </c>
      <c r="C1433" s="12"/>
      <c r="D1433" s="3" t="s">
        <v>5599</v>
      </c>
      <c r="E1433" s="3" t="s">
        <v>5599</v>
      </c>
      <c r="F1433" s="3" t="s">
        <v>20</v>
      </c>
      <c r="G1433" s="4">
        <v>34940</v>
      </c>
      <c r="H1433" s="3" t="s">
        <v>377</v>
      </c>
      <c r="I1433" s="3" t="s">
        <v>33</v>
      </c>
      <c r="J1433" s="5">
        <v>8129241000</v>
      </c>
      <c r="K1433" s="3">
        <v>6462000</v>
      </c>
      <c r="L1433" s="3" t="s">
        <v>250</v>
      </c>
      <c r="M1433" s="3" t="s">
        <v>1655</v>
      </c>
      <c r="N1433" s="3">
        <v>80</v>
      </c>
      <c r="O1433" s="3" t="s">
        <v>5541</v>
      </c>
      <c r="P1433" s="3" t="s">
        <v>70</v>
      </c>
      <c r="Q1433" s="3" t="s">
        <v>5600</v>
      </c>
      <c r="R1433" s="3" t="s">
        <v>100</v>
      </c>
      <c r="S1433" s="3">
        <v>36770901</v>
      </c>
      <c r="T1433" s="3">
        <v>3234296460</v>
      </c>
      <c r="U1433" s="3" t="s">
        <v>29</v>
      </c>
    </row>
    <row r="1434" spans="1:21" ht="13.2" x14ac:dyDescent="0.25">
      <c r="A1434" s="14">
        <v>20714257000112</v>
      </c>
      <c r="B1434" s="15" t="str">
        <f t="shared" si="22"/>
        <v>20.714.257/0001-12</v>
      </c>
      <c r="C1434" s="12"/>
      <c r="D1434" s="3" t="s">
        <v>5601</v>
      </c>
      <c r="E1434" s="3" t="s">
        <v>5602</v>
      </c>
      <c r="F1434" s="3" t="s">
        <v>20</v>
      </c>
      <c r="G1434" s="4">
        <v>41845</v>
      </c>
      <c r="H1434" s="3" t="s">
        <v>21</v>
      </c>
      <c r="I1434" s="3" t="s">
        <v>22</v>
      </c>
      <c r="J1434" s="5">
        <v>3000000</v>
      </c>
      <c r="K1434" s="3">
        <v>4321500</v>
      </c>
      <c r="L1434" s="3" t="s">
        <v>964</v>
      </c>
      <c r="M1434" s="3" t="s">
        <v>5603</v>
      </c>
      <c r="N1434" s="3">
        <v>88</v>
      </c>
      <c r="P1434" s="3" t="s">
        <v>5604</v>
      </c>
      <c r="Q1434" s="3" t="s">
        <v>393</v>
      </c>
      <c r="R1434" s="3" t="s">
        <v>28</v>
      </c>
      <c r="S1434" s="3">
        <v>13295530</v>
      </c>
      <c r="T1434" s="3">
        <v>1124485800</v>
      </c>
      <c r="U1434" s="3" t="s">
        <v>29</v>
      </c>
    </row>
    <row r="1435" spans="1:21" ht="13.2" x14ac:dyDescent="0.25">
      <c r="A1435" s="14">
        <v>21155216000104</v>
      </c>
      <c r="B1435" s="15" t="str">
        <f t="shared" si="22"/>
        <v>21.155.216/0001-04</v>
      </c>
      <c r="C1435" s="12"/>
      <c r="D1435" s="3" t="s">
        <v>5605</v>
      </c>
      <c r="E1435" s="3" t="s">
        <v>5605</v>
      </c>
      <c r="F1435" s="3" t="s">
        <v>20</v>
      </c>
      <c r="G1435" s="4">
        <v>41914</v>
      </c>
      <c r="H1435" s="3" t="s">
        <v>21</v>
      </c>
      <c r="I1435" s="3" t="s">
        <v>22</v>
      </c>
      <c r="J1435" s="5">
        <v>50000</v>
      </c>
      <c r="K1435" s="3">
        <v>4322303</v>
      </c>
      <c r="L1435" s="3" t="s">
        <v>2989</v>
      </c>
      <c r="M1435" s="3" t="s">
        <v>5606</v>
      </c>
      <c r="N1435" s="3">
        <v>284</v>
      </c>
      <c r="P1435" s="3" t="s">
        <v>5607</v>
      </c>
      <c r="Q1435" s="3" t="s">
        <v>27</v>
      </c>
      <c r="R1435" s="3" t="s">
        <v>28</v>
      </c>
      <c r="S1435" s="3">
        <v>5325180</v>
      </c>
      <c r="T1435" s="3">
        <v>1140162391</v>
      </c>
      <c r="U1435" s="3" t="s">
        <v>29</v>
      </c>
    </row>
    <row r="1436" spans="1:21" ht="13.2" x14ac:dyDescent="0.25">
      <c r="A1436" s="14">
        <v>4423567000121</v>
      </c>
      <c r="B1436" s="15" t="str">
        <f t="shared" si="22"/>
        <v>04.423.567/0001-21</v>
      </c>
      <c r="C1436" s="12"/>
      <c r="D1436" s="3" t="s">
        <v>5608</v>
      </c>
      <c r="E1436" s="3" t="s">
        <v>5608</v>
      </c>
      <c r="F1436" s="3" t="s">
        <v>20</v>
      </c>
      <c r="G1436" s="4">
        <v>37015</v>
      </c>
      <c r="H1436" s="3" t="s">
        <v>377</v>
      </c>
      <c r="I1436" s="3" t="s">
        <v>33</v>
      </c>
      <c r="J1436" s="5">
        <v>18134264000</v>
      </c>
      <c r="K1436" s="3">
        <v>600001</v>
      </c>
      <c r="L1436" s="3" t="s">
        <v>2644</v>
      </c>
      <c r="M1436" s="3" t="s">
        <v>3697</v>
      </c>
      <c r="N1436" s="3">
        <v>501</v>
      </c>
      <c r="O1436" s="3" t="s">
        <v>5609</v>
      </c>
      <c r="P1436" s="3" t="s">
        <v>3697</v>
      </c>
      <c r="Q1436" s="3" t="s">
        <v>253</v>
      </c>
      <c r="R1436" s="3" t="s">
        <v>78</v>
      </c>
      <c r="S1436" s="3">
        <v>22250040</v>
      </c>
      <c r="T1436" s="3">
        <v>2137213000</v>
      </c>
      <c r="U1436" s="3" t="s">
        <v>29</v>
      </c>
    </row>
    <row r="1437" spans="1:21" ht="13.2" x14ac:dyDescent="0.25">
      <c r="A1437" s="14">
        <v>32716110000140</v>
      </c>
      <c r="B1437" s="15" t="str">
        <f t="shared" si="22"/>
        <v>32.716.110/0001-40</v>
      </c>
      <c r="C1437" s="12"/>
      <c r="D1437" s="3" t="s">
        <v>5610</v>
      </c>
      <c r="E1437" s="3" t="s">
        <v>5611</v>
      </c>
      <c r="F1437" s="3" t="s">
        <v>20</v>
      </c>
      <c r="G1437" s="4">
        <v>32554</v>
      </c>
      <c r="H1437" s="3" t="s">
        <v>21</v>
      </c>
      <c r="I1437" s="3" t="s">
        <v>22</v>
      </c>
      <c r="J1437" s="5">
        <v>2200000</v>
      </c>
      <c r="K1437" s="3">
        <v>4110700</v>
      </c>
      <c r="L1437" s="3" t="s">
        <v>4133</v>
      </c>
      <c r="M1437" s="3" t="s">
        <v>5612</v>
      </c>
      <c r="N1437" s="7">
        <v>2647</v>
      </c>
      <c r="P1437" s="3" t="s">
        <v>5613</v>
      </c>
      <c r="Q1437" s="3" t="s">
        <v>710</v>
      </c>
      <c r="R1437" s="3" t="s">
        <v>711</v>
      </c>
      <c r="S1437" s="3">
        <v>49035530</v>
      </c>
      <c r="T1437" s="3">
        <v>7932551175</v>
      </c>
      <c r="U1437" s="3" t="s">
        <v>29</v>
      </c>
    </row>
    <row r="1438" spans="1:21" ht="13.2" x14ac:dyDescent="0.25">
      <c r="A1438" s="14">
        <v>45510160000119</v>
      </c>
      <c r="B1438" s="15" t="str">
        <f t="shared" si="22"/>
        <v>45.510.160/0001-19</v>
      </c>
      <c r="C1438" s="12" t="str">
        <f>VLOOKUP(B1438,[1]Planilha1!$A:$B,2,0)</f>
        <v>Malu Montesino</v>
      </c>
      <c r="D1438" s="3" t="s">
        <v>5614</v>
      </c>
      <c r="E1438" s="3" t="s">
        <v>5615</v>
      </c>
      <c r="F1438" s="3" t="s">
        <v>20</v>
      </c>
      <c r="G1438" s="4">
        <v>44623</v>
      </c>
      <c r="H1438" s="3" t="s">
        <v>21</v>
      </c>
      <c r="I1438" s="3" t="s">
        <v>22</v>
      </c>
      <c r="J1438" s="5">
        <v>100000</v>
      </c>
      <c r="K1438" s="3">
        <v>4645101</v>
      </c>
      <c r="L1438" s="3" t="s">
        <v>135</v>
      </c>
      <c r="M1438" s="3" t="s">
        <v>3228</v>
      </c>
      <c r="N1438" s="3">
        <v>208</v>
      </c>
      <c r="O1438" s="3" t="s">
        <v>5616</v>
      </c>
      <c r="P1438" s="3" t="s">
        <v>3230</v>
      </c>
      <c r="Q1438" s="3" t="s">
        <v>273</v>
      </c>
      <c r="R1438" s="3" t="s">
        <v>274</v>
      </c>
      <c r="S1438" s="3">
        <v>74223060</v>
      </c>
      <c r="T1438" s="3">
        <v>6298143037</v>
      </c>
      <c r="U1438" s="3" t="s">
        <v>29</v>
      </c>
    </row>
    <row r="1439" spans="1:21" ht="13.2" x14ac:dyDescent="0.25">
      <c r="A1439" s="14">
        <v>4128433000188</v>
      </c>
      <c r="B1439" s="15" t="str">
        <f t="shared" si="22"/>
        <v>04.128.433/0001-88</v>
      </c>
      <c r="C1439" s="12"/>
      <c r="D1439" s="3" t="s">
        <v>5617</v>
      </c>
      <c r="E1439" s="3" t="s">
        <v>5618</v>
      </c>
      <c r="F1439" s="3" t="s">
        <v>20</v>
      </c>
      <c r="G1439" s="4">
        <v>36818</v>
      </c>
      <c r="H1439" s="3" t="s">
        <v>21</v>
      </c>
      <c r="I1439" s="3" t="s">
        <v>33</v>
      </c>
      <c r="J1439" s="5">
        <v>1500000</v>
      </c>
      <c r="K1439" s="3">
        <v>7112000</v>
      </c>
      <c r="L1439" s="3" t="s">
        <v>276</v>
      </c>
      <c r="M1439" s="3" t="s">
        <v>5619</v>
      </c>
      <c r="N1439" s="3">
        <v>55</v>
      </c>
      <c r="P1439" s="3" t="s">
        <v>3043</v>
      </c>
      <c r="Q1439" s="3" t="s">
        <v>253</v>
      </c>
      <c r="R1439" s="3" t="s">
        <v>78</v>
      </c>
      <c r="S1439" s="3">
        <v>21040290</v>
      </c>
      <c r="T1439" s="3">
        <v>2125127726</v>
      </c>
      <c r="U1439" s="3" t="s">
        <v>29</v>
      </c>
    </row>
    <row r="1440" spans="1:21" ht="13.2" x14ac:dyDescent="0.25">
      <c r="A1440" s="14">
        <v>18600476000129</v>
      </c>
      <c r="B1440" s="15" t="str">
        <f t="shared" si="22"/>
        <v>18.600.476/0001-29</v>
      </c>
      <c r="C1440" s="12"/>
      <c r="D1440" s="3" t="s">
        <v>5620</v>
      </c>
      <c r="E1440" s="3" t="s">
        <v>5621</v>
      </c>
      <c r="F1440" s="3" t="s">
        <v>20</v>
      </c>
      <c r="G1440" s="4">
        <v>41485</v>
      </c>
      <c r="H1440" s="3" t="s">
        <v>21</v>
      </c>
      <c r="I1440" s="3" t="s">
        <v>47</v>
      </c>
      <c r="J1440" s="5">
        <v>100000</v>
      </c>
      <c r="K1440" s="3">
        <v>4789099</v>
      </c>
      <c r="L1440" s="3" t="s">
        <v>774</v>
      </c>
      <c r="M1440" s="3" t="s">
        <v>5622</v>
      </c>
      <c r="N1440" s="3">
        <v>2</v>
      </c>
      <c r="P1440" s="3" t="s">
        <v>5623</v>
      </c>
      <c r="Q1440" s="3" t="s">
        <v>631</v>
      </c>
      <c r="R1440" s="3" t="s">
        <v>632</v>
      </c>
      <c r="S1440" s="3">
        <v>72630252</v>
      </c>
      <c r="T1440" s="3">
        <v>6134840181</v>
      </c>
      <c r="U1440" s="3" t="s">
        <v>29</v>
      </c>
    </row>
    <row r="1441" spans="1:21" ht="13.2" x14ac:dyDescent="0.25">
      <c r="A1441" s="14">
        <v>48246920000110</v>
      </c>
      <c r="B1441" s="15" t="str">
        <f t="shared" si="22"/>
        <v>48.246.920/0001-10</v>
      </c>
      <c r="C1441" s="12" t="str">
        <f>VLOOKUP(B1441,[1]Planilha1!$A:$B,2,0)</f>
        <v>Malu Montesino</v>
      </c>
      <c r="D1441" s="3" t="s">
        <v>5624</v>
      </c>
      <c r="E1441" s="3" t="s">
        <v>5624</v>
      </c>
      <c r="F1441" s="3" t="s">
        <v>20</v>
      </c>
      <c r="G1441" s="4">
        <v>28209</v>
      </c>
      <c r="H1441" s="3" t="s">
        <v>21</v>
      </c>
      <c r="I1441" s="3" t="s">
        <v>33</v>
      </c>
      <c r="J1441" s="5">
        <v>193992860</v>
      </c>
      <c r="K1441" s="3">
        <v>4120400</v>
      </c>
      <c r="L1441" s="3" t="s">
        <v>87</v>
      </c>
      <c r="M1441" s="3" t="s">
        <v>2340</v>
      </c>
      <c r="N1441" s="3">
        <v>1931</v>
      </c>
      <c r="O1441" s="3" t="s">
        <v>222</v>
      </c>
      <c r="P1441" s="3" t="s">
        <v>545</v>
      </c>
      <c r="Q1441" s="3" t="s">
        <v>27</v>
      </c>
      <c r="R1441" s="3" t="s">
        <v>28</v>
      </c>
      <c r="S1441" s="3">
        <v>1452910</v>
      </c>
      <c r="T1441" s="3">
        <v>1130307200</v>
      </c>
      <c r="U1441" s="3" t="s">
        <v>29</v>
      </c>
    </row>
    <row r="1442" spans="1:21" ht="13.2" x14ac:dyDescent="0.25">
      <c r="A1442" s="14">
        <v>27045687000138</v>
      </c>
      <c r="B1442" s="15" t="str">
        <f t="shared" si="22"/>
        <v>27.045.687/0001-38</v>
      </c>
      <c r="C1442" s="12"/>
      <c r="D1442" s="3" t="s">
        <v>5625</v>
      </c>
      <c r="E1442" s="3" t="s">
        <v>5625</v>
      </c>
      <c r="F1442" s="3" t="s">
        <v>20</v>
      </c>
      <c r="G1442" s="4">
        <v>42773</v>
      </c>
      <c r="H1442" s="3" t="s">
        <v>21</v>
      </c>
      <c r="I1442" s="3" t="s">
        <v>22</v>
      </c>
      <c r="J1442" s="5">
        <v>200000</v>
      </c>
      <c r="K1442" s="3">
        <v>4221903</v>
      </c>
      <c r="L1442" s="3" t="s">
        <v>5626</v>
      </c>
      <c r="M1442" s="3" t="s">
        <v>5627</v>
      </c>
      <c r="N1442" s="3">
        <v>7221</v>
      </c>
      <c r="P1442" s="3" t="s">
        <v>5628</v>
      </c>
      <c r="Q1442" s="3" t="s">
        <v>987</v>
      </c>
      <c r="R1442" s="3" t="s">
        <v>100</v>
      </c>
      <c r="S1442" s="3">
        <v>38425377</v>
      </c>
      <c r="T1442" s="3">
        <v>2171781977</v>
      </c>
      <c r="U1442" s="3" t="s">
        <v>29</v>
      </c>
    </row>
    <row r="1443" spans="1:21" ht="13.2" x14ac:dyDescent="0.25">
      <c r="A1443" s="14">
        <v>55118103000142</v>
      </c>
      <c r="B1443" s="15" t="str">
        <f t="shared" si="22"/>
        <v>55.118.103/0001-42</v>
      </c>
      <c r="C1443" s="12"/>
      <c r="D1443" s="3" t="s">
        <v>5629</v>
      </c>
      <c r="E1443" s="3" t="s">
        <v>5629</v>
      </c>
      <c r="F1443" s="3" t="s">
        <v>20</v>
      </c>
      <c r="G1443" s="4">
        <v>31348</v>
      </c>
      <c r="H1443" s="3" t="s">
        <v>21</v>
      </c>
      <c r="I1443" s="3" t="s">
        <v>22</v>
      </c>
      <c r="J1443" s="5">
        <v>1000000</v>
      </c>
      <c r="K1443" s="3">
        <v>4530703</v>
      </c>
      <c r="L1443" s="3" t="s">
        <v>768</v>
      </c>
      <c r="M1443" s="3" t="s">
        <v>5630</v>
      </c>
      <c r="N1443" s="3">
        <v>335</v>
      </c>
      <c r="P1443" s="3" t="s">
        <v>5631</v>
      </c>
      <c r="Q1443" s="3" t="s">
        <v>1657</v>
      </c>
      <c r="R1443" s="3" t="s">
        <v>28</v>
      </c>
      <c r="S1443" s="3">
        <v>6315020</v>
      </c>
      <c r="T1443" s="3">
        <v>1141828686</v>
      </c>
      <c r="U1443" s="3" t="s">
        <v>29</v>
      </c>
    </row>
    <row r="1444" spans="1:21" ht="13.2" x14ac:dyDescent="0.25">
      <c r="A1444" s="14">
        <v>28356458000105</v>
      </c>
      <c r="B1444" s="15" t="str">
        <f t="shared" si="22"/>
        <v>28.356.458/0001-05</v>
      </c>
      <c r="C1444" s="12"/>
      <c r="D1444" s="3" t="s">
        <v>5632</v>
      </c>
      <c r="E1444" s="3" t="s">
        <v>5633</v>
      </c>
      <c r="F1444" s="3" t="s">
        <v>31</v>
      </c>
      <c r="G1444" s="4">
        <v>42954</v>
      </c>
      <c r="H1444" s="3" t="s">
        <v>21</v>
      </c>
      <c r="I1444" s="3" t="s">
        <v>47</v>
      </c>
      <c r="J1444" s="5">
        <v>1790000</v>
      </c>
      <c r="K1444" s="3">
        <v>4120400</v>
      </c>
      <c r="L1444" s="3" t="s">
        <v>87</v>
      </c>
      <c r="M1444" s="3" t="s">
        <v>5634</v>
      </c>
      <c r="N1444" s="3">
        <v>183</v>
      </c>
      <c r="P1444" s="3" t="s">
        <v>70</v>
      </c>
      <c r="Q1444" s="3" t="s">
        <v>107</v>
      </c>
      <c r="R1444" s="3" t="s">
        <v>91</v>
      </c>
      <c r="S1444" s="3">
        <v>88015900</v>
      </c>
      <c r="T1444" s="3">
        <v>4884757475</v>
      </c>
      <c r="U1444" s="3" t="s">
        <v>29</v>
      </c>
    </row>
    <row r="1445" spans="1:21" ht="13.2" x14ac:dyDescent="0.25">
      <c r="A1445" s="14">
        <v>4196795000106</v>
      </c>
      <c r="B1445" s="15" t="str">
        <f t="shared" si="22"/>
        <v>04.196.795/0001-06</v>
      </c>
      <c r="C1445" s="12"/>
      <c r="D1445" s="3" t="s">
        <v>5635</v>
      </c>
      <c r="E1445" s="3" t="s">
        <v>5635</v>
      </c>
      <c r="F1445" s="3" t="s">
        <v>20</v>
      </c>
      <c r="G1445" s="4">
        <v>36868</v>
      </c>
      <c r="H1445" s="3" t="s">
        <v>21</v>
      </c>
      <c r="I1445" s="3" t="s">
        <v>33</v>
      </c>
      <c r="J1445" s="5">
        <v>1000000</v>
      </c>
      <c r="K1445" s="3">
        <v>4120400</v>
      </c>
      <c r="L1445" s="3" t="s">
        <v>87</v>
      </c>
      <c r="M1445" s="3" t="s">
        <v>246</v>
      </c>
      <c r="N1445" s="3">
        <v>2001</v>
      </c>
      <c r="O1445" s="3" t="s">
        <v>5636</v>
      </c>
      <c r="P1445" s="3" t="s">
        <v>248</v>
      </c>
      <c r="Q1445" s="3" t="s">
        <v>27</v>
      </c>
      <c r="R1445" s="3" t="s">
        <v>28</v>
      </c>
      <c r="S1445" s="3">
        <v>1311931</v>
      </c>
      <c r="T1445" s="3">
        <v>1196656521</v>
      </c>
      <c r="U1445" s="3" t="s">
        <v>29</v>
      </c>
    </row>
    <row r="1446" spans="1:21" ht="13.2" x14ac:dyDescent="0.25">
      <c r="A1446" s="14">
        <v>5063653000133</v>
      </c>
      <c r="B1446" s="15" t="str">
        <f t="shared" si="22"/>
        <v>05.063.653/0001-33</v>
      </c>
      <c r="C1446" s="12" t="str">
        <f>VLOOKUP(B1446,[1]Planilha1!$A:$B,2,0)</f>
        <v>Malu Montesino</v>
      </c>
      <c r="D1446" s="3" t="s">
        <v>5637</v>
      </c>
      <c r="E1446" s="3" t="s">
        <v>5638</v>
      </c>
      <c r="F1446" s="3" t="s">
        <v>20</v>
      </c>
      <c r="G1446" s="4">
        <v>37400</v>
      </c>
      <c r="H1446" s="3" t="s">
        <v>21</v>
      </c>
      <c r="I1446" s="3" t="s">
        <v>33</v>
      </c>
      <c r="J1446" s="5">
        <v>39926650</v>
      </c>
      <c r="K1446" s="3">
        <v>4530701</v>
      </c>
      <c r="L1446" s="3" t="s">
        <v>2176</v>
      </c>
      <c r="M1446" s="3" t="s">
        <v>5639</v>
      </c>
      <c r="N1446" s="3">
        <v>17680</v>
      </c>
      <c r="O1446" s="3" t="s">
        <v>5640</v>
      </c>
      <c r="P1446" s="3" t="s">
        <v>1175</v>
      </c>
      <c r="Q1446" s="3" t="s">
        <v>186</v>
      </c>
      <c r="R1446" s="3" t="s">
        <v>187</v>
      </c>
      <c r="S1446" s="3">
        <v>83020442</v>
      </c>
      <c r="T1446" s="3">
        <v>4133868100</v>
      </c>
      <c r="U1446" s="3" t="s">
        <v>29</v>
      </c>
    </row>
    <row r="1447" spans="1:21" ht="13.2" x14ac:dyDescent="0.25">
      <c r="A1447" s="14">
        <v>11102435000163</v>
      </c>
      <c r="B1447" s="15" t="str">
        <f t="shared" si="22"/>
        <v>11.102.435/0001-63</v>
      </c>
      <c r="C1447" s="12"/>
      <c r="D1447" s="3" t="s">
        <v>5641</v>
      </c>
      <c r="E1447" s="3" t="s">
        <v>5641</v>
      </c>
      <c r="F1447" s="3" t="s">
        <v>20</v>
      </c>
      <c r="G1447" s="4">
        <v>40046</v>
      </c>
      <c r="H1447" s="3" t="s">
        <v>21</v>
      </c>
      <c r="I1447" s="3" t="s">
        <v>33</v>
      </c>
      <c r="J1447" s="5">
        <v>5000000</v>
      </c>
      <c r="K1447" s="3">
        <v>4399105</v>
      </c>
      <c r="L1447" s="3" t="s">
        <v>5642</v>
      </c>
      <c r="M1447" s="3" t="s">
        <v>3391</v>
      </c>
      <c r="N1447" s="3" t="s">
        <v>82</v>
      </c>
      <c r="O1447" s="3" t="s">
        <v>5643</v>
      </c>
      <c r="P1447" s="3" t="s">
        <v>5644</v>
      </c>
      <c r="Q1447" s="3" t="s">
        <v>5645</v>
      </c>
      <c r="R1447" s="3" t="s">
        <v>28</v>
      </c>
      <c r="S1447" s="3">
        <v>17404318</v>
      </c>
      <c r="T1447" s="3">
        <v>1434072927</v>
      </c>
      <c r="U1447" s="3" t="s">
        <v>29</v>
      </c>
    </row>
    <row r="1448" spans="1:21" ht="13.2" x14ac:dyDescent="0.25">
      <c r="A1448" s="14">
        <v>16793191000126</v>
      </c>
      <c r="B1448" s="15" t="str">
        <f t="shared" si="22"/>
        <v>16.793.191/0001-26</v>
      </c>
      <c r="C1448" s="12"/>
      <c r="D1448" s="3" t="s">
        <v>5646</v>
      </c>
      <c r="E1448" s="3" t="s">
        <v>5647</v>
      </c>
      <c r="F1448" s="3" t="s">
        <v>20</v>
      </c>
      <c r="G1448" s="4">
        <v>41149</v>
      </c>
      <c r="H1448" s="3" t="s">
        <v>21</v>
      </c>
      <c r="I1448" s="3" t="s">
        <v>22</v>
      </c>
      <c r="J1448" s="5">
        <v>1000000</v>
      </c>
      <c r="K1448" s="3">
        <v>7112000</v>
      </c>
      <c r="L1448" s="3" t="s">
        <v>276</v>
      </c>
      <c r="M1448" s="3" t="s">
        <v>5648</v>
      </c>
      <c r="N1448" s="3">
        <v>77</v>
      </c>
      <c r="P1448" s="3" t="s">
        <v>4028</v>
      </c>
      <c r="Q1448" s="3" t="s">
        <v>3266</v>
      </c>
      <c r="R1448" s="3" t="s">
        <v>28</v>
      </c>
      <c r="S1448" s="3">
        <v>12512170</v>
      </c>
      <c r="T1448" s="3">
        <v>1230420020</v>
      </c>
      <c r="U1448" s="3" t="s">
        <v>29</v>
      </c>
    </row>
    <row r="1449" spans="1:21" ht="13.2" x14ac:dyDescent="0.25">
      <c r="A1449" s="14">
        <v>4762861000168</v>
      </c>
      <c r="B1449" s="15" t="str">
        <f t="shared" si="22"/>
        <v>04.762.861/0001-68</v>
      </c>
      <c r="C1449" s="12"/>
      <c r="D1449" s="3" t="s">
        <v>5649</v>
      </c>
      <c r="E1449" s="3" t="s">
        <v>5650</v>
      </c>
      <c r="F1449" s="3" t="s">
        <v>20</v>
      </c>
      <c r="G1449" s="4">
        <v>37207</v>
      </c>
      <c r="H1449" s="3" t="s">
        <v>21</v>
      </c>
      <c r="I1449" s="3" t="s">
        <v>33</v>
      </c>
      <c r="J1449" s="5">
        <v>510000</v>
      </c>
      <c r="K1449" s="3">
        <v>4322302</v>
      </c>
      <c r="L1449" s="3" t="s">
        <v>5651</v>
      </c>
      <c r="M1449" s="3" t="s">
        <v>5652</v>
      </c>
      <c r="N1449" s="3" t="s">
        <v>111</v>
      </c>
      <c r="O1449" s="3" t="s">
        <v>5653</v>
      </c>
      <c r="P1449" s="3" t="s">
        <v>1456</v>
      </c>
      <c r="Q1449" s="3" t="s">
        <v>631</v>
      </c>
      <c r="R1449" s="3" t="s">
        <v>632</v>
      </c>
      <c r="S1449" s="3">
        <v>71200030</v>
      </c>
      <c r="T1449" s="3">
        <v>6135788900</v>
      </c>
      <c r="U1449" s="3" t="s">
        <v>29</v>
      </c>
    </row>
    <row r="1450" spans="1:21" ht="13.2" x14ac:dyDescent="0.25">
      <c r="A1450" s="14">
        <v>64545866000160</v>
      </c>
      <c r="B1450" s="15" t="str">
        <f t="shared" si="22"/>
        <v>64.545.866/0001-60</v>
      </c>
      <c r="C1450" s="12"/>
      <c r="D1450" s="3" t="s">
        <v>5654</v>
      </c>
      <c r="E1450" s="3" t="s">
        <v>5654</v>
      </c>
      <c r="F1450" s="3" t="s">
        <v>20</v>
      </c>
      <c r="G1450" s="4">
        <v>33127</v>
      </c>
      <c r="H1450" s="3" t="s">
        <v>21</v>
      </c>
      <c r="I1450" s="3" t="s">
        <v>33</v>
      </c>
      <c r="J1450" s="5">
        <v>29000000</v>
      </c>
      <c r="K1450" s="3">
        <v>8011101</v>
      </c>
      <c r="L1450" s="3" t="s">
        <v>943</v>
      </c>
      <c r="M1450" s="3" t="s">
        <v>5655</v>
      </c>
      <c r="N1450" s="3">
        <v>2280</v>
      </c>
      <c r="P1450" s="3" t="s">
        <v>5656</v>
      </c>
      <c r="Q1450" s="3" t="s">
        <v>2822</v>
      </c>
      <c r="R1450" s="3" t="s">
        <v>28</v>
      </c>
      <c r="S1450" s="3">
        <v>12240000</v>
      </c>
      <c r="T1450" s="3">
        <v>1221392900</v>
      </c>
      <c r="U1450" s="3" t="s">
        <v>29</v>
      </c>
    </row>
    <row r="1451" spans="1:21" ht="13.2" x14ac:dyDescent="0.25">
      <c r="A1451" s="14">
        <v>13686903000110</v>
      </c>
      <c r="B1451" s="15" t="str">
        <f t="shared" si="22"/>
        <v>13.686.903/0001-10</v>
      </c>
      <c r="C1451" s="12"/>
      <c r="D1451" s="3" t="s">
        <v>5657</v>
      </c>
      <c r="E1451" s="3" t="s">
        <v>5658</v>
      </c>
      <c r="F1451" s="3" t="s">
        <v>20</v>
      </c>
      <c r="G1451" s="4">
        <v>40686</v>
      </c>
      <c r="H1451" s="3" t="s">
        <v>21</v>
      </c>
      <c r="I1451" s="3" t="s">
        <v>47</v>
      </c>
      <c r="J1451" s="5">
        <v>200000</v>
      </c>
      <c r="K1451" s="3">
        <v>3313901</v>
      </c>
      <c r="L1451" s="3" t="s">
        <v>4610</v>
      </c>
      <c r="M1451" s="3" t="s">
        <v>5659</v>
      </c>
      <c r="N1451" s="3">
        <v>405</v>
      </c>
      <c r="O1451" s="3" t="s">
        <v>5660</v>
      </c>
      <c r="P1451" s="3" t="s">
        <v>5661</v>
      </c>
      <c r="Q1451" s="3" t="s">
        <v>5662</v>
      </c>
      <c r="R1451" s="3" t="s">
        <v>91</v>
      </c>
      <c r="S1451" s="3">
        <v>89466070</v>
      </c>
      <c r="T1451" s="3">
        <v>4799162527</v>
      </c>
      <c r="U1451" s="3" t="s">
        <v>29</v>
      </c>
    </row>
    <row r="1452" spans="1:21" ht="13.2" x14ac:dyDescent="0.25">
      <c r="A1452" s="14">
        <v>2474103000119</v>
      </c>
      <c r="B1452" s="15" t="str">
        <f t="shared" si="22"/>
        <v>02.474.103/0001-19</v>
      </c>
      <c r="C1452" s="12"/>
      <c r="D1452" s="3" t="s">
        <v>5663</v>
      </c>
      <c r="E1452" s="3" t="s">
        <v>5663</v>
      </c>
      <c r="F1452" s="3" t="s">
        <v>20</v>
      </c>
      <c r="G1452" s="4">
        <v>35902</v>
      </c>
      <c r="H1452" s="3" t="s">
        <v>377</v>
      </c>
      <c r="I1452" s="3" t="s">
        <v>33</v>
      </c>
      <c r="J1452" s="5">
        <v>4902648000</v>
      </c>
      <c r="K1452" s="3">
        <v>3511501</v>
      </c>
      <c r="L1452" s="3" t="s">
        <v>1917</v>
      </c>
      <c r="M1452" s="3" t="s">
        <v>5664</v>
      </c>
      <c r="N1452" s="3">
        <v>5064</v>
      </c>
      <c r="P1452" s="3" t="s">
        <v>5330</v>
      </c>
      <c r="Q1452" s="3" t="s">
        <v>107</v>
      </c>
      <c r="R1452" s="3" t="s">
        <v>91</v>
      </c>
      <c r="S1452" s="3">
        <v>88025255</v>
      </c>
      <c r="T1452" s="3">
        <v>4832217000</v>
      </c>
      <c r="U1452" s="3" t="s">
        <v>29</v>
      </c>
    </row>
    <row r="1453" spans="1:21" ht="13.2" x14ac:dyDescent="0.25">
      <c r="A1453" s="14">
        <v>16922038000151</v>
      </c>
      <c r="B1453" s="15" t="str">
        <f t="shared" si="22"/>
        <v>16.922.038/0001-51</v>
      </c>
      <c r="C1453" s="12"/>
      <c r="D1453" s="3" t="s">
        <v>5665</v>
      </c>
      <c r="E1453" s="3" t="s">
        <v>5666</v>
      </c>
      <c r="F1453" s="3" t="s">
        <v>20</v>
      </c>
      <c r="G1453" s="4">
        <v>41164</v>
      </c>
      <c r="H1453" s="3" t="s">
        <v>377</v>
      </c>
      <c r="I1453" s="3" t="s">
        <v>33</v>
      </c>
      <c r="J1453" s="5">
        <v>635661300</v>
      </c>
      <c r="K1453" s="3">
        <v>7490104</v>
      </c>
      <c r="L1453" s="3" t="s">
        <v>1597</v>
      </c>
      <c r="M1453" s="3" t="s">
        <v>3970</v>
      </c>
      <c r="N1453" s="3">
        <v>200</v>
      </c>
      <c r="O1453" s="3" t="s">
        <v>5667</v>
      </c>
      <c r="P1453" s="3" t="s">
        <v>3910</v>
      </c>
      <c r="Q1453" s="3" t="s">
        <v>27</v>
      </c>
      <c r="R1453" s="3" t="s">
        <v>28</v>
      </c>
      <c r="S1453" s="3">
        <v>1046925</v>
      </c>
      <c r="T1453" s="3">
        <v>1131974883</v>
      </c>
      <c r="U1453" s="3" t="s">
        <v>29</v>
      </c>
    </row>
    <row r="1454" spans="1:21" ht="13.2" x14ac:dyDescent="0.25">
      <c r="A1454" s="14">
        <v>52429206000135</v>
      </c>
      <c r="B1454" s="15" t="str">
        <f t="shared" si="22"/>
        <v>52.429.206/0001-35</v>
      </c>
      <c r="C1454" s="12"/>
      <c r="D1454" s="3" t="s">
        <v>5668</v>
      </c>
      <c r="E1454" s="3" t="s">
        <v>5668</v>
      </c>
      <c r="F1454" s="3" t="s">
        <v>20</v>
      </c>
      <c r="G1454" s="4">
        <v>30413</v>
      </c>
      <c r="H1454" s="3" t="s">
        <v>21</v>
      </c>
      <c r="I1454" s="3" t="s">
        <v>33</v>
      </c>
      <c r="J1454" s="5">
        <v>23000000</v>
      </c>
      <c r="K1454" s="3">
        <v>4120400</v>
      </c>
      <c r="L1454" s="3" t="s">
        <v>87</v>
      </c>
      <c r="M1454" s="3" t="s">
        <v>4943</v>
      </c>
      <c r="N1454" s="7">
        <v>2144</v>
      </c>
      <c r="O1454" s="3" t="s">
        <v>5669</v>
      </c>
      <c r="P1454" s="3" t="s">
        <v>5670</v>
      </c>
      <c r="Q1454" s="3" t="s">
        <v>27</v>
      </c>
      <c r="R1454" s="3" t="s">
        <v>28</v>
      </c>
      <c r="S1454" s="3">
        <v>4028001</v>
      </c>
      <c r="T1454" s="3">
        <v>1138847788</v>
      </c>
      <c r="U1454" s="3" t="s">
        <v>29</v>
      </c>
    </row>
    <row r="1455" spans="1:21" ht="13.2" x14ac:dyDescent="0.25">
      <c r="A1455" s="14">
        <v>26394344000116</v>
      </c>
      <c r="B1455" s="15" t="str">
        <f t="shared" si="22"/>
        <v>26.394.344/0001-16</v>
      </c>
      <c r="C1455" s="12"/>
      <c r="D1455" s="3" t="s">
        <v>5671</v>
      </c>
      <c r="E1455" s="3" t="s">
        <v>5672</v>
      </c>
      <c r="F1455" s="3" t="s">
        <v>20</v>
      </c>
      <c r="G1455" s="4">
        <v>42663</v>
      </c>
      <c r="H1455" s="3" t="s">
        <v>2634</v>
      </c>
      <c r="I1455" s="3" t="s">
        <v>33</v>
      </c>
      <c r="J1455" s="5">
        <v>0</v>
      </c>
      <c r="K1455" s="3">
        <v>6462000</v>
      </c>
      <c r="L1455" s="3" t="s">
        <v>250</v>
      </c>
      <c r="M1455" s="3" t="s">
        <v>5673</v>
      </c>
      <c r="N1455" s="3" t="s">
        <v>82</v>
      </c>
      <c r="O1455" s="3">
        <v>19801</v>
      </c>
      <c r="P1455" s="3" t="s">
        <v>5674</v>
      </c>
      <c r="R1455" s="3" t="s">
        <v>2637</v>
      </c>
      <c r="U1455" s="3" t="s">
        <v>29</v>
      </c>
    </row>
    <row r="1456" spans="1:21" ht="13.2" x14ac:dyDescent="0.25">
      <c r="A1456" s="14">
        <v>7875114000124</v>
      </c>
      <c r="B1456" s="15" t="str">
        <f t="shared" si="22"/>
        <v>07.875.114/0001-24</v>
      </c>
      <c r="C1456" s="12"/>
      <c r="D1456" s="3" t="s">
        <v>5675</v>
      </c>
      <c r="E1456" s="3" t="s">
        <v>5675</v>
      </c>
      <c r="F1456" s="3" t="s">
        <v>20</v>
      </c>
      <c r="G1456" s="4">
        <v>38722</v>
      </c>
      <c r="H1456" s="3" t="s">
        <v>21</v>
      </c>
      <c r="I1456" s="3" t="s">
        <v>47</v>
      </c>
      <c r="J1456" s="5">
        <v>60000</v>
      </c>
      <c r="K1456" s="3">
        <v>4635401</v>
      </c>
      <c r="L1456" s="3" t="s">
        <v>5676</v>
      </c>
      <c r="M1456" s="3" t="s">
        <v>5677</v>
      </c>
      <c r="N1456" s="3">
        <v>993</v>
      </c>
      <c r="P1456" s="3" t="s">
        <v>4421</v>
      </c>
      <c r="Q1456" s="3" t="s">
        <v>27</v>
      </c>
      <c r="R1456" s="3" t="s">
        <v>28</v>
      </c>
      <c r="S1456" s="3">
        <v>3061000</v>
      </c>
      <c r="T1456" s="3">
        <v>1135356721</v>
      </c>
      <c r="U1456" s="3" t="s">
        <v>29</v>
      </c>
    </row>
    <row r="1457" spans="1:21" ht="13.2" x14ac:dyDescent="0.25">
      <c r="A1457" s="14">
        <v>17887874000105</v>
      </c>
      <c r="B1457" s="15" t="str">
        <f t="shared" si="22"/>
        <v>17.887.874/0001-05</v>
      </c>
      <c r="C1457" s="12"/>
      <c r="D1457" s="3" t="s">
        <v>5678</v>
      </c>
      <c r="E1457" s="3" t="s">
        <v>5678</v>
      </c>
      <c r="F1457" s="3" t="s">
        <v>20</v>
      </c>
      <c r="G1457" s="4">
        <v>41372</v>
      </c>
      <c r="H1457" s="3" t="s">
        <v>94</v>
      </c>
      <c r="I1457" s="3" t="s">
        <v>33</v>
      </c>
      <c r="J1457" s="5">
        <v>486377730</v>
      </c>
      <c r="K1457" s="3">
        <v>6613400</v>
      </c>
      <c r="L1457" s="3" t="s">
        <v>2962</v>
      </c>
      <c r="M1457" s="3" t="s">
        <v>5679</v>
      </c>
      <c r="N1457" s="3">
        <v>192</v>
      </c>
      <c r="O1457" s="3" t="s">
        <v>5680</v>
      </c>
      <c r="P1457" s="3" t="s">
        <v>1230</v>
      </c>
      <c r="Q1457" s="3" t="s">
        <v>27</v>
      </c>
      <c r="R1457" s="3" t="s">
        <v>28</v>
      </c>
      <c r="S1457" s="3">
        <v>1451010</v>
      </c>
      <c r="T1457" s="3">
        <v>1163084908</v>
      </c>
      <c r="U1457" s="3" t="s">
        <v>29</v>
      </c>
    </row>
    <row r="1458" spans="1:21" ht="13.2" x14ac:dyDescent="0.25">
      <c r="A1458" s="14">
        <v>57784822000128</v>
      </c>
      <c r="B1458" s="15" t="str">
        <f t="shared" si="22"/>
        <v>57.784.822/0001-28</v>
      </c>
      <c r="C1458" s="12"/>
      <c r="D1458" s="3" t="s">
        <v>5681</v>
      </c>
      <c r="E1458" s="3" t="s">
        <v>5682</v>
      </c>
      <c r="F1458" s="3" t="s">
        <v>20</v>
      </c>
      <c r="G1458" s="4">
        <v>45587</v>
      </c>
      <c r="H1458" s="3" t="s">
        <v>21</v>
      </c>
      <c r="I1458" s="3" t="s">
        <v>33</v>
      </c>
      <c r="J1458" s="5">
        <v>1000000</v>
      </c>
      <c r="K1458" s="3">
        <v>7112000</v>
      </c>
      <c r="L1458" s="3" t="s">
        <v>276</v>
      </c>
      <c r="M1458" s="3" t="s">
        <v>308</v>
      </c>
      <c r="N1458" s="3">
        <v>14401</v>
      </c>
      <c r="O1458" s="3" t="s">
        <v>5683</v>
      </c>
      <c r="P1458" s="3" t="s">
        <v>310</v>
      </c>
      <c r="Q1458" s="3" t="s">
        <v>27</v>
      </c>
      <c r="R1458" s="3" t="s">
        <v>28</v>
      </c>
      <c r="S1458" s="3">
        <v>4794000</v>
      </c>
      <c r="T1458" s="3">
        <v>1145501576</v>
      </c>
      <c r="U1458" s="3" t="s">
        <v>29</v>
      </c>
    </row>
    <row r="1459" spans="1:21" ht="13.2" x14ac:dyDescent="0.25">
      <c r="A1459" s="14">
        <v>4176689000160</v>
      </c>
      <c r="B1459" s="15" t="str">
        <f t="shared" si="22"/>
        <v>04.176.689/0001-60</v>
      </c>
      <c r="C1459" s="12"/>
      <c r="D1459" s="3" t="s">
        <v>5684</v>
      </c>
      <c r="E1459" s="3" t="s">
        <v>5684</v>
      </c>
      <c r="F1459" s="3" t="s">
        <v>20</v>
      </c>
      <c r="G1459" s="4">
        <v>36864</v>
      </c>
      <c r="H1459" s="3" t="s">
        <v>21</v>
      </c>
      <c r="I1459" s="3" t="s">
        <v>33</v>
      </c>
      <c r="J1459" s="5">
        <v>1444382500</v>
      </c>
      <c r="K1459" s="3">
        <v>2621300</v>
      </c>
      <c r="L1459" s="3" t="s">
        <v>4620</v>
      </c>
      <c r="M1459" s="3" t="s">
        <v>5685</v>
      </c>
      <c r="N1459" s="3">
        <v>2236</v>
      </c>
      <c r="O1459" s="3" t="s">
        <v>5686</v>
      </c>
      <c r="P1459" s="3" t="s">
        <v>467</v>
      </c>
      <c r="Q1459" s="3" t="s">
        <v>448</v>
      </c>
      <c r="R1459" s="3" t="s">
        <v>449</v>
      </c>
      <c r="S1459" s="3">
        <v>69058830</v>
      </c>
      <c r="T1459" s="3">
        <v>9221268833</v>
      </c>
      <c r="U1459" s="3" t="s">
        <v>29</v>
      </c>
    </row>
    <row r="1460" spans="1:21" ht="13.2" x14ac:dyDescent="0.25">
      <c r="A1460" s="14">
        <v>5950849000140</v>
      </c>
      <c r="B1460" s="15" t="str">
        <f t="shared" si="22"/>
        <v>05.950.849/0001-40</v>
      </c>
      <c r="C1460" s="12" t="str">
        <f>VLOOKUP(B1460,[1]Planilha1!$A:$B,2,0)</f>
        <v>Mariane Nascimento</v>
      </c>
      <c r="D1460" s="3" t="s">
        <v>5687</v>
      </c>
      <c r="E1460" s="3" t="s">
        <v>5688</v>
      </c>
      <c r="F1460" s="3" t="s">
        <v>20</v>
      </c>
      <c r="G1460" s="4">
        <v>37865</v>
      </c>
      <c r="H1460" s="3" t="s">
        <v>21</v>
      </c>
      <c r="I1460" s="3" t="s">
        <v>33</v>
      </c>
      <c r="J1460" s="5">
        <v>5350000</v>
      </c>
      <c r="K1460" s="3">
        <v>4511101</v>
      </c>
      <c r="L1460" s="3" t="s">
        <v>1870</v>
      </c>
      <c r="M1460" s="3" t="s">
        <v>5689</v>
      </c>
      <c r="N1460" s="3">
        <v>357</v>
      </c>
      <c r="P1460" s="3" t="s">
        <v>5690</v>
      </c>
      <c r="Q1460" s="3" t="s">
        <v>1141</v>
      </c>
      <c r="R1460" s="3" t="s">
        <v>1142</v>
      </c>
      <c r="S1460" s="3">
        <v>79050902</v>
      </c>
      <c r="T1460" s="3">
        <v>6733220600</v>
      </c>
      <c r="U1460" s="3" t="s">
        <v>29</v>
      </c>
    </row>
    <row r="1461" spans="1:21" ht="13.2" x14ac:dyDescent="0.25">
      <c r="A1461" s="14">
        <v>11370685000184</v>
      </c>
      <c r="B1461" s="15" t="str">
        <f t="shared" si="22"/>
        <v>11.370.685/0001-84</v>
      </c>
      <c r="C1461" s="12"/>
      <c r="D1461" s="3" t="s">
        <v>5691</v>
      </c>
      <c r="E1461" s="3" t="s">
        <v>5691</v>
      </c>
      <c r="F1461" s="3" t="s">
        <v>20</v>
      </c>
      <c r="G1461" s="4">
        <v>40148</v>
      </c>
      <c r="H1461" s="3" t="s">
        <v>21</v>
      </c>
      <c r="I1461" s="3" t="s">
        <v>33</v>
      </c>
      <c r="J1461" s="5">
        <v>1500000</v>
      </c>
      <c r="K1461" s="3">
        <v>8011101</v>
      </c>
      <c r="L1461" s="3" t="s">
        <v>943</v>
      </c>
      <c r="M1461" s="3" t="s">
        <v>470</v>
      </c>
      <c r="N1461" s="3">
        <v>1193</v>
      </c>
      <c r="O1461" s="3" t="s">
        <v>496</v>
      </c>
      <c r="P1461" s="3" t="s">
        <v>436</v>
      </c>
      <c r="Q1461" s="3" t="s">
        <v>437</v>
      </c>
      <c r="R1461" s="3" t="s">
        <v>53</v>
      </c>
      <c r="S1461" s="3">
        <v>90240542</v>
      </c>
      <c r="T1461" s="3">
        <v>5132221969</v>
      </c>
      <c r="U1461" s="3" t="s">
        <v>29</v>
      </c>
    </row>
    <row r="1462" spans="1:21" ht="13.2" x14ac:dyDescent="0.25">
      <c r="A1462" s="14">
        <v>92966571000101</v>
      </c>
      <c r="B1462" s="15" t="str">
        <f t="shared" si="22"/>
        <v>92.966.571/0001-01</v>
      </c>
      <c r="C1462" s="12"/>
      <c r="D1462" s="3" t="s">
        <v>5692</v>
      </c>
      <c r="E1462" s="3" t="s">
        <v>5692</v>
      </c>
      <c r="F1462" s="3" t="s">
        <v>20</v>
      </c>
      <c r="G1462" s="4">
        <v>25759</v>
      </c>
      <c r="H1462" s="3" t="s">
        <v>21</v>
      </c>
      <c r="I1462" s="3" t="s">
        <v>33</v>
      </c>
      <c r="J1462" s="5">
        <v>7700000</v>
      </c>
      <c r="K1462" s="3">
        <v>8011101</v>
      </c>
      <c r="L1462" s="3" t="s">
        <v>943</v>
      </c>
      <c r="M1462" s="3" t="s">
        <v>470</v>
      </c>
      <c r="N1462" s="3">
        <v>1193</v>
      </c>
      <c r="O1462" s="3" t="s">
        <v>5693</v>
      </c>
      <c r="P1462" s="3" t="s">
        <v>436</v>
      </c>
      <c r="Q1462" s="3" t="s">
        <v>437</v>
      </c>
      <c r="R1462" s="3" t="s">
        <v>53</v>
      </c>
      <c r="S1462" s="3">
        <v>90240542</v>
      </c>
      <c r="T1462" s="3">
        <v>5132221969</v>
      </c>
      <c r="U1462" s="3" t="s">
        <v>29</v>
      </c>
    </row>
    <row r="1463" spans="1:21" ht="13.2" x14ac:dyDescent="0.25">
      <c r="A1463" s="14">
        <v>61106159000180</v>
      </c>
      <c r="B1463" s="15" t="str">
        <f t="shared" si="22"/>
        <v>61.106.159/0001-80</v>
      </c>
      <c r="C1463" s="12"/>
      <c r="D1463" s="3" t="s">
        <v>5694</v>
      </c>
      <c r="E1463" s="3" t="s">
        <v>5694</v>
      </c>
      <c r="F1463" s="3" t="s">
        <v>20</v>
      </c>
      <c r="G1463" s="4">
        <v>32717</v>
      </c>
      <c r="H1463" s="3" t="s">
        <v>21</v>
      </c>
      <c r="I1463" s="3" t="s">
        <v>33</v>
      </c>
      <c r="J1463" s="5">
        <v>14000000</v>
      </c>
      <c r="K1463" s="3">
        <v>4299599</v>
      </c>
      <c r="L1463" s="3" t="s">
        <v>1185</v>
      </c>
      <c r="M1463" s="3" t="s">
        <v>3084</v>
      </c>
      <c r="N1463" s="3">
        <v>115</v>
      </c>
      <c r="P1463" s="3" t="s">
        <v>70</v>
      </c>
      <c r="Q1463" s="3" t="s">
        <v>5695</v>
      </c>
      <c r="R1463" s="3" t="s">
        <v>28</v>
      </c>
      <c r="S1463" s="3">
        <v>11900000</v>
      </c>
      <c r="T1463" s="3">
        <v>1338212889</v>
      </c>
      <c r="U1463" s="3" t="s">
        <v>29</v>
      </c>
    </row>
    <row r="1464" spans="1:21" ht="13.2" x14ac:dyDescent="0.25">
      <c r="A1464" s="14">
        <v>3448808000124</v>
      </c>
      <c r="B1464" s="15" t="str">
        <f t="shared" si="22"/>
        <v>03.448.808/0001-24</v>
      </c>
      <c r="C1464" s="12"/>
      <c r="D1464" s="3" t="s">
        <v>5696</v>
      </c>
      <c r="E1464" s="3" t="s">
        <v>5696</v>
      </c>
      <c r="F1464" s="3" t="s">
        <v>20</v>
      </c>
      <c r="G1464" s="4">
        <v>36444</v>
      </c>
      <c r="H1464" s="3" t="s">
        <v>94</v>
      </c>
      <c r="I1464" s="3" t="s">
        <v>33</v>
      </c>
      <c r="J1464" s="5">
        <v>24025092</v>
      </c>
      <c r="K1464" s="3">
        <v>8299799</v>
      </c>
      <c r="L1464" s="3" t="s">
        <v>532</v>
      </c>
      <c r="M1464" s="3" t="s">
        <v>3402</v>
      </c>
      <c r="N1464" s="3">
        <v>336</v>
      </c>
      <c r="O1464" s="3" t="s">
        <v>5697</v>
      </c>
      <c r="P1464" s="3" t="s">
        <v>1740</v>
      </c>
      <c r="Q1464" s="3" t="s">
        <v>27</v>
      </c>
      <c r="R1464" s="3" t="s">
        <v>28</v>
      </c>
      <c r="S1464" s="3">
        <v>5424000</v>
      </c>
      <c r="T1464" s="3">
        <v>1146898686</v>
      </c>
      <c r="U1464" s="3" t="s">
        <v>29</v>
      </c>
    </row>
    <row r="1465" spans="1:21" ht="13.2" x14ac:dyDescent="0.25">
      <c r="A1465" s="14">
        <v>7244760000193</v>
      </c>
      <c r="B1465" s="15" t="str">
        <f t="shared" si="22"/>
        <v>07.244.760/0001-93</v>
      </c>
      <c r="C1465" s="12"/>
      <c r="D1465" s="3" t="s">
        <v>5698</v>
      </c>
      <c r="E1465" s="3" t="s">
        <v>5699</v>
      </c>
      <c r="F1465" s="3" t="s">
        <v>20</v>
      </c>
      <c r="G1465" s="4">
        <v>38404</v>
      </c>
      <c r="H1465" s="3" t="s">
        <v>21</v>
      </c>
      <c r="I1465" s="3" t="s">
        <v>33</v>
      </c>
      <c r="J1465" s="5">
        <v>1000000</v>
      </c>
      <c r="K1465" s="3">
        <v>7711000</v>
      </c>
      <c r="L1465" s="3" t="s">
        <v>2763</v>
      </c>
      <c r="M1465" s="3" t="s">
        <v>5700</v>
      </c>
      <c r="N1465" s="3">
        <v>11</v>
      </c>
      <c r="O1465" s="3" t="s">
        <v>5701</v>
      </c>
      <c r="P1465" s="3" t="s">
        <v>5702</v>
      </c>
      <c r="Q1465" s="3" t="s">
        <v>280</v>
      </c>
      <c r="R1465" s="3" t="s">
        <v>281</v>
      </c>
      <c r="S1465" s="3">
        <v>40010010</v>
      </c>
      <c r="T1465" s="3">
        <v>7130234823</v>
      </c>
      <c r="U1465" s="3" t="s">
        <v>29</v>
      </c>
    </row>
    <row r="1466" spans="1:21" ht="13.2" x14ac:dyDescent="0.25">
      <c r="A1466" s="14">
        <v>27463431000140</v>
      </c>
      <c r="B1466" s="15" t="str">
        <f t="shared" si="22"/>
        <v>27.463.431/0001-40</v>
      </c>
      <c r="C1466" s="12"/>
      <c r="D1466" s="3" t="s">
        <v>5703</v>
      </c>
      <c r="E1466" s="3" t="s">
        <v>5704</v>
      </c>
      <c r="F1466" s="3" t="s">
        <v>20</v>
      </c>
      <c r="G1466" s="4">
        <v>42829</v>
      </c>
      <c r="H1466" s="3" t="s">
        <v>21</v>
      </c>
      <c r="I1466" s="3" t="s">
        <v>22</v>
      </c>
      <c r="J1466" s="5">
        <v>100000</v>
      </c>
      <c r="K1466" s="3">
        <v>4642702</v>
      </c>
      <c r="L1466" s="3" t="s">
        <v>1139</v>
      </c>
      <c r="M1466" s="3" t="s">
        <v>4771</v>
      </c>
      <c r="N1466" s="3">
        <v>69</v>
      </c>
      <c r="P1466" s="3" t="s">
        <v>2177</v>
      </c>
      <c r="Q1466" s="3" t="s">
        <v>262</v>
      </c>
      <c r="R1466" s="3" t="s">
        <v>28</v>
      </c>
      <c r="S1466" s="3">
        <v>6230100</v>
      </c>
      <c r="T1466" s="3">
        <v>1145752010</v>
      </c>
      <c r="U1466" s="3" t="s">
        <v>29</v>
      </c>
    </row>
    <row r="1467" spans="1:21" ht="13.2" x14ac:dyDescent="0.25">
      <c r="A1467" s="14">
        <v>21901482000120</v>
      </c>
      <c r="B1467" s="15" t="str">
        <f t="shared" si="22"/>
        <v>21.901.482/0001-20</v>
      </c>
      <c r="C1467" s="12"/>
      <c r="D1467" s="3" t="s">
        <v>5705</v>
      </c>
      <c r="E1467" s="3" t="s">
        <v>5706</v>
      </c>
      <c r="F1467" s="3" t="s">
        <v>20</v>
      </c>
      <c r="G1467" s="4">
        <v>42054</v>
      </c>
      <c r="H1467" s="3" t="s">
        <v>21</v>
      </c>
      <c r="I1467" s="3" t="s">
        <v>47</v>
      </c>
      <c r="J1467" s="5">
        <v>1000000</v>
      </c>
      <c r="K1467" s="3">
        <v>4669999</v>
      </c>
      <c r="L1467" s="3" t="s">
        <v>558</v>
      </c>
      <c r="M1467" s="3" t="s">
        <v>5707</v>
      </c>
      <c r="N1467" s="3">
        <v>284</v>
      </c>
      <c r="O1467" s="3" t="s">
        <v>2676</v>
      </c>
      <c r="P1467" s="3" t="s">
        <v>5708</v>
      </c>
      <c r="Q1467" s="3" t="s">
        <v>2345</v>
      </c>
      <c r="R1467" s="3" t="s">
        <v>53</v>
      </c>
      <c r="S1467" s="3">
        <v>94930240</v>
      </c>
      <c r="T1467" s="3">
        <v>5130411931</v>
      </c>
      <c r="U1467" s="3" t="s">
        <v>29</v>
      </c>
    </row>
    <row r="1468" spans="1:21" ht="13.2" x14ac:dyDescent="0.25">
      <c r="A1468" s="14">
        <v>330676000143</v>
      </c>
      <c r="B1468" s="15" t="str">
        <f t="shared" si="22"/>
        <v>00.330.676/0001-43</v>
      </c>
      <c r="C1468" s="12"/>
      <c r="D1468" s="3" t="s">
        <v>5709</v>
      </c>
      <c r="E1468" s="3" t="s">
        <v>5709</v>
      </c>
      <c r="F1468" s="3" t="s">
        <v>20</v>
      </c>
      <c r="G1468" s="4">
        <v>34648</v>
      </c>
      <c r="H1468" s="3" t="s">
        <v>21</v>
      </c>
      <c r="I1468" s="3" t="s">
        <v>22</v>
      </c>
      <c r="J1468" s="5">
        <v>500000</v>
      </c>
      <c r="K1468" s="3">
        <v>4789099</v>
      </c>
      <c r="L1468" s="3" t="s">
        <v>774</v>
      </c>
      <c r="M1468" s="3" t="s">
        <v>5710</v>
      </c>
      <c r="N1468" s="3">
        <v>41</v>
      </c>
      <c r="P1468" s="3" t="s">
        <v>5711</v>
      </c>
      <c r="Q1468" s="3" t="s">
        <v>1640</v>
      </c>
      <c r="R1468" s="3" t="s">
        <v>78</v>
      </c>
      <c r="S1468" s="3">
        <v>24110258</v>
      </c>
      <c r="T1468" s="3">
        <v>2164281407</v>
      </c>
      <c r="U1468" s="3" t="s">
        <v>29</v>
      </c>
    </row>
    <row r="1469" spans="1:21" ht="13.2" x14ac:dyDescent="0.25">
      <c r="A1469" s="14">
        <v>52106911000100</v>
      </c>
      <c r="B1469" s="15" t="str">
        <f t="shared" si="22"/>
        <v>52.106.911/0001-00</v>
      </c>
      <c r="C1469" s="12"/>
      <c r="D1469" s="3" t="s">
        <v>5712</v>
      </c>
      <c r="E1469" s="3" t="s">
        <v>5713</v>
      </c>
      <c r="F1469" s="3" t="s">
        <v>20</v>
      </c>
      <c r="G1469" s="4">
        <v>30283</v>
      </c>
      <c r="H1469" s="3" t="s">
        <v>21</v>
      </c>
      <c r="I1469" s="3" t="s">
        <v>33</v>
      </c>
      <c r="J1469" s="5">
        <v>47120930</v>
      </c>
      <c r="K1469" s="3">
        <v>2622100</v>
      </c>
      <c r="L1469" s="3" t="s">
        <v>5714</v>
      </c>
      <c r="M1469" s="3" t="s">
        <v>5715</v>
      </c>
      <c r="N1469" s="3">
        <v>720</v>
      </c>
      <c r="O1469" s="3" t="s">
        <v>5716</v>
      </c>
      <c r="P1469" s="3" t="s">
        <v>616</v>
      </c>
      <c r="Q1469" s="3" t="s">
        <v>617</v>
      </c>
      <c r="R1469" s="3" t="s">
        <v>28</v>
      </c>
      <c r="S1469" s="3">
        <v>6460020</v>
      </c>
      <c r="T1469" s="3">
        <v>1139566715</v>
      </c>
      <c r="U1469" s="3" t="s">
        <v>29</v>
      </c>
    </row>
    <row r="1470" spans="1:21" ht="13.2" x14ac:dyDescent="0.25">
      <c r="A1470" s="14">
        <v>1543032000104</v>
      </c>
      <c r="B1470" s="15" t="str">
        <f t="shared" si="22"/>
        <v>01.543.032/0001-04</v>
      </c>
      <c r="C1470" s="12"/>
      <c r="D1470" s="3" t="s">
        <v>5717</v>
      </c>
      <c r="E1470" s="3" t="s">
        <v>5718</v>
      </c>
      <c r="F1470" s="3" t="s">
        <v>20</v>
      </c>
      <c r="G1470" s="4">
        <v>24369</v>
      </c>
      <c r="H1470" s="3" t="s">
        <v>377</v>
      </c>
      <c r="I1470" s="3" t="s">
        <v>33</v>
      </c>
      <c r="J1470" s="5">
        <v>5664952000</v>
      </c>
      <c r="K1470" s="3">
        <v>3514000</v>
      </c>
      <c r="L1470" s="3" t="s">
        <v>3329</v>
      </c>
      <c r="M1470" s="3">
        <v>2</v>
      </c>
      <c r="N1470" s="3">
        <v>505</v>
      </c>
      <c r="O1470" s="3" t="s">
        <v>5719</v>
      </c>
      <c r="P1470" s="3" t="s">
        <v>5720</v>
      </c>
      <c r="Q1470" s="3" t="s">
        <v>273</v>
      </c>
      <c r="R1470" s="3" t="s">
        <v>274</v>
      </c>
      <c r="S1470" s="3">
        <v>74805180</v>
      </c>
      <c r="T1470" s="3">
        <v>9832178000</v>
      </c>
      <c r="U1470" s="3" t="s">
        <v>29</v>
      </c>
    </row>
    <row r="1471" spans="1:21" ht="13.2" x14ac:dyDescent="0.25">
      <c r="A1471" s="14">
        <v>6272793000184</v>
      </c>
      <c r="B1471" s="15" t="str">
        <f t="shared" si="22"/>
        <v>06.272.793/0001-84</v>
      </c>
      <c r="C1471" s="12"/>
      <c r="D1471" s="3" t="s">
        <v>5721</v>
      </c>
      <c r="E1471" s="3" t="s">
        <v>5722</v>
      </c>
      <c r="F1471" s="3" t="s">
        <v>20</v>
      </c>
      <c r="G1471" s="4">
        <v>24107</v>
      </c>
      <c r="H1471" s="3" t="s">
        <v>377</v>
      </c>
      <c r="I1471" s="3" t="s">
        <v>33</v>
      </c>
      <c r="J1471" s="5">
        <v>2200000000</v>
      </c>
      <c r="K1471" s="3">
        <v>3514000</v>
      </c>
      <c r="L1471" s="3" t="s">
        <v>3329</v>
      </c>
      <c r="M1471" s="3" t="s">
        <v>5723</v>
      </c>
      <c r="N1471" s="3">
        <v>100</v>
      </c>
      <c r="P1471" s="3" t="s">
        <v>5724</v>
      </c>
      <c r="Q1471" s="3" t="s">
        <v>2063</v>
      </c>
      <c r="R1471" s="3" t="s">
        <v>382</v>
      </c>
      <c r="S1471" s="3">
        <v>65070900</v>
      </c>
      <c r="T1471" s="3">
        <v>9832172220</v>
      </c>
      <c r="U1471" s="3" t="s">
        <v>29</v>
      </c>
    </row>
    <row r="1472" spans="1:21" ht="13.2" x14ac:dyDescent="0.25">
      <c r="A1472" s="14">
        <v>3220438000173</v>
      </c>
      <c r="B1472" s="15" t="str">
        <f t="shared" si="22"/>
        <v>03.220.438/0001-73</v>
      </c>
      <c r="C1472" s="12"/>
      <c r="D1472" s="3" t="s">
        <v>5725</v>
      </c>
      <c r="E1472" s="3" t="s">
        <v>5725</v>
      </c>
      <c r="F1472" s="3" t="s">
        <v>20</v>
      </c>
      <c r="G1472" s="4">
        <v>36327</v>
      </c>
      <c r="H1472" s="3" t="s">
        <v>377</v>
      </c>
      <c r="I1472" s="3" t="s">
        <v>33</v>
      </c>
      <c r="J1472" s="5">
        <v>12647285000</v>
      </c>
      <c r="K1472" s="3">
        <v>6462000</v>
      </c>
      <c r="L1472" s="3" t="s">
        <v>250</v>
      </c>
      <c r="M1472" s="3" t="s">
        <v>5726</v>
      </c>
      <c r="N1472" s="3">
        <v>100</v>
      </c>
      <c r="O1472" s="3" t="s">
        <v>5727</v>
      </c>
      <c r="P1472" s="3" t="s">
        <v>3509</v>
      </c>
      <c r="Q1472" s="3" t="s">
        <v>2063</v>
      </c>
      <c r="R1472" s="3" t="s">
        <v>382</v>
      </c>
      <c r="S1472" s="3">
        <v>65071680</v>
      </c>
      <c r="T1472" s="3">
        <v>9832172220</v>
      </c>
      <c r="U1472" s="3" t="s">
        <v>29</v>
      </c>
    </row>
    <row r="1473" spans="1:21" ht="13.2" x14ac:dyDescent="0.25">
      <c r="A1473" s="14">
        <v>9039434000170</v>
      </c>
      <c r="B1473" s="15" t="str">
        <f t="shared" si="22"/>
        <v>09.039.434/0001-70</v>
      </c>
      <c r="C1473" s="12"/>
      <c r="D1473" s="3" t="s">
        <v>5728</v>
      </c>
      <c r="E1473" s="3" t="s">
        <v>5728</v>
      </c>
      <c r="F1473" s="3" t="s">
        <v>20</v>
      </c>
      <c r="G1473" s="4">
        <v>39265</v>
      </c>
      <c r="H1473" s="3" t="s">
        <v>21</v>
      </c>
      <c r="I1473" s="3" t="s">
        <v>33</v>
      </c>
      <c r="J1473" s="5">
        <v>6310000</v>
      </c>
      <c r="K1473" s="3">
        <v>8011101</v>
      </c>
      <c r="L1473" s="3" t="s">
        <v>943</v>
      </c>
      <c r="M1473" s="3" t="s">
        <v>5729</v>
      </c>
      <c r="N1473" s="3">
        <v>488</v>
      </c>
      <c r="P1473" s="3" t="s">
        <v>5730</v>
      </c>
      <c r="Q1473" s="3" t="s">
        <v>204</v>
      </c>
      <c r="R1473" s="3" t="s">
        <v>187</v>
      </c>
      <c r="S1473" s="3">
        <v>80045275</v>
      </c>
      <c r="T1473" s="3">
        <v>4133622000</v>
      </c>
      <c r="U1473" s="3" t="s">
        <v>29</v>
      </c>
    </row>
    <row r="1474" spans="1:21" ht="13.2" x14ac:dyDescent="0.25">
      <c r="A1474" s="14">
        <v>2891176000106</v>
      </c>
      <c r="B1474" s="15" t="str">
        <f t="shared" si="22"/>
        <v>02.891.176/0001-06</v>
      </c>
      <c r="C1474" s="12"/>
      <c r="D1474" s="3" t="s">
        <v>5731</v>
      </c>
      <c r="E1474" s="3" t="s">
        <v>5731</v>
      </c>
      <c r="F1474" s="3" t="s">
        <v>20</v>
      </c>
      <c r="G1474" s="4">
        <v>36126</v>
      </c>
      <c r="H1474" s="3" t="s">
        <v>21</v>
      </c>
      <c r="I1474" s="3" t="s">
        <v>33</v>
      </c>
      <c r="J1474" s="5">
        <v>400000</v>
      </c>
      <c r="K1474" s="3">
        <v>7830200</v>
      </c>
      <c r="L1474" s="3" t="s">
        <v>473</v>
      </c>
      <c r="M1474" s="3" t="s">
        <v>5732</v>
      </c>
      <c r="N1474" s="3">
        <v>292</v>
      </c>
      <c r="P1474" s="3" t="s">
        <v>5733</v>
      </c>
      <c r="Q1474" s="3" t="s">
        <v>5734</v>
      </c>
      <c r="R1474" s="3" t="s">
        <v>187</v>
      </c>
      <c r="S1474" s="3">
        <v>83212415</v>
      </c>
      <c r="T1474" s="3">
        <v>4199830088</v>
      </c>
      <c r="U1474" s="3" t="s">
        <v>29</v>
      </c>
    </row>
    <row r="1475" spans="1:21" ht="13.2" x14ac:dyDescent="0.25">
      <c r="A1475" s="14">
        <v>27709659000178</v>
      </c>
      <c r="B1475" s="15" t="str">
        <f t="shared" ref="B1475:B1538" si="23">TEXT(A1475,"00\.000\.000\/0000\-00")</f>
        <v>27.709.659/0001-78</v>
      </c>
      <c r="C1475" s="12"/>
      <c r="D1475" s="3" t="s">
        <v>5735</v>
      </c>
      <c r="E1475" s="3" t="s">
        <v>5736</v>
      </c>
      <c r="F1475" s="3" t="s">
        <v>20</v>
      </c>
      <c r="G1475" s="4">
        <v>42866</v>
      </c>
      <c r="H1475" s="3" t="s">
        <v>21</v>
      </c>
      <c r="I1475" s="3" t="s">
        <v>33</v>
      </c>
      <c r="J1475" s="5">
        <v>1537502</v>
      </c>
      <c r="K1475" s="3">
        <v>4664800</v>
      </c>
      <c r="L1475" s="3" t="s">
        <v>691</v>
      </c>
      <c r="M1475" s="3" t="s">
        <v>4536</v>
      </c>
      <c r="N1475" s="3">
        <v>885</v>
      </c>
      <c r="O1475" s="3" t="s">
        <v>5737</v>
      </c>
      <c r="P1475" s="3" t="s">
        <v>4538</v>
      </c>
      <c r="Q1475" s="3" t="s">
        <v>617</v>
      </c>
      <c r="R1475" s="3" t="s">
        <v>28</v>
      </c>
      <c r="S1475" s="3">
        <v>6473000</v>
      </c>
      <c r="T1475" s="3">
        <v>1141914146</v>
      </c>
      <c r="U1475" s="3" t="s">
        <v>29</v>
      </c>
    </row>
    <row r="1476" spans="1:21" ht="13.2" x14ac:dyDescent="0.25">
      <c r="A1476" s="14">
        <v>14570160000180</v>
      </c>
      <c r="B1476" s="15" t="str">
        <f t="shared" si="23"/>
        <v>14.570.160/0001-80</v>
      </c>
      <c r="C1476" s="12"/>
      <c r="D1476" s="3" t="s">
        <v>5738</v>
      </c>
      <c r="E1476" s="3" t="s">
        <v>5738</v>
      </c>
      <c r="F1476" s="3" t="s">
        <v>20</v>
      </c>
      <c r="G1476" s="4">
        <v>40834</v>
      </c>
      <c r="H1476" s="3" t="s">
        <v>94</v>
      </c>
      <c r="I1476" s="3" t="s">
        <v>33</v>
      </c>
      <c r="J1476" s="5">
        <v>1961</v>
      </c>
      <c r="K1476" s="3">
        <v>6204000</v>
      </c>
      <c r="L1476" s="3" t="s">
        <v>2081</v>
      </c>
      <c r="M1476" s="3" t="s">
        <v>294</v>
      </c>
      <c r="N1476" s="3">
        <v>415</v>
      </c>
      <c r="O1476" s="3" t="s">
        <v>5739</v>
      </c>
      <c r="P1476" s="3" t="s">
        <v>296</v>
      </c>
      <c r="Q1476" s="3" t="s">
        <v>27</v>
      </c>
      <c r="R1476" s="3" t="s">
        <v>28</v>
      </c>
      <c r="S1476" s="3">
        <v>1419913</v>
      </c>
      <c r="T1476" s="3">
        <v>1136387000</v>
      </c>
      <c r="U1476" s="3" t="s">
        <v>29</v>
      </c>
    </row>
    <row r="1477" spans="1:21" ht="13.2" x14ac:dyDescent="0.25">
      <c r="A1477" s="14">
        <v>33067745000127</v>
      </c>
      <c r="B1477" s="15" t="str">
        <f t="shared" si="23"/>
        <v>33.067.745/0001-27</v>
      </c>
      <c r="C1477" s="12"/>
      <c r="D1477" s="3" t="s">
        <v>5740</v>
      </c>
      <c r="E1477" s="3" t="s">
        <v>5740</v>
      </c>
      <c r="F1477" s="3" t="s">
        <v>20</v>
      </c>
      <c r="G1477" s="4">
        <v>8734</v>
      </c>
      <c r="H1477" s="3" t="s">
        <v>21</v>
      </c>
      <c r="I1477" s="3" t="s">
        <v>33</v>
      </c>
      <c r="J1477" s="5">
        <v>310994600</v>
      </c>
      <c r="K1477" s="3">
        <v>6204000</v>
      </c>
      <c r="L1477" s="3" t="s">
        <v>2081</v>
      </c>
      <c r="M1477" s="3" t="s">
        <v>5741</v>
      </c>
      <c r="N1477" s="3">
        <v>399</v>
      </c>
      <c r="O1477" s="3" t="s">
        <v>5742</v>
      </c>
      <c r="P1477" s="3" t="s">
        <v>5743</v>
      </c>
      <c r="Q1477" s="3" t="s">
        <v>27</v>
      </c>
      <c r="R1477" s="3" t="s">
        <v>28</v>
      </c>
      <c r="S1477" s="3">
        <v>1140060</v>
      </c>
      <c r="T1477" s="3">
        <v>1122241800</v>
      </c>
      <c r="U1477" s="3" t="s">
        <v>29</v>
      </c>
    </row>
    <row r="1478" spans="1:21" ht="13.2" x14ac:dyDescent="0.25">
      <c r="A1478" s="14">
        <v>13726341000190</v>
      </c>
      <c r="B1478" s="15" t="str">
        <f t="shared" si="23"/>
        <v>13.726.341/0001-90</v>
      </c>
      <c r="C1478" s="12"/>
      <c r="D1478" s="3" t="s">
        <v>5744</v>
      </c>
      <c r="E1478" s="3" t="s">
        <v>5744</v>
      </c>
      <c r="F1478" s="3" t="s">
        <v>20</v>
      </c>
      <c r="G1478" s="4">
        <v>40644</v>
      </c>
      <c r="H1478" s="3" t="s">
        <v>21</v>
      </c>
      <c r="I1478" s="3" t="s">
        <v>33</v>
      </c>
      <c r="J1478" s="5">
        <v>500000</v>
      </c>
      <c r="K1478" s="3">
        <v>2222600</v>
      </c>
      <c r="L1478" s="3" t="s">
        <v>183</v>
      </c>
      <c r="M1478" s="3" t="s">
        <v>4294</v>
      </c>
      <c r="N1478" s="3">
        <v>1150</v>
      </c>
      <c r="P1478" s="3" t="s">
        <v>230</v>
      </c>
      <c r="Q1478" s="3" t="s">
        <v>231</v>
      </c>
      <c r="R1478" s="3" t="s">
        <v>28</v>
      </c>
      <c r="S1478" s="3">
        <v>18087175</v>
      </c>
      <c r="T1478" s="3">
        <v>1533591400</v>
      </c>
      <c r="U1478" s="3" t="s">
        <v>29</v>
      </c>
    </row>
    <row r="1479" spans="1:21" ht="13.2" x14ac:dyDescent="0.25">
      <c r="A1479" s="14">
        <v>61366936000125</v>
      </c>
      <c r="B1479" s="15" t="str">
        <f t="shared" si="23"/>
        <v>61.366.936/0001-25</v>
      </c>
      <c r="C1479" s="12"/>
      <c r="D1479" s="3" t="s">
        <v>5745</v>
      </c>
      <c r="E1479" s="3" t="s">
        <v>5746</v>
      </c>
      <c r="F1479" s="3" t="s">
        <v>20</v>
      </c>
      <c r="G1479" s="4">
        <v>32749</v>
      </c>
      <c r="H1479" s="3" t="s">
        <v>32</v>
      </c>
      <c r="I1479" s="3" t="s">
        <v>33</v>
      </c>
      <c r="J1479" s="5">
        <v>437556</v>
      </c>
      <c r="K1479" s="3">
        <v>6920602</v>
      </c>
      <c r="L1479" s="3" t="s">
        <v>1022</v>
      </c>
      <c r="M1479" s="3" t="s">
        <v>3761</v>
      </c>
      <c r="N1479" s="3">
        <v>1909</v>
      </c>
      <c r="O1479" s="3" t="s">
        <v>5747</v>
      </c>
      <c r="P1479" s="3" t="s">
        <v>1049</v>
      </c>
      <c r="Q1479" s="3" t="s">
        <v>27</v>
      </c>
      <c r="R1479" s="3" t="s">
        <v>28</v>
      </c>
      <c r="S1479" s="3">
        <v>4543907</v>
      </c>
      <c r="T1479" s="3">
        <v>1125733000</v>
      </c>
      <c r="U1479" s="3" t="s">
        <v>29</v>
      </c>
    </row>
    <row r="1480" spans="1:21" ht="13.2" x14ac:dyDescent="0.25">
      <c r="A1480" s="14">
        <v>68970680000100</v>
      </c>
      <c r="B1480" s="15" t="str">
        <f t="shared" si="23"/>
        <v>68.970.680/0001-00</v>
      </c>
      <c r="C1480" s="12"/>
      <c r="D1480" s="3" t="s">
        <v>5748</v>
      </c>
      <c r="E1480" s="3" t="s">
        <v>5748</v>
      </c>
      <c r="F1480" s="3" t="s">
        <v>20</v>
      </c>
      <c r="G1480" s="4">
        <v>33933</v>
      </c>
      <c r="H1480" s="3" t="s">
        <v>21</v>
      </c>
      <c r="I1480" s="3" t="s">
        <v>33</v>
      </c>
      <c r="J1480" s="5">
        <v>350000</v>
      </c>
      <c r="K1480" s="3">
        <v>6209100</v>
      </c>
      <c r="L1480" s="3" t="s">
        <v>303</v>
      </c>
      <c r="M1480" s="3" t="s">
        <v>5749</v>
      </c>
      <c r="N1480" s="3">
        <v>550</v>
      </c>
      <c r="P1480" s="3" t="s">
        <v>5750</v>
      </c>
      <c r="Q1480" s="3" t="s">
        <v>27</v>
      </c>
      <c r="R1480" s="3" t="s">
        <v>28</v>
      </c>
      <c r="S1480" s="3">
        <v>2537000</v>
      </c>
      <c r="T1480" s="3">
        <v>1136816260</v>
      </c>
      <c r="U1480" s="3" t="s">
        <v>29</v>
      </c>
    </row>
    <row r="1481" spans="1:21" ht="13.2" x14ac:dyDescent="0.25">
      <c r="A1481" s="14">
        <v>6260347000150</v>
      </c>
      <c r="B1481" s="15" t="str">
        <f t="shared" si="23"/>
        <v>06.260.347/0001-50</v>
      </c>
      <c r="C1481" s="12"/>
      <c r="D1481" s="3" t="s">
        <v>5751</v>
      </c>
      <c r="E1481" s="3" t="s">
        <v>5752</v>
      </c>
      <c r="F1481" s="3" t="s">
        <v>20</v>
      </c>
      <c r="G1481" s="4">
        <v>37957</v>
      </c>
      <c r="H1481" s="3" t="s">
        <v>21</v>
      </c>
      <c r="I1481" s="3" t="s">
        <v>47</v>
      </c>
      <c r="J1481" s="5">
        <v>103900</v>
      </c>
      <c r="K1481" s="3">
        <v>2219600</v>
      </c>
      <c r="L1481" s="3" t="s">
        <v>613</v>
      </c>
      <c r="M1481" s="3" t="s">
        <v>5753</v>
      </c>
      <c r="N1481" s="3">
        <v>620</v>
      </c>
      <c r="P1481" s="3" t="s">
        <v>5754</v>
      </c>
      <c r="Q1481" s="3" t="s">
        <v>881</v>
      </c>
      <c r="R1481" s="3" t="s">
        <v>28</v>
      </c>
      <c r="S1481" s="3">
        <v>9310250</v>
      </c>
      <c r="T1481" s="3">
        <v>1145194203</v>
      </c>
      <c r="U1481" s="3" t="s">
        <v>29</v>
      </c>
    </row>
    <row r="1482" spans="1:21" ht="13.2" x14ac:dyDescent="0.25">
      <c r="A1482" s="14">
        <v>45541588000129</v>
      </c>
      <c r="B1482" s="15" t="str">
        <f t="shared" si="23"/>
        <v>45.541.588/0001-29</v>
      </c>
      <c r="C1482" s="12" t="str">
        <f>VLOOKUP(B1482,[1]Planilha1!$A:$B,2,0)</f>
        <v>Malu Montesino</v>
      </c>
      <c r="D1482" s="3" t="s">
        <v>5755</v>
      </c>
      <c r="E1482" s="3" t="s">
        <v>5755</v>
      </c>
      <c r="F1482" s="3" t="s">
        <v>20</v>
      </c>
      <c r="G1482" s="4">
        <v>27215</v>
      </c>
      <c r="H1482" s="3" t="s">
        <v>21</v>
      </c>
      <c r="I1482" s="3" t="s">
        <v>33</v>
      </c>
      <c r="J1482" s="5">
        <v>9000000</v>
      </c>
      <c r="K1482" s="3">
        <v>4742300</v>
      </c>
      <c r="L1482" s="3" t="s">
        <v>1152</v>
      </c>
      <c r="M1482" s="3" t="s">
        <v>4690</v>
      </c>
      <c r="N1482" s="3">
        <v>545</v>
      </c>
      <c r="P1482" s="3" t="s">
        <v>2482</v>
      </c>
      <c r="Q1482" s="3" t="s">
        <v>1943</v>
      </c>
      <c r="R1482" s="3" t="s">
        <v>28</v>
      </c>
      <c r="S1482" s="3">
        <v>9912230</v>
      </c>
      <c r="T1482" s="3">
        <v>1155628866</v>
      </c>
      <c r="U1482" s="3" t="s">
        <v>29</v>
      </c>
    </row>
    <row r="1483" spans="1:21" ht="13.2" x14ac:dyDescent="0.25">
      <c r="A1483" s="14">
        <v>29799921000148</v>
      </c>
      <c r="B1483" s="15" t="str">
        <f t="shared" si="23"/>
        <v>29.799.921/0001-48</v>
      </c>
      <c r="C1483" s="12"/>
      <c r="D1483" s="3" t="s">
        <v>5756</v>
      </c>
      <c r="E1483" s="3" t="s">
        <v>5757</v>
      </c>
      <c r="F1483" s="3" t="s">
        <v>20</v>
      </c>
      <c r="G1483" s="4">
        <v>28221</v>
      </c>
      <c r="H1483" s="3" t="s">
        <v>21</v>
      </c>
      <c r="I1483" s="3" t="s">
        <v>33</v>
      </c>
      <c r="J1483" s="5">
        <v>433717440</v>
      </c>
      <c r="K1483" s="3">
        <v>2790201</v>
      </c>
      <c r="L1483" s="3" t="s">
        <v>5758</v>
      </c>
      <c r="M1483" s="3" t="s">
        <v>5759</v>
      </c>
      <c r="N1483" s="3">
        <v>117</v>
      </c>
      <c r="P1483" s="3" t="s">
        <v>2254</v>
      </c>
      <c r="Q1483" s="3" t="s">
        <v>1701</v>
      </c>
      <c r="R1483" s="3" t="s">
        <v>100</v>
      </c>
      <c r="S1483" s="3">
        <v>32210080</v>
      </c>
      <c r="T1483" s="3">
        <v>3121914309</v>
      </c>
      <c r="U1483" s="3" t="s">
        <v>29</v>
      </c>
    </row>
    <row r="1484" spans="1:21" ht="13.2" x14ac:dyDescent="0.25">
      <c r="A1484" s="14">
        <v>800611000114</v>
      </c>
      <c r="B1484" s="15" t="str">
        <f t="shared" si="23"/>
        <v>00.800.611/0001-14</v>
      </c>
      <c r="C1484" s="12"/>
      <c r="D1484" s="3" t="s">
        <v>5760</v>
      </c>
      <c r="E1484" s="3" t="s">
        <v>5761</v>
      </c>
      <c r="F1484" s="3" t="s">
        <v>20</v>
      </c>
      <c r="G1484" s="4">
        <v>34955</v>
      </c>
      <c r="H1484" s="3" t="s">
        <v>21</v>
      </c>
      <c r="I1484" s="3" t="s">
        <v>22</v>
      </c>
      <c r="J1484" s="5">
        <v>1000000</v>
      </c>
      <c r="K1484" s="3">
        <v>4761003</v>
      </c>
      <c r="L1484" s="3" t="s">
        <v>2086</v>
      </c>
      <c r="M1484" s="3" t="s">
        <v>5762</v>
      </c>
      <c r="N1484" s="3">
        <v>1045</v>
      </c>
      <c r="P1484" s="3" t="s">
        <v>5763</v>
      </c>
      <c r="Q1484" s="3" t="s">
        <v>2477</v>
      </c>
      <c r="R1484" s="3" t="s">
        <v>1725</v>
      </c>
      <c r="S1484" s="3">
        <v>59015120</v>
      </c>
      <c r="T1484" s="3">
        <v>8432227100</v>
      </c>
      <c r="U1484" s="3" t="s">
        <v>29</v>
      </c>
    </row>
    <row r="1485" spans="1:21" ht="13.2" x14ac:dyDescent="0.25">
      <c r="A1485" s="14">
        <v>66663634000132</v>
      </c>
      <c r="B1485" s="15" t="str">
        <f t="shared" si="23"/>
        <v>66.663.634/0001-32</v>
      </c>
      <c r="C1485" s="12"/>
      <c r="D1485" s="3" t="s">
        <v>5764</v>
      </c>
      <c r="E1485" s="3" t="s">
        <v>5764</v>
      </c>
      <c r="F1485" s="3" t="s">
        <v>20</v>
      </c>
      <c r="G1485" s="4">
        <v>33459</v>
      </c>
      <c r="H1485" s="3" t="s">
        <v>21</v>
      </c>
      <c r="I1485" s="3" t="s">
        <v>33</v>
      </c>
      <c r="J1485" s="5">
        <v>800000</v>
      </c>
      <c r="K1485" s="3">
        <v>7020400</v>
      </c>
      <c r="L1485" s="3" t="s">
        <v>170</v>
      </c>
      <c r="M1485" s="3" t="s">
        <v>5765</v>
      </c>
      <c r="N1485" s="3">
        <v>393</v>
      </c>
      <c r="P1485" s="3" t="s">
        <v>5766</v>
      </c>
      <c r="Q1485" s="3" t="s">
        <v>27</v>
      </c>
      <c r="R1485" s="3" t="s">
        <v>28</v>
      </c>
      <c r="S1485" s="3">
        <v>3960010</v>
      </c>
      <c r="T1485" s="3">
        <v>1133336161</v>
      </c>
      <c r="U1485" s="3" t="s">
        <v>29</v>
      </c>
    </row>
    <row r="1486" spans="1:21" ht="13.2" x14ac:dyDescent="0.25">
      <c r="A1486" s="14">
        <v>56704015000195</v>
      </c>
      <c r="B1486" s="15" t="str">
        <f t="shared" si="23"/>
        <v>56.704.015/0001-95</v>
      </c>
      <c r="C1486" s="12" t="str">
        <f>VLOOKUP(B1486,[1]Planilha1!$A:$B,2,0)</f>
        <v>Malu Montesino</v>
      </c>
      <c r="D1486" s="3" t="s">
        <v>5767</v>
      </c>
      <c r="E1486" s="3" t="s">
        <v>5768</v>
      </c>
      <c r="F1486" s="3" t="s">
        <v>20</v>
      </c>
      <c r="G1486" s="4">
        <v>45518</v>
      </c>
      <c r="H1486" s="3" t="s">
        <v>21</v>
      </c>
      <c r="I1486" s="3" t="s">
        <v>47</v>
      </c>
      <c r="J1486" s="5">
        <v>50000</v>
      </c>
      <c r="K1486" s="3">
        <v>8211300</v>
      </c>
      <c r="L1486" s="3" t="s">
        <v>166</v>
      </c>
      <c r="M1486" s="3" t="s">
        <v>5769</v>
      </c>
      <c r="N1486" s="3">
        <v>394</v>
      </c>
      <c r="O1486" s="3" t="s">
        <v>5770</v>
      </c>
      <c r="P1486" s="3" t="s">
        <v>1064</v>
      </c>
      <c r="Q1486" s="3" t="s">
        <v>27</v>
      </c>
      <c r="R1486" s="3" t="s">
        <v>28</v>
      </c>
      <c r="S1486" s="3">
        <v>4126000</v>
      </c>
      <c r="T1486" s="3">
        <v>1197800017</v>
      </c>
      <c r="U1486" s="3" t="s">
        <v>29</v>
      </c>
    </row>
    <row r="1487" spans="1:21" ht="13.2" x14ac:dyDescent="0.25">
      <c r="A1487" s="14">
        <v>7402200000110</v>
      </c>
      <c r="B1487" s="15" t="str">
        <f t="shared" si="23"/>
        <v>07.402.200/0001-10</v>
      </c>
      <c r="C1487" s="12"/>
      <c r="D1487" s="3" t="s">
        <v>5771</v>
      </c>
      <c r="E1487" s="3" t="s">
        <v>5772</v>
      </c>
      <c r="F1487" s="3" t="s">
        <v>20</v>
      </c>
      <c r="G1487" s="4">
        <v>38503</v>
      </c>
      <c r="H1487" s="3" t="s">
        <v>21</v>
      </c>
      <c r="I1487" s="3" t="s">
        <v>33</v>
      </c>
      <c r="J1487" s="5">
        <v>7000000</v>
      </c>
      <c r="K1487" s="3">
        <v>8211300</v>
      </c>
      <c r="L1487" s="3" t="s">
        <v>166</v>
      </c>
      <c r="M1487" s="3" t="s">
        <v>5773</v>
      </c>
      <c r="N1487" s="3">
        <v>625</v>
      </c>
      <c r="O1487" s="3" t="s">
        <v>5774</v>
      </c>
      <c r="P1487" s="3" t="s">
        <v>1977</v>
      </c>
      <c r="Q1487" s="3" t="s">
        <v>448</v>
      </c>
      <c r="R1487" s="3" t="s">
        <v>449</v>
      </c>
      <c r="S1487" s="3">
        <v>69007410</v>
      </c>
      <c r="T1487" s="3">
        <v>9291921069</v>
      </c>
      <c r="U1487" s="3" t="s">
        <v>29</v>
      </c>
    </row>
    <row r="1488" spans="1:21" ht="13.2" x14ac:dyDescent="0.25">
      <c r="A1488" s="14">
        <v>7090205000154</v>
      </c>
      <c r="B1488" s="15" t="str">
        <f t="shared" si="23"/>
        <v>07.090.205/0001-54</v>
      </c>
      <c r="C1488" s="12"/>
      <c r="D1488" s="3" t="s">
        <v>5775</v>
      </c>
      <c r="E1488" s="3" t="s">
        <v>5776</v>
      </c>
      <c r="F1488" s="3" t="s">
        <v>20</v>
      </c>
      <c r="G1488" s="4">
        <v>38091</v>
      </c>
      <c r="H1488" s="3" t="s">
        <v>21</v>
      </c>
      <c r="I1488" s="3" t="s">
        <v>22</v>
      </c>
      <c r="J1488" s="5">
        <v>100000</v>
      </c>
      <c r="K1488" s="3">
        <v>3702900</v>
      </c>
      <c r="L1488" s="3" t="s">
        <v>3447</v>
      </c>
      <c r="M1488" s="3" t="s">
        <v>5777</v>
      </c>
      <c r="N1488" s="3">
        <v>53</v>
      </c>
      <c r="P1488" s="3" t="s">
        <v>5778</v>
      </c>
      <c r="Q1488" s="3" t="s">
        <v>27</v>
      </c>
      <c r="R1488" s="3" t="s">
        <v>28</v>
      </c>
      <c r="S1488" s="3">
        <v>2842270</v>
      </c>
      <c r="T1488" s="3">
        <v>1139251000</v>
      </c>
      <c r="U1488" s="3" t="s">
        <v>29</v>
      </c>
    </row>
    <row r="1489" spans="1:21" ht="13.2" x14ac:dyDescent="0.25">
      <c r="A1489" s="14">
        <v>2948030000150</v>
      </c>
      <c r="B1489" s="15" t="str">
        <f t="shared" si="23"/>
        <v>02.948.030/0001-50</v>
      </c>
      <c r="C1489" s="12"/>
      <c r="D1489" s="3" t="s">
        <v>5779</v>
      </c>
      <c r="E1489" s="3" t="s">
        <v>5779</v>
      </c>
      <c r="F1489" s="3" t="s">
        <v>20</v>
      </c>
      <c r="G1489" s="4">
        <v>36123</v>
      </c>
      <c r="H1489" s="3" t="s">
        <v>94</v>
      </c>
      <c r="I1489" s="3" t="s">
        <v>33</v>
      </c>
      <c r="J1489" s="5">
        <v>250673000</v>
      </c>
      <c r="K1489" s="3">
        <v>2751100</v>
      </c>
      <c r="L1489" s="3" t="s">
        <v>5780</v>
      </c>
      <c r="M1489" s="3" t="s">
        <v>5781</v>
      </c>
      <c r="N1489" s="3" t="s">
        <v>82</v>
      </c>
      <c r="P1489" s="3" t="s">
        <v>4428</v>
      </c>
      <c r="Q1489" s="3" t="s">
        <v>667</v>
      </c>
      <c r="R1489" s="3" t="s">
        <v>301</v>
      </c>
      <c r="S1489" s="3">
        <v>60135690</v>
      </c>
      <c r="T1489" s="3">
        <v>8534668540</v>
      </c>
      <c r="U1489" s="3" t="s">
        <v>29</v>
      </c>
    </row>
    <row r="1490" spans="1:21" ht="13.2" x14ac:dyDescent="0.25">
      <c r="A1490" s="14">
        <v>37977691000198</v>
      </c>
      <c r="B1490" s="15" t="str">
        <f t="shared" si="23"/>
        <v>37.977.691/0001-98</v>
      </c>
      <c r="C1490" s="12"/>
      <c r="D1490" s="3" t="s">
        <v>5782</v>
      </c>
      <c r="E1490" s="3" t="s">
        <v>5783</v>
      </c>
      <c r="F1490" s="3" t="s">
        <v>20</v>
      </c>
      <c r="G1490" s="4">
        <v>34030</v>
      </c>
      <c r="H1490" s="3" t="s">
        <v>21</v>
      </c>
      <c r="I1490" s="3" t="s">
        <v>33</v>
      </c>
      <c r="J1490" s="5">
        <v>6720000</v>
      </c>
      <c r="K1490" s="3">
        <v>4671100</v>
      </c>
      <c r="L1490" s="3" t="s">
        <v>5784</v>
      </c>
      <c r="M1490" s="3" t="s">
        <v>5785</v>
      </c>
      <c r="N1490" s="3" t="s">
        <v>82</v>
      </c>
      <c r="O1490" s="3" t="s">
        <v>5786</v>
      </c>
      <c r="P1490" s="3" t="s">
        <v>5787</v>
      </c>
      <c r="Q1490" s="3" t="s">
        <v>631</v>
      </c>
      <c r="R1490" s="3" t="s">
        <v>632</v>
      </c>
      <c r="S1490" s="3">
        <v>71990720</v>
      </c>
      <c r="T1490" s="3">
        <v>6130342222</v>
      </c>
      <c r="U1490" s="3" t="s">
        <v>29</v>
      </c>
    </row>
    <row r="1491" spans="1:21" ht="13.2" x14ac:dyDescent="0.25">
      <c r="A1491" s="14">
        <v>203680000140</v>
      </c>
      <c r="B1491" s="15" t="str">
        <f t="shared" si="23"/>
        <v>00.203.680/0001-40</v>
      </c>
      <c r="C1491" s="12"/>
      <c r="D1491" s="3" t="s">
        <v>5788</v>
      </c>
      <c r="E1491" s="3" t="s">
        <v>5789</v>
      </c>
      <c r="F1491" s="3" t="s">
        <v>45</v>
      </c>
      <c r="G1491" s="4">
        <v>34598</v>
      </c>
      <c r="H1491" s="3" t="s">
        <v>21</v>
      </c>
      <c r="I1491" s="3" t="s">
        <v>47</v>
      </c>
      <c r="J1491" s="5">
        <v>110000</v>
      </c>
      <c r="K1491" s="3">
        <v>8591100</v>
      </c>
      <c r="L1491" s="3" t="s">
        <v>5790</v>
      </c>
      <c r="M1491" s="3" t="s">
        <v>5791</v>
      </c>
      <c r="N1491" s="3">
        <v>820</v>
      </c>
      <c r="P1491" s="3" t="s">
        <v>5792</v>
      </c>
      <c r="Q1491" s="3" t="s">
        <v>5793</v>
      </c>
      <c r="R1491" s="3" t="s">
        <v>28</v>
      </c>
      <c r="S1491" s="3">
        <v>16402161</v>
      </c>
      <c r="T1491" s="3">
        <v>1184268767</v>
      </c>
      <c r="U1491" s="3" t="s">
        <v>29</v>
      </c>
    </row>
    <row r="1492" spans="1:21" ht="13.2" x14ac:dyDescent="0.25">
      <c r="A1492" s="14">
        <v>33912028000154</v>
      </c>
      <c r="B1492" s="15" t="str">
        <f t="shared" si="23"/>
        <v>33.912.028/0001-54</v>
      </c>
      <c r="C1492" s="12"/>
      <c r="D1492" s="3" t="s">
        <v>5794</v>
      </c>
      <c r="E1492" s="3" t="s">
        <v>5795</v>
      </c>
      <c r="F1492" s="3" t="s">
        <v>20</v>
      </c>
      <c r="G1492" s="4">
        <v>43628</v>
      </c>
      <c r="H1492" s="3" t="s">
        <v>21</v>
      </c>
      <c r="I1492" s="3" t="s">
        <v>22</v>
      </c>
      <c r="J1492" s="5">
        <v>200000</v>
      </c>
      <c r="K1492" s="3">
        <v>5811500</v>
      </c>
      <c r="L1492" s="3" t="s">
        <v>5272</v>
      </c>
      <c r="M1492" s="3" t="s">
        <v>5796</v>
      </c>
      <c r="N1492" s="3">
        <v>2586</v>
      </c>
      <c r="O1492" s="3" t="s">
        <v>534</v>
      </c>
      <c r="P1492" s="3" t="s">
        <v>5797</v>
      </c>
      <c r="Q1492" s="3" t="s">
        <v>1141</v>
      </c>
      <c r="R1492" s="3" t="s">
        <v>1142</v>
      </c>
      <c r="S1492" s="3">
        <v>79020300</v>
      </c>
      <c r="T1492" s="3">
        <v>6798695188</v>
      </c>
      <c r="U1492" s="3" t="s">
        <v>29</v>
      </c>
    </row>
    <row r="1493" spans="1:21" ht="13.2" x14ac:dyDescent="0.25">
      <c r="A1493" s="14">
        <v>8338977000125</v>
      </c>
      <c r="B1493" s="15" t="str">
        <f t="shared" si="23"/>
        <v>08.338.977/0001-25</v>
      </c>
      <c r="C1493" s="12"/>
      <c r="D1493" s="3" t="s">
        <v>5798</v>
      </c>
      <c r="E1493" s="3" t="s">
        <v>5798</v>
      </c>
      <c r="F1493" s="3" t="s">
        <v>20</v>
      </c>
      <c r="G1493" s="4">
        <v>38946</v>
      </c>
      <c r="H1493" s="3" t="s">
        <v>21</v>
      </c>
      <c r="I1493" s="3" t="s">
        <v>47</v>
      </c>
      <c r="J1493" s="5">
        <v>10000</v>
      </c>
      <c r="K1493" s="3">
        <v>4772500</v>
      </c>
      <c r="L1493" s="3" t="s">
        <v>2639</v>
      </c>
      <c r="M1493" s="3" t="s">
        <v>5799</v>
      </c>
      <c r="N1493" s="3">
        <v>355</v>
      </c>
      <c r="P1493" s="3" t="s">
        <v>5800</v>
      </c>
      <c r="Q1493" s="3" t="s">
        <v>231</v>
      </c>
      <c r="R1493" s="3" t="s">
        <v>28</v>
      </c>
      <c r="S1493" s="3">
        <v>18103050</v>
      </c>
      <c r="T1493" s="3">
        <v>1533269719</v>
      </c>
      <c r="U1493" s="3" t="s">
        <v>29</v>
      </c>
    </row>
    <row r="1494" spans="1:21" ht="13.2" x14ac:dyDescent="0.25">
      <c r="A1494" s="14">
        <v>5457677000177</v>
      </c>
      <c r="B1494" s="15" t="str">
        <f t="shared" si="23"/>
        <v>05.457.677/0001-77</v>
      </c>
      <c r="C1494" s="12"/>
      <c r="D1494" s="3" t="s">
        <v>5801</v>
      </c>
      <c r="E1494" s="3" t="s">
        <v>5801</v>
      </c>
      <c r="F1494" s="3" t="s">
        <v>20</v>
      </c>
      <c r="G1494" s="4">
        <v>37608</v>
      </c>
      <c r="H1494" s="3" t="s">
        <v>21</v>
      </c>
      <c r="I1494" s="3" t="s">
        <v>33</v>
      </c>
      <c r="J1494" s="5">
        <v>3000000</v>
      </c>
      <c r="K1494" s="3">
        <v>8011101</v>
      </c>
      <c r="L1494" s="3" t="s">
        <v>943</v>
      </c>
      <c r="M1494" s="3" t="s">
        <v>5802</v>
      </c>
      <c r="N1494" s="3">
        <v>39</v>
      </c>
      <c r="P1494" s="3" t="s">
        <v>2207</v>
      </c>
      <c r="Q1494" s="3" t="s">
        <v>27</v>
      </c>
      <c r="R1494" s="3" t="s">
        <v>28</v>
      </c>
      <c r="S1494" s="3">
        <v>2034010</v>
      </c>
      <c r="T1494" s="3">
        <v>1122233888</v>
      </c>
      <c r="U1494" s="3" t="s">
        <v>29</v>
      </c>
    </row>
    <row r="1495" spans="1:21" ht="13.2" x14ac:dyDescent="0.25">
      <c r="A1495" s="14">
        <v>72899016000199</v>
      </c>
      <c r="B1495" s="15" t="str">
        <f t="shared" si="23"/>
        <v>72.899.016/0001-99</v>
      </c>
      <c r="C1495" s="12"/>
      <c r="D1495" s="3" t="s">
        <v>5803</v>
      </c>
      <c r="E1495" s="3" t="s">
        <v>5804</v>
      </c>
      <c r="F1495" s="3" t="s">
        <v>20</v>
      </c>
      <c r="G1495" s="4">
        <v>34250</v>
      </c>
      <c r="H1495" s="3" t="s">
        <v>21</v>
      </c>
      <c r="I1495" s="3" t="s">
        <v>33</v>
      </c>
      <c r="J1495" s="5">
        <v>1026445950</v>
      </c>
      <c r="K1495" s="3">
        <v>8211300</v>
      </c>
      <c r="L1495" s="3" t="s">
        <v>166</v>
      </c>
      <c r="M1495" s="3" t="s">
        <v>1448</v>
      </c>
      <c r="N1495" s="3">
        <v>691</v>
      </c>
      <c r="O1495" s="3" t="s">
        <v>5805</v>
      </c>
      <c r="P1495" s="3" t="s">
        <v>1450</v>
      </c>
      <c r="Q1495" s="3" t="s">
        <v>27</v>
      </c>
      <c r="R1495" s="3" t="s">
        <v>28</v>
      </c>
      <c r="S1495" s="3">
        <v>4730903</v>
      </c>
      <c r="T1495" s="3">
        <v>1136027700</v>
      </c>
      <c r="U1495" s="3" t="s">
        <v>29</v>
      </c>
    </row>
    <row r="1496" spans="1:21" ht="13.2" x14ac:dyDescent="0.25">
      <c r="A1496" s="14">
        <v>54858014000170</v>
      </c>
      <c r="B1496" s="15" t="str">
        <f t="shared" si="23"/>
        <v>54.858.014/0001-70</v>
      </c>
      <c r="C1496" s="12"/>
      <c r="D1496" s="3" t="s">
        <v>5806</v>
      </c>
      <c r="E1496" s="3" t="s">
        <v>5807</v>
      </c>
      <c r="F1496" s="3" t="s">
        <v>20</v>
      </c>
      <c r="G1496" s="4">
        <v>31912</v>
      </c>
      <c r="H1496" s="3" t="s">
        <v>21</v>
      </c>
      <c r="I1496" s="3" t="s">
        <v>33</v>
      </c>
      <c r="J1496" s="5">
        <v>492464830</v>
      </c>
      <c r="K1496" s="3">
        <v>4645101</v>
      </c>
      <c r="L1496" s="3" t="s">
        <v>135</v>
      </c>
      <c r="M1496" s="3" t="s">
        <v>1448</v>
      </c>
      <c r="N1496" s="3">
        <v>691</v>
      </c>
      <c r="O1496" s="3" t="s">
        <v>5808</v>
      </c>
      <c r="P1496" s="3" t="s">
        <v>1450</v>
      </c>
      <c r="Q1496" s="3" t="s">
        <v>27</v>
      </c>
      <c r="R1496" s="3" t="s">
        <v>28</v>
      </c>
      <c r="S1496" s="3">
        <v>4730903</v>
      </c>
      <c r="T1496" s="3">
        <v>1136027700</v>
      </c>
      <c r="U1496" s="3" t="s">
        <v>29</v>
      </c>
    </row>
    <row r="1497" spans="1:21" ht="13.2" x14ac:dyDescent="0.25">
      <c r="A1497" s="14">
        <v>76650191000107</v>
      </c>
      <c r="B1497" s="15" t="str">
        <f t="shared" si="23"/>
        <v>76.650.191/0001-07</v>
      </c>
      <c r="C1497" s="12" t="str">
        <f>VLOOKUP(B1497,[1]Planilha1!$A:$B,2,0)</f>
        <v>Mariane Nascimento</v>
      </c>
      <c r="D1497" s="3" t="s">
        <v>5809</v>
      </c>
      <c r="E1497" s="3" t="s">
        <v>5809</v>
      </c>
      <c r="F1497" s="3" t="s">
        <v>20</v>
      </c>
      <c r="G1497" s="4">
        <v>26770</v>
      </c>
      <c r="H1497" s="3" t="s">
        <v>94</v>
      </c>
      <c r="I1497" s="3" t="s">
        <v>33</v>
      </c>
      <c r="J1497" s="5">
        <v>12000000</v>
      </c>
      <c r="K1497" s="3">
        <v>7112000</v>
      </c>
      <c r="L1497" s="3" t="s">
        <v>276</v>
      </c>
      <c r="M1497" s="3" t="s">
        <v>5810</v>
      </c>
      <c r="N1497" s="3">
        <v>1151</v>
      </c>
      <c r="P1497" s="3" t="s">
        <v>5811</v>
      </c>
      <c r="Q1497" s="3" t="s">
        <v>204</v>
      </c>
      <c r="R1497" s="3" t="s">
        <v>187</v>
      </c>
      <c r="S1497" s="3">
        <v>80215242</v>
      </c>
      <c r="T1497" s="3">
        <v>4132716000</v>
      </c>
      <c r="U1497" s="3" t="s">
        <v>29</v>
      </c>
    </row>
    <row r="1498" spans="1:21" ht="13.2" x14ac:dyDescent="0.25">
      <c r="A1498" s="14">
        <v>2965426000105</v>
      </c>
      <c r="B1498" s="15" t="str">
        <f t="shared" si="23"/>
        <v>02.965.426/0001-05</v>
      </c>
      <c r="C1498" s="12"/>
      <c r="D1498" s="3" t="s">
        <v>5812</v>
      </c>
      <c r="E1498" s="3" t="s">
        <v>5812</v>
      </c>
      <c r="F1498" s="3" t="s">
        <v>20</v>
      </c>
      <c r="G1498" s="4">
        <v>36181</v>
      </c>
      <c r="H1498" s="3" t="s">
        <v>21</v>
      </c>
      <c r="I1498" s="3" t="s">
        <v>22</v>
      </c>
      <c r="J1498" s="5">
        <v>0</v>
      </c>
      <c r="K1498" s="3">
        <v>4645101</v>
      </c>
      <c r="L1498" s="3" t="s">
        <v>135</v>
      </c>
      <c r="M1498" s="3" t="s">
        <v>5813</v>
      </c>
      <c r="N1498" s="3">
        <v>9</v>
      </c>
      <c r="P1498" s="3" t="s">
        <v>5814</v>
      </c>
      <c r="Q1498" s="3" t="s">
        <v>4528</v>
      </c>
      <c r="R1498" s="3" t="s">
        <v>765</v>
      </c>
      <c r="S1498" s="3">
        <v>29160420</v>
      </c>
      <c r="T1498" s="3">
        <v>2733383265</v>
      </c>
      <c r="U1498" s="3" t="s">
        <v>29</v>
      </c>
    </row>
    <row r="1499" spans="1:21" ht="13.2" x14ac:dyDescent="0.25">
      <c r="A1499" s="14">
        <v>1145506000151</v>
      </c>
      <c r="B1499" s="15" t="str">
        <f t="shared" si="23"/>
        <v>01.145.506/0001-51</v>
      </c>
      <c r="C1499" s="12"/>
      <c r="D1499" s="3" t="s">
        <v>5815</v>
      </c>
      <c r="E1499" s="3" t="s">
        <v>5816</v>
      </c>
      <c r="F1499" s="3" t="s">
        <v>20</v>
      </c>
      <c r="G1499" s="4">
        <v>35163</v>
      </c>
      <c r="H1499" s="3" t="s">
        <v>21</v>
      </c>
      <c r="I1499" s="3" t="s">
        <v>33</v>
      </c>
      <c r="J1499" s="5">
        <v>505000</v>
      </c>
      <c r="K1499" s="3">
        <v>1531901</v>
      </c>
      <c r="L1499" s="3" t="s">
        <v>1330</v>
      </c>
      <c r="M1499" s="3" t="s">
        <v>5817</v>
      </c>
      <c r="N1499" s="3">
        <v>2560</v>
      </c>
      <c r="O1499" s="3" t="s">
        <v>5818</v>
      </c>
      <c r="P1499" s="3" t="s">
        <v>5819</v>
      </c>
      <c r="Q1499" s="3" t="s">
        <v>1217</v>
      </c>
      <c r="R1499" s="3" t="s">
        <v>28</v>
      </c>
      <c r="S1499" s="3">
        <v>14406075</v>
      </c>
      <c r="T1499" s="3">
        <v>1637137300</v>
      </c>
      <c r="U1499" s="3" t="s">
        <v>29</v>
      </c>
    </row>
    <row r="1500" spans="1:21" ht="13.2" x14ac:dyDescent="0.25">
      <c r="A1500" s="14">
        <v>19569148000170</v>
      </c>
      <c r="B1500" s="15" t="str">
        <f t="shared" si="23"/>
        <v>19.569.148/0001-70</v>
      </c>
      <c r="C1500" s="12"/>
      <c r="D1500" s="3" t="s">
        <v>5820</v>
      </c>
      <c r="E1500" s="3" t="s">
        <v>5821</v>
      </c>
      <c r="F1500" s="3" t="s">
        <v>20</v>
      </c>
      <c r="G1500" s="4">
        <v>41661</v>
      </c>
      <c r="H1500" s="3" t="s">
        <v>21</v>
      </c>
      <c r="I1500" s="3" t="s">
        <v>22</v>
      </c>
      <c r="J1500" s="5">
        <v>100000</v>
      </c>
      <c r="K1500" s="3">
        <v>8121400</v>
      </c>
      <c r="L1500" s="3" t="s">
        <v>494</v>
      </c>
      <c r="M1500" s="3" t="s">
        <v>2390</v>
      </c>
      <c r="N1500" s="3">
        <v>2087</v>
      </c>
      <c r="O1500" s="3" t="s">
        <v>5822</v>
      </c>
      <c r="P1500" s="3" t="s">
        <v>1064</v>
      </c>
      <c r="Q1500" s="3" t="s">
        <v>27</v>
      </c>
      <c r="R1500" s="3" t="s">
        <v>28</v>
      </c>
      <c r="S1500" s="3">
        <v>4101000</v>
      </c>
      <c r="T1500" s="3">
        <v>1121627117</v>
      </c>
      <c r="U1500" s="3" t="s">
        <v>29</v>
      </c>
    </row>
    <row r="1501" spans="1:21" ht="13.2" x14ac:dyDescent="0.25">
      <c r="A1501" s="14">
        <v>16208738000189</v>
      </c>
      <c r="B1501" s="15" t="str">
        <f t="shared" si="23"/>
        <v>16.208.738/0001-89</v>
      </c>
      <c r="C1501" s="12"/>
      <c r="D1501" s="3" t="s">
        <v>5823</v>
      </c>
      <c r="E1501" s="3" t="s">
        <v>5823</v>
      </c>
      <c r="F1501" s="3" t="s">
        <v>31</v>
      </c>
      <c r="G1501" s="4">
        <v>31904</v>
      </c>
      <c r="H1501" s="3" t="s">
        <v>21</v>
      </c>
      <c r="I1501" s="3" t="s">
        <v>33</v>
      </c>
      <c r="J1501" s="5">
        <v>0</v>
      </c>
      <c r="K1501" s="3">
        <v>8011101</v>
      </c>
      <c r="L1501" s="3" t="s">
        <v>943</v>
      </c>
      <c r="M1501" s="3" t="s">
        <v>5824</v>
      </c>
      <c r="N1501" s="3">
        <v>1113</v>
      </c>
      <c r="P1501" s="3" t="s">
        <v>709</v>
      </c>
      <c r="Q1501" s="3" t="s">
        <v>710</v>
      </c>
      <c r="R1501" s="3" t="s">
        <v>711</v>
      </c>
      <c r="S1501" s="3">
        <v>49055440</v>
      </c>
      <c r="T1501" s="3">
        <v>7932144132</v>
      </c>
      <c r="U1501" s="3" t="s">
        <v>29</v>
      </c>
    </row>
    <row r="1502" spans="1:21" ht="13.2" x14ac:dyDescent="0.25">
      <c r="A1502" s="14">
        <v>62412622000184</v>
      </c>
      <c r="B1502" s="15" t="str">
        <f t="shared" si="23"/>
        <v>62.412.622/0001-84</v>
      </c>
      <c r="C1502" s="12" t="str">
        <f>VLOOKUP(B1502,[1]Planilha1!$A:$B,2,0)</f>
        <v>Malu Montesino</v>
      </c>
      <c r="D1502" s="3" t="s">
        <v>5825</v>
      </c>
      <c r="E1502" s="3" t="s">
        <v>5825</v>
      </c>
      <c r="F1502" s="3" t="s">
        <v>20</v>
      </c>
      <c r="G1502" s="4">
        <v>32934</v>
      </c>
      <c r="H1502" s="3" t="s">
        <v>21</v>
      </c>
      <c r="I1502" s="3" t="s">
        <v>33</v>
      </c>
      <c r="J1502" s="5">
        <v>100000</v>
      </c>
      <c r="K1502" s="3">
        <v>4669999</v>
      </c>
      <c r="L1502" s="3" t="s">
        <v>558</v>
      </c>
      <c r="M1502" s="3" t="s">
        <v>5826</v>
      </c>
      <c r="N1502" s="3">
        <v>108</v>
      </c>
      <c r="P1502" s="3" t="s">
        <v>5827</v>
      </c>
      <c r="Q1502" s="3" t="s">
        <v>27</v>
      </c>
      <c r="R1502" s="3" t="s">
        <v>28</v>
      </c>
      <c r="S1502" s="3">
        <v>3033050</v>
      </c>
      <c r="T1502" s="3">
        <v>1132285774</v>
      </c>
      <c r="U1502" s="3" t="s">
        <v>29</v>
      </c>
    </row>
    <row r="1503" spans="1:21" ht="13.2" x14ac:dyDescent="0.25">
      <c r="A1503" s="14">
        <v>61092037000181</v>
      </c>
      <c r="B1503" s="15" t="str">
        <f t="shared" si="23"/>
        <v>61.092.037/0001-81</v>
      </c>
      <c r="C1503" s="12"/>
      <c r="D1503" s="3" t="s">
        <v>5828</v>
      </c>
      <c r="E1503" s="3" t="s">
        <v>5829</v>
      </c>
      <c r="F1503" s="3" t="s">
        <v>20</v>
      </c>
      <c r="G1503" s="4">
        <v>26781</v>
      </c>
      <c r="H1503" s="3" t="s">
        <v>377</v>
      </c>
      <c r="I1503" s="3" t="s">
        <v>33</v>
      </c>
      <c r="J1503" s="5">
        <v>438081470</v>
      </c>
      <c r="K1503" s="3">
        <v>2330303</v>
      </c>
      <c r="L1503" s="3" t="s">
        <v>5830</v>
      </c>
      <c r="M1503" s="3" t="s">
        <v>5831</v>
      </c>
      <c r="N1503" s="3">
        <v>85</v>
      </c>
      <c r="O1503" s="3" t="s">
        <v>3438</v>
      </c>
      <c r="P1503" s="3" t="s">
        <v>1740</v>
      </c>
      <c r="Q1503" s="3" t="s">
        <v>27</v>
      </c>
      <c r="R1503" s="3" t="s">
        <v>28</v>
      </c>
      <c r="S1503" s="3">
        <v>5423040</v>
      </c>
      <c r="U1503" s="3" t="s">
        <v>29</v>
      </c>
    </row>
    <row r="1504" spans="1:21" ht="13.2" x14ac:dyDescent="0.25">
      <c r="A1504" s="14">
        <v>8198611000106</v>
      </c>
      <c r="B1504" s="15" t="str">
        <f t="shared" si="23"/>
        <v>08.198.611/0001-06</v>
      </c>
      <c r="C1504" s="12"/>
      <c r="D1504" s="3" t="s">
        <v>5832</v>
      </c>
      <c r="E1504" s="3" t="s">
        <v>5832</v>
      </c>
      <c r="F1504" s="3" t="s">
        <v>20</v>
      </c>
      <c r="G1504" s="4">
        <v>38929</v>
      </c>
      <c r="H1504" s="3" t="s">
        <v>21</v>
      </c>
      <c r="I1504" s="3" t="s">
        <v>33</v>
      </c>
      <c r="J1504" s="5">
        <v>1200000</v>
      </c>
      <c r="K1504" s="3">
        <v>3250703</v>
      </c>
      <c r="L1504" s="3" t="s">
        <v>5833</v>
      </c>
      <c r="M1504" s="3" t="s">
        <v>5796</v>
      </c>
      <c r="N1504" s="3">
        <v>469</v>
      </c>
      <c r="P1504" s="3" t="s">
        <v>5834</v>
      </c>
      <c r="Q1504" s="3" t="s">
        <v>332</v>
      </c>
      <c r="R1504" s="3" t="s">
        <v>78</v>
      </c>
      <c r="S1504" s="3">
        <v>25065136</v>
      </c>
      <c r="T1504" s="3">
        <v>2127754032</v>
      </c>
      <c r="U1504" s="3" t="s">
        <v>29</v>
      </c>
    </row>
    <row r="1505" spans="1:21" ht="13.2" x14ac:dyDescent="0.25">
      <c r="A1505" s="14">
        <v>20858457000149</v>
      </c>
      <c r="B1505" s="15" t="str">
        <f t="shared" si="23"/>
        <v>20.858.457/0001-49</v>
      </c>
      <c r="C1505" s="12"/>
      <c r="D1505" s="3" t="s">
        <v>5835</v>
      </c>
      <c r="E1505" s="3" t="s">
        <v>5836</v>
      </c>
      <c r="F1505" s="3" t="s">
        <v>20</v>
      </c>
      <c r="G1505" s="4">
        <v>41869</v>
      </c>
      <c r="H1505" s="3" t="s">
        <v>21</v>
      </c>
      <c r="I1505" s="3" t="s">
        <v>22</v>
      </c>
      <c r="J1505" s="5">
        <v>14444</v>
      </c>
      <c r="K1505" s="3">
        <v>6209100</v>
      </c>
      <c r="L1505" s="3" t="s">
        <v>303</v>
      </c>
      <c r="M1505" s="3" t="s">
        <v>5837</v>
      </c>
      <c r="N1505" s="3">
        <v>78</v>
      </c>
      <c r="O1505" s="3" t="s">
        <v>5838</v>
      </c>
      <c r="P1505" s="3" t="s">
        <v>70</v>
      </c>
      <c r="Q1505" s="3" t="s">
        <v>5839</v>
      </c>
      <c r="R1505" s="3" t="s">
        <v>100</v>
      </c>
      <c r="S1505" s="3">
        <v>36300066</v>
      </c>
      <c r="T1505" s="3">
        <v>3194440400</v>
      </c>
      <c r="U1505" s="3" t="s">
        <v>29</v>
      </c>
    </row>
    <row r="1506" spans="1:21" ht="13.2" x14ac:dyDescent="0.25">
      <c r="A1506" s="14">
        <v>4075710000131</v>
      </c>
      <c r="B1506" s="15" t="str">
        <f t="shared" si="23"/>
        <v>04.075.710/0001-31</v>
      </c>
      <c r="C1506" s="12"/>
      <c r="D1506" s="3" t="s">
        <v>5840</v>
      </c>
      <c r="E1506" s="3" t="s">
        <v>5841</v>
      </c>
      <c r="F1506" s="3" t="s">
        <v>20</v>
      </c>
      <c r="G1506" s="4">
        <v>36803</v>
      </c>
      <c r="H1506" s="3" t="s">
        <v>21</v>
      </c>
      <c r="I1506" s="3" t="s">
        <v>47</v>
      </c>
      <c r="J1506" s="5">
        <v>100000</v>
      </c>
      <c r="K1506" s="3">
        <v>4649499</v>
      </c>
      <c r="L1506" s="3" t="s">
        <v>5842</v>
      </c>
      <c r="M1506" s="3" t="s">
        <v>5843</v>
      </c>
      <c r="N1506" s="3">
        <v>4</v>
      </c>
      <c r="O1506" s="3" t="s">
        <v>5844</v>
      </c>
      <c r="P1506" s="3" t="s">
        <v>5845</v>
      </c>
      <c r="Q1506" s="3" t="s">
        <v>631</v>
      </c>
      <c r="R1506" s="3" t="s">
        <v>632</v>
      </c>
      <c r="S1506" s="3">
        <v>73370100</v>
      </c>
      <c r="T1506" s="3">
        <v>6133872443</v>
      </c>
      <c r="U1506" s="3" t="s">
        <v>29</v>
      </c>
    </row>
    <row r="1507" spans="1:21" ht="13.2" x14ac:dyDescent="0.25">
      <c r="A1507" s="14">
        <v>56643018000166</v>
      </c>
      <c r="B1507" s="15" t="str">
        <f t="shared" si="23"/>
        <v>56.643.018/0001-66</v>
      </c>
      <c r="C1507" s="12" t="str">
        <f>VLOOKUP(B1507,[1]Planilha1!$A:$B,2,0)</f>
        <v>Malu Montesino</v>
      </c>
      <c r="D1507" s="3" t="s">
        <v>5846</v>
      </c>
      <c r="E1507" s="3" t="s">
        <v>5846</v>
      </c>
      <c r="F1507" s="3" t="s">
        <v>20</v>
      </c>
      <c r="G1507" s="4">
        <v>24341</v>
      </c>
      <c r="H1507" s="3" t="s">
        <v>377</v>
      </c>
      <c r="I1507" s="3" t="s">
        <v>33</v>
      </c>
      <c r="J1507" s="5">
        <v>1412752400</v>
      </c>
      <c r="K1507" s="3">
        <v>1621800</v>
      </c>
      <c r="L1507" s="3" t="s">
        <v>4817</v>
      </c>
      <c r="M1507" s="3" t="s">
        <v>1047</v>
      </c>
      <c r="N1507" s="3">
        <v>1830</v>
      </c>
      <c r="O1507" s="3" t="s">
        <v>5847</v>
      </c>
      <c r="P1507" s="3" t="s">
        <v>1049</v>
      </c>
      <c r="Q1507" s="3" t="s">
        <v>27</v>
      </c>
      <c r="R1507" s="3" t="s">
        <v>28</v>
      </c>
      <c r="S1507" s="3">
        <v>4543900</v>
      </c>
      <c r="T1507" s="3">
        <v>1130492427</v>
      </c>
      <c r="U1507" s="3" t="s">
        <v>29</v>
      </c>
    </row>
    <row r="1508" spans="1:21" ht="13.2" x14ac:dyDescent="0.25">
      <c r="A1508" s="14">
        <v>28828944000170</v>
      </c>
      <c r="B1508" s="15" t="str">
        <f t="shared" si="23"/>
        <v>28.828.944/0001-70</v>
      </c>
      <c r="C1508" s="12"/>
      <c r="D1508" s="3" t="s">
        <v>5848</v>
      </c>
      <c r="E1508" s="3" t="s">
        <v>5848</v>
      </c>
      <c r="F1508" s="3" t="s">
        <v>20</v>
      </c>
      <c r="G1508" s="4">
        <v>43018</v>
      </c>
      <c r="H1508" s="3" t="s">
        <v>21</v>
      </c>
      <c r="I1508" s="3" t="s">
        <v>22</v>
      </c>
      <c r="J1508" s="5">
        <v>5000</v>
      </c>
      <c r="K1508" s="3">
        <v>4669999</v>
      </c>
      <c r="L1508" s="3" t="s">
        <v>558</v>
      </c>
      <c r="M1508" s="3" t="s">
        <v>5849</v>
      </c>
      <c r="N1508" s="3">
        <v>205</v>
      </c>
      <c r="P1508" s="3" t="s">
        <v>5850</v>
      </c>
      <c r="Q1508" s="3" t="s">
        <v>27</v>
      </c>
      <c r="R1508" s="3" t="s">
        <v>28</v>
      </c>
      <c r="S1508" s="3">
        <v>4298040</v>
      </c>
      <c r="T1508" s="3">
        <v>1129149922</v>
      </c>
      <c r="U1508" s="3" t="s">
        <v>29</v>
      </c>
    </row>
    <row r="1509" spans="1:21" ht="13.2" x14ac:dyDescent="0.25">
      <c r="A1509" s="14">
        <v>11279168000102</v>
      </c>
      <c r="B1509" s="15" t="str">
        <f t="shared" si="23"/>
        <v>11.279.168/0001-02</v>
      </c>
      <c r="C1509" s="12"/>
      <c r="D1509" s="3" t="s">
        <v>5851</v>
      </c>
      <c r="E1509" s="3" t="s">
        <v>5852</v>
      </c>
      <c r="F1509" s="3" t="s">
        <v>20</v>
      </c>
      <c r="G1509" s="4">
        <v>40093</v>
      </c>
      <c r="H1509" s="3" t="s">
        <v>21</v>
      </c>
      <c r="I1509" s="3" t="s">
        <v>47</v>
      </c>
      <c r="J1509" s="5">
        <v>150000</v>
      </c>
      <c r="K1509" s="3">
        <v>3312103</v>
      </c>
      <c r="L1509" s="3" t="s">
        <v>4694</v>
      </c>
      <c r="M1509" s="3" t="s">
        <v>5853</v>
      </c>
      <c r="N1509" s="3">
        <v>351</v>
      </c>
      <c r="P1509" s="3" t="s">
        <v>2486</v>
      </c>
      <c r="Q1509" s="3" t="s">
        <v>217</v>
      </c>
      <c r="R1509" s="3" t="s">
        <v>28</v>
      </c>
      <c r="S1509" s="3">
        <v>9861710</v>
      </c>
      <c r="T1509" s="3">
        <v>1123745068</v>
      </c>
      <c r="U1509" s="3" t="s">
        <v>29</v>
      </c>
    </row>
    <row r="1510" spans="1:21" ht="13.2" x14ac:dyDescent="0.25">
      <c r="A1510" s="14">
        <v>10560660000180</v>
      </c>
      <c r="B1510" s="15" t="str">
        <f t="shared" si="23"/>
        <v>10.560.660/0001-80</v>
      </c>
      <c r="C1510" s="12" t="str">
        <f>VLOOKUP(B1510,[1]Planilha1!$A:$B,2,0)</f>
        <v>Malu Montesino</v>
      </c>
      <c r="D1510" s="3" t="s">
        <v>5854</v>
      </c>
      <c r="E1510" s="3" t="s">
        <v>5854</v>
      </c>
      <c r="F1510" s="3" t="s">
        <v>20</v>
      </c>
      <c r="G1510" s="4">
        <v>39797</v>
      </c>
      <c r="H1510" s="3" t="s">
        <v>21</v>
      </c>
      <c r="I1510" s="3" t="s">
        <v>47</v>
      </c>
      <c r="J1510" s="5">
        <v>100000</v>
      </c>
      <c r="K1510" s="3">
        <v>2733300</v>
      </c>
      <c r="L1510" s="3" t="s">
        <v>2719</v>
      </c>
      <c r="M1510" s="3" t="s">
        <v>5855</v>
      </c>
      <c r="N1510" s="3">
        <v>120</v>
      </c>
      <c r="P1510" s="3" t="s">
        <v>3662</v>
      </c>
      <c r="Q1510" s="3" t="s">
        <v>217</v>
      </c>
      <c r="R1510" s="3" t="s">
        <v>28</v>
      </c>
      <c r="S1510" s="3">
        <v>9892200</v>
      </c>
      <c r="T1510" s="3">
        <v>1141213400</v>
      </c>
      <c r="U1510" s="3" t="s">
        <v>29</v>
      </c>
    </row>
    <row r="1511" spans="1:21" ht="13.2" x14ac:dyDescent="0.25">
      <c r="A1511" s="14">
        <v>61190096000192</v>
      </c>
      <c r="B1511" s="15" t="str">
        <f t="shared" si="23"/>
        <v>61.190.096/0001-92</v>
      </c>
      <c r="C1511" s="12"/>
      <c r="D1511" s="3" t="s">
        <v>5856</v>
      </c>
      <c r="E1511" s="3" t="s">
        <v>5857</v>
      </c>
      <c r="F1511" s="3" t="s">
        <v>20</v>
      </c>
      <c r="G1511" s="4">
        <v>24293</v>
      </c>
      <c r="H1511" s="3" t="s">
        <v>377</v>
      </c>
      <c r="I1511" s="3" t="s">
        <v>33</v>
      </c>
      <c r="J1511" s="5">
        <v>1205522000</v>
      </c>
      <c r="K1511" s="3">
        <v>7490199</v>
      </c>
      <c r="L1511" s="3" t="s">
        <v>1091</v>
      </c>
      <c r="M1511" s="3" t="s">
        <v>5858</v>
      </c>
      <c r="N1511" s="3">
        <v>3465</v>
      </c>
      <c r="O1511" s="3" t="s">
        <v>5859</v>
      </c>
      <c r="P1511" s="3" t="s">
        <v>241</v>
      </c>
      <c r="Q1511" s="3" t="s">
        <v>27</v>
      </c>
      <c r="R1511" s="3" t="s">
        <v>28</v>
      </c>
      <c r="S1511" s="3">
        <v>4603903</v>
      </c>
      <c r="T1511" s="3">
        <v>1150908612</v>
      </c>
      <c r="U1511" s="3" t="s">
        <v>29</v>
      </c>
    </row>
    <row r="1512" spans="1:21" ht="13.2" x14ac:dyDescent="0.25">
      <c r="A1512" s="14">
        <v>7125645000108</v>
      </c>
      <c r="B1512" s="15" t="str">
        <f t="shared" si="23"/>
        <v>07.125.645/0001-08</v>
      </c>
      <c r="C1512" s="12"/>
      <c r="D1512" s="3" t="s">
        <v>5860</v>
      </c>
      <c r="E1512" s="3" t="s">
        <v>5861</v>
      </c>
      <c r="F1512" s="3" t="s">
        <v>20</v>
      </c>
      <c r="G1512" s="4">
        <v>38322</v>
      </c>
      <c r="H1512" s="3" t="s">
        <v>21</v>
      </c>
      <c r="I1512" s="3" t="s">
        <v>33</v>
      </c>
      <c r="J1512" s="5">
        <v>15000000</v>
      </c>
      <c r="K1512" s="3">
        <v>1742701</v>
      </c>
      <c r="L1512" s="3" t="s">
        <v>5862</v>
      </c>
      <c r="M1512" s="3" t="s">
        <v>5863</v>
      </c>
      <c r="N1512" s="3">
        <v>2701</v>
      </c>
      <c r="P1512" s="3" t="s">
        <v>5864</v>
      </c>
      <c r="Q1512" s="3" t="s">
        <v>5865</v>
      </c>
      <c r="R1512" s="3" t="s">
        <v>187</v>
      </c>
      <c r="S1512" s="3">
        <v>86605350</v>
      </c>
      <c r="T1512" s="3">
        <v>4332560805</v>
      </c>
      <c r="U1512" s="3" t="s">
        <v>29</v>
      </c>
    </row>
    <row r="1513" spans="1:21" ht="13.2" x14ac:dyDescent="0.25">
      <c r="A1513" s="14">
        <v>3574135000159</v>
      </c>
      <c r="B1513" s="15" t="str">
        <f t="shared" si="23"/>
        <v>03.574.135/0001-59</v>
      </c>
      <c r="C1513" s="12"/>
      <c r="D1513" s="3" t="s">
        <v>5866</v>
      </c>
      <c r="E1513" s="3" t="s">
        <v>5867</v>
      </c>
      <c r="F1513" s="3" t="s">
        <v>20</v>
      </c>
      <c r="G1513" s="4">
        <v>36522</v>
      </c>
      <c r="H1513" s="3" t="s">
        <v>21</v>
      </c>
      <c r="I1513" s="3" t="s">
        <v>22</v>
      </c>
      <c r="J1513" s="5">
        <v>500000</v>
      </c>
      <c r="K1513" s="3">
        <v>7711000</v>
      </c>
      <c r="L1513" s="3" t="s">
        <v>2763</v>
      </c>
      <c r="M1513" s="3" t="s">
        <v>5868</v>
      </c>
      <c r="N1513" s="3">
        <v>95</v>
      </c>
      <c r="P1513" s="3" t="s">
        <v>70</v>
      </c>
      <c r="Q1513" s="3" t="s">
        <v>5869</v>
      </c>
      <c r="R1513" s="3" t="s">
        <v>456</v>
      </c>
      <c r="S1513" s="3">
        <v>55860000</v>
      </c>
      <c r="T1513" s="3">
        <v>8132524122</v>
      </c>
      <c r="U1513" s="3" t="s">
        <v>29</v>
      </c>
    </row>
    <row r="1514" spans="1:21" ht="13.2" x14ac:dyDescent="0.25">
      <c r="A1514" s="14">
        <v>30804947000116</v>
      </c>
      <c r="B1514" s="15" t="str">
        <f t="shared" si="23"/>
        <v>30.804.947/0001-16</v>
      </c>
      <c r="C1514" s="12"/>
      <c r="D1514" s="3" t="s">
        <v>5870</v>
      </c>
      <c r="E1514" s="3" t="s">
        <v>5871</v>
      </c>
      <c r="F1514" s="3" t="s">
        <v>20</v>
      </c>
      <c r="G1514" s="4">
        <v>43279</v>
      </c>
      <c r="H1514" s="3" t="s">
        <v>46</v>
      </c>
      <c r="I1514" s="3" t="s">
        <v>47</v>
      </c>
      <c r="J1514" s="5">
        <v>5000</v>
      </c>
      <c r="K1514" s="3">
        <v>8211300</v>
      </c>
      <c r="L1514" s="3" t="s">
        <v>166</v>
      </c>
      <c r="M1514" s="3" t="s">
        <v>5872</v>
      </c>
      <c r="N1514" s="3">
        <v>548</v>
      </c>
      <c r="P1514" s="3" t="s">
        <v>5873</v>
      </c>
      <c r="Q1514" s="3" t="s">
        <v>262</v>
      </c>
      <c r="R1514" s="3" t="s">
        <v>28</v>
      </c>
      <c r="S1514" s="3">
        <v>6112050</v>
      </c>
      <c r="T1514" s="3">
        <v>1171311100</v>
      </c>
      <c r="U1514" s="3" t="s">
        <v>29</v>
      </c>
    </row>
    <row r="1515" spans="1:21" ht="13.2" x14ac:dyDescent="0.25">
      <c r="A1515" s="14">
        <v>24549733000148</v>
      </c>
      <c r="B1515" s="15" t="str">
        <f t="shared" si="23"/>
        <v>24.549.733/0001-48</v>
      </c>
      <c r="C1515" s="12"/>
      <c r="D1515" s="3" t="s">
        <v>5874</v>
      </c>
      <c r="E1515" s="3" t="s">
        <v>5875</v>
      </c>
      <c r="F1515" s="3" t="s">
        <v>20</v>
      </c>
      <c r="G1515" s="4">
        <v>42467</v>
      </c>
      <c r="H1515" s="3" t="s">
        <v>21</v>
      </c>
      <c r="I1515" s="3" t="s">
        <v>47</v>
      </c>
      <c r="J1515" s="5">
        <v>100000</v>
      </c>
      <c r="K1515" s="3">
        <v>9001906</v>
      </c>
      <c r="L1515" s="3" t="s">
        <v>1902</v>
      </c>
      <c r="M1515" s="3" t="s">
        <v>5876</v>
      </c>
      <c r="N1515" s="3">
        <v>375</v>
      </c>
      <c r="O1515" s="3" t="s">
        <v>5877</v>
      </c>
      <c r="P1515" s="3" t="s">
        <v>4028</v>
      </c>
      <c r="Q1515" s="3" t="s">
        <v>27</v>
      </c>
      <c r="R1515" s="3" t="s">
        <v>28</v>
      </c>
      <c r="S1515" s="3">
        <v>4630051</v>
      </c>
      <c r="T1515" s="3">
        <v>1144617795</v>
      </c>
      <c r="U1515" s="3" t="s">
        <v>29</v>
      </c>
    </row>
    <row r="1516" spans="1:21" ht="13.2" x14ac:dyDescent="0.25">
      <c r="A1516" s="14">
        <v>4433214000102</v>
      </c>
      <c r="B1516" s="15" t="str">
        <f t="shared" si="23"/>
        <v>04.433.214/0001-02</v>
      </c>
      <c r="C1516" s="12"/>
      <c r="D1516" s="3" t="s">
        <v>5878</v>
      </c>
      <c r="E1516" s="3" t="s">
        <v>5879</v>
      </c>
      <c r="F1516" s="3" t="s">
        <v>20</v>
      </c>
      <c r="G1516" s="4">
        <v>37021</v>
      </c>
      <c r="H1516" s="3" t="s">
        <v>21</v>
      </c>
      <c r="I1516" s="3" t="s">
        <v>33</v>
      </c>
      <c r="J1516" s="5">
        <v>400000</v>
      </c>
      <c r="K1516" s="3">
        <v>8230001</v>
      </c>
      <c r="L1516" s="3" t="s">
        <v>2141</v>
      </c>
      <c r="M1516" s="3" t="s">
        <v>5880</v>
      </c>
      <c r="N1516" s="3">
        <v>32</v>
      </c>
      <c r="O1516" s="3" t="s">
        <v>5881</v>
      </c>
      <c r="P1516" s="3" t="s">
        <v>5882</v>
      </c>
      <c r="Q1516" s="3" t="s">
        <v>224</v>
      </c>
      <c r="R1516" s="3" t="s">
        <v>225</v>
      </c>
      <c r="S1516" s="3">
        <v>78043518</v>
      </c>
      <c r="T1516" s="3">
        <v>6533221664</v>
      </c>
      <c r="U1516" s="3" t="s">
        <v>29</v>
      </c>
    </row>
    <row r="1517" spans="1:21" ht="13.2" x14ac:dyDescent="0.25">
      <c r="A1517" s="14">
        <v>34211255000115</v>
      </c>
      <c r="B1517" s="15" t="str">
        <f t="shared" si="23"/>
        <v>34.211.255/0001-15</v>
      </c>
      <c r="C1517" s="12"/>
      <c r="D1517" s="3" t="s">
        <v>5883</v>
      </c>
      <c r="E1517" s="3" t="s">
        <v>5884</v>
      </c>
      <c r="F1517" s="3" t="s">
        <v>20</v>
      </c>
      <c r="G1517" s="4">
        <v>43661</v>
      </c>
      <c r="H1517" s="3" t="s">
        <v>94</v>
      </c>
      <c r="I1517" s="3" t="s">
        <v>33</v>
      </c>
      <c r="J1517" s="5">
        <v>99900</v>
      </c>
      <c r="K1517" s="3">
        <v>6204000</v>
      </c>
      <c r="L1517" s="3" t="s">
        <v>2081</v>
      </c>
      <c r="M1517" s="3" t="s">
        <v>5885</v>
      </c>
      <c r="N1517" s="3">
        <v>3116</v>
      </c>
      <c r="O1517" s="3" t="s">
        <v>5886</v>
      </c>
      <c r="P1517" s="3" t="s">
        <v>5887</v>
      </c>
      <c r="Q1517" s="3" t="s">
        <v>2187</v>
      </c>
      <c r="R1517" s="3" t="s">
        <v>28</v>
      </c>
      <c r="S1517" s="3">
        <v>13874439</v>
      </c>
      <c r="T1517" s="3">
        <v>1941183030</v>
      </c>
      <c r="U1517" s="3" t="s">
        <v>29</v>
      </c>
    </row>
    <row r="1518" spans="1:21" ht="13.2" x14ac:dyDescent="0.25">
      <c r="A1518" s="14">
        <v>33060278000103</v>
      </c>
      <c r="B1518" s="15" t="str">
        <f t="shared" si="23"/>
        <v>33.060.278/0001-03</v>
      </c>
      <c r="C1518" s="12"/>
      <c r="D1518" s="3" t="s">
        <v>5888</v>
      </c>
      <c r="E1518" s="3" t="s">
        <v>5889</v>
      </c>
      <c r="F1518" s="3" t="s">
        <v>20</v>
      </c>
      <c r="G1518" s="4">
        <v>24327</v>
      </c>
      <c r="H1518" s="3" t="s">
        <v>21</v>
      </c>
      <c r="I1518" s="3" t="s">
        <v>33</v>
      </c>
      <c r="J1518" s="5">
        <v>17644832</v>
      </c>
      <c r="K1518" s="3">
        <v>3314701</v>
      </c>
      <c r="L1518" s="3" t="s">
        <v>5890</v>
      </c>
      <c r="M1518" s="3" t="s">
        <v>4878</v>
      </c>
      <c r="N1518" s="3">
        <v>23</v>
      </c>
      <c r="O1518" s="3" t="s">
        <v>5891</v>
      </c>
      <c r="P1518" s="3" t="s">
        <v>5711</v>
      </c>
      <c r="Q1518" s="3" t="s">
        <v>1640</v>
      </c>
      <c r="R1518" s="3" t="s">
        <v>78</v>
      </c>
      <c r="S1518" s="3">
        <v>24110075</v>
      </c>
      <c r="T1518" s="3">
        <v>2135062142</v>
      </c>
      <c r="U1518" s="3" t="s">
        <v>29</v>
      </c>
    </row>
    <row r="1519" spans="1:21" ht="13.2" x14ac:dyDescent="0.25">
      <c r="A1519" s="14">
        <v>5137447000120</v>
      </c>
      <c r="B1519" s="15" t="str">
        <f t="shared" si="23"/>
        <v>05.137.447/0001-20</v>
      </c>
      <c r="C1519" s="12" t="str">
        <f>VLOOKUP(B1519,[1]Planilha1!$A:$B,2,0)</f>
        <v>Malu Montesino</v>
      </c>
      <c r="D1519" s="3" t="s">
        <v>5892</v>
      </c>
      <c r="E1519" s="3" t="s">
        <v>5892</v>
      </c>
      <c r="F1519" s="3" t="s">
        <v>20</v>
      </c>
      <c r="G1519" s="4">
        <v>37427</v>
      </c>
      <c r="H1519" s="3" t="s">
        <v>21</v>
      </c>
      <c r="I1519" s="3" t="s">
        <v>33</v>
      </c>
      <c r="J1519" s="5">
        <v>3295000</v>
      </c>
      <c r="K1519" s="3">
        <v>4321500</v>
      </c>
      <c r="L1519" s="3" t="s">
        <v>964</v>
      </c>
      <c r="M1519" s="3" t="s">
        <v>1822</v>
      </c>
      <c r="N1519" s="3">
        <v>430</v>
      </c>
      <c r="O1519" s="3" t="s">
        <v>5893</v>
      </c>
      <c r="P1519" s="3" t="s">
        <v>316</v>
      </c>
      <c r="Q1519" s="3" t="s">
        <v>27</v>
      </c>
      <c r="R1519" s="3" t="s">
        <v>28</v>
      </c>
      <c r="S1519" s="3">
        <v>4552000</v>
      </c>
      <c r="T1519" s="3">
        <v>1121978888</v>
      </c>
      <c r="U1519" s="3" t="s">
        <v>29</v>
      </c>
    </row>
    <row r="1520" spans="1:21" ht="13.2" x14ac:dyDescent="0.25">
      <c r="A1520" s="14">
        <v>29656948000181</v>
      </c>
      <c r="B1520" s="15" t="str">
        <f t="shared" si="23"/>
        <v>29.656.948/0001-81</v>
      </c>
      <c r="C1520" s="12"/>
      <c r="D1520" s="3" t="s">
        <v>5894</v>
      </c>
      <c r="E1520" s="3" t="s">
        <v>5895</v>
      </c>
      <c r="F1520" s="3" t="s">
        <v>31</v>
      </c>
      <c r="G1520" s="4">
        <v>43139</v>
      </c>
      <c r="H1520" s="3" t="s">
        <v>46</v>
      </c>
      <c r="I1520" s="3" t="s">
        <v>47</v>
      </c>
      <c r="J1520" s="5">
        <v>1000</v>
      </c>
      <c r="K1520" s="3">
        <v>4724500</v>
      </c>
      <c r="L1520" s="3" t="s">
        <v>5896</v>
      </c>
      <c r="M1520" s="3" t="s">
        <v>5897</v>
      </c>
      <c r="N1520" s="3">
        <v>2014</v>
      </c>
      <c r="O1520" s="3" t="s">
        <v>198</v>
      </c>
      <c r="P1520" s="3" t="s">
        <v>5898</v>
      </c>
      <c r="Q1520" s="3" t="s">
        <v>5899</v>
      </c>
      <c r="R1520" s="3" t="s">
        <v>28</v>
      </c>
      <c r="S1520" s="3">
        <v>17780000</v>
      </c>
      <c r="T1520" s="3">
        <v>1898105071</v>
      </c>
      <c r="U1520" s="3" t="s">
        <v>29</v>
      </c>
    </row>
    <row r="1521" spans="1:21" ht="13.2" x14ac:dyDescent="0.25">
      <c r="A1521" s="14">
        <v>14464487000178</v>
      </c>
      <c r="B1521" s="15" t="str">
        <f t="shared" si="23"/>
        <v>14.464.487/0001-78</v>
      </c>
      <c r="C1521" s="12"/>
      <c r="D1521" s="3" t="s">
        <v>5900</v>
      </c>
      <c r="E1521" s="3" t="s">
        <v>5901</v>
      </c>
      <c r="F1521" s="3" t="s">
        <v>20</v>
      </c>
      <c r="G1521" s="4">
        <v>40807</v>
      </c>
      <c r="H1521" s="3" t="s">
        <v>21</v>
      </c>
      <c r="I1521" s="3" t="s">
        <v>47</v>
      </c>
      <c r="J1521" s="5">
        <v>500000</v>
      </c>
      <c r="K1521" s="3">
        <v>8599604</v>
      </c>
      <c r="L1521" s="3" t="s">
        <v>55</v>
      </c>
      <c r="M1521" s="3" t="s">
        <v>960</v>
      </c>
      <c r="N1521" s="3">
        <v>111</v>
      </c>
      <c r="O1521" s="3" t="s">
        <v>5902</v>
      </c>
      <c r="P1521" s="3" t="s">
        <v>70</v>
      </c>
      <c r="Q1521" s="3" t="s">
        <v>217</v>
      </c>
      <c r="R1521" s="3" t="s">
        <v>28</v>
      </c>
      <c r="S1521" s="3">
        <v>9750730</v>
      </c>
      <c r="T1521" s="3">
        <v>1137757275</v>
      </c>
      <c r="U1521" s="3" t="s">
        <v>29</v>
      </c>
    </row>
    <row r="1522" spans="1:21" ht="13.2" x14ac:dyDescent="0.25">
      <c r="A1522" s="14">
        <v>44880091000172</v>
      </c>
      <c r="B1522" s="15" t="str">
        <f t="shared" si="23"/>
        <v>44.880.091/0001-72</v>
      </c>
      <c r="C1522" s="12" t="str">
        <f>VLOOKUP(B1522,[1]Planilha1!$A:$B,2,0)</f>
        <v>Malu Montesino</v>
      </c>
      <c r="D1522" s="3" t="s">
        <v>5903</v>
      </c>
      <c r="E1522" s="3" t="s">
        <v>5904</v>
      </c>
      <c r="F1522" s="3" t="s">
        <v>20</v>
      </c>
      <c r="G1522" s="4">
        <v>44576</v>
      </c>
      <c r="H1522" s="3" t="s">
        <v>21</v>
      </c>
      <c r="I1522" s="3" t="s">
        <v>33</v>
      </c>
      <c r="J1522" s="5">
        <v>1000000</v>
      </c>
      <c r="K1522" s="3">
        <v>2945000</v>
      </c>
      <c r="L1522" s="3" t="s">
        <v>5905</v>
      </c>
      <c r="M1522" s="3" t="s">
        <v>5906</v>
      </c>
      <c r="N1522" s="3">
        <v>400</v>
      </c>
      <c r="P1522" s="3" t="s">
        <v>5907</v>
      </c>
      <c r="Q1522" s="3" t="s">
        <v>1317</v>
      </c>
      <c r="R1522" s="3" t="s">
        <v>187</v>
      </c>
      <c r="S1522" s="3">
        <v>83322010</v>
      </c>
      <c r="T1522" s="3">
        <v>4199300091</v>
      </c>
      <c r="U1522" s="3" t="s">
        <v>29</v>
      </c>
    </row>
    <row r="1523" spans="1:21" ht="13.2" x14ac:dyDescent="0.25">
      <c r="A1523" s="14">
        <v>18825056000140</v>
      </c>
      <c r="B1523" s="15" t="str">
        <f t="shared" si="23"/>
        <v>18.825.056/0001-40</v>
      </c>
      <c r="C1523" s="12"/>
      <c r="D1523" s="3" t="s">
        <v>5908</v>
      </c>
      <c r="E1523" s="3" t="s">
        <v>5909</v>
      </c>
      <c r="F1523" s="3" t="s">
        <v>20</v>
      </c>
      <c r="G1523" s="4">
        <v>41522</v>
      </c>
      <c r="H1523" s="3" t="s">
        <v>21</v>
      </c>
      <c r="I1523" s="3" t="s">
        <v>33</v>
      </c>
      <c r="J1523" s="5">
        <v>100000</v>
      </c>
      <c r="K1523" s="3">
        <v>6110803</v>
      </c>
      <c r="L1523" s="3" t="s">
        <v>339</v>
      </c>
      <c r="M1523" s="3" t="s">
        <v>5333</v>
      </c>
      <c r="N1523" s="3">
        <v>1461</v>
      </c>
      <c r="O1523" s="3" t="s">
        <v>5910</v>
      </c>
      <c r="P1523" s="3" t="s">
        <v>1019</v>
      </c>
      <c r="Q1523" s="3" t="s">
        <v>27</v>
      </c>
      <c r="R1523" s="3" t="s">
        <v>28</v>
      </c>
      <c r="S1523" s="3">
        <v>4571903</v>
      </c>
      <c r="T1523" s="3">
        <v>1155424822</v>
      </c>
      <c r="U1523" s="3" t="s">
        <v>29</v>
      </c>
    </row>
    <row r="1524" spans="1:21" ht="13.2" x14ac:dyDescent="0.25">
      <c r="A1524" s="14">
        <v>62695036000194</v>
      </c>
      <c r="B1524" s="15" t="str">
        <f t="shared" si="23"/>
        <v>62.695.036/0001-94</v>
      </c>
      <c r="C1524" s="12" t="str">
        <f>VLOOKUP(B1524,[1]Planilha1!$A:$B,2,0)</f>
        <v>Malu Montesino</v>
      </c>
      <c r="D1524" s="3" t="s">
        <v>5911</v>
      </c>
      <c r="E1524" s="3" t="s">
        <v>5912</v>
      </c>
      <c r="F1524" s="3" t="s">
        <v>20</v>
      </c>
      <c r="G1524" s="4">
        <v>25638</v>
      </c>
      <c r="H1524" s="3" t="s">
        <v>21</v>
      </c>
      <c r="I1524" s="3" t="s">
        <v>33</v>
      </c>
      <c r="J1524" s="5">
        <v>1349973400</v>
      </c>
      <c r="K1524" s="3">
        <v>2099199</v>
      </c>
      <c r="L1524" s="3" t="s">
        <v>80</v>
      </c>
      <c r="M1524" s="3" t="s">
        <v>2209</v>
      </c>
      <c r="N1524" s="3">
        <v>1649</v>
      </c>
      <c r="O1524" s="3" t="s">
        <v>5913</v>
      </c>
      <c r="P1524" s="3" t="s">
        <v>2211</v>
      </c>
      <c r="Q1524" s="3" t="s">
        <v>27</v>
      </c>
      <c r="R1524" s="3" t="s">
        <v>28</v>
      </c>
      <c r="S1524" s="3">
        <v>4711130</v>
      </c>
      <c r="T1524" s="3">
        <v>1131464100</v>
      </c>
      <c r="U1524" s="3" t="s">
        <v>29</v>
      </c>
    </row>
    <row r="1525" spans="1:21" ht="13.2" x14ac:dyDescent="0.25">
      <c r="A1525" s="14">
        <v>34623259000100</v>
      </c>
      <c r="B1525" s="15" t="str">
        <f t="shared" si="23"/>
        <v>34.623.259/0001-00</v>
      </c>
      <c r="C1525" s="12"/>
      <c r="D1525" s="3" t="s">
        <v>5914</v>
      </c>
      <c r="E1525" s="3" t="s">
        <v>5914</v>
      </c>
      <c r="F1525" s="3" t="s">
        <v>20</v>
      </c>
      <c r="G1525" s="4">
        <v>43699</v>
      </c>
      <c r="H1525" s="3" t="s">
        <v>21</v>
      </c>
      <c r="I1525" s="3" t="s">
        <v>33</v>
      </c>
      <c r="J1525" s="5">
        <v>200000</v>
      </c>
      <c r="K1525" s="3">
        <v>2660400</v>
      </c>
      <c r="L1525" s="3" t="s">
        <v>953</v>
      </c>
      <c r="M1525" s="3" t="s">
        <v>5915</v>
      </c>
      <c r="N1525" s="3">
        <v>22</v>
      </c>
      <c r="O1525" s="3" t="s">
        <v>5916</v>
      </c>
      <c r="P1525" s="3" t="s">
        <v>153</v>
      </c>
      <c r="Q1525" s="3" t="s">
        <v>915</v>
      </c>
      <c r="R1525" s="3" t="s">
        <v>28</v>
      </c>
      <c r="S1525" s="3">
        <v>14140000</v>
      </c>
      <c r="T1525" s="3">
        <v>1636007542</v>
      </c>
      <c r="U1525" s="3" t="s">
        <v>29</v>
      </c>
    </row>
    <row r="1526" spans="1:21" ht="13.2" x14ac:dyDescent="0.25">
      <c r="A1526" s="14">
        <v>11818593000114</v>
      </c>
      <c r="B1526" s="15" t="str">
        <f t="shared" si="23"/>
        <v>11.818.593/0001-14</v>
      </c>
      <c r="C1526" s="12"/>
      <c r="D1526" s="3" t="s">
        <v>5917</v>
      </c>
      <c r="E1526" s="3" t="s">
        <v>5918</v>
      </c>
      <c r="F1526" s="3" t="s">
        <v>20</v>
      </c>
      <c r="G1526" s="4">
        <v>40282</v>
      </c>
      <c r="H1526" s="3" t="s">
        <v>21</v>
      </c>
      <c r="I1526" s="3" t="s">
        <v>33</v>
      </c>
      <c r="J1526" s="5">
        <v>4741963</v>
      </c>
      <c r="K1526" s="3">
        <v>7830200</v>
      </c>
      <c r="L1526" s="3" t="s">
        <v>473</v>
      </c>
      <c r="M1526" s="3" t="s">
        <v>5919</v>
      </c>
      <c r="N1526" s="3">
        <v>2</v>
      </c>
      <c r="O1526" s="3" t="s">
        <v>5920</v>
      </c>
      <c r="P1526" s="3" t="s">
        <v>5787</v>
      </c>
      <c r="Q1526" s="3" t="s">
        <v>631</v>
      </c>
      <c r="R1526" s="3" t="s">
        <v>632</v>
      </c>
      <c r="S1526" s="3">
        <v>71985300</v>
      </c>
      <c r="T1526" s="3">
        <v>6133440075</v>
      </c>
      <c r="U1526" s="3" t="s">
        <v>29</v>
      </c>
    </row>
    <row r="1527" spans="1:21" ht="13.2" x14ac:dyDescent="0.25">
      <c r="A1527" s="14">
        <v>10293515000180</v>
      </c>
      <c r="B1527" s="15" t="str">
        <f t="shared" si="23"/>
        <v>10.293.515/0001-80</v>
      </c>
      <c r="C1527" s="12"/>
      <c r="D1527" s="3" t="s">
        <v>5921</v>
      </c>
      <c r="E1527" s="3" t="s">
        <v>5922</v>
      </c>
      <c r="F1527" s="3" t="s">
        <v>20</v>
      </c>
      <c r="G1527" s="4">
        <v>39681</v>
      </c>
      <c r="H1527" s="3" t="s">
        <v>21</v>
      </c>
      <c r="I1527" s="3" t="s">
        <v>33</v>
      </c>
      <c r="J1527" s="5">
        <v>100000</v>
      </c>
      <c r="K1527" s="3">
        <v>3312103</v>
      </c>
      <c r="L1527" s="3" t="s">
        <v>4694</v>
      </c>
      <c r="M1527" s="3" t="s">
        <v>5923</v>
      </c>
      <c r="N1527" s="3" t="s">
        <v>5924</v>
      </c>
      <c r="O1527" s="3" t="s">
        <v>3685</v>
      </c>
      <c r="P1527" s="3" t="s">
        <v>5925</v>
      </c>
      <c r="Q1527" s="3" t="s">
        <v>631</v>
      </c>
      <c r="R1527" s="3" t="s">
        <v>632</v>
      </c>
      <c r="S1527" s="3">
        <v>71956180</v>
      </c>
      <c r="T1527" s="3">
        <v>6135322232</v>
      </c>
      <c r="U1527" s="3" t="s">
        <v>29</v>
      </c>
    </row>
    <row r="1528" spans="1:21" ht="13.2" x14ac:dyDescent="0.25">
      <c r="A1528" s="14">
        <v>30177382000194</v>
      </c>
      <c r="B1528" s="15" t="str">
        <f t="shared" si="23"/>
        <v>30.177.382/0001-94</v>
      </c>
      <c r="C1528" s="12"/>
      <c r="D1528" s="3" t="s">
        <v>5926</v>
      </c>
      <c r="E1528" s="3" t="s">
        <v>5927</v>
      </c>
      <c r="F1528" s="3" t="s">
        <v>20</v>
      </c>
      <c r="G1528" s="4">
        <v>43202</v>
      </c>
      <c r="H1528" s="3" t="s">
        <v>21</v>
      </c>
      <c r="I1528" s="3" t="s">
        <v>22</v>
      </c>
      <c r="J1528" s="5">
        <v>10000</v>
      </c>
      <c r="K1528" s="3">
        <v>7319003</v>
      </c>
      <c r="L1528" s="3" t="s">
        <v>5928</v>
      </c>
      <c r="M1528" s="3" t="s">
        <v>5929</v>
      </c>
      <c r="N1528" s="3">
        <v>32</v>
      </c>
      <c r="P1528" s="3" t="s">
        <v>3910</v>
      </c>
      <c r="Q1528" s="3" t="s">
        <v>27</v>
      </c>
      <c r="R1528" s="3" t="s">
        <v>28</v>
      </c>
      <c r="S1528" s="3">
        <v>1045911</v>
      </c>
      <c r="T1528" s="3">
        <v>1194109444</v>
      </c>
      <c r="U1528" s="3" t="s">
        <v>29</v>
      </c>
    </row>
    <row r="1529" spans="1:21" ht="13.2" x14ac:dyDescent="0.25">
      <c r="A1529" s="14">
        <v>14163479000191</v>
      </c>
      <c r="B1529" s="15" t="str">
        <f t="shared" si="23"/>
        <v>14.163.479/0001-91</v>
      </c>
      <c r="C1529" s="12"/>
      <c r="D1529" s="3" t="s">
        <v>5930</v>
      </c>
      <c r="E1529" s="8" t="s">
        <v>5931</v>
      </c>
      <c r="F1529" s="3" t="s">
        <v>20</v>
      </c>
      <c r="G1529" s="4">
        <v>40679</v>
      </c>
      <c r="H1529" s="3" t="s">
        <v>21</v>
      </c>
      <c r="I1529" s="3" t="s">
        <v>22</v>
      </c>
      <c r="J1529" s="5">
        <v>1000000</v>
      </c>
      <c r="K1529" s="3">
        <v>4751201</v>
      </c>
      <c r="L1529" s="3" t="s">
        <v>23</v>
      </c>
      <c r="M1529" s="3" t="s">
        <v>1663</v>
      </c>
      <c r="N1529" s="3">
        <v>587</v>
      </c>
      <c r="P1529" s="3" t="s">
        <v>5932</v>
      </c>
      <c r="Q1529" s="3" t="s">
        <v>65</v>
      </c>
      <c r="R1529" s="3" t="s">
        <v>28</v>
      </c>
      <c r="S1529" s="3">
        <v>13087430</v>
      </c>
      <c r="T1529" s="3">
        <v>1932561446</v>
      </c>
      <c r="U1529" s="3" t="s">
        <v>29</v>
      </c>
    </row>
    <row r="1530" spans="1:21" ht="13.2" x14ac:dyDescent="0.25">
      <c r="A1530" s="14">
        <v>12882932000194</v>
      </c>
      <c r="B1530" s="15" t="str">
        <f t="shared" si="23"/>
        <v>12.882.932/0001-94</v>
      </c>
      <c r="C1530" s="12" t="str">
        <f>VLOOKUP(B1530,[1]Planilha1!$A:$B,2,0)</f>
        <v>Mariane Nascimento</v>
      </c>
      <c r="D1530" s="3" t="s">
        <v>5933</v>
      </c>
      <c r="E1530" s="3" t="s">
        <v>5933</v>
      </c>
      <c r="F1530" s="3" t="s">
        <v>20</v>
      </c>
      <c r="G1530" s="4">
        <v>32302</v>
      </c>
      <c r="H1530" s="3" t="s">
        <v>21</v>
      </c>
      <c r="I1530" s="3" t="s">
        <v>33</v>
      </c>
      <c r="J1530" s="5">
        <v>1000000</v>
      </c>
      <c r="K1530" s="3">
        <v>4644301</v>
      </c>
      <c r="L1530" s="3" t="s">
        <v>326</v>
      </c>
      <c r="M1530" s="3" t="s">
        <v>5934</v>
      </c>
      <c r="N1530" s="3">
        <v>402</v>
      </c>
      <c r="O1530" s="3" t="s">
        <v>5935</v>
      </c>
      <c r="P1530" s="3" t="s">
        <v>5936</v>
      </c>
      <c r="Q1530" s="3" t="s">
        <v>1339</v>
      </c>
      <c r="R1530" s="3" t="s">
        <v>456</v>
      </c>
      <c r="S1530" s="3">
        <v>52120320</v>
      </c>
      <c r="T1530" s="3">
        <v>8134279437</v>
      </c>
      <c r="U1530" s="3" t="s">
        <v>29</v>
      </c>
    </row>
    <row r="1531" spans="1:21" ht="13.2" x14ac:dyDescent="0.25">
      <c r="A1531" s="14">
        <v>55469126000100</v>
      </c>
      <c r="B1531" s="15" t="str">
        <f t="shared" si="23"/>
        <v>55.469.126/0001-00</v>
      </c>
      <c r="C1531" s="12"/>
      <c r="D1531" s="3" t="s">
        <v>5937</v>
      </c>
      <c r="E1531" s="3" t="s">
        <v>5938</v>
      </c>
      <c r="F1531" s="3" t="s">
        <v>20</v>
      </c>
      <c r="G1531" s="4">
        <v>31462</v>
      </c>
      <c r="H1531" s="3" t="s">
        <v>21</v>
      </c>
      <c r="I1531" s="3" t="s">
        <v>33</v>
      </c>
      <c r="J1531" s="5">
        <v>3544198</v>
      </c>
      <c r="K1531" s="3">
        <v>4686902</v>
      </c>
      <c r="L1531" s="3" t="s">
        <v>2027</v>
      </c>
      <c r="M1531" s="3" t="s">
        <v>5939</v>
      </c>
      <c r="N1531" s="3">
        <v>1749</v>
      </c>
      <c r="O1531" s="3" t="s">
        <v>5940</v>
      </c>
      <c r="P1531" s="3" t="s">
        <v>1740</v>
      </c>
      <c r="Q1531" s="3" t="s">
        <v>27</v>
      </c>
      <c r="R1531" s="3" t="s">
        <v>28</v>
      </c>
      <c r="S1531" s="3">
        <v>5407002</v>
      </c>
      <c r="T1531" s="3">
        <v>1130342924</v>
      </c>
      <c r="U1531" s="3" t="s">
        <v>29</v>
      </c>
    </row>
    <row r="1532" spans="1:21" ht="13.2" x14ac:dyDescent="0.25">
      <c r="A1532" s="14">
        <v>5932926000139</v>
      </c>
      <c r="B1532" s="15" t="str">
        <f t="shared" si="23"/>
        <v>05.932.926/0001-39</v>
      </c>
      <c r="C1532" s="12"/>
      <c r="D1532" s="3" t="s">
        <v>5941</v>
      </c>
      <c r="E1532" s="3" t="s">
        <v>5942</v>
      </c>
      <c r="F1532" s="3" t="s">
        <v>20</v>
      </c>
      <c r="G1532" s="4">
        <v>26417</v>
      </c>
      <c r="H1532" s="3" t="s">
        <v>21</v>
      </c>
      <c r="I1532" s="3" t="s">
        <v>22</v>
      </c>
      <c r="J1532" s="5">
        <v>1174000</v>
      </c>
      <c r="K1532" s="3">
        <v>7711000</v>
      </c>
      <c r="L1532" s="3" t="s">
        <v>2763</v>
      </c>
      <c r="M1532" s="3" t="s">
        <v>5943</v>
      </c>
      <c r="N1532" s="3">
        <v>632</v>
      </c>
      <c r="P1532" s="3" t="s">
        <v>5944</v>
      </c>
      <c r="Q1532" s="3" t="s">
        <v>370</v>
      </c>
      <c r="R1532" s="3" t="s">
        <v>5945</v>
      </c>
      <c r="S1532" s="3">
        <v>69306705</v>
      </c>
      <c r="T1532" s="3">
        <v>9599711068</v>
      </c>
      <c r="U1532" s="3" t="s">
        <v>29</v>
      </c>
    </row>
    <row r="1533" spans="1:21" ht="13.2" x14ac:dyDescent="0.25">
      <c r="A1533" s="14">
        <v>14586384000180</v>
      </c>
      <c r="B1533" s="15" t="str">
        <f t="shared" si="23"/>
        <v>14.586.384/0001-80</v>
      </c>
      <c r="C1533" s="12"/>
      <c r="D1533" s="3" t="s">
        <v>5946</v>
      </c>
      <c r="E1533" s="3" t="s">
        <v>5946</v>
      </c>
      <c r="F1533" s="3" t="s">
        <v>20</v>
      </c>
      <c r="G1533" s="4">
        <v>40829</v>
      </c>
      <c r="H1533" s="3" t="s">
        <v>21</v>
      </c>
      <c r="I1533" s="3" t="s">
        <v>22</v>
      </c>
      <c r="J1533" s="5">
        <v>150000</v>
      </c>
      <c r="K1533" s="3">
        <v>4120400</v>
      </c>
      <c r="L1533" s="3" t="s">
        <v>87</v>
      </c>
      <c r="M1533" s="3" t="s">
        <v>5947</v>
      </c>
      <c r="N1533" s="3">
        <v>62</v>
      </c>
      <c r="O1533" s="3" t="s">
        <v>5948</v>
      </c>
      <c r="P1533" s="3" t="s">
        <v>70</v>
      </c>
      <c r="Q1533" s="3" t="s">
        <v>262</v>
      </c>
      <c r="R1533" s="3" t="s">
        <v>28</v>
      </c>
      <c r="S1533" s="3">
        <v>6018090</v>
      </c>
      <c r="T1533" s="3">
        <v>1136531883</v>
      </c>
      <c r="U1533" s="3" t="s">
        <v>29</v>
      </c>
    </row>
    <row r="1534" spans="1:21" ht="13.2" x14ac:dyDescent="0.25">
      <c r="A1534" s="14">
        <v>80227796000159</v>
      </c>
      <c r="B1534" s="15" t="str">
        <f t="shared" si="23"/>
        <v>80.227.796/0001-59</v>
      </c>
      <c r="C1534" s="12"/>
      <c r="D1534" s="3" t="s">
        <v>5949</v>
      </c>
      <c r="E1534" s="3" t="s">
        <v>5949</v>
      </c>
      <c r="F1534" s="3" t="s">
        <v>20</v>
      </c>
      <c r="G1534" s="4">
        <v>24380</v>
      </c>
      <c r="H1534" s="3" t="s">
        <v>94</v>
      </c>
      <c r="I1534" s="3" t="s">
        <v>33</v>
      </c>
      <c r="J1534" s="5">
        <v>77644984</v>
      </c>
      <c r="K1534" s="3">
        <v>4922101</v>
      </c>
      <c r="L1534" s="3" t="s">
        <v>5950</v>
      </c>
      <c r="M1534" s="3" t="s">
        <v>5951</v>
      </c>
      <c r="N1534" s="3">
        <v>861</v>
      </c>
      <c r="P1534" s="3" t="s">
        <v>5952</v>
      </c>
      <c r="Q1534" s="3" t="s">
        <v>4555</v>
      </c>
      <c r="R1534" s="3" t="s">
        <v>187</v>
      </c>
      <c r="S1534" s="3">
        <v>84015050</v>
      </c>
      <c r="T1534" s="3">
        <v>4232203500</v>
      </c>
      <c r="U1534" s="3" t="s">
        <v>29</v>
      </c>
    </row>
    <row r="1535" spans="1:21" ht="13.2" x14ac:dyDescent="0.25">
      <c r="A1535" s="14">
        <v>54835574000109</v>
      </c>
      <c r="B1535" s="15" t="str">
        <f t="shared" si="23"/>
        <v>54.835.574/0001-09</v>
      </c>
      <c r="C1535" s="12"/>
      <c r="D1535" s="3" t="s">
        <v>5953</v>
      </c>
      <c r="E1535" s="3" t="s">
        <v>5953</v>
      </c>
      <c r="F1535" s="3" t="s">
        <v>20</v>
      </c>
      <c r="G1535" s="4">
        <v>31287</v>
      </c>
      <c r="H1535" s="3" t="s">
        <v>21</v>
      </c>
      <c r="I1535" s="3" t="s">
        <v>22</v>
      </c>
      <c r="J1535" s="5">
        <v>200000</v>
      </c>
      <c r="K1535" s="3">
        <v>4789099</v>
      </c>
      <c r="L1535" s="3" t="s">
        <v>774</v>
      </c>
      <c r="M1535" s="3" t="s">
        <v>5954</v>
      </c>
      <c r="N1535" s="3">
        <v>610</v>
      </c>
      <c r="P1535" s="3" t="s">
        <v>5955</v>
      </c>
      <c r="Q1535" s="3" t="s">
        <v>37</v>
      </c>
      <c r="R1535" s="3" t="s">
        <v>28</v>
      </c>
      <c r="S1535" s="3">
        <v>13465400</v>
      </c>
      <c r="T1535" s="3">
        <v>1934612171</v>
      </c>
      <c r="U1535" s="3" t="s">
        <v>29</v>
      </c>
    </row>
    <row r="1536" spans="1:21" ht="13.2" x14ac:dyDescent="0.25">
      <c r="A1536" s="14">
        <v>1328114000128</v>
      </c>
      <c r="B1536" s="15" t="str">
        <f t="shared" si="23"/>
        <v>01.328.114/0001-28</v>
      </c>
      <c r="C1536" s="12"/>
      <c r="D1536" s="3" t="s">
        <v>5956</v>
      </c>
      <c r="E1536" s="3" t="s">
        <v>5956</v>
      </c>
      <c r="F1536" s="3" t="s">
        <v>20</v>
      </c>
      <c r="G1536" s="4">
        <v>35256</v>
      </c>
      <c r="H1536" s="3" t="s">
        <v>21</v>
      </c>
      <c r="I1536" s="3" t="s">
        <v>33</v>
      </c>
      <c r="J1536" s="5">
        <v>0</v>
      </c>
      <c r="K1536" s="3">
        <v>4664800</v>
      </c>
      <c r="L1536" s="3" t="s">
        <v>691</v>
      </c>
      <c r="M1536" s="3" t="s">
        <v>5957</v>
      </c>
      <c r="N1536" s="3">
        <v>78</v>
      </c>
      <c r="O1536" s="3" t="s">
        <v>5958</v>
      </c>
      <c r="P1536" s="3" t="s">
        <v>5959</v>
      </c>
      <c r="Q1536" s="3" t="s">
        <v>253</v>
      </c>
      <c r="R1536" s="3" t="s">
        <v>78</v>
      </c>
      <c r="S1536" s="3">
        <v>22220040</v>
      </c>
      <c r="T1536" s="3">
        <v>2125573427</v>
      </c>
      <c r="U1536" s="3" t="s">
        <v>29</v>
      </c>
    </row>
    <row r="1537" spans="1:21" ht="13.2" x14ac:dyDescent="0.25">
      <c r="A1537" s="14">
        <v>53078135000136</v>
      </c>
      <c r="B1537" s="15" t="str">
        <f t="shared" si="23"/>
        <v>53.078.135/0001-36</v>
      </c>
      <c r="C1537" s="12"/>
      <c r="D1537" s="3" t="s">
        <v>5960</v>
      </c>
      <c r="E1537" s="3" t="s">
        <v>5961</v>
      </c>
      <c r="F1537" s="3" t="s">
        <v>20</v>
      </c>
      <c r="G1537" s="4">
        <v>30648</v>
      </c>
      <c r="H1537" s="3" t="s">
        <v>21</v>
      </c>
      <c r="I1537" s="3" t="s">
        <v>33</v>
      </c>
      <c r="J1537" s="5">
        <v>6510000</v>
      </c>
      <c r="K1537" s="3">
        <v>4771702</v>
      </c>
      <c r="L1537" s="3" t="s">
        <v>3852</v>
      </c>
      <c r="M1537" s="3" t="s">
        <v>5962</v>
      </c>
      <c r="N1537" s="3">
        <v>4790</v>
      </c>
      <c r="P1537" s="3" t="s">
        <v>1585</v>
      </c>
      <c r="Q1537" s="3" t="s">
        <v>27</v>
      </c>
      <c r="R1537" s="3" t="s">
        <v>28</v>
      </c>
      <c r="S1537" s="3">
        <v>1402002</v>
      </c>
      <c r="U1537" s="3" t="s">
        <v>29</v>
      </c>
    </row>
    <row r="1538" spans="1:21" ht="13.2" x14ac:dyDescent="0.25">
      <c r="A1538" s="14">
        <v>8312229000173</v>
      </c>
      <c r="B1538" s="15" t="str">
        <f t="shared" si="23"/>
        <v>08.312.229/0001-73</v>
      </c>
      <c r="C1538" s="12"/>
      <c r="D1538" s="3" t="s">
        <v>5963</v>
      </c>
      <c r="E1538" s="3" t="s">
        <v>5963</v>
      </c>
      <c r="F1538" s="3" t="s">
        <v>20</v>
      </c>
      <c r="G1538" s="4">
        <v>38961</v>
      </c>
      <c r="H1538" s="3" t="s">
        <v>377</v>
      </c>
      <c r="I1538" s="3" t="s">
        <v>33</v>
      </c>
      <c r="J1538" s="5">
        <v>2888996900</v>
      </c>
      <c r="K1538" s="3">
        <v>4110700</v>
      </c>
      <c r="L1538" s="3" t="s">
        <v>4133</v>
      </c>
      <c r="M1538" s="3" t="s">
        <v>5964</v>
      </c>
      <c r="N1538" s="3">
        <v>1921</v>
      </c>
      <c r="P1538" s="3" t="s">
        <v>4943</v>
      </c>
      <c r="Q1538" s="3" t="s">
        <v>27</v>
      </c>
      <c r="R1538" s="3" t="s">
        <v>28</v>
      </c>
      <c r="S1538" s="3">
        <v>4501002</v>
      </c>
      <c r="T1538" s="3">
        <v>1150568300</v>
      </c>
      <c r="U1538" s="3" t="s">
        <v>29</v>
      </c>
    </row>
    <row r="1539" spans="1:21" ht="13.2" x14ac:dyDescent="0.25">
      <c r="A1539" s="14">
        <v>2161408000170</v>
      </c>
      <c r="B1539" s="15" t="str">
        <f t="shared" ref="B1539:B1602" si="24">TEXT(A1539,"00\.000\.000\/0000\-00")</f>
        <v>02.161.408/0001-70</v>
      </c>
      <c r="C1539" s="12"/>
      <c r="D1539" s="3" t="s">
        <v>5965</v>
      </c>
      <c r="E1539" s="3" t="s">
        <v>5966</v>
      </c>
      <c r="F1539" s="3" t="s">
        <v>20</v>
      </c>
      <c r="G1539" s="4">
        <v>35712</v>
      </c>
      <c r="H1539" s="3" t="s">
        <v>21</v>
      </c>
      <c r="I1539" s="3" t="s">
        <v>47</v>
      </c>
      <c r="J1539" s="5">
        <v>100000</v>
      </c>
      <c r="K1539" s="3">
        <v>4771704</v>
      </c>
      <c r="L1539" s="3" t="s">
        <v>3431</v>
      </c>
      <c r="M1539" s="3" t="s">
        <v>5967</v>
      </c>
      <c r="N1539" s="3">
        <v>1570</v>
      </c>
      <c r="O1539" s="3" t="s">
        <v>5968</v>
      </c>
      <c r="P1539" s="3" t="s">
        <v>5969</v>
      </c>
      <c r="Q1539" s="3" t="s">
        <v>883</v>
      </c>
      <c r="R1539" s="3" t="s">
        <v>951</v>
      </c>
      <c r="S1539" s="3">
        <v>64019100</v>
      </c>
      <c r="T1539" s="3">
        <v>8632333401</v>
      </c>
      <c r="U1539" s="3" t="s">
        <v>29</v>
      </c>
    </row>
    <row r="1540" spans="1:21" ht="13.2" x14ac:dyDescent="0.25">
      <c r="A1540" s="14">
        <v>4949905000163</v>
      </c>
      <c r="B1540" s="15" t="str">
        <f t="shared" si="24"/>
        <v>04.949.905/0001-63</v>
      </c>
      <c r="C1540" s="12" t="str">
        <f>VLOOKUP(B1540,[1]Planilha1!$A:$B,2,0)</f>
        <v>Mariane Nascimento</v>
      </c>
      <c r="D1540" s="3" t="s">
        <v>5970</v>
      </c>
      <c r="E1540" s="3" t="s">
        <v>5971</v>
      </c>
      <c r="F1540" s="3" t="s">
        <v>20</v>
      </c>
      <c r="G1540" s="4">
        <v>25308</v>
      </c>
      <c r="H1540" s="3" t="s">
        <v>21</v>
      </c>
      <c r="I1540" s="3" t="s">
        <v>33</v>
      </c>
      <c r="J1540" s="5">
        <v>25000000</v>
      </c>
      <c r="K1540" s="3">
        <v>4645101</v>
      </c>
      <c r="L1540" s="3" t="s">
        <v>135</v>
      </c>
      <c r="M1540" s="3" t="s">
        <v>5972</v>
      </c>
      <c r="N1540" s="3">
        <v>125</v>
      </c>
      <c r="O1540" s="3" t="s">
        <v>5973</v>
      </c>
      <c r="P1540" s="3" t="s">
        <v>5974</v>
      </c>
      <c r="Q1540" s="3" t="s">
        <v>5975</v>
      </c>
      <c r="R1540" s="3" t="s">
        <v>792</v>
      </c>
      <c r="S1540" s="3">
        <v>67033030</v>
      </c>
      <c r="T1540" s="3">
        <v>9132021344</v>
      </c>
      <c r="U1540" s="3" t="s">
        <v>29</v>
      </c>
    </row>
    <row r="1541" spans="1:21" ht="13.2" x14ac:dyDescent="0.25">
      <c r="A1541" s="14">
        <v>21147395000120</v>
      </c>
      <c r="B1541" s="15" t="str">
        <f t="shared" si="24"/>
        <v>21.147.395/0001-20</v>
      </c>
      <c r="C1541" s="12"/>
      <c r="D1541" s="3" t="s">
        <v>5976</v>
      </c>
      <c r="E1541" s="3" t="s">
        <v>5977</v>
      </c>
      <c r="F1541" s="3" t="s">
        <v>20</v>
      </c>
      <c r="G1541" s="4">
        <v>41913</v>
      </c>
      <c r="H1541" s="3" t="s">
        <v>21</v>
      </c>
      <c r="I1541" s="3" t="s">
        <v>22</v>
      </c>
      <c r="J1541" s="5">
        <v>1000000</v>
      </c>
      <c r="K1541" s="3">
        <v>4744099</v>
      </c>
      <c r="L1541" s="3" t="s">
        <v>115</v>
      </c>
      <c r="M1541" s="3" t="s">
        <v>5978</v>
      </c>
      <c r="N1541" s="3">
        <v>459</v>
      </c>
      <c r="P1541" s="3" t="s">
        <v>3935</v>
      </c>
      <c r="Q1541" s="3" t="s">
        <v>27</v>
      </c>
      <c r="R1541" s="3" t="s">
        <v>28</v>
      </c>
      <c r="S1541" s="3">
        <v>5154000</v>
      </c>
      <c r="T1541" s="3">
        <v>1125890189</v>
      </c>
      <c r="U1541" s="3" t="s">
        <v>29</v>
      </c>
    </row>
    <row r="1542" spans="1:21" ht="13.2" x14ac:dyDescent="0.25">
      <c r="A1542" s="14">
        <v>2060549000105</v>
      </c>
      <c r="B1542" s="15" t="str">
        <f t="shared" si="24"/>
        <v>02.060.549/0001-05</v>
      </c>
      <c r="C1542" s="12"/>
      <c r="D1542" s="3" t="s">
        <v>5979</v>
      </c>
      <c r="E1542" s="3" t="s">
        <v>5980</v>
      </c>
      <c r="F1542" s="3" t="s">
        <v>20</v>
      </c>
      <c r="G1542" s="4">
        <v>31545</v>
      </c>
      <c r="H1542" s="3" t="s">
        <v>21</v>
      </c>
      <c r="I1542" s="3" t="s">
        <v>33</v>
      </c>
      <c r="J1542" s="5">
        <v>24000000</v>
      </c>
      <c r="K1542" s="3">
        <v>2121101</v>
      </c>
      <c r="L1542" s="3" t="s">
        <v>233</v>
      </c>
      <c r="M1542" s="3" t="s">
        <v>5981</v>
      </c>
      <c r="N1542" s="3" t="s">
        <v>82</v>
      </c>
      <c r="O1542" s="3" t="s">
        <v>5982</v>
      </c>
      <c r="P1542" s="3" t="s">
        <v>2383</v>
      </c>
      <c r="Q1542" s="3" t="s">
        <v>2384</v>
      </c>
      <c r="R1542" s="3" t="s">
        <v>274</v>
      </c>
      <c r="S1542" s="3">
        <v>75132095</v>
      </c>
      <c r="T1542" s="3">
        <v>6232693500</v>
      </c>
      <c r="U1542" s="3" t="s">
        <v>29</v>
      </c>
    </row>
    <row r="1543" spans="1:21" ht="13.2" x14ac:dyDescent="0.25">
      <c r="A1543" s="14">
        <v>3563322000137</v>
      </c>
      <c r="B1543" s="15" t="str">
        <f t="shared" si="24"/>
        <v>03.563.322/0001-37</v>
      </c>
      <c r="C1543" s="12"/>
      <c r="D1543" s="3" t="s">
        <v>5983</v>
      </c>
      <c r="E1543" s="3" t="s">
        <v>5984</v>
      </c>
      <c r="F1543" s="3" t="s">
        <v>20</v>
      </c>
      <c r="G1543" s="4">
        <v>36511</v>
      </c>
      <c r="H1543" s="3" t="s">
        <v>21</v>
      </c>
      <c r="I1543" s="3" t="s">
        <v>33</v>
      </c>
      <c r="J1543" s="5">
        <v>200000</v>
      </c>
      <c r="K1543" s="3">
        <v>7830200</v>
      </c>
      <c r="L1543" s="3" t="s">
        <v>473</v>
      </c>
      <c r="M1543" s="3" t="s">
        <v>5985</v>
      </c>
      <c r="N1543" s="3">
        <v>48</v>
      </c>
      <c r="P1543" s="3" t="s">
        <v>5986</v>
      </c>
      <c r="Q1543" s="3" t="s">
        <v>667</v>
      </c>
      <c r="R1543" s="3" t="s">
        <v>301</v>
      </c>
      <c r="S1543" s="3">
        <v>60040290</v>
      </c>
      <c r="T1543" s="3">
        <v>8530810564</v>
      </c>
      <c r="U1543" s="3" t="s">
        <v>29</v>
      </c>
    </row>
    <row r="1544" spans="1:21" ht="13.2" x14ac:dyDescent="0.25">
      <c r="A1544" s="14">
        <v>5206070000114</v>
      </c>
      <c r="B1544" s="15" t="str">
        <f t="shared" si="24"/>
        <v>05.206.070/0001-14</v>
      </c>
      <c r="C1544" s="12"/>
      <c r="D1544" s="3" t="s">
        <v>5987</v>
      </c>
      <c r="E1544" s="3" t="s">
        <v>5988</v>
      </c>
      <c r="F1544" s="3" t="s">
        <v>20</v>
      </c>
      <c r="G1544" s="4">
        <v>37403</v>
      </c>
      <c r="H1544" s="3" t="s">
        <v>21</v>
      </c>
      <c r="I1544" s="3" t="s">
        <v>33</v>
      </c>
      <c r="J1544" s="5">
        <v>300000</v>
      </c>
      <c r="K1544" s="3">
        <v>2229399</v>
      </c>
      <c r="L1544" s="3" t="s">
        <v>414</v>
      </c>
      <c r="M1544" s="3" t="s">
        <v>5989</v>
      </c>
      <c r="N1544" s="3">
        <v>2794</v>
      </c>
      <c r="P1544" s="3" t="s">
        <v>5990</v>
      </c>
      <c r="Q1544" s="3" t="s">
        <v>1878</v>
      </c>
      <c r="R1544" s="3" t="s">
        <v>28</v>
      </c>
      <c r="S1544" s="3">
        <v>6803215</v>
      </c>
      <c r="T1544" s="3">
        <v>1147858400</v>
      </c>
      <c r="U1544" s="3" t="s">
        <v>29</v>
      </c>
    </row>
    <row r="1545" spans="1:21" ht="13.2" x14ac:dyDescent="0.25">
      <c r="A1545" s="14">
        <v>4760487000161</v>
      </c>
      <c r="B1545" s="15" t="str">
        <f t="shared" si="24"/>
        <v>04.760.487/0001-61</v>
      </c>
      <c r="C1545" s="12" t="str">
        <f>VLOOKUP(B1545,[1]Planilha1!$A:$B,2,0)</f>
        <v>Malu Montesino</v>
      </c>
      <c r="D1545" s="3" t="s">
        <v>5991</v>
      </c>
      <c r="E1545" s="3" t="s">
        <v>5992</v>
      </c>
      <c r="F1545" s="3" t="s">
        <v>45</v>
      </c>
      <c r="G1545" s="4">
        <v>37193</v>
      </c>
      <c r="H1545" s="3" t="s">
        <v>21</v>
      </c>
      <c r="I1545" s="3" t="s">
        <v>33</v>
      </c>
      <c r="J1545" s="5">
        <v>0</v>
      </c>
      <c r="K1545" s="3">
        <v>3101200</v>
      </c>
      <c r="L1545" s="3" t="s">
        <v>359</v>
      </c>
      <c r="M1545" s="3" t="s">
        <v>5993</v>
      </c>
      <c r="N1545" s="3">
        <v>39</v>
      </c>
      <c r="O1545" s="3" t="s">
        <v>5994</v>
      </c>
      <c r="P1545" s="3" t="s">
        <v>5995</v>
      </c>
      <c r="Q1545" s="3" t="s">
        <v>999</v>
      </c>
      <c r="R1545" s="3" t="s">
        <v>78</v>
      </c>
      <c r="S1545" s="3">
        <v>25716100</v>
      </c>
      <c r="T1545" s="3">
        <v>2422461876</v>
      </c>
      <c r="U1545" s="3" t="s">
        <v>29</v>
      </c>
    </row>
    <row r="1546" spans="1:21" ht="13.2" x14ac:dyDescent="0.25">
      <c r="A1546" s="14">
        <v>3509978000171</v>
      </c>
      <c r="B1546" s="15" t="str">
        <f t="shared" si="24"/>
        <v>03.509.978/0001-71</v>
      </c>
      <c r="C1546" s="12" t="str">
        <f>VLOOKUP(B1546,[1]Planilha1!$A:$B,2,0)</f>
        <v>Malu Montesino</v>
      </c>
      <c r="D1546" s="3" t="s">
        <v>5996</v>
      </c>
      <c r="E1546" s="3" t="s">
        <v>5997</v>
      </c>
      <c r="F1546" s="3" t="s">
        <v>20</v>
      </c>
      <c r="G1546" s="4">
        <v>36452</v>
      </c>
      <c r="H1546" s="3" t="s">
        <v>94</v>
      </c>
      <c r="I1546" s="3" t="s">
        <v>33</v>
      </c>
      <c r="J1546" s="5">
        <v>1084729000</v>
      </c>
      <c r="K1546" s="3">
        <v>2930101</v>
      </c>
      <c r="L1546" s="3" t="s">
        <v>856</v>
      </c>
      <c r="M1546" s="3" t="s">
        <v>4561</v>
      </c>
      <c r="N1546" s="3">
        <v>618</v>
      </c>
      <c r="P1546" s="3" t="s">
        <v>2113</v>
      </c>
      <c r="Q1546" s="3" t="s">
        <v>357</v>
      </c>
      <c r="R1546" s="3" t="s">
        <v>28</v>
      </c>
      <c r="S1546" s="3">
        <v>7251500</v>
      </c>
      <c r="T1546" s="3">
        <v>1734059000</v>
      </c>
      <c r="U1546" s="3" t="s">
        <v>29</v>
      </c>
    </row>
    <row r="1547" spans="1:21" ht="13.2" x14ac:dyDescent="0.25">
      <c r="A1547" s="14">
        <v>23302437000185</v>
      </c>
      <c r="B1547" s="15" t="str">
        <f t="shared" si="24"/>
        <v>23.302.437/0001-85</v>
      </c>
      <c r="C1547" s="12"/>
      <c r="D1547" s="3" t="s">
        <v>5998</v>
      </c>
      <c r="E1547" s="3" t="s">
        <v>5998</v>
      </c>
      <c r="F1547" s="3" t="s">
        <v>20</v>
      </c>
      <c r="G1547" s="4">
        <v>42263</v>
      </c>
      <c r="H1547" s="3" t="s">
        <v>21</v>
      </c>
      <c r="I1547" s="3" t="s">
        <v>22</v>
      </c>
      <c r="J1547" s="5">
        <v>300000</v>
      </c>
      <c r="K1547" s="3">
        <v>8111700</v>
      </c>
      <c r="L1547" s="3" t="s">
        <v>290</v>
      </c>
      <c r="M1547" s="3" t="s">
        <v>2054</v>
      </c>
      <c r="N1547" s="3">
        <v>2141</v>
      </c>
      <c r="P1547" s="3" t="s">
        <v>2056</v>
      </c>
      <c r="Q1547" s="3" t="s">
        <v>217</v>
      </c>
      <c r="R1547" s="3" t="s">
        <v>28</v>
      </c>
      <c r="S1547" s="3">
        <v>9609000</v>
      </c>
      <c r="T1547" s="3">
        <v>1142212959</v>
      </c>
      <c r="U1547" s="3" t="s">
        <v>29</v>
      </c>
    </row>
    <row r="1548" spans="1:21" ht="13.2" x14ac:dyDescent="0.25">
      <c r="A1548" s="14">
        <v>63063689000113</v>
      </c>
      <c r="B1548" s="15" t="str">
        <f t="shared" si="24"/>
        <v>63.063.689/0001-13</v>
      </c>
      <c r="C1548" s="12"/>
      <c r="D1548" s="3" t="s">
        <v>5999</v>
      </c>
      <c r="E1548" s="3" t="s">
        <v>6000</v>
      </c>
      <c r="F1548" s="3" t="s">
        <v>20</v>
      </c>
      <c r="G1548" s="4">
        <v>25990</v>
      </c>
      <c r="H1548" s="3" t="s">
        <v>21</v>
      </c>
      <c r="I1548" s="3" t="s">
        <v>33</v>
      </c>
      <c r="J1548" s="5">
        <v>1587372300</v>
      </c>
      <c r="K1548" s="3">
        <v>8531700</v>
      </c>
      <c r="L1548" s="3" t="s">
        <v>6001</v>
      </c>
      <c r="M1548" s="3" t="s">
        <v>6002</v>
      </c>
      <c r="N1548" s="3">
        <v>889</v>
      </c>
      <c r="P1548" s="3" t="s">
        <v>1049</v>
      </c>
      <c r="Q1548" s="3" t="s">
        <v>27</v>
      </c>
      <c r="R1548" s="3" t="s">
        <v>28</v>
      </c>
      <c r="S1548" s="3">
        <v>4511011</v>
      </c>
      <c r="T1548" s="3">
        <v>1131323000</v>
      </c>
      <c r="U1548" s="3" t="s">
        <v>29</v>
      </c>
    </row>
    <row r="1549" spans="1:21" ht="13.2" x14ac:dyDescent="0.25">
      <c r="A1549" s="14">
        <v>7281413000130</v>
      </c>
      <c r="B1549" s="15" t="str">
        <f t="shared" si="24"/>
        <v>07.281.413/0001-30</v>
      </c>
      <c r="C1549" s="12"/>
      <c r="D1549" s="3" t="s">
        <v>6003</v>
      </c>
      <c r="E1549" s="3" t="s">
        <v>6004</v>
      </c>
      <c r="F1549" s="3" t="s">
        <v>20</v>
      </c>
      <c r="G1549" s="4">
        <v>24912</v>
      </c>
      <c r="H1549" s="3" t="s">
        <v>94</v>
      </c>
      <c r="I1549" s="3" t="s">
        <v>33</v>
      </c>
      <c r="J1549" s="5">
        <v>37228188</v>
      </c>
      <c r="K1549" s="3">
        <v>2651500</v>
      </c>
      <c r="L1549" s="3" t="s">
        <v>600</v>
      </c>
      <c r="M1549" s="3" t="s">
        <v>6005</v>
      </c>
      <c r="N1549" s="3">
        <v>2363</v>
      </c>
      <c r="P1549" s="3" t="s">
        <v>6006</v>
      </c>
      <c r="Q1549" s="3" t="s">
        <v>667</v>
      </c>
      <c r="R1549" s="3" t="s">
        <v>301</v>
      </c>
      <c r="S1549" s="3">
        <v>60840280</v>
      </c>
      <c r="T1549" s="3">
        <v>8540051700</v>
      </c>
      <c r="U1549" s="3" t="s">
        <v>29</v>
      </c>
    </row>
    <row r="1550" spans="1:21" ht="13.2" x14ac:dyDescent="0.25">
      <c r="A1550" s="14">
        <v>19111047000150</v>
      </c>
      <c r="B1550" s="15" t="str">
        <f t="shared" si="24"/>
        <v>19.111.047/0001-50</v>
      </c>
      <c r="C1550" s="12"/>
      <c r="D1550" s="3" t="s">
        <v>6007</v>
      </c>
      <c r="E1550" s="3" t="s">
        <v>6008</v>
      </c>
      <c r="F1550" s="3" t="s">
        <v>45</v>
      </c>
      <c r="G1550" s="4">
        <v>41569</v>
      </c>
      <c r="H1550" s="3" t="s">
        <v>1329</v>
      </c>
      <c r="I1550" s="3" t="s">
        <v>47</v>
      </c>
      <c r="J1550" s="5">
        <v>100000</v>
      </c>
      <c r="K1550" s="3">
        <v>7112000</v>
      </c>
      <c r="L1550" s="3" t="s">
        <v>276</v>
      </c>
      <c r="M1550" s="3" t="s">
        <v>6009</v>
      </c>
      <c r="N1550" s="3">
        <v>90</v>
      </c>
      <c r="P1550" s="3" t="s">
        <v>3502</v>
      </c>
      <c r="Q1550" s="3" t="s">
        <v>1657</v>
      </c>
      <c r="R1550" s="3" t="s">
        <v>28</v>
      </c>
      <c r="S1550" s="3">
        <v>6341660</v>
      </c>
      <c r="T1550" s="3">
        <v>1142541193</v>
      </c>
      <c r="U1550" s="3" t="s">
        <v>29</v>
      </c>
    </row>
    <row r="1551" spans="1:21" ht="13.2" x14ac:dyDescent="0.25">
      <c r="A1551" s="14">
        <v>7953689000118</v>
      </c>
      <c r="B1551" s="15" t="str">
        <f t="shared" si="24"/>
        <v>07.953.689/0001-18</v>
      </c>
      <c r="C1551" s="12"/>
      <c r="D1551" s="3" t="s">
        <v>6010</v>
      </c>
      <c r="E1551" s="3" t="s">
        <v>6011</v>
      </c>
      <c r="F1551" s="3" t="s">
        <v>20</v>
      </c>
      <c r="G1551" s="4">
        <v>38826</v>
      </c>
      <c r="H1551" s="3" t="s">
        <v>21</v>
      </c>
      <c r="I1551" s="3" t="s">
        <v>33</v>
      </c>
      <c r="J1551" s="5">
        <v>12850000</v>
      </c>
      <c r="K1551" s="3">
        <v>4651601</v>
      </c>
      <c r="L1551" s="3" t="s">
        <v>684</v>
      </c>
      <c r="M1551" s="3" t="s">
        <v>1289</v>
      </c>
      <c r="N1551" s="3">
        <v>1354</v>
      </c>
      <c r="O1551" s="3" t="s">
        <v>6012</v>
      </c>
      <c r="P1551" s="3" t="s">
        <v>6013</v>
      </c>
      <c r="Q1551" s="3" t="s">
        <v>1317</v>
      </c>
      <c r="R1551" s="3" t="s">
        <v>187</v>
      </c>
      <c r="S1551" s="3">
        <v>83324442</v>
      </c>
      <c r="T1551" s="3">
        <v>4130124500</v>
      </c>
      <c r="U1551" s="3" t="s">
        <v>29</v>
      </c>
    </row>
    <row r="1552" spans="1:21" ht="13.2" x14ac:dyDescent="0.25">
      <c r="A1552" s="14">
        <v>10793428000192</v>
      </c>
      <c r="B1552" s="15" t="str">
        <f t="shared" si="24"/>
        <v>10.793.428/0001-92</v>
      </c>
      <c r="C1552" s="12"/>
      <c r="D1552" s="3" t="s">
        <v>6014</v>
      </c>
      <c r="E1552" s="3" t="s">
        <v>6014</v>
      </c>
      <c r="F1552" s="3" t="s">
        <v>20</v>
      </c>
      <c r="G1552" s="4">
        <v>39932</v>
      </c>
      <c r="H1552" s="3" t="s">
        <v>94</v>
      </c>
      <c r="I1552" s="3" t="s">
        <v>33</v>
      </c>
      <c r="J1552" s="5">
        <v>973181760</v>
      </c>
      <c r="K1552" s="3">
        <v>6512000</v>
      </c>
      <c r="L1552" s="3" t="s">
        <v>6015</v>
      </c>
      <c r="M1552" s="3" t="s">
        <v>294</v>
      </c>
      <c r="N1552" s="3">
        <v>1940</v>
      </c>
      <c r="O1552" s="3" t="s">
        <v>2221</v>
      </c>
      <c r="P1552" s="3" t="s">
        <v>296</v>
      </c>
      <c r="Q1552" s="3" t="s">
        <v>27</v>
      </c>
      <c r="R1552" s="3" t="s">
        <v>28</v>
      </c>
      <c r="S1552" s="3">
        <v>1418102</v>
      </c>
      <c r="T1552" s="3">
        <v>1130413023</v>
      </c>
      <c r="U1552" s="3" t="s">
        <v>29</v>
      </c>
    </row>
    <row r="1553" spans="1:21" ht="13.2" x14ac:dyDescent="0.25">
      <c r="A1553" s="14">
        <v>9219009000162</v>
      </c>
      <c r="B1553" s="15" t="str">
        <f t="shared" si="24"/>
        <v>09.219.009/0001-62</v>
      </c>
      <c r="C1553" s="12"/>
      <c r="D1553" s="3" t="s">
        <v>6016</v>
      </c>
      <c r="E1553" s="3" t="s">
        <v>6016</v>
      </c>
      <c r="F1553" s="3" t="s">
        <v>20</v>
      </c>
      <c r="G1553" s="4">
        <v>39395</v>
      </c>
      <c r="H1553" s="3" t="s">
        <v>21</v>
      </c>
      <c r="I1553" s="3" t="s">
        <v>22</v>
      </c>
      <c r="J1553" s="5">
        <v>100000</v>
      </c>
      <c r="K1553" s="3">
        <v>4751201</v>
      </c>
      <c r="L1553" s="3" t="s">
        <v>23</v>
      </c>
      <c r="M1553" s="3" t="s">
        <v>2298</v>
      </c>
      <c r="N1553" s="3">
        <v>746</v>
      </c>
      <c r="O1553" s="3" t="s">
        <v>6017</v>
      </c>
      <c r="P1553" s="3" t="s">
        <v>5294</v>
      </c>
      <c r="Q1553" s="3" t="s">
        <v>6018</v>
      </c>
      <c r="R1553" s="3" t="s">
        <v>53</v>
      </c>
      <c r="S1553" s="3">
        <v>98025110</v>
      </c>
      <c r="T1553" s="3">
        <v>5591817904</v>
      </c>
      <c r="U1553" s="3" t="s">
        <v>29</v>
      </c>
    </row>
    <row r="1554" spans="1:21" ht="13.2" x14ac:dyDescent="0.25">
      <c r="A1554" s="14">
        <v>5554220000180</v>
      </c>
      <c r="B1554" s="15" t="str">
        <f t="shared" si="24"/>
        <v>05.554.220/0001-80</v>
      </c>
      <c r="C1554" s="12"/>
      <c r="D1554" s="3" t="s">
        <v>6019</v>
      </c>
      <c r="E1554" s="3" t="s">
        <v>6020</v>
      </c>
      <c r="F1554" s="3" t="s">
        <v>20</v>
      </c>
      <c r="G1554" s="4">
        <v>37701</v>
      </c>
      <c r="H1554" s="3" t="s">
        <v>21</v>
      </c>
      <c r="I1554" s="3" t="s">
        <v>22</v>
      </c>
      <c r="J1554" s="5">
        <v>900000</v>
      </c>
      <c r="K1554" s="3">
        <v>8011101</v>
      </c>
      <c r="L1554" s="3" t="s">
        <v>943</v>
      </c>
      <c r="M1554" s="3" t="s">
        <v>6021</v>
      </c>
      <c r="N1554" s="3">
        <v>67</v>
      </c>
      <c r="P1554" s="3" t="s">
        <v>6022</v>
      </c>
      <c r="Q1554" s="3" t="s">
        <v>6023</v>
      </c>
      <c r="R1554" s="3" t="s">
        <v>4623</v>
      </c>
      <c r="S1554" s="3">
        <v>58038461</v>
      </c>
      <c r="T1554" s="3">
        <v>8332431946</v>
      </c>
      <c r="U1554" s="3" t="s">
        <v>29</v>
      </c>
    </row>
    <row r="1555" spans="1:21" ht="13.2" x14ac:dyDescent="0.25">
      <c r="A1555" s="14">
        <v>84432087000166</v>
      </c>
      <c r="B1555" s="15" t="str">
        <f t="shared" si="24"/>
        <v>84.432.087/0001-66</v>
      </c>
      <c r="C1555" s="12" t="str">
        <f>VLOOKUP(B1555,[1]Planilha1!$A:$B,2,0)</f>
        <v>Malu Montesino</v>
      </c>
      <c r="D1555" s="3" t="s">
        <v>6024</v>
      </c>
      <c r="E1555" s="3" t="s">
        <v>6024</v>
      </c>
      <c r="F1555" s="3" t="s">
        <v>20</v>
      </c>
      <c r="G1555" s="4">
        <v>24350</v>
      </c>
      <c r="H1555" s="3" t="s">
        <v>21</v>
      </c>
      <c r="I1555" s="3" t="s">
        <v>33</v>
      </c>
      <c r="J1555" s="5">
        <v>20000000</v>
      </c>
      <c r="K1555" s="3">
        <v>2812700</v>
      </c>
      <c r="L1555" s="3" t="s">
        <v>1534</v>
      </c>
      <c r="M1555" s="3" t="s">
        <v>6025</v>
      </c>
      <c r="N1555" s="3">
        <v>608</v>
      </c>
      <c r="P1555" s="3" t="s">
        <v>70</v>
      </c>
      <c r="Q1555" s="3" t="s">
        <v>3823</v>
      </c>
      <c r="R1555" s="3" t="s">
        <v>91</v>
      </c>
      <c r="S1555" s="3">
        <v>89275000</v>
      </c>
      <c r="T1555" s="3">
        <v>4733746000</v>
      </c>
      <c r="U1555" s="3" t="s">
        <v>29</v>
      </c>
    </row>
    <row r="1556" spans="1:21" ht="13.2" x14ac:dyDescent="0.25">
      <c r="A1556" s="14">
        <v>583890000101</v>
      </c>
      <c r="B1556" s="15" t="str">
        <f t="shared" si="24"/>
        <v>00.583.890/0001-01</v>
      </c>
      <c r="C1556" s="12"/>
      <c r="D1556" s="3" t="s">
        <v>6026</v>
      </c>
      <c r="E1556" s="3" t="s">
        <v>6027</v>
      </c>
      <c r="F1556" s="3" t="s">
        <v>20</v>
      </c>
      <c r="G1556" s="4">
        <v>34824</v>
      </c>
      <c r="H1556" s="3" t="s">
        <v>21</v>
      </c>
      <c r="I1556" s="3" t="s">
        <v>33</v>
      </c>
      <c r="J1556" s="5">
        <v>10353503</v>
      </c>
      <c r="K1556" s="3">
        <v>4644301</v>
      </c>
      <c r="L1556" s="3" t="s">
        <v>326</v>
      </c>
      <c r="M1556" s="3" t="s">
        <v>6028</v>
      </c>
      <c r="N1556" s="3">
        <v>599</v>
      </c>
      <c r="P1556" s="3" t="s">
        <v>6029</v>
      </c>
      <c r="Q1556" s="3" t="s">
        <v>476</v>
      </c>
      <c r="R1556" s="3" t="s">
        <v>100</v>
      </c>
      <c r="S1556" s="3">
        <v>31160560</v>
      </c>
      <c r="T1556" s="3">
        <v>1639959401</v>
      </c>
      <c r="U1556" s="3" t="s">
        <v>29</v>
      </c>
    </row>
    <row r="1557" spans="1:21" ht="13.2" x14ac:dyDescent="0.25">
      <c r="A1557" s="14">
        <v>17524330000189</v>
      </c>
      <c r="B1557" s="15" t="str">
        <f t="shared" si="24"/>
        <v>17.524.330/0001-89</v>
      </c>
      <c r="C1557" s="12"/>
      <c r="D1557" s="3" t="s">
        <v>6030</v>
      </c>
      <c r="E1557" s="3" t="s">
        <v>6031</v>
      </c>
      <c r="F1557" s="3" t="s">
        <v>20</v>
      </c>
      <c r="G1557" s="4">
        <v>41285</v>
      </c>
      <c r="H1557" s="3" t="s">
        <v>21</v>
      </c>
      <c r="I1557" s="3" t="s">
        <v>33</v>
      </c>
      <c r="J1557" s="5">
        <v>33920190</v>
      </c>
      <c r="K1557" s="3">
        <v>2229302</v>
      </c>
      <c r="L1557" s="3" t="s">
        <v>576</v>
      </c>
      <c r="M1557" s="3" t="s">
        <v>6032</v>
      </c>
      <c r="N1557" s="3">
        <v>100</v>
      </c>
      <c r="P1557" s="3" t="s">
        <v>230</v>
      </c>
      <c r="Q1557" s="3" t="s">
        <v>231</v>
      </c>
      <c r="R1557" s="3" t="s">
        <v>28</v>
      </c>
      <c r="S1557" s="3">
        <v>18087149</v>
      </c>
      <c r="T1557" s="3">
        <v>1140251670</v>
      </c>
      <c r="U1557" s="3" t="s">
        <v>29</v>
      </c>
    </row>
    <row r="1558" spans="1:21" ht="13.2" x14ac:dyDescent="0.25">
      <c r="A1558" s="14">
        <v>61100244000130</v>
      </c>
      <c r="B1558" s="15" t="str">
        <f t="shared" si="24"/>
        <v>61.100.244/0001-30</v>
      </c>
      <c r="C1558" s="12" t="str">
        <f>VLOOKUP(B1558,[1]Planilha1!$A:$B,2,0)</f>
        <v>Malu Montesino</v>
      </c>
      <c r="D1558" s="3" t="s">
        <v>6033</v>
      </c>
      <c r="E1558" s="3" t="s">
        <v>6033</v>
      </c>
      <c r="F1558" s="3" t="s">
        <v>20</v>
      </c>
      <c r="G1558" s="4">
        <v>24306</v>
      </c>
      <c r="H1558" s="3" t="s">
        <v>21</v>
      </c>
      <c r="I1558" s="3" t="s">
        <v>33</v>
      </c>
      <c r="J1558" s="5">
        <v>42503970</v>
      </c>
      <c r="K1558" s="3">
        <v>3250705</v>
      </c>
      <c r="L1558" s="3" t="s">
        <v>2420</v>
      </c>
      <c r="M1558" s="3" t="s">
        <v>6034</v>
      </c>
      <c r="N1558" s="3">
        <v>186</v>
      </c>
      <c r="P1558" s="3" t="s">
        <v>406</v>
      </c>
      <c r="Q1558" s="3" t="s">
        <v>357</v>
      </c>
      <c r="R1558" s="3" t="s">
        <v>28</v>
      </c>
      <c r="S1558" s="3">
        <v>7222050</v>
      </c>
      <c r="T1558" s="3">
        <v>1124652199</v>
      </c>
      <c r="U1558" s="3" t="s">
        <v>29</v>
      </c>
    </row>
    <row r="1559" spans="1:21" ht="13.2" x14ac:dyDescent="0.25">
      <c r="A1559" s="14">
        <v>6091146000176</v>
      </c>
      <c r="B1559" s="15" t="str">
        <f t="shared" si="24"/>
        <v>06.091.146/0001-76</v>
      </c>
      <c r="C1559" s="12"/>
      <c r="D1559" s="3" t="s">
        <v>6035</v>
      </c>
      <c r="E1559" s="3" t="s">
        <v>6035</v>
      </c>
      <c r="F1559" s="3" t="s">
        <v>20</v>
      </c>
      <c r="G1559" s="4">
        <v>37978</v>
      </c>
      <c r="H1559" s="3" t="s">
        <v>6036</v>
      </c>
      <c r="I1559" s="3" t="s">
        <v>33</v>
      </c>
      <c r="J1559" s="5">
        <v>0</v>
      </c>
      <c r="K1559" s="3">
        <v>9430800</v>
      </c>
      <c r="L1559" s="3" t="s">
        <v>626</v>
      </c>
      <c r="M1559" s="3" t="s">
        <v>6037</v>
      </c>
      <c r="N1559" s="3">
        <v>30</v>
      </c>
      <c r="O1559" s="3" t="s">
        <v>6038</v>
      </c>
      <c r="P1559" s="3" t="s">
        <v>6039</v>
      </c>
      <c r="Q1559" s="3" t="s">
        <v>294</v>
      </c>
      <c r="R1559" s="3" t="s">
        <v>28</v>
      </c>
      <c r="S1559" s="3">
        <v>11075000</v>
      </c>
      <c r="T1559" s="3">
        <v>1332161748</v>
      </c>
      <c r="U1559" s="3" t="s">
        <v>29</v>
      </c>
    </row>
    <row r="1560" spans="1:21" ht="13.2" x14ac:dyDescent="0.25">
      <c r="A1560" s="14">
        <v>85111441000113</v>
      </c>
      <c r="B1560" s="15" t="str">
        <f t="shared" si="24"/>
        <v>85.111.441/0001-13</v>
      </c>
      <c r="C1560" s="12"/>
      <c r="D1560" s="3" t="s">
        <v>6040</v>
      </c>
      <c r="E1560" s="3" t="s">
        <v>6040</v>
      </c>
      <c r="F1560" s="3" t="s">
        <v>20</v>
      </c>
      <c r="G1560" s="4">
        <v>33438</v>
      </c>
      <c r="H1560" s="3" t="s">
        <v>94</v>
      </c>
      <c r="I1560" s="3" t="s">
        <v>33</v>
      </c>
      <c r="J1560" s="5">
        <v>41496000</v>
      </c>
      <c r="K1560" s="3">
        <v>2099199</v>
      </c>
      <c r="L1560" s="3" t="s">
        <v>80</v>
      </c>
      <c r="M1560" s="3" t="s">
        <v>6041</v>
      </c>
      <c r="N1560" s="3">
        <v>4055</v>
      </c>
      <c r="P1560" s="3" t="s">
        <v>6042</v>
      </c>
      <c r="Q1560" s="3" t="s">
        <v>4379</v>
      </c>
      <c r="R1560" s="3" t="s">
        <v>91</v>
      </c>
      <c r="S1560" s="3">
        <v>88827680</v>
      </c>
      <c r="T1560" s="3">
        <v>4821014300</v>
      </c>
      <c r="U1560" s="3" t="s">
        <v>29</v>
      </c>
    </row>
    <row r="1561" spans="1:21" ht="13.2" x14ac:dyDescent="0.25">
      <c r="A1561" s="14">
        <v>9058502000148</v>
      </c>
      <c r="B1561" s="15" t="str">
        <f t="shared" si="24"/>
        <v>09.058.502/0001-48</v>
      </c>
      <c r="C1561" s="12"/>
      <c r="D1561" s="3" t="s">
        <v>6043</v>
      </c>
      <c r="E1561" s="3" t="s">
        <v>6043</v>
      </c>
      <c r="F1561" s="3" t="s">
        <v>20</v>
      </c>
      <c r="G1561" s="4">
        <v>39315</v>
      </c>
      <c r="H1561" s="3" t="s">
        <v>21</v>
      </c>
      <c r="I1561" s="3" t="s">
        <v>33</v>
      </c>
      <c r="J1561" s="5">
        <v>400000</v>
      </c>
      <c r="K1561" s="3">
        <v>4644301</v>
      </c>
      <c r="L1561" s="3" t="s">
        <v>326</v>
      </c>
      <c r="M1561" s="3" t="s">
        <v>6044</v>
      </c>
      <c r="N1561" s="3">
        <v>33</v>
      </c>
      <c r="O1561" s="3" t="s">
        <v>6045</v>
      </c>
      <c r="P1561" s="3" t="s">
        <v>2444</v>
      </c>
      <c r="Q1561" s="3" t="s">
        <v>688</v>
      </c>
      <c r="R1561" s="3" t="s">
        <v>28</v>
      </c>
      <c r="S1561" s="3">
        <v>6716835</v>
      </c>
      <c r="T1561" s="3">
        <v>1141489319</v>
      </c>
      <c r="U1561" s="3" t="s">
        <v>29</v>
      </c>
    </row>
    <row r="1562" spans="1:21" ht="13.2" x14ac:dyDescent="0.25">
      <c r="A1562" s="14">
        <v>92037480000183</v>
      </c>
      <c r="B1562" s="15" t="str">
        <f t="shared" si="24"/>
        <v>92.037.480/0001-83</v>
      </c>
      <c r="C1562" s="12"/>
      <c r="D1562" s="3" t="s">
        <v>6046</v>
      </c>
      <c r="E1562" s="3" t="s">
        <v>6046</v>
      </c>
      <c r="F1562" s="3" t="s">
        <v>20</v>
      </c>
      <c r="G1562" s="4">
        <v>32210</v>
      </c>
      <c r="H1562" s="3" t="s">
        <v>21</v>
      </c>
      <c r="I1562" s="3" t="s">
        <v>22</v>
      </c>
      <c r="J1562" s="5">
        <v>1600000</v>
      </c>
      <c r="K1562" s="3">
        <v>4664800</v>
      </c>
      <c r="L1562" s="3" t="s">
        <v>691</v>
      </c>
      <c r="M1562" s="3" t="s">
        <v>3791</v>
      </c>
      <c r="N1562" s="3">
        <v>480</v>
      </c>
      <c r="P1562" s="3" t="s">
        <v>70</v>
      </c>
      <c r="Q1562" s="3" t="s">
        <v>4917</v>
      </c>
      <c r="R1562" s="3" t="s">
        <v>53</v>
      </c>
      <c r="S1562" s="3">
        <v>98780765</v>
      </c>
      <c r="T1562" s="3">
        <v>5535125588</v>
      </c>
      <c r="U1562" s="3" t="s">
        <v>29</v>
      </c>
    </row>
    <row r="1563" spans="1:21" ht="13.2" x14ac:dyDescent="0.25">
      <c r="A1563" s="14">
        <v>56095862000108</v>
      </c>
      <c r="B1563" s="15" t="str">
        <f t="shared" si="24"/>
        <v>56.095.862/0001-08</v>
      </c>
      <c r="C1563" s="12"/>
      <c r="D1563" s="3" t="s">
        <v>6047</v>
      </c>
      <c r="E1563" s="3" t="s">
        <v>6047</v>
      </c>
      <c r="F1563" s="3" t="s">
        <v>20</v>
      </c>
      <c r="G1563" s="4">
        <v>31617</v>
      </c>
      <c r="H1563" s="3" t="s">
        <v>94</v>
      </c>
      <c r="I1563" s="3" t="s">
        <v>33</v>
      </c>
      <c r="J1563" s="5">
        <v>81000000</v>
      </c>
      <c r="K1563" s="3">
        <v>4299599</v>
      </c>
      <c r="L1563" s="3" t="s">
        <v>1185</v>
      </c>
      <c r="M1563" s="3" t="s">
        <v>6048</v>
      </c>
      <c r="N1563" s="3">
        <v>64</v>
      </c>
      <c r="O1563" s="3" t="s">
        <v>6049</v>
      </c>
      <c r="P1563" s="3" t="s">
        <v>1740</v>
      </c>
      <c r="Q1563" s="3" t="s">
        <v>27</v>
      </c>
      <c r="R1563" s="3" t="s">
        <v>28</v>
      </c>
      <c r="S1563" s="3">
        <v>5423911</v>
      </c>
      <c r="T1563" s="3">
        <v>1138737500</v>
      </c>
      <c r="U1563" s="3" t="s">
        <v>29</v>
      </c>
    </row>
    <row r="1564" spans="1:21" ht="13.2" x14ac:dyDescent="0.25">
      <c r="A1564" s="14">
        <v>771598000546</v>
      </c>
      <c r="B1564" s="15" t="str">
        <f t="shared" si="24"/>
        <v>00.771.598/0005-46</v>
      </c>
      <c r="C1564" s="12" t="str">
        <f>VLOOKUP(B1564,[1]Planilha1!$A:$B,2,0)</f>
        <v>Malu Montesino</v>
      </c>
      <c r="D1564" s="3" t="s">
        <v>6050</v>
      </c>
      <c r="E1564" s="3" t="s">
        <v>6050</v>
      </c>
      <c r="F1564" s="3" t="s">
        <v>20</v>
      </c>
      <c r="G1564" s="4">
        <v>45210</v>
      </c>
      <c r="H1564" s="3" t="s">
        <v>21</v>
      </c>
      <c r="I1564" s="3" t="s">
        <v>33</v>
      </c>
      <c r="J1564" s="5">
        <v>20000000</v>
      </c>
      <c r="K1564" s="3">
        <v>7112000</v>
      </c>
      <c r="L1564" s="3" t="s">
        <v>276</v>
      </c>
      <c r="M1564" s="3" t="s">
        <v>6051</v>
      </c>
      <c r="N1564" s="3">
        <v>438</v>
      </c>
      <c r="P1564" s="3" t="s">
        <v>6052</v>
      </c>
      <c r="Q1564" s="3" t="s">
        <v>204</v>
      </c>
      <c r="R1564" s="3" t="s">
        <v>187</v>
      </c>
      <c r="S1564" s="3">
        <v>81030000</v>
      </c>
      <c r="T1564" s="3">
        <v>4935557250</v>
      </c>
      <c r="U1564" s="3" t="s">
        <v>29</v>
      </c>
    </row>
    <row r="1565" spans="1:21" ht="13.2" x14ac:dyDescent="0.25">
      <c r="A1565" s="14">
        <v>771598000112</v>
      </c>
      <c r="B1565" s="15" t="str">
        <f t="shared" si="24"/>
        <v>00.771.598/0001-12</v>
      </c>
      <c r="C1565" s="12"/>
      <c r="D1565" s="3" t="s">
        <v>6050</v>
      </c>
      <c r="E1565" s="3" t="s">
        <v>6050</v>
      </c>
      <c r="F1565" s="3" t="s">
        <v>20</v>
      </c>
      <c r="G1565" s="4">
        <v>34935</v>
      </c>
      <c r="H1565" s="3" t="s">
        <v>21</v>
      </c>
      <c r="I1565" s="3" t="s">
        <v>33</v>
      </c>
      <c r="J1565" s="5">
        <v>20000000</v>
      </c>
      <c r="K1565" s="3">
        <v>2825900</v>
      </c>
      <c r="L1565" s="3" t="s">
        <v>345</v>
      </c>
      <c r="M1565" s="3" t="s">
        <v>6053</v>
      </c>
      <c r="N1565" s="3">
        <v>1955</v>
      </c>
      <c r="O1565" s="3" t="s">
        <v>6054</v>
      </c>
      <c r="P1565" s="3" t="s">
        <v>950</v>
      </c>
      <c r="Q1565" s="3" t="s">
        <v>2388</v>
      </c>
      <c r="R1565" s="3" t="s">
        <v>91</v>
      </c>
      <c r="S1565" s="3">
        <v>89665000</v>
      </c>
      <c r="T1565" s="3">
        <v>4935557250</v>
      </c>
      <c r="U1565" s="3" t="s">
        <v>29</v>
      </c>
    </row>
    <row r="1566" spans="1:21" ht="13.2" x14ac:dyDescent="0.25">
      <c r="A1566" s="14">
        <v>11276915000140</v>
      </c>
      <c r="B1566" s="15" t="str">
        <f t="shared" si="24"/>
        <v>11.276.915/0001-40</v>
      </c>
      <c r="C1566" s="12"/>
      <c r="D1566" s="3" t="s">
        <v>6055</v>
      </c>
      <c r="E1566" s="3" t="s">
        <v>6056</v>
      </c>
      <c r="F1566" s="3" t="s">
        <v>20</v>
      </c>
      <c r="G1566" s="4">
        <v>40080</v>
      </c>
      <c r="H1566" s="3" t="s">
        <v>21</v>
      </c>
      <c r="I1566" s="3" t="s">
        <v>47</v>
      </c>
      <c r="J1566" s="5">
        <v>100000</v>
      </c>
      <c r="K1566" s="3">
        <v>4120400</v>
      </c>
      <c r="L1566" s="3" t="s">
        <v>87</v>
      </c>
      <c r="M1566" s="3" t="s">
        <v>923</v>
      </c>
      <c r="N1566" s="3">
        <v>77</v>
      </c>
      <c r="P1566" s="3" t="s">
        <v>4926</v>
      </c>
      <c r="Q1566" s="3" t="s">
        <v>27</v>
      </c>
      <c r="R1566" s="3" t="s">
        <v>28</v>
      </c>
      <c r="S1566" s="3">
        <v>5095010</v>
      </c>
      <c r="T1566" s="3">
        <v>1130343210</v>
      </c>
      <c r="U1566" s="3" t="s">
        <v>29</v>
      </c>
    </row>
    <row r="1567" spans="1:21" ht="13.2" x14ac:dyDescent="0.25">
      <c r="A1567" s="14">
        <v>46979239000156</v>
      </c>
      <c r="B1567" s="15" t="str">
        <f t="shared" si="24"/>
        <v>46.979.239/0001-56</v>
      </c>
      <c r="C1567" s="12" t="str">
        <f>VLOOKUP(B1567,[1]Planilha1!$A:$B,2,0)</f>
        <v>Malu Montesino</v>
      </c>
      <c r="D1567" s="3" t="s">
        <v>6057</v>
      </c>
      <c r="E1567" s="3" t="s">
        <v>6058</v>
      </c>
      <c r="F1567" s="3" t="s">
        <v>20</v>
      </c>
      <c r="G1567" s="4">
        <v>44742</v>
      </c>
      <c r="H1567" s="3" t="s">
        <v>21</v>
      </c>
      <c r="I1567" s="3" t="s">
        <v>33</v>
      </c>
      <c r="J1567" s="5">
        <v>120000</v>
      </c>
      <c r="K1567" s="3">
        <v>6204000</v>
      </c>
      <c r="L1567" s="3" t="s">
        <v>2081</v>
      </c>
      <c r="M1567" s="3" t="s">
        <v>246</v>
      </c>
      <c r="N1567" s="3">
        <v>2073</v>
      </c>
      <c r="O1567" s="3" t="s">
        <v>6059</v>
      </c>
      <c r="P1567" s="3" t="s">
        <v>248</v>
      </c>
      <c r="Q1567" s="3" t="s">
        <v>27</v>
      </c>
      <c r="R1567" s="3" t="s">
        <v>28</v>
      </c>
      <c r="S1567" s="3">
        <v>1311940</v>
      </c>
      <c r="T1567" s="3">
        <v>1132877786</v>
      </c>
      <c r="U1567" s="3" t="s">
        <v>29</v>
      </c>
    </row>
    <row r="1568" spans="1:21" ht="13.2" x14ac:dyDescent="0.25">
      <c r="A1568" s="14">
        <v>33061862000183</v>
      </c>
      <c r="B1568" s="15" t="str">
        <f t="shared" si="24"/>
        <v>33.061.862/0001-83</v>
      </c>
      <c r="C1568" s="12"/>
      <c r="D1568" s="3" t="s">
        <v>6060</v>
      </c>
      <c r="E1568" s="3" t="s">
        <v>6060</v>
      </c>
      <c r="F1568" s="3" t="s">
        <v>20</v>
      </c>
      <c r="G1568" s="4">
        <v>24320</v>
      </c>
      <c r="H1568" s="3" t="s">
        <v>94</v>
      </c>
      <c r="I1568" s="3" t="s">
        <v>33</v>
      </c>
      <c r="J1568" s="5">
        <v>146479970</v>
      </c>
      <c r="K1568" s="3">
        <v>6512000</v>
      </c>
      <c r="L1568" s="3" t="s">
        <v>6015</v>
      </c>
      <c r="M1568" s="3" t="s">
        <v>6061</v>
      </c>
      <c r="N1568" s="3">
        <v>387</v>
      </c>
      <c r="O1568" s="3" t="s">
        <v>6062</v>
      </c>
      <c r="P1568" s="3" t="s">
        <v>1049</v>
      </c>
      <c r="Q1568" s="3" t="s">
        <v>27</v>
      </c>
      <c r="R1568" s="3" t="s">
        <v>28</v>
      </c>
      <c r="S1568" s="3">
        <v>4543121</v>
      </c>
      <c r="T1568" s="3">
        <v>1137093057</v>
      </c>
      <c r="U1568" s="3" t="s">
        <v>29</v>
      </c>
    </row>
    <row r="1569" spans="1:21" ht="13.2" x14ac:dyDescent="0.25">
      <c r="A1569" s="14">
        <v>14782386000145</v>
      </c>
      <c r="B1569" s="15" t="str">
        <f t="shared" si="24"/>
        <v>14.782.386/0001-45</v>
      </c>
      <c r="C1569" s="12"/>
      <c r="D1569" s="3" t="s">
        <v>6063</v>
      </c>
      <c r="E1569" s="3" t="s">
        <v>6064</v>
      </c>
      <c r="F1569" s="3" t="s">
        <v>20</v>
      </c>
      <c r="G1569" s="4">
        <v>40878</v>
      </c>
      <c r="H1569" s="3" t="s">
        <v>21</v>
      </c>
      <c r="I1569" s="3" t="s">
        <v>22</v>
      </c>
      <c r="J1569" s="5">
        <v>95400</v>
      </c>
      <c r="K1569" s="3">
        <v>4723700</v>
      </c>
      <c r="L1569" s="3" t="s">
        <v>2008</v>
      </c>
      <c r="M1569" s="3" t="s">
        <v>6065</v>
      </c>
      <c r="N1569" s="3">
        <v>2585</v>
      </c>
      <c r="O1569" s="3" t="s">
        <v>6066</v>
      </c>
      <c r="P1569" s="3" t="s">
        <v>6067</v>
      </c>
      <c r="Q1569" s="3" t="s">
        <v>1443</v>
      </c>
      <c r="R1569" s="3" t="s">
        <v>28</v>
      </c>
      <c r="S1569" s="3">
        <v>15991200</v>
      </c>
      <c r="T1569" s="3">
        <v>1697047457</v>
      </c>
      <c r="U1569" s="3" t="s">
        <v>29</v>
      </c>
    </row>
    <row r="1570" spans="1:21" ht="13.2" x14ac:dyDescent="0.25">
      <c r="A1570" s="14">
        <v>94837598000111</v>
      </c>
      <c r="B1570" s="15" t="str">
        <f t="shared" si="24"/>
        <v>94.837.598/0001-11</v>
      </c>
      <c r="C1570" s="12" t="str">
        <f>VLOOKUP(B1570,[1]Planilha1!$A:$B,2,0)</f>
        <v>Malu Montesino</v>
      </c>
      <c r="D1570" s="3" t="s">
        <v>6068</v>
      </c>
      <c r="E1570" s="3" t="s">
        <v>6068</v>
      </c>
      <c r="F1570" s="3" t="s">
        <v>20</v>
      </c>
      <c r="G1570" s="4">
        <v>33913</v>
      </c>
      <c r="H1570" s="3" t="s">
        <v>21</v>
      </c>
      <c r="I1570" s="3" t="s">
        <v>33</v>
      </c>
      <c r="J1570" s="5">
        <v>17667210</v>
      </c>
      <c r="K1570" s="3">
        <v>2099199</v>
      </c>
      <c r="L1570" s="3" t="s">
        <v>80</v>
      </c>
      <c r="M1570" s="3" t="s">
        <v>6069</v>
      </c>
      <c r="N1570" s="3">
        <v>8600</v>
      </c>
      <c r="O1570" s="3" t="s">
        <v>6070</v>
      </c>
      <c r="P1570" s="3" t="s">
        <v>6071</v>
      </c>
      <c r="Q1570" s="3" t="s">
        <v>3068</v>
      </c>
      <c r="R1570" s="3" t="s">
        <v>53</v>
      </c>
      <c r="S1570" s="3">
        <v>93718530</v>
      </c>
      <c r="T1570" s="3">
        <v>5130364030</v>
      </c>
      <c r="U1570" s="3" t="s">
        <v>29</v>
      </c>
    </row>
    <row r="1571" spans="1:21" ht="13.2" x14ac:dyDescent="0.25">
      <c r="A1571" s="14">
        <v>28953259000176</v>
      </c>
      <c r="B1571" s="15" t="str">
        <f t="shared" si="24"/>
        <v>28.953.259/0001-76</v>
      </c>
      <c r="C1571" s="12" t="str">
        <f>VLOOKUP(B1571,[1]Planilha1!$A:$B,2,0)</f>
        <v>Malu Montesino</v>
      </c>
      <c r="D1571" s="3" t="s">
        <v>6072</v>
      </c>
      <c r="E1571" s="3" t="s">
        <v>6072</v>
      </c>
      <c r="F1571" s="3" t="s">
        <v>20</v>
      </c>
      <c r="G1571" s="4">
        <v>43035</v>
      </c>
      <c r="H1571" s="3" t="s">
        <v>21</v>
      </c>
      <c r="I1571" s="3" t="s">
        <v>22</v>
      </c>
      <c r="J1571" s="5">
        <v>1400000</v>
      </c>
      <c r="K1571" s="3">
        <v>4633801</v>
      </c>
      <c r="L1571" s="3" t="s">
        <v>750</v>
      </c>
      <c r="M1571" s="3" t="s">
        <v>6073</v>
      </c>
      <c r="N1571" s="3">
        <v>5</v>
      </c>
      <c r="O1571" s="3" t="s">
        <v>6074</v>
      </c>
      <c r="P1571" s="3" t="s">
        <v>1456</v>
      </c>
      <c r="Q1571" s="3" t="s">
        <v>631</v>
      </c>
      <c r="R1571" s="3" t="s">
        <v>632</v>
      </c>
      <c r="S1571" s="3">
        <v>71200100</v>
      </c>
      <c r="T1571" s="3">
        <v>6130299400</v>
      </c>
      <c r="U1571" s="3" t="s">
        <v>29</v>
      </c>
    </row>
    <row r="1572" spans="1:21" ht="13.2" x14ac:dyDescent="0.25">
      <c r="A1572" s="14">
        <v>30231147000153</v>
      </c>
      <c r="B1572" s="15" t="str">
        <f t="shared" si="24"/>
        <v>30.231.147/0001-53</v>
      </c>
      <c r="C1572" s="12"/>
      <c r="D1572" s="3" t="s">
        <v>6075</v>
      </c>
      <c r="E1572" s="3" t="s">
        <v>6076</v>
      </c>
      <c r="F1572" s="3" t="s">
        <v>20</v>
      </c>
      <c r="G1572" s="4">
        <v>43208</v>
      </c>
      <c r="H1572" s="3" t="s">
        <v>21</v>
      </c>
      <c r="I1572" s="3" t="s">
        <v>33</v>
      </c>
      <c r="J1572" s="5">
        <v>700000</v>
      </c>
      <c r="K1572" s="3">
        <v>4614100</v>
      </c>
      <c r="L1572" s="3" t="s">
        <v>6077</v>
      </c>
      <c r="M1572" s="3" t="s">
        <v>6078</v>
      </c>
      <c r="N1572" s="3">
        <v>17</v>
      </c>
      <c r="P1572" s="3" t="s">
        <v>6079</v>
      </c>
      <c r="Q1572" s="3" t="s">
        <v>27</v>
      </c>
      <c r="R1572" s="3" t="s">
        <v>28</v>
      </c>
      <c r="S1572" s="3">
        <v>5176300</v>
      </c>
      <c r="T1572" s="3">
        <v>1157709687</v>
      </c>
      <c r="U1572" s="3" t="s">
        <v>29</v>
      </c>
    </row>
    <row r="1573" spans="1:21" ht="13.2" x14ac:dyDescent="0.25">
      <c r="A1573" s="14">
        <v>11785283000140</v>
      </c>
      <c r="B1573" s="15" t="str">
        <f t="shared" si="24"/>
        <v>11.785.283/0001-40</v>
      </c>
      <c r="C1573" s="12"/>
      <c r="D1573" s="3" t="s">
        <v>6080</v>
      </c>
      <c r="E1573" s="3" t="s">
        <v>6081</v>
      </c>
      <c r="F1573" s="3" t="s">
        <v>20</v>
      </c>
      <c r="G1573" s="4">
        <v>40233</v>
      </c>
      <c r="H1573" s="3" t="s">
        <v>21</v>
      </c>
      <c r="I1573" s="3" t="s">
        <v>47</v>
      </c>
      <c r="J1573" s="5">
        <v>3000</v>
      </c>
      <c r="K1573" s="3">
        <v>6920601</v>
      </c>
      <c r="L1573" s="3" t="s">
        <v>1507</v>
      </c>
      <c r="M1573" s="3" t="s">
        <v>6082</v>
      </c>
      <c r="N1573" s="3">
        <v>58</v>
      </c>
      <c r="O1573" s="3" t="s">
        <v>3552</v>
      </c>
      <c r="P1573" s="3" t="s">
        <v>5978</v>
      </c>
      <c r="Q1573" s="3" t="s">
        <v>262</v>
      </c>
      <c r="R1573" s="3" t="s">
        <v>28</v>
      </c>
      <c r="S1573" s="3">
        <v>6286130</v>
      </c>
      <c r="T1573" s="3">
        <v>1195035633</v>
      </c>
      <c r="U1573" s="3" t="s">
        <v>29</v>
      </c>
    </row>
    <row r="1574" spans="1:21" ht="13.2" x14ac:dyDescent="0.25">
      <c r="A1574" s="14">
        <v>3661909000189</v>
      </c>
      <c r="B1574" s="15" t="str">
        <f t="shared" si="24"/>
        <v>03.661.909/0001-89</v>
      </c>
      <c r="C1574" s="12"/>
      <c r="D1574" s="3" t="s">
        <v>6083</v>
      </c>
      <c r="E1574" s="3" t="s">
        <v>6083</v>
      </c>
      <c r="F1574" s="3" t="s">
        <v>20</v>
      </c>
      <c r="G1574" s="4">
        <v>36571</v>
      </c>
      <c r="H1574" s="3" t="s">
        <v>21</v>
      </c>
      <c r="I1574" s="3" t="s">
        <v>33</v>
      </c>
      <c r="J1574" s="5">
        <v>333333</v>
      </c>
      <c r="K1574" s="3">
        <v>7739099</v>
      </c>
      <c r="L1574" s="3" t="s">
        <v>669</v>
      </c>
      <c r="M1574" s="3" t="s">
        <v>2340</v>
      </c>
      <c r="N1574" s="3">
        <v>1811</v>
      </c>
      <c r="O1574" s="3" t="s">
        <v>6084</v>
      </c>
      <c r="P1574" s="3" t="s">
        <v>545</v>
      </c>
      <c r="Q1574" s="3" t="s">
        <v>27</v>
      </c>
      <c r="R1574" s="3" t="s">
        <v>28</v>
      </c>
      <c r="S1574" s="3">
        <v>1452001</v>
      </c>
      <c r="T1574" s="3">
        <v>1128865481</v>
      </c>
      <c r="U1574" s="3" t="s">
        <v>29</v>
      </c>
    </row>
    <row r="1575" spans="1:21" ht="13.2" x14ac:dyDescent="0.25">
      <c r="A1575" s="14">
        <v>10624384000177</v>
      </c>
      <c r="B1575" s="15" t="str">
        <f t="shared" si="24"/>
        <v>10.624.384/0001-77</v>
      </c>
      <c r="C1575" s="12"/>
      <c r="D1575" s="3" t="s">
        <v>6085</v>
      </c>
      <c r="E1575" s="3" t="s">
        <v>6085</v>
      </c>
      <c r="F1575" s="3" t="s">
        <v>20</v>
      </c>
      <c r="G1575" s="4">
        <v>39840</v>
      </c>
      <c r="H1575" s="3" t="s">
        <v>21</v>
      </c>
      <c r="I1575" s="3" t="s">
        <v>47</v>
      </c>
      <c r="J1575" s="5">
        <v>150000</v>
      </c>
      <c r="K1575" s="3">
        <v>4322302</v>
      </c>
      <c r="L1575" s="3" t="s">
        <v>5651</v>
      </c>
      <c r="M1575" s="3" t="s">
        <v>6086</v>
      </c>
      <c r="N1575" s="3">
        <v>1132</v>
      </c>
      <c r="P1575" s="3" t="s">
        <v>6087</v>
      </c>
      <c r="Q1575" s="3" t="s">
        <v>6088</v>
      </c>
      <c r="R1575" s="3" t="s">
        <v>53</v>
      </c>
      <c r="S1575" s="3">
        <v>98700000</v>
      </c>
      <c r="T1575" s="3">
        <v>5833323025</v>
      </c>
      <c r="U1575" s="3" t="s">
        <v>29</v>
      </c>
    </row>
    <row r="1576" spans="1:21" ht="13.2" x14ac:dyDescent="0.25">
      <c r="A1576" s="14">
        <v>519418000100</v>
      </c>
      <c r="B1576" s="15" t="str">
        <f t="shared" si="24"/>
        <v>00.519.418/0001-00</v>
      </c>
      <c r="C1576" s="12"/>
      <c r="D1576" s="3" t="s">
        <v>6089</v>
      </c>
      <c r="E1576" s="3" t="s">
        <v>6090</v>
      </c>
      <c r="F1576" s="3" t="s">
        <v>20</v>
      </c>
      <c r="G1576" s="4">
        <v>34785</v>
      </c>
      <c r="H1576" s="3" t="s">
        <v>21</v>
      </c>
      <c r="I1576" s="3" t="s">
        <v>22</v>
      </c>
      <c r="J1576" s="5">
        <v>73000</v>
      </c>
      <c r="K1576" s="3">
        <v>4642702</v>
      </c>
      <c r="L1576" s="3" t="s">
        <v>1139</v>
      </c>
      <c r="M1576" s="3" t="s">
        <v>6091</v>
      </c>
      <c r="N1576" s="3">
        <v>185</v>
      </c>
      <c r="P1576" s="3" t="s">
        <v>3628</v>
      </c>
      <c r="Q1576" s="3" t="s">
        <v>893</v>
      </c>
      <c r="R1576" s="3" t="s">
        <v>28</v>
      </c>
      <c r="S1576" s="3">
        <v>17240000</v>
      </c>
      <c r="T1576" s="3">
        <v>1497717801</v>
      </c>
      <c r="U1576" s="3" t="s">
        <v>29</v>
      </c>
    </row>
    <row r="1577" spans="1:21" ht="13.2" x14ac:dyDescent="0.25">
      <c r="A1577" s="14">
        <v>30934447000107</v>
      </c>
      <c r="B1577" s="15" t="str">
        <f t="shared" si="24"/>
        <v>30.934.447/0001-07</v>
      </c>
      <c r="C1577" s="12"/>
      <c r="D1577" s="3" t="s">
        <v>6092</v>
      </c>
      <c r="E1577" s="3" t="s">
        <v>6092</v>
      </c>
      <c r="F1577" s="3" t="s">
        <v>20</v>
      </c>
      <c r="G1577" s="4">
        <v>43297</v>
      </c>
      <c r="H1577" s="3" t="s">
        <v>21</v>
      </c>
      <c r="I1577" s="3" t="s">
        <v>47</v>
      </c>
      <c r="J1577" s="5">
        <v>300000</v>
      </c>
      <c r="K1577" s="3">
        <v>4321500</v>
      </c>
      <c r="L1577" s="3" t="s">
        <v>964</v>
      </c>
      <c r="M1577" s="3" t="s">
        <v>6093</v>
      </c>
      <c r="N1577" s="3">
        <v>266</v>
      </c>
      <c r="P1577" s="3" t="s">
        <v>6094</v>
      </c>
      <c r="Q1577" s="3" t="s">
        <v>27</v>
      </c>
      <c r="R1577" s="3" t="s">
        <v>28</v>
      </c>
      <c r="S1577" s="3">
        <v>3156210</v>
      </c>
      <c r="T1577" s="3">
        <v>1149762374</v>
      </c>
      <c r="U1577" s="3" t="s">
        <v>29</v>
      </c>
    </row>
    <row r="1578" spans="1:21" ht="13.2" x14ac:dyDescent="0.25">
      <c r="A1578" s="14">
        <v>23759905000145</v>
      </c>
      <c r="B1578" s="15" t="str">
        <f t="shared" si="24"/>
        <v>23.759.905/0001-45</v>
      </c>
      <c r="C1578" s="12" t="str">
        <f>VLOOKUP(B1578,[1]Planilha1!$A:$B,2,0)</f>
        <v>Malu Montesino</v>
      </c>
      <c r="D1578" s="3" t="s">
        <v>6095</v>
      </c>
      <c r="E1578" s="3" t="s">
        <v>6095</v>
      </c>
      <c r="F1578" s="3" t="s">
        <v>20</v>
      </c>
      <c r="G1578" s="4">
        <v>32069</v>
      </c>
      <c r="H1578" s="3" t="s">
        <v>21</v>
      </c>
      <c r="I1578" s="3" t="s">
        <v>33</v>
      </c>
      <c r="J1578" s="5">
        <v>73000000</v>
      </c>
      <c r="K1578" s="3">
        <v>2019399</v>
      </c>
      <c r="L1578" s="3" t="s">
        <v>1962</v>
      </c>
      <c r="M1578" s="3" t="s">
        <v>6096</v>
      </c>
      <c r="N1578" s="3">
        <v>445</v>
      </c>
      <c r="P1578" s="3" t="s">
        <v>6097</v>
      </c>
      <c r="Q1578" s="3" t="s">
        <v>4962</v>
      </c>
      <c r="R1578" s="3" t="s">
        <v>100</v>
      </c>
      <c r="S1578" s="3">
        <v>37036010</v>
      </c>
      <c r="U1578" s="3" t="s">
        <v>29</v>
      </c>
    </row>
    <row r="1579" spans="1:21" ht="13.2" x14ac:dyDescent="0.25">
      <c r="A1579" s="14">
        <v>16669663000133</v>
      </c>
      <c r="B1579" s="15" t="str">
        <f t="shared" si="24"/>
        <v>16.669.663/0001-33</v>
      </c>
      <c r="C1579" s="12"/>
      <c r="D1579" s="3" t="s">
        <v>6098</v>
      </c>
      <c r="E1579" s="3" t="s">
        <v>6099</v>
      </c>
      <c r="F1579" s="3" t="s">
        <v>20</v>
      </c>
      <c r="G1579" s="4">
        <v>41122</v>
      </c>
      <c r="H1579" s="3" t="s">
        <v>46</v>
      </c>
      <c r="I1579" s="3" t="s">
        <v>47</v>
      </c>
      <c r="J1579" s="5">
        <v>1000</v>
      </c>
      <c r="K1579" s="3">
        <v>4789003</v>
      </c>
      <c r="L1579" s="3" t="s">
        <v>6100</v>
      </c>
      <c r="M1579" s="3" t="s">
        <v>6101</v>
      </c>
      <c r="N1579" s="3">
        <v>242</v>
      </c>
      <c r="P1579" s="3" t="s">
        <v>2596</v>
      </c>
      <c r="Q1579" s="3" t="s">
        <v>27</v>
      </c>
      <c r="R1579" s="3" t="s">
        <v>28</v>
      </c>
      <c r="S1579" s="3">
        <v>1450030</v>
      </c>
      <c r="T1579" s="3">
        <v>1131388254</v>
      </c>
      <c r="U1579" s="3" t="s">
        <v>29</v>
      </c>
    </row>
    <row r="1580" spans="1:21" ht="13.2" x14ac:dyDescent="0.25">
      <c r="A1580" s="14">
        <v>14727320000152</v>
      </c>
      <c r="B1580" s="15" t="str">
        <f t="shared" si="24"/>
        <v>14.727.320/0001-52</v>
      </c>
      <c r="C1580" s="12"/>
      <c r="D1580" s="3" t="s">
        <v>6102</v>
      </c>
      <c r="E1580" s="3" t="s">
        <v>6103</v>
      </c>
      <c r="F1580" s="3" t="s">
        <v>45</v>
      </c>
      <c r="G1580" s="4">
        <v>40840</v>
      </c>
      <c r="H1580" s="3" t="s">
        <v>46</v>
      </c>
      <c r="I1580" s="3" t="s">
        <v>47</v>
      </c>
      <c r="J1580" s="5">
        <v>10000</v>
      </c>
      <c r="K1580" s="3">
        <v>7119703</v>
      </c>
      <c r="L1580" s="3" t="s">
        <v>6104</v>
      </c>
      <c r="M1580" s="3" t="s">
        <v>6105</v>
      </c>
      <c r="N1580" s="3">
        <v>3007</v>
      </c>
      <c r="O1580" s="3" t="s">
        <v>6106</v>
      </c>
      <c r="P1580" s="3" t="s">
        <v>6107</v>
      </c>
      <c r="Q1580" s="3" t="s">
        <v>6108</v>
      </c>
      <c r="R1580" s="3" t="s">
        <v>28</v>
      </c>
      <c r="S1580" s="3">
        <v>11707520</v>
      </c>
      <c r="T1580" s="3">
        <v>1335924338</v>
      </c>
      <c r="U1580" s="3" t="s">
        <v>29</v>
      </c>
    </row>
    <row r="1581" spans="1:21" ht="13.2" x14ac:dyDescent="0.25">
      <c r="A1581" s="14">
        <v>15507793000107</v>
      </c>
      <c r="B1581" s="15" t="str">
        <f t="shared" si="24"/>
        <v>15.507.793/0001-07</v>
      </c>
      <c r="C1581" s="12"/>
      <c r="D1581" s="3" t="s">
        <v>6109</v>
      </c>
      <c r="E1581" s="3" t="s">
        <v>6110</v>
      </c>
      <c r="F1581" s="3" t="s">
        <v>20</v>
      </c>
      <c r="G1581" s="4">
        <v>41015</v>
      </c>
      <c r="H1581" s="3" t="s">
        <v>21</v>
      </c>
      <c r="I1581" s="3" t="s">
        <v>22</v>
      </c>
      <c r="J1581" s="5">
        <v>100000</v>
      </c>
      <c r="K1581" s="3">
        <v>4329199</v>
      </c>
      <c r="L1581" s="3" t="s">
        <v>6111</v>
      </c>
      <c r="M1581" s="3" t="s">
        <v>6112</v>
      </c>
      <c r="N1581" s="3">
        <v>62</v>
      </c>
      <c r="P1581" s="3" t="s">
        <v>6113</v>
      </c>
      <c r="Q1581" s="3" t="s">
        <v>27</v>
      </c>
      <c r="R1581" s="3" t="s">
        <v>28</v>
      </c>
      <c r="S1581" s="3">
        <v>5884170</v>
      </c>
      <c r="T1581" s="3">
        <v>1131974359</v>
      </c>
      <c r="U1581" s="3" t="s">
        <v>29</v>
      </c>
    </row>
    <row r="1582" spans="1:21" ht="13.2" x14ac:dyDescent="0.25">
      <c r="A1582" s="14">
        <v>92664028000141</v>
      </c>
      <c r="B1582" s="15" t="str">
        <f t="shared" si="24"/>
        <v>92.664.028/0001-41</v>
      </c>
      <c r="C1582" s="12" t="str">
        <f>VLOOKUP(B1582,[1]Planilha1!$A:$B,2,0)</f>
        <v>Malu Montesino</v>
      </c>
      <c r="D1582" s="3" t="s">
        <v>6114</v>
      </c>
      <c r="E1582" s="3" t="s">
        <v>6115</v>
      </c>
      <c r="F1582" s="3" t="s">
        <v>20</v>
      </c>
      <c r="G1582" s="4">
        <v>26375</v>
      </c>
      <c r="H1582" s="3" t="s">
        <v>21</v>
      </c>
      <c r="I1582" s="3" t="s">
        <v>33</v>
      </c>
      <c r="J1582" s="5">
        <v>232000000</v>
      </c>
      <c r="K1582" s="3">
        <v>4744001</v>
      </c>
      <c r="L1582" s="3" t="s">
        <v>396</v>
      </c>
      <c r="M1582" s="3" t="s">
        <v>6116</v>
      </c>
      <c r="N1582" s="3">
        <v>3223</v>
      </c>
      <c r="P1582" s="3" t="s">
        <v>436</v>
      </c>
      <c r="Q1582" s="3" t="s">
        <v>437</v>
      </c>
      <c r="R1582" s="3" t="s">
        <v>53</v>
      </c>
      <c r="S1582" s="3">
        <v>90230901</v>
      </c>
      <c r="T1582" s="3">
        <v>513581020</v>
      </c>
      <c r="U1582" s="3" t="s">
        <v>29</v>
      </c>
    </row>
    <row r="1583" spans="1:21" ht="13.2" x14ac:dyDescent="0.25">
      <c r="A1583" s="14">
        <v>5841240000132</v>
      </c>
      <c r="B1583" s="15" t="str">
        <f t="shared" si="24"/>
        <v>05.841.240/0001-32</v>
      </c>
      <c r="C1583" s="12"/>
      <c r="D1583" s="3" t="s">
        <v>6117</v>
      </c>
      <c r="E1583" s="3" t="s">
        <v>6117</v>
      </c>
      <c r="F1583" s="3" t="s">
        <v>45</v>
      </c>
      <c r="G1583" s="4">
        <v>37844</v>
      </c>
      <c r="H1583" s="3" t="s">
        <v>21</v>
      </c>
      <c r="I1583" s="3" t="s">
        <v>47</v>
      </c>
      <c r="J1583" s="5">
        <v>0</v>
      </c>
      <c r="K1583" s="3">
        <v>8230001</v>
      </c>
      <c r="L1583" s="3" t="s">
        <v>2141</v>
      </c>
      <c r="M1583" s="3" t="s">
        <v>6118</v>
      </c>
      <c r="N1583" s="3">
        <v>2</v>
      </c>
      <c r="P1583" s="3" t="s">
        <v>849</v>
      </c>
      <c r="Q1583" s="3" t="s">
        <v>27</v>
      </c>
      <c r="R1583" s="3" t="s">
        <v>28</v>
      </c>
      <c r="S1583" s="3">
        <v>3472010</v>
      </c>
      <c r="U1583" s="3" t="s">
        <v>29</v>
      </c>
    </row>
    <row r="1584" spans="1:21" ht="13.2" x14ac:dyDescent="0.25">
      <c r="A1584" s="14">
        <v>22266175000188</v>
      </c>
      <c r="B1584" s="15" t="str">
        <f t="shared" si="24"/>
        <v>22.266.175/0001-88</v>
      </c>
      <c r="C1584" s="12"/>
      <c r="D1584" s="3" t="s">
        <v>6119</v>
      </c>
      <c r="E1584" s="3" t="s">
        <v>6120</v>
      </c>
      <c r="F1584" s="3" t="s">
        <v>20</v>
      </c>
      <c r="G1584" s="4">
        <v>26686</v>
      </c>
      <c r="H1584" s="3" t="s">
        <v>377</v>
      </c>
      <c r="I1584" s="3" t="s">
        <v>33</v>
      </c>
      <c r="J1584" s="5">
        <v>594164900</v>
      </c>
      <c r="K1584" s="3">
        <v>2013402</v>
      </c>
      <c r="L1584" s="3" t="s">
        <v>732</v>
      </c>
      <c r="M1584" s="3" t="s">
        <v>6121</v>
      </c>
      <c r="N1584" s="3">
        <v>620</v>
      </c>
      <c r="P1584" s="3" t="s">
        <v>6122</v>
      </c>
      <c r="Q1584" s="3" t="s">
        <v>2128</v>
      </c>
      <c r="R1584" s="3" t="s">
        <v>28</v>
      </c>
      <c r="S1584" s="3">
        <v>13148906</v>
      </c>
      <c r="T1584" s="3">
        <v>2721222200</v>
      </c>
      <c r="U1584" s="3" t="s">
        <v>29</v>
      </c>
    </row>
    <row r="1585" spans="1:21" ht="13.2" x14ac:dyDescent="0.25">
      <c r="A1585" s="14">
        <v>14041931000142</v>
      </c>
      <c r="B1585" s="15" t="str">
        <f t="shared" si="24"/>
        <v>14.041.931/0001-42</v>
      </c>
      <c r="C1585" s="12"/>
      <c r="D1585" s="3" t="s">
        <v>6123</v>
      </c>
      <c r="E1585" s="3" t="s">
        <v>6124</v>
      </c>
      <c r="F1585" s="3" t="s">
        <v>20</v>
      </c>
      <c r="G1585" s="4">
        <v>40751</v>
      </c>
      <c r="H1585" s="3" t="s">
        <v>21</v>
      </c>
      <c r="I1585" s="3" t="s">
        <v>22</v>
      </c>
      <c r="J1585" s="5">
        <v>30000</v>
      </c>
      <c r="K1585" s="3">
        <v>4712100</v>
      </c>
      <c r="L1585" s="3" t="s">
        <v>3264</v>
      </c>
      <c r="M1585" s="3" t="s">
        <v>6125</v>
      </c>
      <c r="N1585" s="3">
        <v>83</v>
      </c>
      <c r="P1585" s="3" t="s">
        <v>6126</v>
      </c>
      <c r="Q1585" s="3" t="s">
        <v>27</v>
      </c>
      <c r="R1585" s="3" t="s">
        <v>28</v>
      </c>
      <c r="S1585" s="3">
        <v>3581020</v>
      </c>
      <c r="T1585" s="3">
        <v>1129554699</v>
      </c>
      <c r="U1585" s="3" t="s">
        <v>29</v>
      </c>
    </row>
    <row r="1586" spans="1:21" ht="13.2" x14ac:dyDescent="0.25">
      <c r="A1586" s="14">
        <v>17050687000172</v>
      </c>
      <c r="B1586" s="15" t="str">
        <f t="shared" si="24"/>
        <v>17.050.687/0001-72</v>
      </c>
      <c r="C1586" s="12"/>
      <c r="D1586" s="3" t="s">
        <v>6127</v>
      </c>
      <c r="E1586" s="3" t="s">
        <v>6127</v>
      </c>
      <c r="F1586" s="3" t="s">
        <v>20</v>
      </c>
      <c r="G1586" s="4">
        <v>41113</v>
      </c>
      <c r="H1586" s="3" t="s">
        <v>21</v>
      </c>
      <c r="I1586" s="3" t="s">
        <v>22</v>
      </c>
      <c r="J1586" s="5">
        <v>100000</v>
      </c>
      <c r="K1586" s="3">
        <v>4645101</v>
      </c>
      <c r="L1586" s="3" t="s">
        <v>135</v>
      </c>
      <c r="M1586" s="3" t="s">
        <v>6128</v>
      </c>
      <c r="N1586" s="3">
        <v>136</v>
      </c>
      <c r="P1586" s="3" t="s">
        <v>6129</v>
      </c>
      <c r="Q1586" s="3" t="s">
        <v>27</v>
      </c>
      <c r="R1586" s="3" t="s">
        <v>28</v>
      </c>
      <c r="S1586" s="3">
        <v>4225080</v>
      </c>
      <c r="T1586" s="3">
        <v>1120630132</v>
      </c>
      <c r="U1586" s="3" t="s">
        <v>29</v>
      </c>
    </row>
    <row r="1587" spans="1:21" ht="13.2" x14ac:dyDescent="0.25">
      <c r="A1587" s="14">
        <v>30828956000147</v>
      </c>
      <c r="B1587" s="15" t="str">
        <f t="shared" si="24"/>
        <v>30.828.956/0001-47</v>
      </c>
      <c r="C1587" s="12"/>
      <c r="D1587" s="3" t="s">
        <v>6130</v>
      </c>
      <c r="E1587" s="3" t="s">
        <v>6131</v>
      </c>
      <c r="F1587" s="3" t="s">
        <v>20</v>
      </c>
      <c r="G1587" s="4">
        <v>43283</v>
      </c>
      <c r="H1587" s="3" t="s">
        <v>21</v>
      </c>
      <c r="I1587" s="3" t="s">
        <v>33</v>
      </c>
      <c r="J1587" s="5">
        <v>100000</v>
      </c>
      <c r="K1587" s="3">
        <v>7112000</v>
      </c>
      <c r="L1587" s="3" t="s">
        <v>276</v>
      </c>
      <c r="M1587" s="3" t="s">
        <v>6132</v>
      </c>
      <c r="N1587" s="3">
        <v>647</v>
      </c>
      <c r="P1587" s="3" t="s">
        <v>1831</v>
      </c>
      <c r="Q1587" s="3" t="s">
        <v>27</v>
      </c>
      <c r="R1587" s="3" t="s">
        <v>28</v>
      </c>
      <c r="S1587" s="3">
        <v>2717000</v>
      </c>
      <c r="T1587" s="3">
        <v>1139332130</v>
      </c>
      <c r="U1587" s="3" t="s">
        <v>29</v>
      </c>
    </row>
    <row r="1588" spans="1:21" ht="13.2" x14ac:dyDescent="0.25">
      <c r="A1588" s="14">
        <v>72847429000120</v>
      </c>
      <c r="B1588" s="15" t="str">
        <f t="shared" si="24"/>
        <v>72.847.429/0001-20</v>
      </c>
      <c r="C1588" s="12"/>
      <c r="D1588" s="3" t="s">
        <v>6133</v>
      </c>
      <c r="E1588" s="3" t="s">
        <v>6134</v>
      </c>
      <c r="F1588" s="3" t="s">
        <v>20</v>
      </c>
      <c r="G1588" s="4">
        <v>34240</v>
      </c>
      <c r="H1588" s="3" t="s">
        <v>21</v>
      </c>
      <c r="I1588" s="3" t="s">
        <v>33</v>
      </c>
      <c r="J1588" s="5">
        <v>1000000</v>
      </c>
      <c r="K1588" s="3">
        <v>1323500</v>
      </c>
      <c r="L1588" s="3" t="s">
        <v>6135</v>
      </c>
      <c r="M1588" s="3" t="s">
        <v>6136</v>
      </c>
      <c r="N1588" s="3">
        <v>4001</v>
      </c>
      <c r="P1588" s="3" t="s">
        <v>6137</v>
      </c>
      <c r="Q1588" s="3" t="s">
        <v>488</v>
      </c>
      <c r="R1588" s="3" t="s">
        <v>28</v>
      </c>
      <c r="S1588" s="3">
        <v>13281672</v>
      </c>
      <c r="T1588" s="3">
        <v>1938782073</v>
      </c>
      <c r="U1588" s="3" t="s">
        <v>29</v>
      </c>
    </row>
    <row r="1589" spans="1:21" ht="13.2" x14ac:dyDescent="0.25">
      <c r="A1589" s="14">
        <v>10463951000150</v>
      </c>
      <c r="B1589" s="15" t="str">
        <f t="shared" si="24"/>
        <v>10.463.951/0001-50</v>
      </c>
      <c r="C1589" s="12" t="str">
        <f>VLOOKUP(B1589,[1]Planilha1!$A:$B,2,0)</f>
        <v>Malu Montesino</v>
      </c>
      <c r="D1589" s="3" t="s">
        <v>6138</v>
      </c>
      <c r="E1589" s="3" t="s">
        <v>6139</v>
      </c>
      <c r="F1589" s="3" t="s">
        <v>20</v>
      </c>
      <c r="G1589" s="4">
        <v>39755</v>
      </c>
      <c r="H1589" s="3" t="s">
        <v>94</v>
      </c>
      <c r="I1589" s="3" t="s">
        <v>33</v>
      </c>
      <c r="J1589" s="5">
        <v>31001338</v>
      </c>
      <c r="K1589" s="3">
        <v>4652400</v>
      </c>
      <c r="L1589" s="3" t="s">
        <v>1031</v>
      </c>
      <c r="M1589" s="3" t="s">
        <v>6140</v>
      </c>
      <c r="N1589" s="3">
        <v>5000</v>
      </c>
      <c r="O1589" s="3" t="s">
        <v>6141</v>
      </c>
      <c r="P1589" s="3" t="s">
        <v>388</v>
      </c>
      <c r="Q1589" s="3" t="s">
        <v>6142</v>
      </c>
      <c r="R1589" s="3" t="s">
        <v>91</v>
      </c>
      <c r="S1589" s="3">
        <v>88210000</v>
      </c>
      <c r="T1589" s="3">
        <v>4931192000</v>
      </c>
      <c r="U1589" s="3" t="s">
        <v>29</v>
      </c>
    </row>
    <row r="1590" spans="1:21" ht="13.2" x14ac:dyDescent="0.25">
      <c r="A1590" s="14">
        <v>4176791000166</v>
      </c>
      <c r="B1590" s="15" t="str">
        <f t="shared" si="24"/>
        <v>04.176.791/0001-66</v>
      </c>
      <c r="C1590" s="12"/>
      <c r="D1590" s="3" t="s">
        <v>6143</v>
      </c>
      <c r="E1590" s="3" t="s">
        <v>6144</v>
      </c>
      <c r="F1590" s="3" t="s">
        <v>20</v>
      </c>
      <c r="G1590" s="4">
        <v>36865</v>
      </c>
      <c r="H1590" s="3" t="s">
        <v>21</v>
      </c>
      <c r="I1590" s="3" t="s">
        <v>33</v>
      </c>
      <c r="J1590" s="5">
        <v>135427550</v>
      </c>
      <c r="K1590" s="3">
        <v>1621800</v>
      </c>
      <c r="L1590" s="3" t="s">
        <v>4817</v>
      </c>
      <c r="M1590" s="3" t="s">
        <v>6145</v>
      </c>
      <c r="N1590" s="3">
        <v>1001</v>
      </c>
      <c r="O1590" s="3" t="s">
        <v>6146</v>
      </c>
      <c r="P1590" s="3" t="s">
        <v>70</v>
      </c>
      <c r="Q1590" s="3" t="s">
        <v>437</v>
      </c>
      <c r="R1590" s="3" t="s">
        <v>53</v>
      </c>
      <c r="S1590" s="3">
        <v>90020007</v>
      </c>
      <c r="T1590" s="3">
        <v>512116444</v>
      </c>
      <c r="U1590" s="3" t="s">
        <v>29</v>
      </c>
    </row>
    <row r="1591" spans="1:21" ht="13.2" x14ac:dyDescent="0.25">
      <c r="A1591" s="14">
        <v>60643228000121</v>
      </c>
      <c r="B1591" s="15" t="str">
        <f t="shared" si="24"/>
        <v>60.643.228/0001-21</v>
      </c>
      <c r="C1591" s="12"/>
      <c r="D1591" s="3" t="s">
        <v>6147</v>
      </c>
      <c r="E1591" s="3" t="s">
        <v>6147</v>
      </c>
      <c r="F1591" s="3" t="s">
        <v>45</v>
      </c>
      <c r="G1591" s="4">
        <v>24329</v>
      </c>
      <c r="H1591" s="3" t="s">
        <v>377</v>
      </c>
      <c r="I1591" s="3" t="s">
        <v>33</v>
      </c>
      <c r="J1591" s="5">
        <v>9740777000</v>
      </c>
      <c r="K1591" s="3">
        <v>1710900</v>
      </c>
      <c r="L1591" s="3" t="s">
        <v>2683</v>
      </c>
      <c r="M1591" s="3" t="s">
        <v>6148</v>
      </c>
      <c r="N1591" s="3">
        <v>302</v>
      </c>
      <c r="O1591" s="3" t="s">
        <v>6149</v>
      </c>
      <c r="P1591" s="3" t="s">
        <v>316</v>
      </c>
      <c r="Q1591" s="3" t="s">
        <v>27</v>
      </c>
      <c r="R1591" s="3" t="s">
        <v>28</v>
      </c>
      <c r="S1591" s="3">
        <v>4551010</v>
      </c>
      <c r="T1591" s="3">
        <v>1121384000</v>
      </c>
      <c r="U1591" s="3" t="s">
        <v>29</v>
      </c>
    </row>
    <row r="1592" spans="1:21" ht="13.2" x14ac:dyDescent="0.25">
      <c r="A1592" s="14">
        <v>2055214000190</v>
      </c>
      <c r="B1592" s="15" t="str">
        <f t="shared" si="24"/>
        <v>02.055.214/0001-90</v>
      </c>
      <c r="C1592" s="12"/>
      <c r="D1592" s="3" t="s">
        <v>6150</v>
      </c>
      <c r="E1592" s="3" t="s">
        <v>6150</v>
      </c>
      <c r="F1592" s="3" t="s">
        <v>20</v>
      </c>
      <c r="G1592" s="4">
        <v>35664</v>
      </c>
      <c r="H1592" s="3" t="s">
        <v>21</v>
      </c>
      <c r="I1592" s="3" t="s">
        <v>33</v>
      </c>
      <c r="J1592" s="5">
        <v>0</v>
      </c>
      <c r="K1592" s="3">
        <v>7210000</v>
      </c>
      <c r="L1592" s="3" t="s">
        <v>4111</v>
      </c>
      <c r="M1592" s="3" t="s">
        <v>2421</v>
      </c>
      <c r="N1592" s="3">
        <v>4600</v>
      </c>
      <c r="O1592" s="3" t="s">
        <v>6151</v>
      </c>
      <c r="P1592" s="3" t="s">
        <v>6152</v>
      </c>
      <c r="Q1592" s="3" t="s">
        <v>2423</v>
      </c>
      <c r="R1592" s="3" t="s">
        <v>187</v>
      </c>
      <c r="S1592" s="3">
        <v>86200000</v>
      </c>
      <c r="T1592" s="3">
        <v>4333725200</v>
      </c>
      <c r="U1592" s="3" t="s">
        <v>29</v>
      </c>
    </row>
    <row r="1593" spans="1:21" ht="13.2" x14ac:dyDescent="0.25">
      <c r="A1593" s="14">
        <v>10501340000150</v>
      </c>
      <c r="B1593" s="15" t="str">
        <f t="shared" si="24"/>
        <v>10.501.340/0001-50</v>
      </c>
      <c r="C1593" s="12"/>
      <c r="D1593" s="3" t="s">
        <v>6153</v>
      </c>
      <c r="E1593" s="3" t="s">
        <v>6154</v>
      </c>
      <c r="F1593" s="3" t="s">
        <v>45</v>
      </c>
      <c r="G1593" s="4">
        <v>39773</v>
      </c>
      <c r="H1593" s="3" t="s">
        <v>21</v>
      </c>
      <c r="I1593" s="3" t="s">
        <v>22</v>
      </c>
      <c r="J1593" s="5">
        <v>100000</v>
      </c>
      <c r="K1593" s="3">
        <v>4120400</v>
      </c>
      <c r="L1593" s="3" t="s">
        <v>87</v>
      </c>
      <c r="M1593" s="3" t="s">
        <v>6155</v>
      </c>
      <c r="N1593" s="3">
        <v>69</v>
      </c>
      <c r="P1593" s="3" t="s">
        <v>6156</v>
      </c>
      <c r="Q1593" s="3" t="s">
        <v>3461</v>
      </c>
      <c r="R1593" s="3" t="s">
        <v>765</v>
      </c>
      <c r="S1593" s="3">
        <v>29105690</v>
      </c>
      <c r="T1593" s="3">
        <v>2788496405</v>
      </c>
      <c r="U1593" s="3" t="s">
        <v>29</v>
      </c>
    </row>
    <row r="1594" spans="1:21" ht="13.2" x14ac:dyDescent="0.25">
      <c r="A1594" s="14">
        <v>11235808000174</v>
      </c>
      <c r="B1594" s="15" t="str">
        <f t="shared" si="24"/>
        <v>11.235.808/0001-74</v>
      </c>
      <c r="C1594" s="12"/>
      <c r="D1594" s="3" t="s">
        <v>6157</v>
      </c>
      <c r="E1594" s="3" t="s">
        <v>6158</v>
      </c>
      <c r="F1594" s="3" t="s">
        <v>20</v>
      </c>
      <c r="G1594" s="4">
        <v>40059</v>
      </c>
      <c r="H1594" s="3" t="s">
        <v>21</v>
      </c>
      <c r="I1594" s="3" t="s">
        <v>33</v>
      </c>
      <c r="J1594" s="5">
        <v>30000</v>
      </c>
      <c r="K1594" s="3">
        <v>2854200</v>
      </c>
      <c r="L1594" s="3" t="s">
        <v>5124</v>
      </c>
      <c r="M1594" s="3" t="s">
        <v>6159</v>
      </c>
      <c r="N1594" s="3">
        <v>135</v>
      </c>
      <c r="O1594" s="3" t="s">
        <v>6160</v>
      </c>
      <c r="P1594" s="3" t="s">
        <v>1480</v>
      </c>
      <c r="Q1594" s="3" t="s">
        <v>3346</v>
      </c>
      <c r="R1594" s="3" t="s">
        <v>28</v>
      </c>
      <c r="S1594" s="3">
        <v>14170340</v>
      </c>
      <c r="T1594" s="3">
        <v>1635110900</v>
      </c>
      <c r="U1594" s="3" t="s">
        <v>29</v>
      </c>
    </row>
    <row r="1595" spans="1:21" ht="13.2" x14ac:dyDescent="0.25">
      <c r="A1595" s="14">
        <v>52245412000195</v>
      </c>
      <c r="B1595" s="15" t="str">
        <f t="shared" si="24"/>
        <v>52.245.412/0001-95</v>
      </c>
      <c r="C1595" s="12"/>
      <c r="D1595" s="3" t="s">
        <v>6161</v>
      </c>
      <c r="E1595" s="3" t="s">
        <v>6161</v>
      </c>
      <c r="F1595" s="3" t="s">
        <v>20</v>
      </c>
      <c r="G1595" s="4">
        <v>30320</v>
      </c>
      <c r="H1595" s="3" t="s">
        <v>21</v>
      </c>
      <c r="I1595" s="3" t="s">
        <v>22</v>
      </c>
      <c r="J1595" s="5">
        <v>600000</v>
      </c>
      <c r="K1595" s="3">
        <v>4742300</v>
      </c>
      <c r="L1595" s="3" t="s">
        <v>1152</v>
      </c>
      <c r="M1595" s="3" t="s">
        <v>784</v>
      </c>
      <c r="N1595" s="3">
        <v>294</v>
      </c>
      <c r="O1595" s="3" t="s">
        <v>6162</v>
      </c>
      <c r="P1595" s="3" t="s">
        <v>6163</v>
      </c>
      <c r="Q1595" s="3" t="s">
        <v>65</v>
      </c>
      <c r="R1595" s="3" t="s">
        <v>28</v>
      </c>
      <c r="S1595" s="3">
        <v>13075250</v>
      </c>
      <c r="T1595" s="3">
        <v>1932431948</v>
      </c>
      <c r="U1595" s="3" t="s">
        <v>29</v>
      </c>
    </row>
    <row r="1596" spans="1:21" ht="13.2" x14ac:dyDescent="0.25">
      <c r="A1596" s="14">
        <v>7601155000122</v>
      </c>
      <c r="B1596" s="15" t="str">
        <f t="shared" si="24"/>
        <v>07.601.155/0001-22</v>
      </c>
      <c r="C1596" s="12"/>
      <c r="D1596" s="3" t="s">
        <v>6164</v>
      </c>
      <c r="E1596" s="3" t="s">
        <v>6164</v>
      </c>
      <c r="F1596" s="3" t="s">
        <v>6165</v>
      </c>
      <c r="G1596" s="4">
        <v>38575</v>
      </c>
      <c r="H1596" s="3" t="s">
        <v>21</v>
      </c>
      <c r="I1596" s="3" t="s">
        <v>47</v>
      </c>
      <c r="J1596" s="5">
        <v>5000</v>
      </c>
      <c r="K1596" s="3">
        <v>4744001</v>
      </c>
      <c r="L1596" s="3" t="s">
        <v>396</v>
      </c>
      <c r="M1596" s="3" t="s">
        <v>6166</v>
      </c>
      <c r="N1596" s="3">
        <v>298</v>
      </c>
      <c r="P1596" s="3" t="s">
        <v>3584</v>
      </c>
      <c r="Q1596" s="3" t="s">
        <v>27</v>
      </c>
      <c r="R1596" s="3" t="s">
        <v>28</v>
      </c>
      <c r="S1596" s="3">
        <v>2301000</v>
      </c>
      <c r="T1596" s="3">
        <v>1169712052</v>
      </c>
      <c r="U1596" s="3" t="s">
        <v>29</v>
      </c>
    </row>
    <row r="1597" spans="1:21" ht="13.2" x14ac:dyDescent="0.25">
      <c r="A1597" s="14">
        <v>93703056000193</v>
      </c>
      <c r="B1597" s="15" t="str">
        <f t="shared" si="24"/>
        <v>93.703.056/0001-93</v>
      </c>
      <c r="C1597" s="12"/>
      <c r="D1597" s="3" t="s">
        <v>6167</v>
      </c>
      <c r="E1597" s="3" t="s">
        <v>6168</v>
      </c>
      <c r="F1597" s="3" t="s">
        <v>20</v>
      </c>
      <c r="G1597" s="4">
        <v>33120</v>
      </c>
      <c r="H1597" s="3" t="s">
        <v>21</v>
      </c>
      <c r="I1597" s="3" t="s">
        <v>33</v>
      </c>
      <c r="J1597" s="5">
        <v>5108500</v>
      </c>
      <c r="K1597" s="3">
        <v>2854200</v>
      </c>
      <c r="L1597" s="3" t="s">
        <v>5124</v>
      </c>
      <c r="M1597" s="3" t="s">
        <v>6169</v>
      </c>
      <c r="N1597" s="3">
        <v>1764</v>
      </c>
      <c r="O1597" s="3" t="s">
        <v>6170</v>
      </c>
      <c r="P1597" s="3" t="s">
        <v>1839</v>
      </c>
      <c r="Q1597" s="3" t="s">
        <v>437</v>
      </c>
      <c r="R1597" s="3" t="s">
        <v>53</v>
      </c>
      <c r="S1597" s="3">
        <v>90250140</v>
      </c>
      <c r="T1597" s="3">
        <v>5133374888</v>
      </c>
      <c r="U1597" s="3" t="s">
        <v>29</v>
      </c>
    </row>
    <row r="1598" spans="1:21" ht="13.2" x14ac:dyDescent="0.25">
      <c r="A1598" s="14">
        <v>35715234000108</v>
      </c>
      <c r="B1598" s="15" t="str">
        <f t="shared" si="24"/>
        <v>35.715.234/0001-08</v>
      </c>
      <c r="C1598" s="12" t="str">
        <f>VLOOKUP(B1598,[1]Planilha1!$A:$B,2,0)</f>
        <v>Malu Montesino</v>
      </c>
      <c r="D1598" s="3" t="s">
        <v>6171</v>
      </c>
      <c r="E1598" s="3" t="s">
        <v>6172</v>
      </c>
      <c r="F1598" s="3" t="s">
        <v>20</v>
      </c>
      <c r="G1598" s="4">
        <v>33424</v>
      </c>
      <c r="H1598" s="3" t="s">
        <v>94</v>
      </c>
      <c r="I1598" s="3" t="s">
        <v>33</v>
      </c>
      <c r="J1598" s="5">
        <v>42170450</v>
      </c>
      <c r="K1598" s="3">
        <v>4511101</v>
      </c>
      <c r="L1598" s="3" t="s">
        <v>1870</v>
      </c>
      <c r="M1598" s="3" t="s">
        <v>6173</v>
      </c>
      <c r="N1598" s="3">
        <v>220</v>
      </c>
      <c r="P1598" s="3" t="s">
        <v>4736</v>
      </c>
      <c r="Q1598" s="3" t="s">
        <v>1339</v>
      </c>
      <c r="R1598" s="3" t="s">
        <v>456</v>
      </c>
      <c r="S1598" s="3">
        <v>50720100</v>
      </c>
      <c r="T1598" s="3">
        <v>8134477776</v>
      </c>
      <c r="U1598" s="3" t="s">
        <v>29</v>
      </c>
    </row>
    <row r="1599" spans="1:21" ht="13.2" x14ac:dyDescent="0.25">
      <c r="A1599" s="14">
        <v>5276049000195</v>
      </c>
      <c r="B1599" s="15" t="str">
        <f t="shared" si="24"/>
        <v>05.276.049/0001-95</v>
      </c>
      <c r="C1599" s="12"/>
      <c r="D1599" s="3" t="s">
        <v>6174</v>
      </c>
      <c r="E1599" s="3" t="s">
        <v>6175</v>
      </c>
      <c r="F1599" s="3" t="s">
        <v>20</v>
      </c>
      <c r="G1599" s="4">
        <v>37504</v>
      </c>
      <c r="H1599" s="3" t="s">
        <v>21</v>
      </c>
      <c r="I1599" s="3" t="s">
        <v>33</v>
      </c>
      <c r="J1599" s="5">
        <v>900000</v>
      </c>
      <c r="K1599" s="3">
        <v>6204000</v>
      </c>
      <c r="L1599" s="3" t="s">
        <v>2081</v>
      </c>
      <c r="M1599" s="3" t="s">
        <v>6176</v>
      </c>
      <c r="N1599" s="3" t="s">
        <v>82</v>
      </c>
      <c r="O1599" s="3" t="s">
        <v>6177</v>
      </c>
      <c r="P1599" s="3" t="s">
        <v>2699</v>
      </c>
      <c r="Q1599" s="3" t="s">
        <v>631</v>
      </c>
      <c r="R1599" s="3" t="s">
        <v>632</v>
      </c>
      <c r="S1599" s="3">
        <v>70610410</v>
      </c>
      <c r="T1599" s="3">
        <v>6133615160</v>
      </c>
      <c r="U1599" s="3" t="s">
        <v>29</v>
      </c>
    </row>
    <row r="1600" spans="1:21" ht="13.2" x14ac:dyDescent="0.25">
      <c r="A1600" s="14">
        <v>2629588000172</v>
      </c>
      <c r="B1600" s="15" t="str">
        <f t="shared" si="24"/>
        <v>02.629.588/0001-72</v>
      </c>
      <c r="C1600" s="12" t="str">
        <f>VLOOKUP(B1600,[1]Planilha1!$A:$B,2,0)</f>
        <v>Malu Montesino</v>
      </c>
      <c r="D1600" s="3" t="s">
        <v>6178</v>
      </c>
      <c r="E1600" s="3" t="s">
        <v>6178</v>
      </c>
      <c r="F1600" s="3" t="s">
        <v>20</v>
      </c>
      <c r="G1600" s="4">
        <v>35970</v>
      </c>
      <c r="H1600" s="3" t="s">
        <v>21</v>
      </c>
      <c r="I1600" s="3" t="s">
        <v>33</v>
      </c>
      <c r="J1600" s="5">
        <v>2700000</v>
      </c>
      <c r="K1600" s="3">
        <v>4664800</v>
      </c>
      <c r="L1600" s="3" t="s">
        <v>691</v>
      </c>
      <c r="M1600" s="3" t="s">
        <v>1058</v>
      </c>
      <c r="N1600" s="3">
        <v>155</v>
      </c>
      <c r="O1600" s="3" t="s">
        <v>6179</v>
      </c>
      <c r="P1600" s="3" t="s">
        <v>6180</v>
      </c>
      <c r="Q1600" s="3" t="s">
        <v>27</v>
      </c>
      <c r="R1600" s="3" t="s">
        <v>28</v>
      </c>
      <c r="S1600" s="3">
        <v>4635000</v>
      </c>
      <c r="T1600" s="3">
        <v>1146821200</v>
      </c>
      <c r="U1600" s="3" t="s">
        <v>29</v>
      </c>
    </row>
    <row r="1601" spans="1:21" ht="13.2" x14ac:dyDescent="0.25">
      <c r="A1601" s="14">
        <v>28173993000112</v>
      </c>
      <c r="B1601" s="15" t="str">
        <f t="shared" si="24"/>
        <v>28.173.993/0001-12</v>
      </c>
      <c r="C1601" s="12" t="str">
        <f>VLOOKUP(B1601,[1]Planilha1!$A:$B,2,0)</f>
        <v>Mariane Nascimento</v>
      </c>
      <c r="D1601" s="3" t="s">
        <v>6181</v>
      </c>
      <c r="E1601" s="3" t="s">
        <v>6182</v>
      </c>
      <c r="F1601" s="3" t="s">
        <v>20</v>
      </c>
      <c r="G1601" s="4">
        <v>42920</v>
      </c>
      <c r="H1601" s="3" t="s">
        <v>21</v>
      </c>
      <c r="I1601" s="3" t="s">
        <v>22</v>
      </c>
      <c r="J1601" s="5">
        <v>10000</v>
      </c>
      <c r="K1601" s="3">
        <v>8219999</v>
      </c>
      <c r="L1601" s="3" t="s">
        <v>121</v>
      </c>
      <c r="M1601" s="3" t="s">
        <v>6183</v>
      </c>
      <c r="N1601" s="3">
        <v>73</v>
      </c>
      <c r="P1601" s="3" t="s">
        <v>5730</v>
      </c>
      <c r="Q1601" s="3" t="s">
        <v>204</v>
      </c>
      <c r="R1601" s="3" t="s">
        <v>187</v>
      </c>
      <c r="S1601" s="3">
        <v>80045060</v>
      </c>
      <c r="T1601" s="3">
        <v>4131212758</v>
      </c>
      <c r="U1601" s="3" t="s">
        <v>29</v>
      </c>
    </row>
    <row r="1602" spans="1:21" ht="13.2" x14ac:dyDescent="0.25">
      <c r="A1602" s="14">
        <v>4689134000112</v>
      </c>
      <c r="B1602" s="15" t="str">
        <f t="shared" si="24"/>
        <v>04.689.134/0001-12</v>
      </c>
      <c r="C1602" s="12"/>
      <c r="D1602" s="3" t="s">
        <v>6184</v>
      </c>
      <c r="E1602" s="3" t="s">
        <v>6185</v>
      </c>
      <c r="F1602" s="3" t="s">
        <v>20</v>
      </c>
      <c r="G1602" s="4">
        <v>37160</v>
      </c>
      <c r="H1602" s="3" t="s">
        <v>21</v>
      </c>
      <c r="I1602" s="3" t="s">
        <v>33</v>
      </c>
      <c r="J1602" s="5">
        <v>1712849</v>
      </c>
      <c r="K1602" s="3">
        <v>4645101</v>
      </c>
      <c r="L1602" s="3" t="s">
        <v>135</v>
      </c>
      <c r="M1602" s="3" t="s">
        <v>6186</v>
      </c>
      <c r="N1602" s="3">
        <v>277</v>
      </c>
      <c r="O1602" s="3" t="s">
        <v>6187</v>
      </c>
      <c r="P1602" s="3" t="s">
        <v>3565</v>
      </c>
      <c r="Q1602" s="3" t="s">
        <v>27</v>
      </c>
      <c r="R1602" s="3" t="s">
        <v>28</v>
      </c>
      <c r="S1602" s="3">
        <v>4004000</v>
      </c>
      <c r="T1602" s="3">
        <v>1130933900</v>
      </c>
      <c r="U1602" s="3" t="s">
        <v>29</v>
      </c>
    </row>
    <row r="1603" spans="1:21" ht="13.2" x14ac:dyDescent="0.25">
      <c r="A1603" s="14">
        <v>55088157000102</v>
      </c>
      <c r="B1603" s="15" t="str">
        <f t="shared" ref="B1603:B1666" si="25">TEXT(A1603,"00\.000\.000\/0000\-00")</f>
        <v>55.088.157/0001-02</v>
      </c>
      <c r="C1603" s="12"/>
      <c r="D1603" s="3" t="s">
        <v>6188</v>
      </c>
      <c r="E1603" s="3" t="s">
        <v>6189</v>
      </c>
      <c r="F1603" s="3" t="s">
        <v>20</v>
      </c>
      <c r="G1603" s="4">
        <v>31341</v>
      </c>
      <c r="H1603" s="3" t="s">
        <v>94</v>
      </c>
      <c r="I1603" s="3" t="s">
        <v>33</v>
      </c>
      <c r="J1603" s="5">
        <v>141900000</v>
      </c>
      <c r="K1603" s="3">
        <v>3102100</v>
      </c>
      <c r="L1603" s="3" t="s">
        <v>2301</v>
      </c>
      <c r="M1603" s="3" t="s">
        <v>6190</v>
      </c>
      <c r="N1603" s="3" t="s">
        <v>111</v>
      </c>
      <c r="O1603" s="3" t="s">
        <v>6191</v>
      </c>
      <c r="P1603" s="3" t="s">
        <v>6192</v>
      </c>
      <c r="Q1603" s="3" t="s">
        <v>6193</v>
      </c>
      <c r="R1603" s="3" t="s">
        <v>28</v>
      </c>
      <c r="S1603" s="3">
        <v>17255755</v>
      </c>
      <c r="T1603" s="3">
        <v>1436629036</v>
      </c>
      <c r="U1603" s="3" t="s">
        <v>29</v>
      </c>
    </row>
    <row r="1604" spans="1:21" ht="13.2" x14ac:dyDescent="0.25">
      <c r="A1604" s="14">
        <v>3971113000122</v>
      </c>
      <c r="B1604" s="15" t="str">
        <f t="shared" si="25"/>
        <v>03.971.113/0001-22</v>
      </c>
      <c r="C1604" s="12"/>
      <c r="D1604" s="3" t="s">
        <v>6194</v>
      </c>
      <c r="E1604" s="3" t="s">
        <v>6195</v>
      </c>
      <c r="F1604" s="3" t="s">
        <v>20</v>
      </c>
      <c r="G1604" s="4">
        <v>36648</v>
      </c>
      <c r="H1604" s="3" t="s">
        <v>21</v>
      </c>
      <c r="I1604" s="3" t="s">
        <v>33</v>
      </c>
      <c r="J1604" s="5">
        <v>10800000</v>
      </c>
      <c r="K1604" s="3">
        <v>2813500</v>
      </c>
      <c r="L1604" s="3" t="s">
        <v>1383</v>
      </c>
      <c r="M1604" s="3" t="s">
        <v>6196</v>
      </c>
      <c r="N1604" s="3">
        <v>280</v>
      </c>
      <c r="P1604" s="3" t="s">
        <v>6197</v>
      </c>
      <c r="Q1604" s="3" t="s">
        <v>6198</v>
      </c>
      <c r="R1604" s="3" t="s">
        <v>28</v>
      </c>
      <c r="S1604" s="3">
        <v>8900000</v>
      </c>
      <c r="T1604" s="3">
        <v>1123455890</v>
      </c>
      <c r="U1604" s="3" t="s">
        <v>29</v>
      </c>
    </row>
    <row r="1605" spans="1:21" ht="13.2" x14ac:dyDescent="0.25">
      <c r="A1605" s="14">
        <v>27515589000117</v>
      </c>
      <c r="B1605" s="15" t="str">
        <f t="shared" si="25"/>
        <v>27.515.589/0001-17</v>
      </c>
      <c r="C1605" s="12"/>
      <c r="D1605" s="3" t="s">
        <v>6199</v>
      </c>
      <c r="E1605" s="3" t="s">
        <v>6200</v>
      </c>
      <c r="F1605" s="3" t="s">
        <v>45</v>
      </c>
      <c r="G1605" s="4">
        <v>42836</v>
      </c>
      <c r="H1605" s="3" t="s">
        <v>1329</v>
      </c>
      <c r="I1605" s="3" t="s">
        <v>47</v>
      </c>
      <c r="J1605" s="5">
        <v>93700</v>
      </c>
      <c r="K1605" s="3">
        <v>6201501</v>
      </c>
      <c r="L1605" s="3" t="s">
        <v>298</v>
      </c>
      <c r="M1605" s="3" t="s">
        <v>6201</v>
      </c>
      <c r="N1605" s="3">
        <v>205</v>
      </c>
      <c r="P1605" s="3" t="s">
        <v>6202</v>
      </c>
      <c r="Q1605" s="3" t="s">
        <v>6203</v>
      </c>
      <c r="R1605" s="3" t="s">
        <v>28</v>
      </c>
      <c r="S1605" s="3">
        <v>14180000</v>
      </c>
      <c r="T1605" s="3">
        <v>1137686523</v>
      </c>
      <c r="U1605" s="3" t="s">
        <v>29</v>
      </c>
    </row>
    <row r="1606" spans="1:21" ht="13.2" x14ac:dyDescent="0.25">
      <c r="A1606" s="14">
        <v>484195000192</v>
      </c>
      <c r="B1606" s="15" t="str">
        <f t="shared" si="25"/>
        <v>00.484.195/0001-92</v>
      </c>
      <c r="C1606" s="12"/>
      <c r="D1606" s="3" t="s">
        <v>6204</v>
      </c>
      <c r="E1606" s="3" t="s">
        <v>6205</v>
      </c>
      <c r="F1606" s="3" t="s">
        <v>20</v>
      </c>
      <c r="G1606" s="4">
        <v>34768</v>
      </c>
      <c r="H1606" s="3" t="s">
        <v>21</v>
      </c>
      <c r="I1606" s="3" t="s">
        <v>33</v>
      </c>
      <c r="J1606" s="5">
        <v>2000000</v>
      </c>
      <c r="K1606" s="3">
        <v>2539001</v>
      </c>
      <c r="L1606" s="3" t="s">
        <v>1012</v>
      </c>
      <c r="M1606" s="3" t="s">
        <v>6206</v>
      </c>
      <c r="N1606" s="3">
        <v>306</v>
      </c>
      <c r="P1606" s="3" t="s">
        <v>4559</v>
      </c>
      <c r="Q1606" s="3" t="s">
        <v>357</v>
      </c>
      <c r="R1606" s="3" t="s">
        <v>28</v>
      </c>
      <c r="S1606" s="3">
        <v>7176040</v>
      </c>
      <c r="T1606" s="3">
        <v>1120889800</v>
      </c>
      <c r="U1606" s="3" t="s">
        <v>29</v>
      </c>
    </row>
    <row r="1607" spans="1:21" ht="13.2" x14ac:dyDescent="0.25">
      <c r="A1607" s="14">
        <v>60840055000131</v>
      </c>
      <c r="B1607" s="15" t="str">
        <f t="shared" si="25"/>
        <v>60.840.055/0001-31</v>
      </c>
      <c r="C1607" s="12"/>
      <c r="D1607" s="3" t="s">
        <v>6207</v>
      </c>
      <c r="E1607" s="3" t="s">
        <v>6208</v>
      </c>
      <c r="F1607" s="3" t="s">
        <v>20</v>
      </c>
      <c r="G1607" s="4">
        <v>24307</v>
      </c>
      <c r="H1607" s="3" t="s">
        <v>377</v>
      </c>
      <c r="I1607" s="3" t="s">
        <v>33</v>
      </c>
      <c r="J1607" s="5">
        <v>2762949600</v>
      </c>
      <c r="K1607" s="3">
        <v>8640202</v>
      </c>
      <c r="L1607" s="3" t="s">
        <v>6209</v>
      </c>
      <c r="M1607" s="3" t="s">
        <v>834</v>
      </c>
      <c r="N1607" s="3">
        <v>8860</v>
      </c>
      <c r="O1607" s="3" t="s">
        <v>6210</v>
      </c>
      <c r="P1607" s="3" t="s">
        <v>2235</v>
      </c>
      <c r="Q1607" s="3" t="s">
        <v>27</v>
      </c>
      <c r="R1607" s="3" t="s">
        <v>28</v>
      </c>
      <c r="S1607" s="3">
        <v>4703003</v>
      </c>
      <c r="T1607" s="3">
        <v>1150143559</v>
      </c>
      <c r="U1607" s="3" t="s">
        <v>29</v>
      </c>
    </row>
    <row r="1608" spans="1:21" ht="13.2" x14ac:dyDescent="0.25">
      <c r="A1608" s="14">
        <v>17948499000166</v>
      </c>
      <c r="B1608" s="15" t="str">
        <f t="shared" si="25"/>
        <v>17.948.499/0001-66</v>
      </c>
      <c r="C1608" s="12"/>
      <c r="D1608" s="3" t="s">
        <v>6211</v>
      </c>
      <c r="E1608" s="3" t="s">
        <v>6212</v>
      </c>
      <c r="F1608" s="3" t="s">
        <v>20</v>
      </c>
      <c r="G1608" s="4">
        <v>41381</v>
      </c>
      <c r="H1608" s="3" t="s">
        <v>21</v>
      </c>
      <c r="I1608" s="3" t="s">
        <v>47</v>
      </c>
      <c r="J1608" s="5">
        <v>50000</v>
      </c>
      <c r="K1608" s="3">
        <v>1821100</v>
      </c>
      <c r="L1608" s="3" t="s">
        <v>3504</v>
      </c>
      <c r="M1608" s="3" t="s">
        <v>6213</v>
      </c>
      <c r="N1608" s="3">
        <v>74</v>
      </c>
      <c r="P1608" s="3" t="s">
        <v>248</v>
      </c>
      <c r="Q1608" s="3" t="s">
        <v>262</v>
      </c>
      <c r="R1608" s="3" t="s">
        <v>28</v>
      </c>
      <c r="S1608" s="3">
        <v>6070170</v>
      </c>
      <c r="T1608" s="3">
        <v>1136816274</v>
      </c>
      <c r="U1608" s="3" t="s">
        <v>29</v>
      </c>
    </row>
    <row r="1609" spans="1:21" ht="13.2" x14ac:dyDescent="0.25">
      <c r="A1609" s="14">
        <v>11472645000143</v>
      </c>
      <c r="B1609" s="15" t="str">
        <f t="shared" si="25"/>
        <v>11.472.645/0001-43</v>
      </c>
      <c r="C1609" s="12"/>
      <c r="D1609" s="3" t="s">
        <v>6214</v>
      </c>
      <c r="E1609" s="3" t="s">
        <v>6214</v>
      </c>
      <c r="F1609" s="3" t="s">
        <v>20</v>
      </c>
      <c r="G1609" s="4">
        <v>40186</v>
      </c>
      <c r="H1609" s="3" t="s">
        <v>21</v>
      </c>
      <c r="I1609" s="3" t="s">
        <v>22</v>
      </c>
      <c r="J1609" s="5">
        <v>700000</v>
      </c>
      <c r="K1609" s="3">
        <v>4329103</v>
      </c>
      <c r="L1609" s="3" t="s">
        <v>4193</v>
      </c>
      <c r="M1609" s="3" t="s">
        <v>6215</v>
      </c>
      <c r="N1609" s="3">
        <v>12</v>
      </c>
      <c r="P1609" s="3" t="s">
        <v>6216</v>
      </c>
      <c r="Q1609" s="3" t="s">
        <v>929</v>
      </c>
      <c r="R1609" s="3" t="s">
        <v>28</v>
      </c>
      <c r="S1609" s="3">
        <v>6502045</v>
      </c>
      <c r="T1609" s="3">
        <v>1141546120</v>
      </c>
      <c r="U1609" s="3" t="s">
        <v>29</v>
      </c>
    </row>
    <row r="1610" spans="1:21" ht="13.2" x14ac:dyDescent="0.25">
      <c r="A1610" s="14">
        <v>49058654000165</v>
      </c>
      <c r="B1610" s="15" t="str">
        <f t="shared" si="25"/>
        <v>49.058.654/0001-65</v>
      </c>
      <c r="C1610" s="12"/>
      <c r="D1610" s="3" t="s">
        <v>6217</v>
      </c>
      <c r="E1610" s="3" t="s">
        <v>6218</v>
      </c>
      <c r="F1610" s="3" t="s">
        <v>20</v>
      </c>
      <c r="G1610" s="4">
        <v>25771</v>
      </c>
      <c r="H1610" s="3" t="s">
        <v>21</v>
      </c>
      <c r="I1610" s="3" t="s">
        <v>33</v>
      </c>
      <c r="J1610" s="5">
        <v>16000000</v>
      </c>
      <c r="K1610" s="3">
        <v>3102100</v>
      </c>
      <c r="L1610" s="3" t="s">
        <v>2301</v>
      </c>
      <c r="M1610" s="3" t="s">
        <v>6219</v>
      </c>
      <c r="N1610" s="3">
        <v>1849</v>
      </c>
      <c r="P1610" s="3" t="s">
        <v>406</v>
      </c>
      <c r="Q1610" s="3" t="s">
        <v>357</v>
      </c>
      <c r="R1610" s="3" t="s">
        <v>28</v>
      </c>
      <c r="S1610" s="3">
        <v>7170350</v>
      </c>
      <c r="T1610" s="3">
        <v>1124315509</v>
      </c>
      <c r="U1610" s="3" t="s">
        <v>29</v>
      </c>
    </row>
    <row r="1611" spans="1:21" ht="13.2" x14ac:dyDescent="0.25">
      <c r="A1611" s="14">
        <v>4869711000158</v>
      </c>
      <c r="B1611" s="15" t="str">
        <f t="shared" si="25"/>
        <v>04.869.711/0001-58</v>
      </c>
      <c r="C1611" s="12"/>
      <c r="D1611" s="3" t="s">
        <v>6220</v>
      </c>
      <c r="E1611" s="3" t="s">
        <v>6221</v>
      </c>
      <c r="F1611" s="3" t="s">
        <v>20</v>
      </c>
      <c r="G1611" s="4">
        <v>37280</v>
      </c>
      <c r="H1611" s="3" t="s">
        <v>21</v>
      </c>
      <c r="I1611" s="3" t="s">
        <v>33</v>
      </c>
      <c r="J1611" s="5">
        <v>5000000</v>
      </c>
      <c r="K1611" s="3">
        <v>3101200</v>
      </c>
      <c r="L1611" s="3" t="s">
        <v>359</v>
      </c>
      <c r="M1611" s="3">
        <v>13</v>
      </c>
      <c r="N1611" s="3" t="s">
        <v>82</v>
      </c>
      <c r="O1611" s="3" t="s">
        <v>6222</v>
      </c>
      <c r="P1611" s="3" t="s">
        <v>6223</v>
      </c>
      <c r="Q1611" s="3" t="s">
        <v>573</v>
      </c>
      <c r="R1611" s="3" t="s">
        <v>274</v>
      </c>
      <c r="S1611" s="3">
        <v>74985174</v>
      </c>
      <c r="T1611" s="3">
        <v>6236255222</v>
      </c>
      <c r="U1611" s="3" t="s">
        <v>29</v>
      </c>
    </row>
    <row r="1612" spans="1:21" ht="13.2" x14ac:dyDescent="0.25">
      <c r="A1612" s="14">
        <v>7204578000109</v>
      </c>
      <c r="B1612" s="15" t="str">
        <f t="shared" si="25"/>
        <v>07.204.578/0001-09</v>
      </c>
      <c r="C1612" s="12" t="str">
        <f>VLOOKUP(B1612,[1]Planilha1!$A:$B,2,0)</f>
        <v>Malu Montesino</v>
      </c>
      <c r="D1612" s="3" t="s">
        <v>6224</v>
      </c>
      <c r="E1612" s="3" t="s">
        <v>6225</v>
      </c>
      <c r="F1612" s="3" t="s">
        <v>20</v>
      </c>
      <c r="G1612" s="4">
        <v>38356</v>
      </c>
      <c r="H1612" s="3" t="s">
        <v>21</v>
      </c>
      <c r="I1612" s="3" t="s">
        <v>33</v>
      </c>
      <c r="J1612" s="5">
        <v>851802</v>
      </c>
      <c r="K1612" s="3">
        <v>4669999</v>
      </c>
      <c r="L1612" s="3" t="s">
        <v>558</v>
      </c>
      <c r="M1612" s="3" t="s">
        <v>1400</v>
      </c>
      <c r="N1612" s="3">
        <v>320</v>
      </c>
      <c r="P1612" s="3" t="s">
        <v>6226</v>
      </c>
      <c r="Q1612" s="3" t="s">
        <v>231</v>
      </c>
      <c r="R1612" s="3" t="s">
        <v>28</v>
      </c>
      <c r="S1612" s="3">
        <v>18085852</v>
      </c>
      <c r="T1612" s="3">
        <v>1532388070</v>
      </c>
      <c r="U1612" s="3" t="s">
        <v>29</v>
      </c>
    </row>
    <row r="1613" spans="1:21" ht="13.2" x14ac:dyDescent="0.25">
      <c r="A1613" s="14">
        <v>11852585000194</v>
      </c>
      <c r="B1613" s="15" t="str">
        <f t="shared" si="25"/>
        <v>11.852.585/0001-94</v>
      </c>
      <c r="C1613" s="12"/>
      <c r="D1613" s="3" t="s">
        <v>6227</v>
      </c>
      <c r="E1613" s="3" t="s">
        <v>6227</v>
      </c>
      <c r="F1613" s="3" t="s">
        <v>20</v>
      </c>
      <c r="G1613" s="4">
        <v>40287</v>
      </c>
      <c r="H1613" s="3" t="s">
        <v>21</v>
      </c>
      <c r="I1613" s="3" t="s">
        <v>33</v>
      </c>
      <c r="J1613" s="5">
        <v>159712940</v>
      </c>
      <c r="K1613" s="3">
        <v>8219999</v>
      </c>
      <c r="L1613" s="3" t="s">
        <v>121</v>
      </c>
      <c r="M1613" s="3" t="s">
        <v>6228</v>
      </c>
      <c r="N1613" s="3">
        <v>120</v>
      </c>
      <c r="O1613" s="3" t="s">
        <v>6229</v>
      </c>
      <c r="P1613" s="3" t="s">
        <v>3402</v>
      </c>
      <c r="Q1613" s="3" t="s">
        <v>27</v>
      </c>
      <c r="R1613" s="3" t="s">
        <v>28</v>
      </c>
      <c r="S1613" s="3">
        <v>5501050</v>
      </c>
      <c r="T1613" s="3">
        <v>1136231038</v>
      </c>
      <c r="U1613" s="3" t="s">
        <v>29</v>
      </c>
    </row>
    <row r="1614" spans="1:21" ht="13.2" x14ac:dyDescent="0.25">
      <c r="A1614" s="14">
        <v>9256139000175</v>
      </c>
      <c r="B1614" s="15" t="str">
        <f t="shared" si="25"/>
        <v>09.256.139/0001-75</v>
      </c>
      <c r="C1614" s="12"/>
      <c r="D1614" s="3" t="s">
        <v>6230</v>
      </c>
      <c r="E1614" s="3" t="s">
        <v>6231</v>
      </c>
      <c r="F1614" s="3" t="s">
        <v>20</v>
      </c>
      <c r="G1614" s="4">
        <v>39414</v>
      </c>
      <c r="H1614" s="3" t="s">
        <v>21</v>
      </c>
      <c r="I1614" s="3" t="s">
        <v>33</v>
      </c>
      <c r="J1614" s="5">
        <v>75000000</v>
      </c>
      <c r="K1614" s="3">
        <v>1621800</v>
      </c>
      <c r="L1614" s="3" t="s">
        <v>4817</v>
      </c>
      <c r="M1614" s="3" t="s">
        <v>6232</v>
      </c>
      <c r="N1614" s="3" t="s">
        <v>82</v>
      </c>
      <c r="O1614" s="3" t="s">
        <v>6233</v>
      </c>
      <c r="P1614" s="3" t="s">
        <v>610</v>
      </c>
      <c r="Q1614" s="3" t="s">
        <v>6234</v>
      </c>
      <c r="R1614" s="3" t="s">
        <v>792</v>
      </c>
      <c r="S1614" s="3">
        <v>68627400</v>
      </c>
      <c r="T1614" s="3">
        <v>9137294697</v>
      </c>
      <c r="U1614" s="3" t="s">
        <v>29</v>
      </c>
    </row>
    <row r="1615" spans="1:21" ht="13.2" x14ac:dyDescent="0.25">
      <c r="A1615" s="14">
        <v>15245069000152</v>
      </c>
      <c r="B1615" s="15" t="str">
        <f t="shared" si="25"/>
        <v>15.245.069/0001-52</v>
      </c>
      <c r="C1615" s="12"/>
      <c r="D1615" s="3" t="s">
        <v>6235</v>
      </c>
      <c r="E1615" s="3" t="s">
        <v>6236</v>
      </c>
      <c r="F1615" s="3" t="s">
        <v>20</v>
      </c>
      <c r="G1615" s="4">
        <v>40990</v>
      </c>
      <c r="H1615" s="3" t="s">
        <v>21</v>
      </c>
      <c r="I1615" s="3" t="s">
        <v>47</v>
      </c>
      <c r="J1615" s="5">
        <v>1500000</v>
      </c>
      <c r="K1615" s="3">
        <v>3312102</v>
      </c>
      <c r="L1615" s="3" t="s">
        <v>3184</v>
      </c>
      <c r="M1615" s="3" t="s">
        <v>6237</v>
      </c>
      <c r="N1615" s="3">
        <v>615</v>
      </c>
      <c r="P1615" s="3" t="s">
        <v>6238</v>
      </c>
      <c r="Q1615" s="3" t="s">
        <v>667</v>
      </c>
      <c r="R1615" s="3" t="s">
        <v>301</v>
      </c>
      <c r="S1615" s="3">
        <v>60864205</v>
      </c>
      <c r="T1615" s="3">
        <v>8532928606</v>
      </c>
      <c r="U1615" s="3" t="s">
        <v>29</v>
      </c>
    </row>
    <row r="1616" spans="1:21" ht="13.2" x14ac:dyDescent="0.25">
      <c r="A1616" s="14">
        <v>33273681000110</v>
      </c>
      <c r="B1616" s="15" t="str">
        <f t="shared" si="25"/>
        <v>33.273.681/0001-10</v>
      </c>
      <c r="C1616" s="12"/>
      <c r="D1616" s="3" t="s">
        <v>6239</v>
      </c>
      <c r="E1616" s="3" t="s">
        <v>6239</v>
      </c>
      <c r="F1616" s="3" t="s">
        <v>20</v>
      </c>
      <c r="G1616" s="4">
        <v>24356</v>
      </c>
      <c r="H1616" s="3" t="s">
        <v>21</v>
      </c>
      <c r="I1616" s="3" t="s">
        <v>33</v>
      </c>
      <c r="J1616" s="5">
        <v>195221810</v>
      </c>
      <c r="K1616" s="3">
        <v>2829199</v>
      </c>
      <c r="L1616" s="3" t="s">
        <v>1514</v>
      </c>
      <c r="M1616" s="3" t="s">
        <v>4262</v>
      </c>
      <c r="N1616" s="3">
        <v>1975</v>
      </c>
      <c r="P1616" s="3" t="s">
        <v>1141</v>
      </c>
      <c r="Q1616" s="3" t="s">
        <v>253</v>
      </c>
      <c r="R1616" s="3" t="s">
        <v>78</v>
      </c>
      <c r="S1616" s="3">
        <v>23078450</v>
      </c>
      <c r="T1616" s="3">
        <v>1121696396</v>
      </c>
      <c r="U1616" s="3" t="s">
        <v>29</v>
      </c>
    </row>
    <row r="1617" spans="1:21" ht="13.2" x14ac:dyDescent="0.25">
      <c r="A1617" s="14">
        <v>2370758000147</v>
      </c>
      <c r="B1617" s="15" t="str">
        <f t="shared" si="25"/>
        <v>02.370.758/0001-47</v>
      </c>
      <c r="C1617" s="12" t="str">
        <f>VLOOKUP(B1617,[1]Planilha1!$A:$B,2,0)</f>
        <v>Malu Montesino</v>
      </c>
      <c r="D1617" s="3" t="s">
        <v>6240</v>
      </c>
      <c r="E1617" s="3" t="s">
        <v>6240</v>
      </c>
      <c r="F1617" s="3" t="s">
        <v>20</v>
      </c>
      <c r="G1617" s="4">
        <v>35844</v>
      </c>
      <c r="H1617" s="3" t="s">
        <v>21</v>
      </c>
      <c r="I1617" s="3" t="s">
        <v>33</v>
      </c>
      <c r="J1617" s="5">
        <v>9461194</v>
      </c>
      <c r="K1617" s="3">
        <v>4663000</v>
      </c>
      <c r="L1617" s="3" t="s">
        <v>128</v>
      </c>
      <c r="M1617" s="3" t="s">
        <v>3076</v>
      </c>
      <c r="N1617" s="3">
        <v>215</v>
      </c>
      <c r="O1617" s="3" t="s">
        <v>6241</v>
      </c>
      <c r="P1617" s="3" t="s">
        <v>3078</v>
      </c>
      <c r="Q1617" s="3" t="s">
        <v>27</v>
      </c>
      <c r="R1617" s="3" t="s">
        <v>28</v>
      </c>
      <c r="S1617" s="3">
        <v>5804900</v>
      </c>
      <c r="T1617" s="3">
        <v>1140580202</v>
      </c>
      <c r="U1617" s="3" t="s">
        <v>29</v>
      </c>
    </row>
    <row r="1618" spans="1:21" ht="13.2" x14ac:dyDescent="0.25">
      <c r="A1618" s="14">
        <v>68351204000100</v>
      </c>
      <c r="B1618" s="15" t="str">
        <f t="shared" si="25"/>
        <v>68.351.204/0001-00</v>
      </c>
      <c r="C1618" s="12" t="str">
        <f>VLOOKUP(B1618,[1]Planilha1!$A:$B,2,0)</f>
        <v>Malu Montesino</v>
      </c>
      <c r="D1618" s="3" t="s">
        <v>6242</v>
      </c>
      <c r="E1618" s="3" t="s">
        <v>6242</v>
      </c>
      <c r="F1618" s="3" t="s">
        <v>20</v>
      </c>
      <c r="G1618" s="4">
        <v>33830</v>
      </c>
      <c r="H1618" s="3" t="s">
        <v>21</v>
      </c>
      <c r="I1618" s="3" t="s">
        <v>33</v>
      </c>
      <c r="J1618" s="5">
        <v>40000000</v>
      </c>
      <c r="K1618" s="3">
        <v>4663000</v>
      </c>
      <c r="L1618" s="3" t="s">
        <v>128</v>
      </c>
      <c r="M1618" s="3" t="s">
        <v>6243</v>
      </c>
      <c r="N1618" s="3">
        <v>170</v>
      </c>
      <c r="P1618" s="3" t="s">
        <v>1600</v>
      </c>
      <c r="Q1618" s="3" t="s">
        <v>27</v>
      </c>
      <c r="R1618" s="3" t="s">
        <v>28</v>
      </c>
      <c r="S1618" s="3">
        <v>4296000</v>
      </c>
      <c r="T1618" s="3">
        <v>1129409053</v>
      </c>
      <c r="U1618" s="3" t="s">
        <v>29</v>
      </c>
    </row>
    <row r="1619" spans="1:21" ht="13.2" x14ac:dyDescent="0.25">
      <c r="A1619" s="14">
        <v>23706789000104</v>
      </c>
      <c r="B1619" s="15" t="str">
        <f t="shared" si="25"/>
        <v>23.706.789/0001-04</v>
      </c>
      <c r="C1619" s="12" t="str">
        <f>VLOOKUP(B1619,[1]Planilha1!$A:$B,2,0)</f>
        <v>Malu Montesino</v>
      </c>
      <c r="D1619" s="3" t="s">
        <v>6244</v>
      </c>
      <c r="E1619" s="3" t="s">
        <v>6245</v>
      </c>
      <c r="F1619" s="3" t="s">
        <v>20</v>
      </c>
      <c r="G1619" s="4">
        <v>42328</v>
      </c>
      <c r="H1619" s="3" t="s">
        <v>21</v>
      </c>
      <c r="I1619" s="3" t="s">
        <v>22</v>
      </c>
      <c r="J1619" s="5">
        <v>1110000</v>
      </c>
      <c r="K1619" s="3">
        <v>4649402</v>
      </c>
      <c r="L1619" s="3" t="s">
        <v>6246</v>
      </c>
      <c r="M1619" s="3" t="s">
        <v>5033</v>
      </c>
      <c r="N1619" s="3">
        <v>4900</v>
      </c>
      <c r="O1619" s="3" t="s">
        <v>6247</v>
      </c>
      <c r="P1619" s="3" t="s">
        <v>5035</v>
      </c>
      <c r="Q1619" s="3" t="s">
        <v>262</v>
      </c>
      <c r="R1619" s="3" t="s">
        <v>28</v>
      </c>
      <c r="S1619" s="3">
        <v>6194060</v>
      </c>
      <c r="T1619" s="3">
        <v>1136816972</v>
      </c>
      <c r="U1619" s="3" t="s">
        <v>29</v>
      </c>
    </row>
    <row r="1620" spans="1:21" ht="13.2" x14ac:dyDescent="0.25">
      <c r="A1620" s="14">
        <v>30904828000135</v>
      </c>
      <c r="B1620" s="15" t="str">
        <f t="shared" si="25"/>
        <v>30.904.828/0001-35</v>
      </c>
      <c r="C1620" s="12"/>
      <c r="D1620" s="3" t="s">
        <v>6248</v>
      </c>
      <c r="E1620" s="3" t="s">
        <v>6248</v>
      </c>
      <c r="F1620" s="3" t="s">
        <v>45</v>
      </c>
      <c r="G1620" s="4">
        <v>43292</v>
      </c>
      <c r="H1620" s="3" t="s">
        <v>21</v>
      </c>
      <c r="I1620" s="3" t="s">
        <v>47</v>
      </c>
      <c r="J1620" s="5">
        <v>1000</v>
      </c>
      <c r="K1620" s="3">
        <v>7319002</v>
      </c>
      <c r="L1620" s="3" t="s">
        <v>48</v>
      </c>
      <c r="M1620" s="3" t="s">
        <v>6249</v>
      </c>
      <c r="N1620" s="3">
        <v>109</v>
      </c>
      <c r="P1620" s="3" t="s">
        <v>6250</v>
      </c>
      <c r="Q1620" s="3" t="s">
        <v>27</v>
      </c>
      <c r="R1620" s="3" t="s">
        <v>28</v>
      </c>
      <c r="S1620" s="3">
        <v>3428000</v>
      </c>
      <c r="T1620" s="3">
        <v>1122939577</v>
      </c>
      <c r="U1620" s="3" t="s">
        <v>29</v>
      </c>
    </row>
    <row r="1621" spans="1:21" ht="13.2" x14ac:dyDescent="0.25">
      <c r="A1621" s="14">
        <v>26134680000120</v>
      </c>
      <c r="B1621" s="15" t="str">
        <f t="shared" si="25"/>
        <v>26.134.680/0001-20</v>
      </c>
      <c r="C1621" s="12"/>
      <c r="D1621" s="3" t="s">
        <v>6251</v>
      </c>
      <c r="E1621" s="3" t="s">
        <v>6251</v>
      </c>
      <c r="F1621" s="3" t="s">
        <v>20</v>
      </c>
      <c r="G1621" s="4">
        <v>42622</v>
      </c>
      <c r="H1621" s="3" t="s">
        <v>21</v>
      </c>
      <c r="I1621" s="3" t="s">
        <v>47</v>
      </c>
      <c r="J1621" s="5">
        <v>110000</v>
      </c>
      <c r="K1621" s="3">
        <v>7319002</v>
      </c>
      <c r="L1621" s="3" t="s">
        <v>48</v>
      </c>
      <c r="M1621" s="3" t="s">
        <v>6252</v>
      </c>
      <c r="N1621" s="3">
        <v>178</v>
      </c>
      <c r="O1621" s="3" t="s">
        <v>6253</v>
      </c>
      <c r="P1621" s="3" t="s">
        <v>545</v>
      </c>
      <c r="Q1621" s="3" t="s">
        <v>27</v>
      </c>
      <c r="R1621" s="3" t="s">
        <v>28</v>
      </c>
      <c r="S1621" s="3">
        <v>1454010</v>
      </c>
      <c r="T1621" s="3">
        <v>1137917683</v>
      </c>
      <c r="U1621" s="3" t="s">
        <v>29</v>
      </c>
    </row>
    <row r="1622" spans="1:21" ht="13.2" x14ac:dyDescent="0.25">
      <c r="A1622" s="14">
        <v>9072082000235</v>
      </c>
      <c r="B1622" s="15" t="str">
        <f t="shared" si="25"/>
        <v>09.072.082/0002-35</v>
      </c>
      <c r="C1622" s="12" t="str">
        <f>VLOOKUP(B1622,[1]Planilha1!$A:$B,2,0)</f>
        <v>Mariane Nascimento</v>
      </c>
      <c r="D1622" s="3" t="s">
        <v>6254</v>
      </c>
      <c r="E1622" s="3" t="s">
        <v>6255</v>
      </c>
      <c r="F1622" s="3" t="s">
        <v>20</v>
      </c>
      <c r="G1622" s="4">
        <v>42244</v>
      </c>
      <c r="H1622" s="3" t="s">
        <v>21</v>
      </c>
      <c r="I1622" s="3" t="s">
        <v>33</v>
      </c>
      <c r="J1622" s="5">
        <v>10376000</v>
      </c>
      <c r="K1622" s="3">
        <v>7112000</v>
      </c>
      <c r="L1622" s="3" t="s">
        <v>276</v>
      </c>
      <c r="M1622" s="3" t="s">
        <v>6256</v>
      </c>
      <c r="N1622" s="3">
        <v>452</v>
      </c>
      <c r="O1622" s="3" t="s">
        <v>6257</v>
      </c>
      <c r="P1622" s="3" t="s">
        <v>4651</v>
      </c>
      <c r="Q1622" s="3" t="s">
        <v>107</v>
      </c>
      <c r="R1622" s="3" t="s">
        <v>91</v>
      </c>
      <c r="S1622" s="3">
        <v>88034100</v>
      </c>
      <c r="T1622" s="3">
        <v>4840092000</v>
      </c>
      <c r="U1622" s="3" t="s">
        <v>29</v>
      </c>
    </row>
    <row r="1623" spans="1:21" ht="13.2" x14ac:dyDescent="0.25">
      <c r="A1623" s="14">
        <v>6019610000113</v>
      </c>
      <c r="B1623" s="15" t="str">
        <f t="shared" si="25"/>
        <v>06.019.610/0001-13</v>
      </c>
      <c r="C1623" s="12" t="str">
        <f>VLOOKUP(B1623,[1]Planilha1!$A:$B,2,0)</f>
        <v>Mariane Nascimento</v>
      </c>
      <c r="D1623" s="3" t="s">
        <v>6258</v>
      </c>
      <c r="E1623" s="3" t="s">
        <v>6259</v>
      </c>
      <c r="F1623" s="3" t="s">
        <v>20</v>
      </c>
      <c r="G1623" s="4">
        <v>37855</v>
      </c>
      <c r="H1623" s="3" t="s">
        <v>21</v>
      </c>
      <c r="I1623" s="3" t="s">
        <v>22</v>
      </c>
      <c r="J1623" s="5">
        <v>390000</v>
      </c>
      <c r="K1623" s="3">
        <v>4773300</v>
      </c>
      <c r="L1623" s="3" t="s">
        <v>706</v>
      </c>
      <c r="M1623" s="3" t="s">
        <v>6260</v>
      </c>
      <c r="N1623" s="3">
        <v>5</v>
      </c>
      <c r="P1623" s="3" t="s">
        <v>6261</v>
      </c>
      <c r="Q1623" s="3" t="s">
        <v>631</v>
      </c>
      <c r="R1623" s="3" t="s">
        <v>632</v>
      </c>
      <c r="S1623" s="3">
        <v>72115180</v>
      </c>
      <c r="T1623" s="3">
        <v>6192139218</v>
      </c>
      <c r="U1623" s="3" t="s">
        <v>29</v>
      </c>
    </row>
    <row r="1624" spans="1:21" ht="13.2" x14ac:dyDescent="0.25">
      <c r="A1624" s="14">
        <v>48924433000160</v>
      </c>
      <c r="B1624" s="15" t="str">
        <f t="shared" si="25"/>
        <v>48.924.433/0001-60</v>
      </c>
      <c r="C1624" s="12"/>
      <c r="D1624" s="3" t="s">
        <v>6262</v>
      </c>
      <c r="E1624" s="3" t="s">
        <v>6263</v>
      </c>
      <c r="F1624" s="3" t="s">
        <v>20</v>
      </c>
      <c r="G1624" s="4">
        <v>44914</v>
      </c>
      <c r="H1624" s="3" t="s">
        <v>21</v>
      </c>
      <c r="I1624" s="3" t="s">
        <v>22</v>
      </c>
      <c r="J1624" s="5">
        <v>400000</v>
      </c>
      <c r="K1624" s="3">
        <v>5611205</v>
      </c>
      <c r="L1624" s="3" t="s">
        <v>6264</v>
      </c>
      <c r="M1624" s="3" t="s">
        <v>3391</v>
      </c>
      <c r="N1624" s="3">
        <v>1265</v>
      </c>
      <c r="O1624" s="3" t="s">
        <v>3685</v>
      </c>
      <c r="P1624" s="3" t="s">
        <v>6265</v>
      </c>
      <c r="Q1624" s="3" t="s">
        <v>524</v>
      </c>
      <c r="R1624" s="3" t="s">
        <v>28</v>
      </c>
      <c r="S1624" s="3">
        <v>14020273</v>
      </c>
      <c r="T1624" s="3">
        <v>4391256385</v>
      </c>
      <c r="U1624" s="3" t="s">
        <v>29</v>
      </c>
    </row>
    <row r="1625" spans="1:21" ht="13.2" x14ac:dyDescent="0.25">
      <c r="A1625" s="14">
        <v>17000769000102</v>
      </c>
      <c r="B1625" s="15" t="str">
        <f t="shared" si="25"/>
        <v>17.000.769/0001-02</v>
      </c>
      <c r="C1625" s="12" t="str">
        <f>VLOOKUP(B1625,[1]Planilha1!$A:$B,2,0)</f>
        <v>Malu Montesino</v>
      </c>
      <c r="D1625" s="3" t="s">
        <v>6266</v>
      </c>
      <c r="E1625" s="3" t="s">
        <v>6267</v>
      </c>
      <c r="F1625" s="3" t="s">
        <v>20</v>
      </c>
      <c r="G1625" s="4">
        <v>41173</v>
      </c>
      <c r="H1625" s="3" t="s">
        <v>21</v>
      </c>
      <c r="I1625" s="3" t="s">
        <v>33</v>
      </c>
      <c r="J1625" s="5">
        <v>14000000</v>
      </c>
      <c r="K1625" s="3">
        <v>2790299</v>
      </c>
      <c r="L1625" s="3" t="s">
        <v>2875</v>
      </c>
      <c r="M1625" s="3" t="s">
        <v>6268</v>
      </c>
      <c r="N1625" s="3">
        <v>444</v>
      </c>
      <c r="O1625" s="3" t="s">
        <v>6269</v>
      </c>
      <c r="P1625" s="3" t="s">
        <v>6270</v>
      </c>
      <c r="Q1625" s="3" t="s">
        <v>2726</v>
      </c>
      <c r="R1625" s="3" t="s">
        <v>100</v>
      </c>
      <c r="S1625" s="3">
        <v>37536166</v>
      </c>
      <c r="T1625" s="3">
        <v>3534713167</v>
      </c>
      <c r="U1625" s="3" t="s">
        <v>29</v>
      </c>
    </row>
    <row r="1626" spans="1:21" ht="13.2" x14ac:dyDescent="0.25">
      <c r="A1626" s="14">
        <v>3762480000116</v>
      </c>
      <c r="B1626" s="15" t="str">
        <f t="shared" si="25"/>
        <v>03.762.480/0001-16</v>
      </c>
      <c r="C1626" s="12" t="str">
        <f>VLOOKUP(B1626,[1]Planilha1!$A:$B,2,0)</f>
        <v>Malu Montesino</v>
      </c>
      <c r="D1626" s="3" t="s">
        <v>6271</v>
      </c>
      <c r="E1626" s="3" t="s">
        <v>6272</v>
      </c>
      <c r="F1626" s="3" t="s">
        <v>20</v>
      </c>
      <c r="G1626" s="4">
        <v>36630</v>
      </c>
      <c r="H1626" s="3" t="s">
        <v>21</v>
      </c>
      <c r="I1626" s="3" t="s">
        <v>33</v>
      </c>
      <c r="J1626" s="5">
        <v>1900000</v>
      </c>
      <c r="K1626" s="3">
        <v>2610800</v>
      </c>
      <c r="L1626" s="3" t="s">
        <v>548</v>
      </c>
      <c r="M1626" s="3" t="s">
        <v>6273</v>
      </c>
      <c r="N1626" s="3">
        <v>83</v>
      </c>
      <c r="P1626" s="3" t="s">
        <v>4421</v>
      </c>
      <c r="Q1626" s="3" t="s">
        <v>27</v>
      </c>
      <c r="R1626" s="3" t="s">
        <v>28</v>
      </c>
      <c r="S1626" s="3">
        <v>3171060</v>
      </c>
      <c r="T1626" s="3">
        <v>1127997700</v>
      </c>
      <c r="U1626" s="3" t="s">
        <v>29</v>
      </c>
    </row>
    <row r="1627" spans="1:21" ht="13.2" x14ac:dyDescent="0.25">
      <c r="A1627" s="14">
        <v>3470727000473</v>
      </c>
      <c r="B1627" s="15" t="str">
        <f t="shared" si="25"/>
        <v>03.470.727/0004-73</v>
      </c>
      <c r="C1627" s="12" t="str">
        <f>VLOOKUP(B1627,[1]Planilha1!$A:$B,2,0)</f>
        <v>Malu Montesino</v>
      </c>
      <c r="D1627" s="3" t="s">
        <v>6274</v>
      </c>
      <c r="E1627" s="3" t="s">
        <v>6274</v>
      </c>
      <c r="F1627" s="3" t="s">
        <v>20</v>
      </c>
      <c r="G1627" s="4">
        <v>36455</v>
      </c>
      <c r="H1627" s="3" t="s">
        <v>21</v>
      </c>
      <c r="I1627" s="3" t="s">
        <v>33</v>
      </c>
      <c r="J1627" s="5">
        <v>17466591000</v>
      </c>
      <c r="K1627" s="3">
        <v>4511103</v>
      </c>
      <c r="L1627" s="3" t="s">
        <v>6275</v>
      </c>
      <c r="M1627" s="3" t="s">
        <v>2915</v>
      </c>
      <c r="N1627" s="3">
        <v>1336</v>
      </c>
      <c r="O1627" s="3" t="s">
        <v>6276</v>
      </c>
      <c r="P1627" s="3" t="s">
        <v>316</v>
      </c>
      <c r="Q1627" s="3" t="s">
        <v>27</v>
      </c>
      <c r="R1627" s="3" t="s">
        <v>28</v>
      </c>
      <c r="S1627" s="3">
        <v>4548004</v>
      </c>
      <c r="T1627" s="3">
        <v>1141738855</v>
      </c>
      <c r="U1627" s="3" t="s">
        <v>29</v>
      </c>
    </row>
    <row r="1628" spans="1:21" ht="13.2" x14ac:dyDescent="0.25">
      <c r="A1628" s="14">
        <v>81138984000173</v>
      </c>
      <c r="B1628" s="15" t="str">
        <f t="shared" si="25"/>
        <v>81.138.984/0001-73</v>
      </c>
      <c r="C1628" s="12"/>
      <c r="D1628" s="3" t="s">
        <v>6277</v>
      </c>
      <c r="E1628" s="3" t="s">
        <v>6277</v>
      </c>
      <c r="F1628" s="3" t="s">
        <v>20</v>
      </c>
      <c r="G1628" s="4">
        <v>32555</v>
      </c>
      <c r="H1628" s="3" t="s">
        <v>21</v>
      </c>
      <c r="I1628" s="3" t="s">
        <v>33</v>
      </c>
      <c r="J1628" s="5">
        <v>400000</v>
      </c>
      <c r="K1628" s="3">
        <v>4645101</v>
      </c>
      <c r="L1628" s="3" t="s">
        <v>135</v>
      </c>
      <c r="M1628" s="3" t="s">
        <v>470</v>
      </c>
      <c r="N1628" s="3">
        <v>731</v>
      </c>
      <c r="P1628" s="3" t="s">
        <v>1983</v>
      </c>
      <c r="Q1628" s="3" t="s">
        <v>204</v>
      </c>
      <c r="R1628" s="3" t="s">
        <v>187</v>
      </c>
      <c r="S1628" s="3">
        <v>80610030</v>
      </c>
      <c r="T1628" s="3">
        <v>4130549883</v>
      </c>
      <c r="U1628" s="3" t="s">
        <v>29</v>
      </c>
    </row>
    <row r="1629" spans="1:21" ht="13.2" x14ac:dyDescent="0.25">
      <c r="A1629" s="14">
        <v>3729824000195</v>
      </c>
      <c r="B1629" s="15" t="str">
        <f t="shared" si="25"/>
        <v>03.729.824/0001-95</v>
      </c>
      <c r="C1629" s="12" t="str">
        <f>VLOOKUP(B1629,[1]Planilha1!$A:$B,2,0)</f>
        <v>Malu Montesino</v>
      </c>
      <c r="D1629" s="3" t="s">
        <v>6278</v>
      </c>
      <c r="E1629" s="3" t="s">
        <v>6279</v>
      </c>
      <c r="F1629" s="3" t="s">
        <v>20</v>
      </c>
      <c r="G1629" s="4">
        <v>36607</v>
      </c>
      <c r="H1629" s="3" t="s">
        <v>21</v>
      </c>
      <c r="I1629" s="3" t="s">
        <v>33</v>
      </c>
      <c r="J1629" s="5">
        <v>1500000</v>
      </c>
      <c r="K1629" s="3">
        <v>7740300</v>
      </c>
      <c r="L1629" s="3" t="s">
        <v>3618</v>
      </c>
      <c r="M1629" s="3">
        <v>25</v>
      </c>
      <c r="N1629" s="3">
        <v>857</v>
      </c>
      <c r="P1629" s="3" t="s">
        <v>6280</v>
      </c>
      <c r="Q1629" s="3" t="s">
        <v>2721</v>
      </c>
      <c r="R1629" s="3" t="s">
        <v>28</v>
      </c>
      <c r="S1629" s="3">
        <v>13503120</v>
      </c>
      <c r="T1629" s="3">
        <v>1921118300</v>
      </c>
      <c r="U1629" s="3" t="s">
        <v>29</v>
      </c>
    </row>
    <row r="1630" spans="1:21" ht="13.2" x14ac:dyDescent="0.25">
      <c r="A1630" s="14">
        <v>2732968000138</v>
      </c>
      <c r="B1630" s="15" t="str">
        <f t="shared" si="25"/>
        <v>02.732.968/0001-38</v>
      </c>
      <c r="C1630" s="12"/>
      <c r="D1630" s="3" t="s">
        <v>6281</v>
      </c>
      <c r="E1630" s="3" t="s">
        <v>6281</v>
      </c>
      <c r="F1630" s="3" t="s">
        <v>20</v>
      </c>
      <c r="G1630" s="4">
        <v>36053</v>
      </c>
      <c r="H1630" s="3" t="s">
        <v>94</v>
      </c>
      <c r="I1630" s="3" t="s">
        <v>33</v>
      </c>
      <c r="J1630" s="5">
        <v>51259376</v>
      </c>
      <c r="K1630" s="3">
        <v>6613400</v>
      </c>
      <c r="L1630" s="3" t="s">
        <v>2962</v>
      </c>
      <c r="M1630" s="3" t="s">
        <v>6282</v>
      </c>
      <c r="N1630" s="3">
        <v>100</v>
      </c>
      <c r="O1630" s="3" t="s">
        <v>6283</v>
      </c>
      <c r="P1630" s="3" t="s">
        <v>6284</v>
      </c>
      <c r="Q1630" s="3" t="s">
        <v>667</v>
      </c>
      <c r="R1630" s="3" t="s">
        <v>301</v>
      </c>
      <c r="S1630" s="3">
        <v>60325000</v>
      </c>
      <c r="T1630" s="3">
        <v>1221360120</v>
      </c>
      <c r="U1630" s="3" t="s">
        <v>29</v>
      </c>
    </row>
    <row r="1631" spans="1:21" ht="13.2" x14ac:dyDescent="0.25">
      <c r="A1631" s="14">
        <v>74642513000132</v>
      </c>
      <c r="B1631" s="15" t="str">
        <f t="shared" si="25"/>
        <v>74.642.513/0001-32</v>
      </c>
      <c r="C1631" s="12"/>
      <c r="D1631" s="3" t="s">
        <v>6285</v>
      </c>
      <c r="E1631" s="3" t="s">
        <v>6285</v>
      </c>
      <c r="F1631" s="3" t="s">
        <v>20</v>
      </c>
      <c r="G1631" s="4">
        <v>34439</v>
      </c>
      <c r="H1631" s="3" t="s">
        <v>21</v>
      </c>
      <c r="I1631" s="3" t="s">
        <v>33</v>
      </c>
      <c r="J1631" s="5">
        <v>200000</v>
      </c>
      <c r="K1631" s="3">
        <v>2740602</v>
      </c>
      <c r="L1631" s="3" t="s">
        <v>1994</v>
      </c>
      <c r="M1631" s="3" t="s">
        <v>6286</v>
      </c>
      <c r="N1631" s="3">
        <v>240</v>
      </c>
      <c r="P1631" s="3" t="s">
        <v>356</v>
      </c>
      <c r="Q1631" s="3" t="s">
        <v>357</v>
      </c>
      <c r="R1631" s="3" t="s">
        <v>28</v>
      </c>
      <c r="S1631" s="3">
        <v>7034050</v>
      </c>
      <c r="T1631" s="3">
        <v>1120876000</v>
      </c>
      <c r="U1631" s="3" t="s">
        <v>29</v>
      </c>
    </row>
    <row r="1632" spans="1:21" ht="13.2" x14ac:dyDescent="0.25">
      <c r="A1632" s="14">
        <v>8368875000152</v>
      </c>
      <c r="B1632" s="15" t="str">
        <f t="shared" si="25"/>
        <v>08.368.875/0001-52</v>
      </c>
      <c r="C1632" s="12"/>
      <c r="D1632" s="3" t="s">
        <v>6287</v>
      </c>
      <c r="E1632" s="3" t="s">
        <v>6287</v>
      </c>
      <c r="F1632" s="3" t="s">
        <v>20</v>
      </c>
      <c r="G1632" s="4">
        <v>38636</v>
      </c>
      <c r="H1632" s="3" t="s">
        <v>21</v>
      </c>
      <c r="I1632" s="3" t="s">
        <v>33</v>
      </c>
      <c r="J1632" s="5">
        <v>2000000</v>
      </c>
      <c r="K1632" s="3">
        <v>3101200</v>
      </c>
      <c r="L1632" s="3" t="s">
        <v>359</v>
      </c>
      <c r="M1632" s="3" t="s">
        <v>6288</v>
      </c>
      <c r="N1632" s="3">
        <v>1200</v>
      </c>
      <c r="P1632" s="3" t="s">
        <v>153</v>
      </c>
      <c r="Q1632" s="3" t="s">
        <v>6289</v>
      </c>
      <c r="R1632" s="3" t="s">
        <v>28</v>
      </c>
      <c r="S1632" s="3">
        <v>14200000</v>
      </c>
      <c r="T1632" s="3">
        <v>1639841078</v>
      </c>
      <c r="U1632" s="3" t="s">
        <v>29</v>
      </c>
    </row>
    <row r="1633" spans="1:21" ht="13.2" x14ac:dyDescent="0.25">
      <c r="A1633" s="14">
        <v>4907604000177</v>
      </c>
      <c r="B1633" s="15" t="str">
        <f t="shared" si="25"/>
        <v>04.907.604/0001-77</v>
      </c>
      <c r="C1633" s="12" t="str">
        <f>VLOOKUP(B1633,[1]Planilha1!$A:$B,2,0)</f>
        <v>Mariane Nascimento</v>
      </c>
      <c r="D1633" s="3" t="s">
        <v>6290</v>
      </c>
      <c r="E1633" s="3" t="s">
        <v>6291</v>
      </c>
      <c r="F1633" s="3" t="s">
        <v>20</v>
      </c>
      <c r="G1633" s="4">
        <v>37307</v>
      </c>
      <c r="H1633" s="3" t="s">
        <v>21</v>
      </c>
      <c r="I1633" s="3" t="s">
        <v>33</v>
      </c>
      <c r="J1633" s="5">
        <v>1000000</v>
      </c>
      <c r="K1633" s="3">
        <v>4649409</v>
      </c>
      <c r="L1633" s="3" t="s">
        <v>6292</v>
      </c>
      <c r="M1633" s="3" t="s">
        <v>6293</v>
      </c>
      <c r="N1633" s="3">
        <v>1369</v>
      </c>
      <c r="O1633" s="3" t="s">
        <v>6294</v>
      </c>
      <c r="P1633" s="3" t="s">
        <v>2521</v>
      </c>
      <c r="Q1633" s="3" t="s">
        <v>437</v>
      </c>
      <c r="R1633" s="3" t="s">
        <v>53</v>
      </c>
      <c r="S1633" s="3">
        <v>91150010</v>
      </c>
      <c r="T1633" s="3">
        <v>5133441606</v>
      </c>
      <c r="U1633" s="3" t="s">
        <v>29</v>
      </c>
    </row>
    <row r="1634" spans="1:21" ht="13.2" x14ac:dyDescent="0.25">
      <c r="A1634" s="14">
        <v>2541328000140</v>
      </c>
      <c r="B1634" s="15" t="str">
        <f t="shared" si="25"/>
        <v>02.541.328/0001-40</v>
      </c>
      <c r="C1634" s="12"/>
      <c r="D1634" s="3" t="s">
        <v>6295</v>
      </c>
      <c r="E1634" s="3" t="s">
        <v>6295</v>
      </c>
      <c r="F1634" s="3" t="s">
        <v>45</v>
      </c>
      <c r="G1634" s="4">
        <v>35940</v>
      </c>
      <c r="H1634" s="3" t="s">
        <v>6296</v>
      </c>
      <c r="I1634" s="3" t="s">
        <v>33</v>
      </c>
      <c r="J1634" s="5">
        <v>0</v>
      </c>
      <c r="K1634" s="3">
        <v>8423000</v>
      </c>
      <c r="L1634" s="3" t="s">
        <v>6297</v>
      </c>
      <c r="M1634" s="3" t="s">
        <v>5072</v>
      </c>
      <c r="N1634" s="3">
        <v>1912</v>
      </c>
      <c r="P1634" s="3" t="s">
        <v>6298</v>
      </c>
      <c r="Q1634" s="3" t="s">
        <v>6299</v>
      </c>
      <c r="R1634" s="3" t="s">
        <v>225</v>
      </c>
      <c r="S1634" s="3">
        <v>78455000</v>
      </c>
      <c r="T1634" s="3">
        <v>6536173141</v>
      </c>
      <c r="U1634" s="3" t="s">
        <v>29</v>
      </c>
    </row>
    <row r="1635" spans="1:21" ht="13.2" x14ac:dyDescent="0.25">
      <c r="A1635" s="14">
        <v>67860000142</v>
      </c>
      <c r="B1635" s="15" t="str">
        <f t="shared" si="25"/>
        <v>00.067.860/0001-42</v>
      </c>
      <c r="C1635" s="12"/>
      <c r="D1635" s="3" t="s">
        <v>6300</v>
      </c>
      <c r="E1635" s="3" t="s">
        <v>6300</v>
      </c>
      <c r="F1635" s="3" t="s">
        <v>45</v>
      </c>
      <c r="G1635" s="4">
        <v>34453</v>
      </c>
      <c r="H1635" s="3" t="s">
        <v>6296</v>
      </c>
      <c r="I1635" s="3" t="s">
        <v>33</v>
      </c>
      <c r="J1635" s="5">
        <v>0</v>
      </c>
      <c r="K1635" s="3">
        <v>8423000</v>
      </c>
      <c r="L1635" s="3" t="s">
        <v>6297</v>
      </c>
      <c r="M1635" s="3" t="s">
        <v>611</v>
      </c>
      <c r="N1635" s="3">
        <v>641</v>
      </c>
      <c r="P1635" s="3" t="s">
        <v>70</v>
      </c>
      <c r="Q1635" s="3" t="s">
        <v>6301</v>
      </c>
      <c r="R1635" s="3" t="s">
        <v>225</v>
      </c>
      <c r="S1635" s="3">
        <v>78890000</v>
      </c>
      <c r="T1635" s="3">
        <v>6536173141</v>
      </c>
      <c r="U1635" s="3" t="s">
        <v>29</v>
      </c>
    </row>
    <row r="1636" spans="1:21" ht="13.2" x14ac:dyDescent="0.25">
      <c r="A1636" s="14">
        <v>4002733000116</v>
      </c>
      <c r="B1636" s="15" t="str">
        <f t="shared" si="25"/>
        <v>04.002.733/0001-16</v>
      </c>
      <c r="C1636" s="12"/>
      <c r="D1636" s="3" t="s">
        <v>6302</v>
      </c>
      <c r="E1636" s="3" t="s">
        <v>6302</v>
      </c>
      <c r="F1636" s="3" t="s">
        <v>20</v>
      </c>
      <c r="G1636" s="4">
        <v>36748</v>
      </c>
      <c r="H1636" s="3" t="s">
        <v>21</v>
      </c>
      <c r="I1636" s="3" t="s">
        <v>22</v>
      </c>
      <c r="J1636" s="5">
        <v>2110000</v>
      </c>
      <c r="K1636" s="3">
        <v>2813500</v>
      </c>
      <c r="L1636" s="3" t="s">
        <v>1383</v>
      </c>
      <c r="M1636" s="3" t="s">
        <v>6303</v>
      </c>
      <c r="N1636" s="3">
        <v>300</v>
      </c>
      <c r="P1636" s="3" t="s">
        <v>153</v>
      </c>
      <c r="Q1636" s="3" t="s">
        <v>2198</v>
      </c>
      <c r="R1636" s="3" t="s">
        <v>28</v>
      </c>
      <c r="S1636" s="3">
        <v>13800970</v>
      </c>
      <c r="T1636" s="3">
        <v>1938148400</v>
      </c>
      <c r="U1636" s="3" t="s">
        <v>29</v>
      </c>
    </row>
    <row r="1637" spans="1:21" ht="13.2" x14ac:dyDescent="0.25">
      <c r="A1637" s="14">
        <v>5430532000182</v>
      </c>
      <c r="B1637" s="15" t="str">
        <f t="shared" si="25"/>
        <v>05.430.532/0001-82</v>
      </c>
      <c r="C1637" s="12"/>
      <c r="D1637" s="3" t="s">
        <v>6304</v>
      </c>
      <c r="E1637" s="3" t="s">
        <v>6305</v>
      </c>
      <c r="F1637" s="3" t="s">
        <v>20</v>
      </c>
      <c r="G1637" s="4">
        <v>37592</v>
      </c>
      <c r="H1637" s="3" t="s">
        <v>21</v>
      </c>
      <c r="I1637" s="3" t="s">
        <v>33</v>
      </c>
      <c r="J1637" s="5">
        <v>250000</v>
      </c>
      <c r="K1637" s="3">
        <v>6920601</v>
      </c>
      <c r="L1637" s="3" t="s">
        <v>1507</v>
      </c>
      <c r="M1637" s="3" t="s">
        <v>1116</v>
      </c>
      <c r="N1637" s="3">
        <v>254</v>
      </c>
      <c r="O1637" s="3" t="s">
        <v>6306</v>
      </c>
      <c r="P1637" s="3" t="s">
        <v>1118</v>
      </c>
      <c r="Q1637" s="3" t="s">
        <v>617</v>
      </c>
      <c r="R1637" s="3" t="s">
        <v>28</v>
      </c>
      <c r="S1637" s="3">
        <v>6404326</v>
      </c>
      <c r="T1637" s="3">
        <v>1135244500</v>
      </c>
      <c r="U1637" s="3" t="s">
        <v>29</v>
      </c>
    </row>
    <row r="1638" spans="1:21" ht="13.2" x14ac:dyDescent="0.25">
      <c r="A1638" s="14">
        <v>13305170000126</v>
      </c>
      <c r="B1638" s="15" t="str">
        <f t="shared" si="25"/>
        <v>13.305.170/0001-26</v>
      </c>
      <c r="C1638" s="12"/>
      <c r="D1638" s="3" t="s">
        <v>6307</v>
      </c>
      <c r="E1638" s="3" t="s">
        <v>6308</v>
      </c>
      <c r="F1638" s="3" t="s">
        <v>20</v>
      </c>
      <c r="G1638" s="4">
        <v>40598</v>
      </c>
      <c r="H1638" s="3" t="s">
        <v>21</v>
      </c>
      <c r="I1638" s="3" t="s">
        <v>33</v>
      </c>
      <c r="J1638" s="5">
        <v>500000</v>
      </c>
      <c r="K1638" s="3">
        <v>2822402</v>
      </c>
      <c r="L1638" s="3" t="s">
        <v>4317</v>
      </c>
      <c r="M1638" s="3" t="s">
        <v>6309</v>
      </c>
      <c r="N1638" s="3">
        <v>1761</v>
      </c>
      <c r="O1638" s="3" t="s">
        <v>6310</v>
      </c>
      <c r="P1638" s="3" t="s">
        <v>6311</v>
      </c>
      <c r="Q1638" s="3" t="s">
        <v>1572</v>
      </c>
      <c r="R1638" s="3" t="s">
        <v>91</v>
      </c>
      <c r="S1638" s="3">
        <v>88134000</v>
      </c>
      <c r="T1638" s="3">
        <v>4832582011</v>
      </c>
      <c r="U1638" s="3" t="s">
        <v>29</v>
      </c>
    </row>
    <row r="1639" spans="1:21" ht="13.2" x14ac:dyDescent="0.25">
      <c r="A1639" s="14">
        <v>40903608000140</v>
      </c>
      <c r="B1639" s="15" t="str">
        <f t="shared" si="25"/>
        <v>40.903.608/0001-40</v>
      </c>
      <c r="C1639" s="12"/>
      <c r="D1639" s="3" t="s">
        <v>6312</v>
      </c>
      <c r="E1639" s="3" t="s">
        <v>6312</v>
      </c>
      <c r="F1639" s="3" t="s">
        <v>20</v>
      </c>
      <c r="G1639" s="4">
        <v>44245</v>
      </c>
      <c r="H1639" s="3" t="s">
        <v>21</v>
      </c>
      <c r="I1639" s="3" t="s">
        <v>33</v>
      </c>
      <c r="J1639" s="5">
        <v>260604560</v>
      </c>
      <c r="K1639" s="3">
        <v>2920402</v>
      </c>
      <c r="L1639" s="3" t="s">
        <v>4488</v>
      </c>
      <c r="M1639" s="3" t="s">
        <v>2252</v>
      </c>
      <c r="N1639" s="3">
        <v>340</v>
      </c>
      <c r="O1639" s="3" t="s">
        <v>6313</v>
      </c>
      <c r="P1639" s="3" t="s">
        <v>2254</v>
      </c>
      <c r="Q1639" s="3" t="s">
        <v>1701</v>
      </c>
      <c r="R1639" s="3" t="s">
        <v>100</v>
      </c>
      <c r="S1639" s="3">
        <v>32210110</v>
      </c>
      <c r="T1639" s="3">
        <v>3140420713</v>
      </c>
      <c r="U1639" s="3" t="s">
        <v>29</v>
      </c>
    </row>
    <row r="1640" spans="1:21" ht="13.2" x14ac:dyDescent="0.25">
      <c r="A1640" s="14">
        <v>21438154000130</v>
      </c>
      <c r="B1640" s="15" t="str">
        <f t="shared" si="25"/>
        <v>21.438.154/0001-30</v>
      </c>
      <c r="C1640" s="12"/>
      <c r="D1640" s="3" t="s">
        <v>6314</v>
      </c>
      <c r="E1640" s="3" t="s">
        <v>6315</v>
      </c>
      <c r="F1640" s="3" t="s">
        <v>31</v>
      </c>
      <c r="G1640" s="4">
        <v>41962</v>
      </c>
      <c r="H1640" s="3" t="s">
        <v>21</v>
      </c>
      <c r="I1640" s="3" t="s">
        <v>47</v>
      </c>
      <c r="J1640" s="5">
        <v>100000</v>
      </c>
      <c r="K1640" s="3">
        <v>4744099</v>
      </c>
      <c r="L1640" s="3" t="s">
        <v>115</v>
      </c>
      <c r="M1640" s="3" t="s">
        <v>6316</v>
      </c>
      <c r="N1640" s="3">
        <v>310</v>
      </c>
      <c r="O1640" s="3" t="s">
        <v>6317</v>
      </c>
      <c r="P1640" s="3" t="s">
        <v>6318</v>
      </c>
      <c r="Q1640" s="3" t="s">
        <v>273</v>
      </c>
      <c r="R1640" s="3" t="s">
        <v>274</v>
      </c>
      <c r="S1640" s="3">
        <v>74083140</v>
      </c>
      <c r="T1640" s="3">
        <v>6235457848</v>
      </c>
      <c r="U1640" s="3" t="s">
        <v>29</v>
      </c>
    </row>
    <row r="1641" spans="1:21" ht="13.2" x14ac:dyDescent="0.25">
      <c r="A1641" s="14">
        <v>5551328000110</v>
      </c>
      <c r="B1641" s="15" t="str">
        <f t="shared" si="25"/>
        <v>05.551.328/0001-10</v>
      </c>
      <c r="C1641" s="12" t="str">
        <f>VLOOKUP(B1641,[1]Planilha1!$A:$B,2,0)</f>
        <v>Malu Montesino</v>
      </c>
      <c r="D1641" s="3" t="s">
        <v>6319</v>
      </c>
      <c r="E1641" s="3" t="s">
        <v>6319</v>
      </c>
      <c r="F1641" s="3" t="s">
        <v>20</v>
      </c>
      <c r="G1641" s="4">
        <v>37691</v>
      </c>
      <c r="H1641" s="3" t="s">
        <v>21</v>
      </c>
      <c r="I1641" s="3" t="s">
        <v>33</v>
      </c>
      <c r="J1641" s="5">
        <v>2130093</v>
      </c>
      <c r="K1641" s="3">
        <v>5250803</v>
      </c>
      <c r="L1641" s="3" t="s">
        <v>6320</v>
      </c>
      <c r="M1641" s="3" t="s">
        <v>246</v>
      </c>
      <c r="N1641" s="3">
        <v>2644</v>
      </c>
      <c r="O1641" s="3" t="s">
        <v>6321</v>
      </c>
      <c r="P1641" s="3" t="s">
        <v>248</v>
      </c>
      <c r="Q1641" s="3" t="s">
        <v>27</v>
      </c>
      <c r="R1641" s="3" t="s">
        <v>28</v>
      </c>
      <c r="S1641" s="3">
        <v>1310934</v>
      </c>
      <c r="T1641" s="3">
        <v>1133932723</v>
      </c>
      <c r="U1641" s="3" t="s">
        <v>29</v>
      </c>
    </row>
    <row r="1642" spans="1:21" ht="13.2" x14ac:dyDescent="0.25">
      <c r="A1642" s="14">
        <v>12958626000194</v>
      </c>
      <c r="B1642" s="15" t="str">
        <f t="shared" si="25"/>
        <v>12.958.626/0001-94</v>
      </c>
      <c r="C1642" s="12" t="str">
        <f>VLOOKUP(B1642,[1]Planilha1!$A:$B,2,0)</f>
        <v>Mariane Nascimento</v>
      </c>
      <c r="D1642" s="3" t="s">
        <v>6322</v>
      </c>
      <c r="E1642" s="3" t="s">
        <v>6323</v>
      </c>
      <c r="F1642" s="3" t="s">
        <v>20</v>
      </c>
      <c r="G1642" s="4">
        <v>40514</v>
      </c>
      <c r="H1642" s="3" t="s">
        <v>94</v>
      </c>
      <c r="I1642" s="3" t="s">
        <v>33</v>
      </c>
      <c r="J1642" s="5">
        <v>4850000</v>
      </c>
      <c r="K1642" s="3">
        <v>7112000</v>
      </c>
      <c r="L1642" s="3" t="s">
        <v>276</v>
      </c>
      <c r="M1642" s="3" t="s">
        <v>6324</v>
      </c>
      <c r="N1642" s="3">
        <v>2055</v>
      </c>
      <c r="O1642" s="3" t="s">
        <v>6325</v>
      </c>
      <c r="P1642" s="3" t="s">
        <v>1116</v>
      </c>
      <c r="Q1642" s="3" t="s">
        <v>107</v>
      </c>
      <c r="R1642" s="3" t="s">
        <v>91</v>
      </c>
      <c r="S1642" s="3">
        <v>88036003</v>
      </c>
      <c r="T1642" s="3">
        <v>4833416455</v>
      </c>
      <c r="U1642" s="3" t="s">
        <v>29</v>
      </c>
    </row>
    <row r="1643" spans="1:21" ht="13.2" x14ac:dyDescent="0.25">
      <c r="A1643" s="14">
        <v>7190318000121</v>
      </c>
      <c r="B1643" s="15" t="str">
        <f t="shared" si="25"/>
        <v>07.190.318/0001-21</v>
      </c>
      <c r="C1643" s="12"/>
      <c r="D1643" s="3" t="s">
        <v>6326</v>
      </c>
      <c r="E1643" s="3" t="s">
        <v>6326</v>
      </c>
      <c r="F1643" s="3" t="s">
        <v>20</v>
      </c>
      <c r="G1643" s="4">
        <v>38287</v>
      </c>
      <c r="H1643" s="3" t="s">
        <v>21</v>
      </c>
      <c r="I1643" s="3" t="s">
        <v>33</v>
      </c>
      <c r="J1643" s="5">
        <v>100000</v>
      </c>
      <c r="K1643" s="3">
        <v>4646002</v>
      </c>
      <c r="L1643" s="3" t="s">
        <v>139</v>
      </c>
      <c r="M1643" s="3" t="s">
        <v>6327</v>
      </c>
      <c r="N1643" s="3">
        <v>425</v>
      </c>
      <c r="P1643" s="3" t="s">
        <v>5171</v>
      </c>
      <c r="Q1643" s="3" t="s">
        <v>367</v>
      </c>
      <c r="R1643" s="3" t="s">
        <v>28</v>
      </c>
      <c r="S1643" s="3">
        <v>13413087</v>
      </c>
      <c r="T1643" s="3">
        <v>1934148285</v>
      </c>
      <c r="U1643" s="3" t="s">
        <v>29</v>
      </c>
    </row>
    <row r="1644" spans="1:21" ht="13.2" x14ac:dyDescent="0.25">
      <c r="A1644" s="14">
        <v>19949087000176</v>
      </c>
      <c r="B1644" s="15" t="str">
        <f t="shared" si="25"/>
        <v>19.949.087/0001-76</v>
      </c>
      <c r="C1644" s="12"/>
      <c r="D1644" s="3" t="s">
        <v>6328</v>
      </c>
      <c r="E1644" s="3" t="s">
        <v>6328</v>
      </c>
      <c r="F1644" s="3" t="s">
        <v>20</v>
      </c>
      <c r="G1644" s="4">
        <v>41723</v>
      </c>
      <c r="H1644" s="3" t="s">
        <v>21</v>
      </c>
      <c r="I1644" s="3" t="s">
        <v>22</v>
      </c>
      <c r="J1644" s="5">
        <v>230000</v>
      </c>
      <c r="K1644" s="3">
        <v>4930202</v>
      </c>
      <c r="L1644" s="3" t="s">
        <v>2603</v>
      </c>
      <c r="M1644" s="3" t="s">
        <v>6329</v>
      </c>
      <c r="N1644" s="3">
        <v>34</v>
      </c>
      <c r="O1644" s="3" t="s">
        <v>6330</v>
      </c>
      <c r="P1644" s="3" t="s">
        <v>6331</v>
      </c>
      <c r="Q1644" s="3" t="s">
        <v>1116</v>
      </c>
      <c r="R1644" s="3" t="s">
        <v>274</v>
      </c>
      <c r="S1644" s="3">
        <v>75386580</v>
      </c>
      <c r="T1644" s="3">
        <v>6240203680</v>
      </c>
      <c r="U1644" s="3" t="s">
        <v>29</v>
      </c>
    </row>
    <row r="1645" spans="1:21" ht="13.2" x14ac:dyDescent="0.25">
      <c r="A1645" s="14">
        <v>84685106000166</v>
      </c>
      <c r="B1645" s="15" t="str">
        <f t="shared" si="25"/>
        <v>84.685.106/0001-66</v>
      </c>
      <c r="C1645" s="12" t="str">
        <f>VLOOKUP(B1645,[1]Planilha1!$A:$B,2,0)</f>
        <v>Malu Montesino</v>
      </c>
      <c r="D1645" s="3" t="s">
        <v>6332</v>
      </c>
      <c r="E1645" s="3" t="s">
        <v>6332</v>
      </c>
      <c r="F1645" s="3" t="s">
        <v>20</v>
      </c>
      <c r="G1645" s="4">
        <v>24338</v>
      </c>
      <c r="H1645" s="3" t="s">
        <v>21</v>
      </c>
      <c r="I1645" s="3" t="s">
        <v>33</v>
      </c>
      <c r="J1645" s="5">
        <v>234440340</v>
      </c>
      <c r="K1645" s="3">
        <v>2812700</v>
      </c>
      <c r="L1645" s="3" t="s">
        <v>1534</v>
      </c>
      <c r="M1645" s="3" t="s">
        <v>5246</v>
      </c>
      <c r="N1645" s="3">
        <v>1501</v>
      </c>
      <c r="P1645" s="3" t="s">
        <v>5247</v>
      </c>
      <c r="Q1645" s="3" t="s">
        <v>423</v>
      </c>
      <c r="R1645" s="3" t="s">
        <v>91</v>
      </c>
      <c r="S1645" s="3">
        <v>89219504</v>
      </c>
      <c r="T1645" s="3">
        <v>4732045000</v>
      </c>
      <c r="U1645" s="3" t="s">
        <v>29</v>
      </c>
    </row>
    <row r="1646" spans="1:21" ht="13.2" x14ac:dyDescent="0.25">
      <c r="A1646" s="14">
        <v>8652409000102</v>
      </c>
      <c r="B1646" s="15" t="str">
        <f t="shared" si="25"/>
        <v>08.652.409/0001-02</v>
      </c>
      <c r="C1646" s="12"/>
      <c r="D1646" s="3" t="s">
        <v>6333</v>
      </c>
      <c r="E1646" s="3" t="s">
        <v>6334</v>
      </c>
      <c r="F1646" s="3" t="s">
        <v>20</v>
      </c>
      <c r="G1646" s="4">
        <v>39121</v>
      </c>
      <c r="H1646" s="3" t="s">
        <v>46</v>
      </c>
      <c r="I1646" s="3" t="s">
        <v>47</v>
      </c>
      <c r="J1646" s="5">
        <v>10000</v>
      </c>
      <c r="K1646" s="3">
        <v>4789099</v>
      </c>
      <c r="L1646" s="3" t="s">
        <v>774</v>
      </c>
      <c r="M1646" s="3" t="s">
        <v>2450</v>
      </c>
      <c r="N1646" s="3">
        <v>529</v>
      </c>
      <c r="P1646" s="3" t="s">
        <v>6335</v>
      </c>
      <c r="Q1646" s="3" t="s">
        <v>1943</v>
      </c>
      <c r="R1646" s="3" t="s">
        <v>28</v>
      </c>
      <c r="S1646" s="3">
        <v>9960120</v>
      </c>
      <c r="T1646" s="3">
        <v>1134268072</v>
      </c>
      <c r="U1646" s="3" t="s">
        <v>29</v>
      </c>
    </row>
    <row r="1647" spans="1:21" ht="13.2" x14ac:dyDescent="0.25">
      <c r="A1647" s="14">
        <v>88610126000129</v>
      </c>
      <c r="B1647" s="15" t="str">
        <f t="shared" si="25"/>
        <v>88.610.126/0001-29</v>
      </c>
      <c r="C1647" s="12"/>
      <c r="D1647" s="3" t="s">
        <v>6336</v>
      </c>
      <c r="E1647" s="3" t="s">
        <v>6336</v>
      </c>
      <c r="F1647" s="3" t="s">
        <v>20</v>
      </c>
      <c r="G1647" s="4">
        <v>24320</v>
      </c>
      <c r="H1647" s="3" t="s">
        <v>377</v>
      </c>
      <c r="I1647" s="3" t="s">
        <v>33</v>
      </c>
      <c r="J1647" s="5">
        <v>1477050000</v>
      </c>
      <c r="K1647" s="3">
        <v>2943300</v>
      </c>
      <c r="L1647" s="3" t="s">
        <v>1913</v>
      </c>
      <c r="M1647" s="3">
        <v>122</v>
      </c>
      <c r="N1647" s="3">
        <v>10945</v>
      </c>
      <c r="O1647" s="3" t="s">
        <v>6337</v>
      </c>
      <c r="P1647" s="3" t="s">
        <v>6338</v>
      </c>
      <c r="Q1647" s="3" t="s">
        <v>730</v>
      </c>
      <c r="R1647" s="3" t="s">
        <v>53</v>
      </c>
      <c r="S1647" s="3">
        <v>95115550</v>
      </c>
      <c r="T1647" s="3">
        <v>5432391000</v>
      </c>
      <c r="U1647" s="3" t="s">
        <v>29</v>
      </c>
    </row>
    <row r="1648" spans="1:21" ht="13.2" x14ac:dyDescent="0.25">
      <c r="A1648" s="14">
        <v>94132024000148</v>
      </c>
      <c r="B1648" s="15" t="str">
        <f t="shared" si="25"/>
        <v>94.132.024/0001-48</v>
      </c>
      <c r="C1648" s="12"/>
      <c r="D1648" s="3" t="s">
        <v>6339</v>
      </c>
      <c r="E1648" s="3" t="s">
        <v>6339</v>
      </c>
      <c r="F1648" s="3" t="s">
        <v>20</v>
      </c>
      <c r="G1648" s="4">
        <v>33451</v>
      </c>
      <c r="H1648" s="3" t="s">
        <v>21</v>
      </c>
      <c r="I1648" s="3" t="s">
        <v>33</v>
      </c>
      <c r="J1648" s="5">
        <v>900000</v>
      </c>
      <c r="K1648" s="3">
        <v>3092000</v>
      </c>
      <c r="L1648" s="3" t="s">
        <v>3017</v>
      </c>
      <c r="M1648" s="3" t="s">
        <v>5574</v>
      </c>
      <c r="N1648" s="3">
        <v>155</v>
      </c>
      <c r="P1648" s="3" t="s">
        <v>70</v>
      </c>
      <c r="Q1648" s="3" t="s">
        <v>3482</v>
      </c>
      <c r="R1648" s="3" t="s">
        <v>53</v>
      </c>
      <c r="S1648" s="3">
        <v>96010290</v>
      </c>
      <c r="T1648" s="3">
        <v>5332840600</v>
      </c>
      <c r="U1648" s="3" t="s">
        <v>29</v>
      </c>
    </row>
    <row r="1649" spans="1:21" ht="13.2" x14ac:dyDescent="0.25">
      <c r="A1649" s="14">
        <v>58401183000137</v>
      </c>
      <c r="B1649" s="15" t="str">
        <f t="shared" si="25"/>
        <v>58.401.183/0001-37</v>
      </c>
      <c r="C1649" s="12"/>
      <c r="D1649" s="3" t="s">
        <v>6340</v>
      </c>
      <c r="E1649" s="3" t="s">
        <v>6340</v>
      </c>
      <c r="F1649" s="3" t="s">
        <v>20</v>
      </c>
      <c r="G1649" s="4">
        <v>32115</v>
      </c>
      <c r="H1649" s="3" t="s">
        <v>21</v>
      </c>
      <c r="I1649" s="3" t="s">
        <v>22</v>
      </c>
      <c r="J1649" s="5">
        <v>10000</v>
      </c>
      <c r="K1649" s="3">
        <v>4751201</v>
      </c>
      <c r="L1649" s="3" t="s">
        <v>23</v>
      </c>
      <c r="M1649" s="3" t="s">
        <v>6341</v>
      </c>
      <c r="N1649" s="3">
        <v>297</v>
      </c>
      <c r="O1649" s="3" t="s">
        <v>6342</v>
      </c>
      <c r="P1649" s="3" t="s">
        <v>6343</v>
      </c>
      <c r="Q1649" s="3" t="s">
        <v>27</v>
      </c>
      <c r="R1649" s="3" t="s">
        <v>28</v>
      </c>
      <c r="S1649" s="3">
        <v>4257145</v>
      </c>
      <c r="T1649" s="3">
        <v>1142241555</v>
      </c>
      <c r="U1649" s="3" t="s">
        <v>29</v>
      </c>
    </row>
    <row r="1650" spans="1:21" ht="13.2" x14ac:dyDescent="0.25">
      <c r="A1650" s="14">
        <v>49324221000104</v>
      </c>
      <c r="B1650" s="15" t="str">
        <f t="shared" si="25"/>
        <v>49.324.221/0001-04</v>
      </c>
      <c r="C1650" s="12"/>
      <c r="D1650" s="3" t="s">
        <v>6344</v>
      </c>
      <c r="E1650" s="3" t="s">
        <v>6344</v>
      </c>
      <c r="F1650" s="3" t="s">
        <v>20</v>
      </c>
      <c r="G1650" s="4">
        <v>28397</v>
      </c>
      <c r="H1650" s="3" t="s">
        <v>21</v>
      </c>
      <c r="I1650" s="3" t="s">
        <v>33</v>
      </c>
      <c r="J1650" s="5">
        <v>322052480</v>
      </c>
      <c r="K1650" s="3">
        <v>2121101</v>
      </c>
      <c r="L1650" s="3" t="s">
        <v>233</v>
      </c>
      <c r="M1650" s="3" t="s">
        <v>6345</v>
      </c>
      <c r="N1650" s="3">
        <v>1652</v>
      </c>
      <c r="O1650" s="3" t="s">
        <v>6346</v>
      </c>
      <c r="P1650" s="3" t="s">
        <v>6347</v>
      </c>
      <c r="Q1650" s="3" t="s">
        <v>617</v>
      </c>
      <c r="R1650" s="3" t="s">
        <v>28</v>
      </c>
      <c r="S1650" s="3">
        <v>6460200</v>
      </c>
      <c r="T1650" s="3">
        <v>1125041561</v>
      </c>
      <c r="U1650" s="3" t="s">
        <v>29</v>
      </c>
    </row>
    <row r="1651" spans="1:21" ht="13.2" x14ac:dyDescent="0.25">
      <c r="A1651" s="14">
        <v>1440590000136</v>
      </c>
      <c r="B1651" s="15" t="str">
        <f t="shared" si="25"/>
        <v>01.440.590/0001-36</v>
      </c>
      <c r="C1651" s="12" t="str">
        <f>VLOOKUP(B1651,[1]Planilha1!$A:$B,2,0)</f>
        <v>Malu Montesino</v>
      </c>
      <c r="D1651" s="3" t="s">
        <v>6348</v>
      </c>
      <c r="E1651" s="3" t="s">
        <v>6348</v>
      </c>
      <c r="F1651" s="3" t="s">
        <v>20</v>
      </c>
      <c r="G1651" s="4">
        <v>35293</v>
      </c>
      <c r="H1651" s="3" t="s">
        <v>21</v>
      </c>
      <c r="I1651" s="3" t="s">
        <v>33</v>
      </c>
      <c r="J1651" s="5">
        <v>724895600</v>
      </c>
      <c r="K1651" s="3">
        <v>2121101</v>
      </c>
      <c r="L1651" s="3" t="s">
        <v>233</v>
      </c>
      <c r="M1651" s="3" t="s">
        <v>6349</v>
      </c>
      <c r="N1651" s="3">
        <v>891</v>
      </c>
      <c r="P1651" s="3" t="s">
        <v>6350</v>
      </c>
      <c r="Q1651" s="3" t="s">
        <v>673</v>
      </c>
      <c r="R1651" s="3" t="s">
        <v>28</v>
      </c>
      <c r="S1651" s="3">
        <v>13917472</v>
      </c>
      <c r="T1651" s="3">
        <v>1938479700</v>
      </c>
      <c r="U1651" s="3" t="s">
        <v>29</v>
      </c>
    </row>
    <row r="1652" spans="1:21" ht="13.2" x14ac:dyDescent="0.25">
      <c r="A1652" s="14">
        <v>7972352000158</v>
      </c>
      <c r="B1652" s="15" t="str">
        <f t="shared" si="25"/>
        <v>07.972.352/0001-58</v>
      </c>
      <c r="C1652" s="12"/>
      <c r="D1652" s="3" t="s">
        <v>6351</v>
      </c>
      <c r="E1652" s="3" t="s">
        <v>6351</v>
      </c>
      <c r="F1652" s="3" t="s">
        <v>20</v>
      </c>
      <c r="G1652" s="4">
        <v>38758</v>
      </c>
      <c r="H1652" s="3" t="s">
        <v>21</v>
      </c>
      <c r="I1652" s="3" t="s">
        <v>33</v>
      </c>
      <c r="J1652" s="5">
        <v>844860</v>
      </c>
      <c r="K1652" s="3">
        <v>8599604</v>
      </c>
      <c r="L1652" s="3" t="s">
        <v>55</v>
      </c>
      <c r="M1652" s="3" t="s">
        <v>246</v>
      </c>
      <c r="N1652" s="3">
        <v>854</v>
      </c>
      <c r="O1652" s="3" t="s">
        <v>6352</v>
      </c>
      <c r="P1652" s="3" t="s">
        <v>248</v>
      </c>
      <c r="Q1652" s="3" t="s">
        <v>27</v>
      </c>
      <c r="R1652" s="3" t="s">
        <v>28</v>
      </c>
      <c r="S1652" s="3">
        <v>1310913</v>
      </c>
      <c r="T1652" s="3">
        <v>1132310704</v>
      </c>
      <c r="U1652" s="3" t="s">
        <v>29</v>
      </c>
    </row>
    <row r="1653" spans="1:21" ht="13.2" x14ac:dyDescent="0.25">
      <c r="A1653" s="14">
        <v>92660406000119</v>
      </c>
      <c r="B1653" s="15" t="str">
        <f t="shared" si="25"/>
        <v>92.660.406/0001-19</v>
      </c>
      <c r="C1653" s="12" t="str">
        <f>VLOOKUP(B1653,[1]Planilha1!$A:$B,2,0)</f>
        <v>Malu Montesino</v>
      </c>
      <c r="D1653" s="3" t="s">
        <v>6353</v>
      </c>
      <c r="E1653" s="3" t="s">
        <v>6354</v>
      </c>
      <c r="F1653" s="3" t="s">
        <v>20</v>
      </c>
      <c r="G1653" s="4">
        <v>25385</v>
      </c>
      <c r="H1653" s="3" t="s">
        <v>21</v>
      </c>
      <c r="I1653" s="3" t="s">
        <v>33</v>
      </c>
      <c r="J1653" s="5">
        <v>408600000</v>
      </c>
      <c r="K1653" s="3">
        <v>4757100</v>
      </c>
      <c r="L1653" s="3" t="s">
        <v>1833</v>
      </c>
      <c r="M1653" s="3" t="s">
        <v>6355</v>
      </c>
      <c r="N1653" s="3">
        <v>2285</v>
      </c>
      <c r="P1653" s="3" t="s">
        <v>1480</v>
      </c>
      <c r="Q1653" s="3" t="s">
        <v>437</v>
      </c>
      <c r="R1653" s="3" t="s">
        <v>53</v>
      </c>
      <c r="S1653" s="3">
        <v>90240005</v>
      </c>
      <c r="T1653" s="3">
        <v>5130588869</v>
      </c>
      <c r="U1653" s="3" t="s">
        <v>29</v>
      </c>
    </row>
    <row r="1654" spans="1:21" ht="13.2" x14ac:dyDescent="0.25">
      <c r="A1654" s="14">
        <v>58302506000135</v>
      </c>
      <c r="B1654" s="15" t="str">
        <f t="shared" si="25"/>
        <v>58.302.506/0001-35</v>
      </c>
      <c r="C1654" s="12"/>
      <c r="D1654" s="3" t="s">
        <v>6356</v>
      </c>
      <c r="E1654" s="3" t="s">
        <v>6357</v>
      </c>
      <c r="F1654" s="3" t="s">
        <v>20</v>
      </c>
      <c r="G1654" s="4">
        <v>32104</v>
      </c>
      <c r="H1654" s="3" t="s">
        <v>21</v>
      </c>
      <c r="I1654" s="3" t="s">
        <v>33</v>
      </c>
      <c r="J1654" s="5">
        <v>200000</v>
      </c>
      <c r="K1654" s="3">
        <v>4722901</v>
      </c>
      <c r="L1654" s="3" t="s">
        <v>6358</v>
      </c>
      <c r="M1654" s="3" t="s">
        <v>6359</v>
      </c>
      <c r="N1654" s="3" t="s">
        <v>82</v>
      </c>
      <c r="O1654" s="3" t="s">
        <v>6360</v>
      </c>
      <c r="P1654" s="3" t="s">
        <v>911</v>
      </c>
      <c r="Q1654" s="3" t="s">
        <v>6361</v>
      </c>
      <c r="R1654" s="3" t="s">
        <v>28</v>
      </c>
      <c r="S1654" s="3">
        <v>15110000</v>
      </c>
      <c r="T1654" s="3">
        <v>1721372775</v>
      </c>
      <c r="U1654" s="3" t="s">
        <v>29</v>
      </c>
    </row>
    <row r="1655" spans="1:21" ht="13.2" x14ac:dyDescent="0.25">
      <c r="A1655" s="14">
        <v>52645009000153</v>
      </c>
      <c r="B1655" s="15" t="str">
        <f t="shared" si="25"/>
        <v>52.645.009/0001-53</v>
      </c>
      <c r="C1655" s="12"/>
      <c r="D1655" s="3" t="s">
        <v>6362</v>
      </c>
      <c r="E1655" s="3" t="s">
        <v>6363</v>
      </c>
      <c r="F1655" s="3" t="s">
        <v>20</v>
      </c>
      <c r="G1655" s="4">
        <v>30480</v>
      </c>
      <c r="H1655" s="3" t="s">
        <v>94</v>
      </c>
      <c r="I1655" s="3" t="s">
        <v>33</v>
      </c>
      <c r="J1655" s="5">
        <v>63001356</v>
      </c>
      <c r="K1655" s="3">
        <v>8211300</v>
      </c>
      <c r="L1655" s="3" t="s">
        <v>166</v>
      </c>
      <c r="M1655" s="3" t="s">
        <v>6364</v>
      </c>
      <c r="N1655" s="3" t="s">
        <v>82</v>
      </c>
      <c r="P1655" s="3" t="s">
        <v>911</v>
      </c>
      <c r="Q1655" s="3" t="s">
        <v>6365</v>
      </c>
      <c r="R1655" s="3" t="s">
        <v>28</v>
      </c>
      <c r="S1655" s="3">
        <v>15650000</v>
      </c>
      <c r="T1655" s="3">
        <v>1738332800</v>
      </c>
      <c r="U1655" s="3" t="s">
        <v>29</v>
      </c>
    </row>
    <row r="1656" spans="1:21" ht="13.2" x14ac:dyDescent="0.25">
      <c r="A1656" s="14">
        <v>9174844000123</v>
      </c>
      <c r="B1656" s="15" t="str">
        <f t="shared" si="25"/>
        <v>09.174.844/0001-23</v>
      </c>
      <c r="C1656" s="12"/>
      <c r="D1656" s="3" t="s">
        <v>6366</v>
      </c>
      <c r="E1656" s="3" t="s">
        <v>6367</v>
      </c>
      <c r="F1656" s="3" t="s">
        <v>20</v>
      </c>
      <c r="G1656" s="4">
        <v>39351</v>
      </c>
      <c r="H1656" s="3" t="s">
        <v>21</v>
      </c>
      <c r="I1656" s="3" t="s">
        <v>33</v>
      </c>
      <c r="J1656" s="5">
        <v>1200000</v>
      </c>
      <c r="K1656" s="3">
        <v>1011201</v>
      </c>
      <c r="L1656" s="3" t="s">
        <v>6368</v>
      </c>
      <c r="M1656" s="3" t="s">
        <v>6369</v>
      </c>
      <c r="N1656" s="3">
        <v>521</v>
      </c>
      <c r="P1656" s="3" t="s">
        <v>6370</v>
      </c>
      <c r="Q1656" s="3" t="s">
        <v>6371</v>
      </c>
      <c r="R1656" s="3" t="s">
        <v>100</v>
      </c>
      <c r="S1656" s="3">
        <v>33880300</v>
      </c>
      <c r="T1656" s="3">
        <v>3136153400</v>
      </c>
      <c r="U1656" s="3" t="s">
        <v>29</v>
      </c>
    </row>
    <row r="1657" spans="1:21" ht="13.2" x14ac:dyDescent="0.25">
      <c r="A1657" s="14">
        <v>12785572000102</v>
      </c>
      <c r="B1657" s="15" t="str">
        <f t="shared" si="25"/>
        <v>12.785.572/0001-02</v>
      </c>
      <c r="C1657" s="12"/>
      <c r="D1657" s="3" t="s">
        <v>6372</v>
      </c>
      <c r="E1657" s="3" t="s">
        <v>6373</v>
      </c>
      <c r="F1657" s="3" t="s">
        <v>20</v>
      </c>
      <c r="G1657" s="4">
        <v>32079</v>
      </c>
      <c r="H1657" s="3" t="s">
        <v>21</v>
      </c>
      <c r="I1657" s="3" t="s">
        <v>33</v>
      </c>
      <c r="J1657" s="5">
        <v>2000000</v>
      </c>
      <c r="K1657" s="3">
        <v>7729202</v>
      </c>
      <c r="L1657" s="3" t="s">
        <v>6374</v>
      </c>
      <c r="M1657" s="3" t="s">
        <v>2102</v>
      </c>
      <c r="N1657" s="3">
        <v>725</v>
      </c>
      <c r="P1657" s="3" t="s">
        <v>5188</v>
      </c>
      <c r="Q1657" s="3" t="s">
        <v>1339</v>
      </c>
      <c r="R1657" s="3" t="s">
        <v>456</v>
      </c>
      <c r="S1657" s="3">
        <v>51030590</v>
      </c>
      <c r="T1657" s="3">
        <v>8133399107</v>
      </c>
      <c r="U1657" s="3" t="s">
        <v>29</v>
      </c>
    </row>
    <row r="1658" spans="1:21" ht="13.2" x14ac:dyDescent="0.25">
      <c r="A1658" s="14">
        <v>9316105000129</v>
      </c>
      <c r="B1658" s="15" t="str">
        <f t="shared" si="25"/>
        <v>09.316.105/0001-29</v>
      </c>
      <c r="C1658" s="12"/>
      <c r="D1658" s="3" t="s">
        <v>6375</v>
      </c>
      <c r="E1658" s="3" t="s">
        <v>6375</v>
      </c>
      <c r="F1658" s="3" t="s">
        <v>20</v>
      </c>
      <c r="G1658" s="4">
        <v>39465</v>
      </c>
      <c r="H1658" s="3" t="s">
        <v>21</v>
      </c>
      <c r="I1658" s="3" t="s">
        <v>33</v>
      </c>
      <c r="J1658" s="5">
        <v>100000000</v>
      </c>
      <c r="K1658" s="3">
        <v>4689399</v>
      </c>
      <c r="L1658" s="3" t="s">
        <v>783</v>
      </c>
      <c r="M1658" s="3" t="s">
        <v>6376</v>
      </c>
      <c r="N1658" s="3">
        <v>1295</v>
      </c>
      <c r="O1658" s="3" t="s">
        <v>6377</v>
      </c>
      <c r="P1658" s="3" t="s">
        <v>6378</v>
      </c>
      <c r="Q1658" s="3" t="s">
        <v>4528</v>
      </c>
      <c r="R1658" s="3" t="s">
        <v>765</v>
      </c>
      <c r="S1658" s="3">
        <v>29170740</v>
      </c>
      <c r="T1658" s="3">
        <v>3132706565</v>
      </c>
      <c r="U1658" s="3" t="s">
        <v>29</v>
      </c>
    </row>
    <row r="1659" spans="1:21" ht="13.2" x14ac:dyDescent="0.25">
      <c r="A1659" s="14">
        <v>19404106000189</v>
      </c>
      <c r="B1659" s="15" t="str">
        <f t="shared" si="25"/>
        <v>19.404.106/0001-89</v>
      </c>
      <c r="C1659" s="12"/>
      <c r="D1659" s="3" t="s">
        <v>6379</v>
      </c>
      <c r="E1659" s="3" t="s">
        <v>6379</v>
      </c>
      <c r="F1659" s="3" t="s">
        <v>20</v>
      </c>
      <c r="G1659" s="4">
        <v>41620</v>
      </c>
      <c r="H1659" s="3" t="s">
        <v>21</v>
      </c>
      <c r="I1659" s="3" t="s">
        <v>33</v>
      </c>
      <c r="J1659" s="5">
        <v>80000</v>
      </c>
      <c r="K1659" s="3">
        <v>4637104</v>
      </c>
      <c r="L1659" s="3" t="s">
        <v>6380</v>
      </c>
      <c r="M1659" s="3" t="s">
        <v>6381</v>
      </c>
      <c r="N1659" s="3">
        <v>111</v>
      </c>
      <c r="P1659" s="3" t="s">
        <v>6382</v>
      </c>
      <c r="Q1659" s="3" t="s">
        <v>5398</v>
      </c>
      <c r="R1659" s="3" t="s">
        <v>28</v>
      </c>
      <c r="S1659" s="3">
        <v>13185369</v>
      </c>
      <c r="T1659" s="3">
        <v>1932317756</v>
      </c>
      <c r="U1659" s="3" t="s">
        <v>29</v>
      </c>
    </row>
    <row r="1660" spans="1:21" ht="13.2" x14ac:dyDescent="0.25">
      <c r="A1660" s="14">
        <v>3453317000171</v>
      </c>
      <c r="B1660" s="15" t="str">
        <f t="shared" si="25"/>
        <v>03.453.317/0001-71</v>
      </c>
      <c r="C1660" s="12"/>
      <c r="D1660" s="3" t="s">
        <v>6383</v>
      </c>
      <c r="E1660" s="3" t="s">
        <v>6383</v>
      </c>
      <c r="F1660" s="3" t="s">
        <v>20</v>
      </c>
      <c r="G1660" s="4">
        <v>36440</v>
      </c>
      <c r="H1660" s="3" t="s">
        <v>21</v>
      </c>
      <c r="I1660" s="3" t="s">
        <v>33</v>
      </c>
      <c r="J1660" s="5">
        <v>50000</v>
      </c>
      <c r="K1660" s="3">
        <v>4633801</v>
      </c>
      <c r="L1660" s="3" t="s">
        <v>750</v>
      </c>
      <c r="M1660" s="3" t="s">
        <v>6384</v>
      </c>
      <c r="N1660" s="3">
        <v>22881</v>
      </c>
      <c r="O1660" s="3" t="s">
        <v>6385</v>
      </c>
      <c r="P1660" s="3" t="s">
        <v>6386</v>
      </c>
      <c r="Q1660" s="3" t="s">
        <v>204</v>
      </c>
      <c r="R1660" s="3" t="s">
        <v>187</v>
      </c>
      <c r="S1660" s="3">
        <v>81690500</v>
      </c>
      <c r="T1660" s="3">
        <v>4199769798</v>
      </c>
      <c r="U1660" s="3" t="s">
        <v>29</v>
      </c>
    </row>
    <row r="1661" spans="1:21" ht="13.2" x14ac:dyDescent="0.25">
      <c r="A1661" s="14">
        <v>10492244000192</v>
      </c>
      <c r="B1661" s="15" t="str">
        <f t="shared" si="25"/>
        <v>10.492.244/0001-92</v>
      </c>
      <c r="C1661" s="12"/>
      <c r="D1661" s="3" t="s">
        <v>6387</v>
      </c>
      <c r="E1661" s="3" t="s">
        <v>6388</v>
      </c>
      <c r="F1661" s="3" t="s">
        <v>20</v>
      </c>
      <c r="G1661" s="4">
        <v>39708</v>
      </c>
      <c r="H1661" s="3" t="s">
        <v>21</v>
      </c>
      <c r="I1661" s="3" t="s">
        <v>22</v>
      </c>
      <c r="J1661" s="5">
        <v>200000</v>
      </c>
      <c r="K1661" s="3">
        <v>4637199</v>
      </c>
      <c r="L1661" s="3" t="s">
        <v>3409</v>
      </c>
      <c r="M1661" s="3" t="s">
        <v>6389</v>
      </c>
      <c r="N1661" s="3">
        <v>247</v>
      </c>
      <c r="P1661" s="3" t="s">
        <v>6390</v>
      </c>
      <c r="Q1661" s="3" t="s">
        <v>1443</v>
      </c>
      <c r="R1661" s="3" t="s">
        <v>28</v>
      </c>
      <c r="S1661" s="3">
        <v>15991410</v>
      </c>
      <c r="T1661" s="3">
        <v>1633849029</v>
      </c>
      <c r="U1661" s="3" t="s">
        <v>29</v>
      </c>
    </row>
    <row r="1662" spans="1:21" ht="13.2" x14ac:dyDescent="0.25">
      <c r="A1662" s="14">
        <v>91302349000133</v>
      </c>
      <c r="B1662" s="15" t="str">
        <f t="shared" si="25"/>
        <v>91.302.349/0001-33</v>
      </c>
      <c r="C1662" s="12"/>
      <c r="D1662" s="3" t="s">
        <v>6391</v>
      </c>
      <c r="E1662" s="3" t="s">
        <v>6391</v>
      </c>
      <c r="F1662" s="3" t="s">
        <v>20</v>
      </c>
      <c r="G1662" s="4">
        <v>24335</v>
      </c>
      <c r="H1662" s="3" t="s">
        <v>94</v>
      </c>
      <c r="I1662" s="3" t="s">
        <v>33</v>
      </c>
      <c r="J1662" s="5">
        <v>440000000</v>
      </c>
      <c r="K1662" s="3">
        <v>1510600</v>
      </c>
      <c r="L1662" s="3" t="s">
        <v>6392</v>
      </c>
      <c r="M1662" s="3" t="s">
        <v>6393</v>
      </c>
      <c r="N1662" s="3">
        <v>1155</v>
      </c>
      <c r="P1662" s="3" t="s">
        <v>6394</v>
      </c>
      <c r="Q1662" s="3" t="s">
        <v>6395</v>
      </c>
      <c r="R1662" s="3" t="s">
        <v>53</v>
      </c>
      <c r="S1662" s="3">
        <v>99150000</v>
      </c>
      <c r="T1662" s="3">
        <v>5433423277</v>
      </c>
      <c r="U1662" s="3" t="s">
        <v>29</v>
      </c>
    </row>
    <row r="1663" spans="1:21" ht="13.2" x14ac:dyDescent="0.25">
      <c r="A1663" s="14">
        <v>60397874000156</v>
      </c>
      <c r="B1663" s="15" t="str">
        <f t="shared" si="25"/>
        <v>60.397.874/0001-56</v>
      </c>
      <c r="C1663" s="12" t="str">
        <f>VLOOKUP(B1663,[1]Planilha1!$A:$B,2,0)</f>
        <v>Malu Montesino</v>
      </c>
      <c r="D1663" s="3" t="s">
        <v>6396</v>
      </c>
      <c r="E1663" s="3" t="s">
        <v>6397</v>
      </c>
      <c r="F1663" s="3" t="s">
        <v>20</v>
      </c>
      <c r="G1663" s="4">
        <v>24314</v>
      </c>
      <c r="H1663" s="3" t="s">
        <v>21</v>
      </c>
      <c r="I1663" s="3" t="s">
        <v>33</v>
      </c>
      <c r="J1663" s="5">
        <v>67090950</v>
      </c>
      <c r="K1663" s="3">
        <v>4649402</v>
      </c>
      <c r="L1663" s="3" t="s">
        <v>6246</v>
      </c>
      <c r="M1663" s="3" t="s">
        <v>246</v>
      </c>
      <c r="N1663" s="3">
        <v>2421</v>
      </c>
      <c r="O1663" s="3" t="s">
        <v>6398</v>
      </c>
      <c r="P1663" s="3" t="s">
        <v>248</v>
      </c>
      <c r="Q1663" s="3" t="s">
        <v>27</v>
      </c>
      <c r="R1663" s="3" t="s">
        <v>28</v>
      </c>
      <c r="S1663" s="3">
        <v>1311300</v>
      </c>
      <c r="T1663" s="3">
        <v>1150914122</v>
      </c>
      <c r="U1663" s="3" t="s">
        <v>29</v>
      </c>
    </row>
    <row r="1664" spans="1:21" ht="13.2" x14ac:dyDescent="0.25">
      <c r="A1664" s="14">
        <v>33663519000109</v>
      </c>
      <c r="B1664" s="15" t="str">
        <f t="shared" si="25"/>
        <v>33.663.519/0001-09</v>
      </c>
      <c r="C1664" s="12"/>
      <c r="D1664" s="3" t="s">
        <v>6399</v>
      </c>
      <c r="E1664" s="3" t="s">
        <v>6400</v>
      </c>
      <c r="F1664" s="3" t="s">
        <v>20</v>
      </c>
      <c r="G1664" s="4">
        <v>25979</v>
      </c>
      <c r="H1664" s="3" t="s">
        <v>6036</v>
      </c>
      <c r="I1664" s="3" t="s">
        <v>33</v>
      </c>
      <c r="J1664" s="5">
        <v>0</v>
      </c>
      <c r="K1664" s="3">
        <v>9430800</v>
      </c>
      <c r="L1664" s="3" t="s">
        <v>626</v>
      </c>
      <c r="M1664" s="3" t="s">
        <v>1695</v>
      </c>
      <c r="N1664" s="3">
        <v>119</v>
      </c>
      <c r="O1664" s="3" t="s">
        <v>6401</v>
      </c>
      <c r="P1664" s="3" t="s">
        <v>70</v>
      </c>
      <c r="Q1664" s="3" t="s">
        <v>253</v>
      </c>
      <c r="R1664" s="3" t="s">
        <v>78</v>
      </c>
      <c r="S1664" s="3">
        <v>20031907</v>
      </c>
      <c r="T1664" s="3">
        <v>2130941105</v>
      </c>
      <c r="U1664" s="3" t="s">
        <v>29</v>
      </c>
    </row>
    <row r="1665" spans="1:21" ht="13.2" x14ac:dyDescent="0.25">
      <c r="A1665" s="14">
        <v>61189445000156</v>
      </c>
      <c r="B1665" s="15" t="str">
        <f t="shared" si="25"/>
        <v>61.189.445/0001-56</v>
      </c>
      <c r="C1665" s="12" t="str">
        <f>VLOOKUP(B1665,[1]Planilha1!$A:$B,2,0)</f>
        <v>Malu Montesino</v>
      </c>
      <c r="D1665" s="3" t="s">
        <v>6402</v>
      </c>
      <c r="E1665" s="3" t="s">
        <v>6402</v>
      </c>
      <c r="F1665" s="3" t="s">
        <v>20</v>
      </c>
      <c r="G1665" s="4">
        <v>32736</v>
      </c>
      <c r="H1665" s="3" t="s">
        <v>6036</v>
      </c>
      <c r="I1665" s="3" t="s">
        <v>33</v>
      </c>
      <c r="J1665" s="5">
        <v>0</v>
      </c>
      <c r="K1665" s="3">
        <v>8690999</v>
      </c>
      <c r="L1665" s="3" t="s">
        <v>6403</v>
      </c>
      <c r="M1665" s="3" t="s">
        <v>4564</v>
      </c>
      <c r="N1665" s="3">
        <v>1500</v>
      </c>
      <c r="P1665" s="3" t="s">
        <v>6404</v>
      </c>
      <c r="Q1665" s="3" t="s">
        <v>27</v>
      </c>
      <c r="R1665" s="3" t="s">
        <v>28</v>
      </c>
      <c r="S1665" s="3">
        <v>5503900</v>
      </c>
      <c r="U1665" s="3" t="s">
        <v>29</v>
      </c>
    </row>
    <row r="1666" spans="1:21" ht="13.2" x14ac:dyDescent="0.25">
      <c r="A1666" s="14">
        <v>42270181000116</v>
      </c>
      <c r="B1666" s="15" t="str">
        <f t="shared" si="25"/>
        <v>42.270.181/0001-16</v>
      </c>
      <c r="C1666" s="12"/>
      <c r="D1666" s="3" t="s">
        <v>6405</v>
      </c>
      <c r="E1666" s="3" t="s">
        <v>6405</v>
      </c>
      <c r="F1666" s="3" t="s">
        <v>20</v>
      </c>
      <c r="G1666" s="4">
        <v>26850</v>
      </c>
      <c r="H1666" s="3" t="s">
        <v>6036</v>
      </c>
      <c r="I1666" s="3" t="s">
        <v>33</v>
      </c>
      <c r="J1666" s="5">
        <v>0</v>
      </c>
      <c r="K1666" s="3">
        <v>8550302</v>
      </c>
      <c r="L1666" s="3" t="s">
        <v>3379</v>
      </c>
      <c r="M1666" s="3" t="s">
        <v>6406</v>
      </c>
      <c r="N1666" s="3" t="s">
        <v>6407</v>
      </c>
      <c r="P1666" s="3" t="s">
        <v>3372</v>
      </c>
      <c r="Q1666" s="3" t="s">
        <v>253</v>
      </c>
      <c r="R1666" s="3" t="s">
        <v>78</v>
      </c>
      <c r="S1666" s="3">
        <v>20261903</v>
      </c>
      <c r="T1666" s="3">
        <v>2121039614</v>
      </c>
      <c r="U1666" s="3" t="s">
        <v>29</v>
      </c>
    </row>
    <row r="1667" spans="1:21" ht="13.2" x14ac:dyDescent="0.25">
      <c r="A1667" s="14">
        <v>5572870000159</v>
      </c>
      <c r="B1667" s="15" t="str">
        <f t="shared" ref="B1667:B1730" si="26">TEXT(A1667,"00\.000\.000\/0000\-00")</f>
        <v>05.572.870/0001-59</v>
      </c>
      <c r="C1667" s="12"/>
      <c r="D1667" s="3" t="s">
        <v>6408</v>
      </c>
      <c r="E1667" s="3" t="s">
        <v>6409</v>
      </c>
      <c r="F1667" s="3" t="s">
        <v>20</v>
      </c>
      <c r="G1667" s="4">
        <v>28562</v>
      </c>
      <c r="H1667" s="3" t="s">
        <v>6036</v>
      </c>
      <c r="I1667" s="3" t="s">
        <v>33</v>
      </c>
      <c r="J1667" s="5">
        <v>0</v>
      </c>
      <c r="K1667" s="3">
        <v>7220700</v>
      </c>
      <c r="L1667" s="3" t="s">
        <v>6410</v>
      </c>
      <c r="M1667" s="3" t="s">
        <v>6411</v>
      </c>
      <c r="N1667" s="3" t="s">
        <v>111</v>
      </c>
      <c r="O1667" s="3" t="s">
        <v>6412</v>
      </c>
      <c r="P1667" s="3" t="s">
        <v>2451</v>
      </c>
      <c r="Q1667" s="3" t="s">
        <v>199</v>
      </c>
      <c r="R1667" s="3" t="s">
        <v>792</v>
      </c>
      <c r="S1667" s="3">
        <v>66075900</v>
      </c>
      <c r="T1667" s="3">
        <v>9140057440</v>
      </c>
      <c r="U1667" s="3" t="s">
        <v>29</v>
      </c>
    </row>
    <row r="1668" spans="1:21" ht="13.2" x14ac:dyDescent="0.25">
      <c r="A1668" s="14">
        <v>12207742000171</v>
      </c>
      <c r="B1668" s="15" t="str">
        <f t="shared" si="26"/>
        <v>12.207.742/0001-71</v>
      </c>
      <c r="C1668" s="12"/>
      <c r="D1668" s="3" t="s">
        <v>6413</v>
      </c>
      <c r="E1668" s="3" t="s">
        <v>6414</v>
      </c>
      <c r="F1668" s="3" t="s">
        <v>20</v>
      </c>
      <c r="G1668" s="4">
        <v>27360</v>
      </c>
      <c r="H1668" s="3" t="s">
        <v>6036</v>
      </c>
      <c r="I1668" s="3" t="s">
        <v>33</v>
      </c>
      <c r="J1668" s="5">
        <v>0</v>
      </c>
      <c r="K1668" s="3">
        <v>8532500</v>
      </c>
      <c r="L1668" s="3" t="s">
        <v>1785</v>
      </c>
      <c r="M1668" s="3" t="s">
        <v>6415</v>
      </c>
      <c r="N1668" s="3">
        <v>917</v>
      </c>
      <c r="P1668" s="3" t="s">
        <v>6416</v>
      </c>
      <c r="Q1668" s="3" t="s">
        <v>1846</v>
      </c>
      <c r="R1668" s="3" t="s">
        <v>1847</v>
      </c>
      <c r="S1668" s="3">
        <v>57051160</v>
      </c>
      <c r="T1668" s="3">
        <v>8232155051</v>
      </c>
      <c r="U1668" s="3" t="s">
        <v>29</v>
      </c>
    </row>
    <row r="1669" spans="1:21" ht="13.2" x14ac:dyDescent="0.25">
      <c r="A1669" s="14">
        <v>3438229000109</v>
      </c>
      <c r="B1669" s="15" t="str">
        <f t="shared" si="26"/>
        <v>03.438.229/0001-09</v>
      </c>
      <c r="C1669" s="12"/>
      <c r="D1669" s="3" t="s">
        <v>6417</v>
      </c>
      <c r="E1669" s="3" t="s">
        <v>6418</v>
      </c>
      <c r="F1669" s="3" t="s">
        <v>20</v>
      </c>
      <c r="G1669" s="4">
        <v>36434</v>
      </c>
      <c r="H1669" s="3" t="s">
        <v>6036</v>
      </c>
      <c r="I1669" s="3" t="s">
        <v>33</v>
      </c>
      <c r="J1669" s="5">
        <v>0</v>
      </c>
      <c r="K1669" s="3">
        <v>8550302</v>
      </c>
      <c r="L1669" s="3" t="s">
        <v>3379</v>
      </c>
      <c r="M1669" s="3" t="s">
        <v>6419</v>
      </c>
      <c r="N1669" s="3">
        <v>123</v>
      </c>
      <c r="O1669" s="3" t="s">
        <v>721</v>
      </c>
      <c r="P1669" s="3" t="s">
        <v>6420</v>
      </c>
      <c r="Q1669" s="3" t="s">
        <v>1640</v>
      </c>
      <c r="R1669" s="3" t="s">
        <v>78</v>
      </c>
      <c r="S1669" s="3">
        <v>24220001</v>
      </c>
      <c r="T1669" s="3">
        <v>2121091661</v>
      </c>
      <c r="U1669" s="3" t="s">
        <v>29</v>
      </c>
    </row>
    <row r="1670" spans="1:21" ht="13.2" x14ac:dyDescent="0.25">
      <c r="A1670" s="14">
        <v>73063166000120</v>
      </c>
      <c r="B1670" s="15" t="str">
        <f t="shared" si="26"/>
        <v>73.063.166/0001-20</v>
      </c>
      <c r="C1670" s="12"/>
      <c r="D1670" s="3" t="s">
        <v>6421</v>
      </c>
      <c r="E1670" s="3" t="s">
        <v>6422</v>
      </c>
      <c r="F1670" s="3" t="s">
        <v>20</v>
      </c>
      <c r="G1670" s="4">
        <v>25686</v>
      </c>
      <c r="H1670" s="3" t="s">
        <v>6036</v>
      </c>
      <c r="I1670" s="3" t="s">
        <v>33</v>
      </c>
      <c r="J1670" s="5">
        <v>0</v>
      </c>
      <c r="K1670" s="3">
        <v>8531700</v>
      </c>
      <c r="L1670" s="3" t="s">
        <v>6001</v>
      </c>
      <c r="M1670" s="3" t="s">
        <v>6423</v>
      </c>
      <c r="N1670" s="3">
        <v>300</v>
      </c>
      <c r="P1670" s="3" t="s">
        <v>6424</v>
      </c>
      <c r="Q1670" s="3" t="s">
        <v>262</v>
      </c>
      <c r="R1670" s="3" t="s">
        <v>28</v>
      </c>
      <c r="S1670" s="3">
        <v>6020190</v>
      </c>
      <c r="T1670" s="3">
        <v>1136519969</v>
      </c>
      <c r="U1670" s="3" t="s">
        <v>29</v>
      </c>
    </row>
    <row r="1671" spans="1:21" ht="13.2" x14ac:dyDescent="0.25">
      <c r="A1671" s="14">
        <v>33781055004980</v>
      </c>
      <c r="B1671" s="15" t="str">
        <f t="shared" si="26"/>
        <v>33.781.055/0049-80</v>
      </c>
      <c r="C1671" s="12" t="str">
        <f>VLOOKUP(B1671,[1]Planilha1!$A:$B,2,0)</f>
        <v>Malu Montesino</v>
      </c>
      <c r="D1671" s="3" t="s">
        <v>6425</v>
      </c>
      <c r="E1671" s="3" t="s">
        <v>6426</v>
      </c>
      <c r="F1671" s="3" t="s">
        <v>20</v>
      </c>
      <c r="G1671" s="4">
        <v>38230</v>
      </c>
      <c r="H1671" s="3" t="s">
        <v>6427</v>
      </c>
      <c r="I1671" s="3" t="s">
        <v>33</v>
      </c>
      <c r="J1671" s="5">
        <v>0</v>
      </c>
      <c r="K1671" s="3">
        <v>2121101</v>
      </c>
      <c r="L1671" s="3" t="s">
        <v>233</v>
      </c>
      <c r="M1671" s="3" t="s">
        <v>6428</v>
      </c>
      <c r="N1671" s="3">
        <v>447</v>
      </c>
      <c r="P1671" s="3" t="s">
        <v>1136</v>
      </c>
      <c r="Q1671" s="3" t="s">
        <v>253</v>
      </c>
      <c r="R1671" s="3" t="s">
        <v>78</v>
      </c>
      <c r="S1671" s="3">
        <v>22775903</v>
      </c>
      <c r="T1671" s="3">
        <v>2138362171</v>
      </c>
      <c r="U1671" s="3" t="s">
        <v>29</v>
      </c>
    </row>
    <row r="1672" spans="1:21" ht="13.2" x14ac:dyDescent="0.25">
      <c r="A1672" s="14">
        <v>60990751000124</v>
      </c>
      <c r="B1672" s="15" t="str">
        <f t="shared" si="26"/>
        <v>60.990.751/0001-24</v>
      </c>
      <c r="C1672" s="12"/>
      <c r="D1672" s="3" t="s">
        <v>6429</v>
      </c>
      <c r="E1672" s="3" t="s">
        <v>6430</v>
      </c>
      <c r="F1672" s="3" t="s">
        <v>20</v>
      </c>
      <c r="G1672" s="4">
        <v>26322</v>
      </c>
      <c r="H1672" s="3" t="s">
        <v>6036</v>
      </c>
      <c r="I1672" s="3" t="s">
        <v>33</v>
      </c>
      <c r="J1672" s="5">
        <v>0</v>
      </c>
      <c r="K1672" s="3">
        <v>8532500</v>
      </c>
      <c r="L1672" s="3" t="s">
        <v>1785</v>
      </c>
      <c r="M1672" s="3" t="s">
        <v>6431</v>
      </c>
      <c r="N1672" s="3">
        <v>182</v>
      </c>
      <c r="P1672" s="3" t="s">
        <v>4157</v>
      </c>
      <c r="Q1672" s="3" t="s">
        <v>27</v>
      </c>
      <c r="R1672" s="3" t="s">
        <v>28</v>
      </c>
      <c r="S1672" s="3">
        <v>5008000</v>
      </c>
      <c r="T1672" s="3">
        <v>1136703333</v>
      </c>
      <c r="U1672" s="3" t="s">
        <v>29</v>
      </c>
    </row>
    <row r="1673" spans="1:21" ht="13.2" x14ac:dyDescent="0.25">
      <c r="A1673" s="14">
        <v>26195211000110</v>
      </c>
      <c r="B1673" s="15" t="str">
        <f t="shared" si="26"/>
        <v>26.195.211/0001-10</v>
      </c>
      <c r="C1673" s="12"/>
      <c r="D1673" s="3" t="s">
        <v>6432</v>
      </c>
      <c r="E1673" s="3" t="s">
        <v>6432</v>
      </c>
      <c r="F1673" s="3" t="s">
        <v>20</v>
      </c>
      <c r="G1673" s="4">
        <v>42599</v>
      </c>
      <c r="H1673" s="3" t="s">
        <v>6433</v>
      </c>
      <c r="I1673" s="3" t="s">
        <v>33</v>
      </c>
      <c r="J1673" s="5">
        <v>0</v>
      </c>
      <c r="K1673" s="3">
        <v>6470101</v>
      </c>
      <c r="L1673" s="3" t="s">
        <v>6434</v>
      </c>
      <c r="M1673" s="3" t="s">
        <v>6435</v>
      </c>
      <c r="N1673" s="3" t="s">
        <v>82</v>
      </c>
      <c r="O1673" s="3" t="s">
        <v>6436</v>
      </c>
      <c r="P1673" s="3" t="s">
        <v>5496</v>
      </c>
      <c r="Q1673" s="3" t="s">
        <v>262</v>
      </c>
      <c r="R1673" s="3" t="s">
        <v>28</v>
      </c>
      <c r="S1673" s="3">
        <v>6029900</v>
      </c>
      <c r="T1673" s="3">
        <v>1136845122</v>
      </c>
      <c r="U1673" s="3" t="s">
        <v>29</v>
      </c>
    </row>
    <row r="1674" spans="1:21" ht="13.2" x14ac:dyDescent="0.25">
      <c r="A1674" s="14">
        <v>2144527000115</v>
      </c>
      <c r="B1674" s="15" t="str">
        <f t="shared" si="26"/>
        <v>02.144.527/0001-15</v>
      </c>
      <c r="C1674" s="12"/>
      <c r="D1674" s="3" t="s">
        <v>6437</v>
      </c>
      <c r="E1674" s="3" t="s">
        <v>6437</v>
      </c>
      <c r="F1674" s="3" t="s">
        <v>20</v>
      </c>
      <c r="G1674" s="4">
        <v>35699</v>
      </c>
      <c r="H1674" s="3" t="s">
        <v>21</v>
      </c>
      <c r="I1674" s="3" t="s">
        <v>47</v>
      </c>
      <c r="J1674" s="5">
        <v>0</v>
      </c>
      <c r="K1674" s="3">
        <v>9603304</v>
      </c>
      <c r="L1674" s="3" t="s">
        <v>6438</v>
      </c>
      <c r="M1674" s="3" t="s">
        <v>6439</v>
      </c>
      <c r="N1674" s="3">
        <v>216</v>
      </c>
      <c r="P1674" s="3" t="s">
        <v>70</v>
      </c>
      <c r="Q1674" s="3" t="s">
        <v>6440</v>
      </c>
      <c r="R1674" s="3" t="s">
        <v>187</v>
      </c>
      <c r="S1674" s="3">
        <v>83305120</v>
      </c>
      <c r="U1674" s="3" t="s">
        <v>29</v>
      </c>
    </row>
    <row r="1675" spans="1:21" ht="13.2" x14ac:dyDescent="0.25">
      <c r="A1675" s="14">
        <v>10633441000184</v>
      </c>
      <c r="B1675" s="15" t="str">
        <f t="shared" si="26"/>
        <v>10.633.441/0001-84</v>
      </c>
      <c r="C1675" s="12"/>
      <c r="D1675" s="3" t="s">
        <v>6441</v>
      </c>
      <c r="E1675" s="3" t="s">
        <v>6442</v>
      </c>
      <c r="F1675" s="3" t="s">
        <v>20</v>
      </c>
      <c r="G1675" s="4">
        <v>39846</v>
      </c>
      <c r="H1675" s="3" t="s">
        <v>21</v>
      </c>
      <c r="I1675" s="3" t="s">
        <v>47</v>
      </c>
      <c r="J1675" s="5">
        <v>400000</v>
      </c>
      <c r="K1675" s="3">
        <v>4645103</v>
      </c>
      <c r="L1675" s="3" t="s">
        <v>1568</v>
      </c>
      <c r="M1675" s="3" t="s">
        <v>518</v>
      </c>
      <c r="N1675" s="3">
        <v>8594</v>
      </c>
      <c r="P1675" s="3" t="s">
        <v>6443</v>
      </c>
      <c r="Q1675" s="3" t="s">
        <v>211</v>
      </c>
      <c r="R1675" s="3" t="s">
        <v>187</v>
      </c>
      <c r="S1675" s="3">
        <v>85807030</v>
      </c>
      <c r="T1675" s="3">
        <v>4532224273</v>
      </c>
      <c r="U1675" s="3" t="s">
        <v>29</v>
      </c>
    </row>
    <row r="1676" spans="1:21" ht="13.2" x14ac:dyDescent="0.25">
      <c r="A1676" s="14">
        <v>6007487000110</v>
      </c>
      <c r="B1676" s="15" t="str">
        <f t="shared" si="26"/>
        <v>06.007.487/0001-10</v>
      </c>
      <c r="C1676" s="12" t="str">
        <f>VLOOKUP(B1676,[1]Planilha1!$A:$B,2,0)</f>
        <v>Malu Montesino</v>
      </c>
      <c r="D1676" s="3" t="s">
        <v>6444</v>
      </c>
      <c r="E1676" s="3" t="s">
        <v>6445</v>
      </c>
      <c r="F1676" s="3" t="s">
        <v>20</v>
      </c>
      <c r="G1676" s="4">
        <v>37819</v>
      </c>
      <c r="H1676" s="3" t="s">
        <v>21</v>
      </c>
      <c r="I1676" s="3" t="s">
        <v>33</v>
      </c>
      <c r="J1676" s="5">
        <v>500000</v>
      </c>
      <c r="K1676" s="3">
        <v>3091101</v>
      </c>
      <c r="L1676" s="3" t="s">
        <v>6446</v>
      </c>
      <c r="M1676" s="3" t="s">
        <v>6447</v>
      </c>
      <c r="N1676" s="3">
        <v>117</v>
      </c>
      <c r="P1676" s="3" t="s">
        <v>928</v>
      </c>
      <c r="Q1676" s="3" t="s">
        <v>27</v>
      </c>
      <c r="R1676" s="3" t="s">
        <v>28</v>
      </c>
      <c r="S1676" s="3">
        <v>2551060</v>
      </c>
      <c r="T1676" s="3">
        <v>1139522110</v>
      </c>
      <c r="U1676" s="3" t="s">
        <v>29</v>
      </c>
    </row>
    <row r="1677" spans="1:21" ht="13.2" x14ac:dyDescent="0.25">
      <c r="A1677" s="14">
        <v>8708027000145</v>
      </c>
      <c r="B1677" s="15" t="str">
        <f t="shared" si="26"/>
        <v>08.708.027/0001-45</v>
      </c>
      <c r="C1677" s="12"/>
      <c r="D1677" s="3" t="s">
        <v>6448</v>
      </c>
      <c r="E1677" s="3" t="s">
        <v>6448</v>
      </c>
      <c r="F1677" s="3" t="s">
        <v>20</v>
      </c>
      <c r="G1677" s="4">
        <v>39129</v>
      </c>
      <c r="H1677" s="3" t="s">
        <v>21</v>
      </c>
      <c r="I1677" s="3" t="s">
        <v>47</v>
      </c>
      <c r="J1677" s="5">
        <v>50000</v>
      </c>
      <c r="K1677" s="3">
        <v>4744001</v>
      </c>
      <c r="L1677" s="3" t="s">
        <v>396</v>
      </c>
      <c r="M1677" s="3" t="s">
        <v>6449</v>
      </c>
      <c r="N1677" s="3">
        <v>26</v>
      </c>
      <c r="O1677" s="3" t="s">
        <v>6450</v>
      </c>
      <c r="P1677" s="3" t="s">
        <v>6451</v>
      </c>
      <c r="Q1677" s="3" t="s">
        <v>217</v>
      </c>
      <c r="R1677" s="3" t="s">
        <v>28</v>
      </c>
      <c r="S1677" s="3">
        <v>9790760</v>
      </c>
      <c r="T1677" s="3">
        <v>1177527052</v>
      </c>
      <c r="U1677" s="3" t="s">
        <v>29</v>
      </c>
    </row>
    <row r="1678" spans="1:21" ht="13.2" x14ac:dyDescent="0.25">
      <c r="A1678" s="14">
        <v>39489731000188</v>
      </c>
      <c r="B1678" s="15" t="str">
        <f t="shared" si="26"/>
        <v>39.489.731/0001-88</v>
      </c>
      <c r="C1678" s="12" t="str">
        <f>VLOOKUP(B1678,[1]Planilha1!$A:$B,2,0)</f>
        <v>Malu Montesino</v>
      </c>
      <c r="D1678" s="3" t="s">
        <v>6452</v>
      </c>
      <c r="E1678" s="3" t="s">
        <v>6452</v>
      </c>
      <c r="F1678" s="3" t="s">
        <v>20</v>
      </c>
      <c r="G1678" s="4">
        <v>44124</v>
      </c>
      <c r="H1678" s="3" t="s">
        <v>21</v>
      </c>
      <c r="I1678" s="3" t="s">
        <v>33</v>
      </c>
      <c r="J1678" s="5">
        <v>3000</v>
      </c>
      <c r="K1678" s="3">
        <v>5811500</v>
      </c>
      <c r="L1678" s="3" t="s">
        <v>5272</v>
      </c>
      <c r="M1678" s="3" t="s">
        <v>334</v>
      </c>
      <c r="N1678" s="3">
        <v>231</v>
      </c>
      <c r="O1678" s="3" t="s">
        <v>6453</v>
      </c>
      <c r="P1678" s="3" t="s">
        <v>70</v>
      </c>
      <c r="Q1678" s="3" t="s">
        <v>253</v>
      </c>
      <c r="R1678" s="3" t="s">
        <v>78</v>
      </c>
      <c r="S1678" s="3">
        <v>20030905</v>
      </c>
      <c r="T1678" s="3">
        <v>2199926566</v>
      </c>
      <c r="U1678" s="3" t="s">
        <v>29</v>
      </c>
    </row>
    <row r="1679" spans="1:21" ht="13.2" x14ac:dyDescent="0.25">
      <c r="A1679" s="14">
        <v>19827342000108</v>
      </c>
      <c r="B1679" s="15" t="str">
        <f t="shared" si="26"/>
        <v>19.827.342/0001-08</v>
      </c>
      <c r="C1679" s="12"/>
      <c r="D1679" s="3" t="s">
        <v>6454</v>
      </c>
      <c r="E1679" s="3" t="s">
        <v>6455</v>
      </c>
      <c r="F1679" s="3" t="s">
        <v>20</v>
      </c>
      <c r="G1679" s="4">
        <v>41704</v>
      </c>
      <c r="H1679" s="3" t="s">
        <v>21</v>
      </c>
      <c r="I1679" s="3" t="s">
        <v>33</v>
      </c>
      <c r="J1679" s="5">
        <v>1000000</v>
      </c>
      <c r="K1679" s="3">
        <v>8211300</v>
      </c>
      <c r="L1679" s="3" t="s">
        <v>166</v>
      </c>
      <c r="M1679" s="3" t="s">
        <v>1891</v>
      </c>
      <c r="N1679" s="3">
        <v>585</v>
      </c>
      <c r="O1679" s="3" t="s">
        <v>6456</v>
      </c>
      <c r="P1679" s="3" t="s">
        <v>940</v>
      </c>
      <c r="Q1679" s="3" t="s">
        <v>617</v>
      </c>
      <c r="R1679" s="3" t="s">
        <v>28</v>
      </c>
      <c r="S1679" s="3">
        <v>6454000</v>
      </c>
      <c r="T1679" s="3">
        <v>1131643990</v>
      </c>
      <c r="U1679" s="3" t="s">
        <v>29</v>
      </c>
    </row>
    <row r="1680" spans="1:21" ht="13.2" x14ac:dyDescent="0.25">
      <c r="A1680" s="14">
        <v>2527107000118</v>
      </c>
      <c r="B1680" s="15" t="str">
        <f t="shared" si="26"/>
        <v>02.527.107/0001-18</v>
      </c>
      <c r="C1680" s="12"/>
      <c r="D1680" s="3" t="s">
        <v>6457</v>
      </c>
      <c r="E1680" s="3" t="s">
        <v>6457</v>
      </c>
      <c r="F1680" s="3" t="s">
        <v>20</v>
      </c>
      <c r="G1680" s="4">
        <v>35929</v>
      </c>
      <c r="H1680" s="3" t="s">
        <v>21</v>
      </c>
      <c r="I1680" s="3" t="s">
        <v>33</v>
      </c>
      <c r="J1680" s="5">
        <v>20755226</v>
      </c>
      <c r="K1680" s="3">
        <v>2229302</v>
      </c>
      <c r="L1680" s="3" t="s">
        <v>576</v>
      </c>
      <c r="M1680" s="3" t="s">
        <v>6458</v>
      </c>
      <c r="N1680" s="3">
        <v>251</v>
      </c>
      <c r="P1680" s="3" t="s">
        <v>70</v>
      </c>
      <c r="Q1680" s="3" t="s">
        <v>1805</v>
      </c>
      <c r="R1680" s="3" t="s">
        <v>28</v>
      </c>
      <c r="S1680" s="3">
        <v>13193580</v>
      </c>
      <c r="T1680" s="3">
        <v>1932551990</v>
      </c>
      <c r="U1680" s="3" t="s">
        <v>29</v>
      </c>
    </row>
    <row r="1681" spans="1:21" ht="13.2" x14ac:dyDescent="0.25">
      <c r="A1681" s="14">
        <v>15479369000104</v>
      </c>
      <c r="B1681" s="15" t="str">
        <f t="shared" si="26"/>
        <v>15.479.369/0001-04</v>
      </c>
      <c r="C1681" s="12"/>
      <c r="D1681" s="3" t="s">
        <v>6459</v>
      </c>
      <c r="E1681" s="3" t="s">
        <v>6460</v>
      </c>
      <c r="F1681" s="3" t="s">
        <v>20</v>
      </c>
      <c r="G1681" s="4">
        <v>41033</v>
      </c>
      <c r="H1681" s="3" t="s">
        <v>21</v>
      </c>
      <c r="I1681" s="3" t="s">
        <v>22</v>
      </c>
      <c r="J1681" s="5">
        <v>400000</v>
      </c>
      <c r="K1681" s="3">
        <v>4759899</v>
      </c>
      <c r="L1681" s="3" t="s">
        <v>207</v>
      </c>
      <c r="M1681" s="3" t="s">
        <v>6461</v>
      </c>
      <c r="N1681" s="3">
        <v>6388</v>
      </c>
      <c r="P1681" s="3" t="s">
        <v>6462</v>
      </c>
      <c r="Q1681" s="3" t="s">
        <v>6463</v>
      </c>
      <c r="R1681" s="3" t="s">
        <v>1604</v>
      </c>
      <c r="S1681" s="3">
        <v>76824262</v>
      </c>
      <c r="T1681" s="3">
        <v>6932229191</v>
      </c>
      <c r="U1681" s="3" t="s">
        <v>29</v>
      </c>
    </row>
    <row r="1682" spans="1:21" ht="13.2" x14ac:dyDescent="0.25">
      <c r="A1682" s="14">
        <v>4646303000137</v>
      </c>
      <c r="B1682" s="15" t="str">
        <f t="shared" si="26"/>
        <v>04.646.303/0001-37</v>
      </c>
      <c r="C1682" s="12"/>
      <c r="D1682" s="3" t="s">
        <v>6464</v>
      </c>
      <c r="E1682" s="3" t="s">
        <v>6465</v>
      </c>
      <c r="F1682" s="3" t="s">
        <v>20</v>
      </c>
      <c r="G1682" s="4">
        <v>30342</v>
      </c>
      <c r="H1682" s="3" t="s">
        <v>21</v>
      </c>
      <c r="I1682" s="3" t="s">
        <v>47</v>
      </c>
      <c r="J1682" s="5">
        <v>120000</v>
      </c>
      <c r="K1682" s="3">
        <v>5022002</v>
      </c>
      <c r="L1682" s="3" t="s">
        <v>6466</v>
      </c>
      <c r="M1682" s="3" t="s">
        <v>6467</v>
      </c>
      <c r="N1682" s="3">
        <v>45</v>
      </c>
      <c r="P1682" s="3" t="s">
        <v>6468</v>
      </c>
      <c r="Q1682" s="3" t="s">
        <v>6469</v>
      </c>
      <c r="R1682" s="3" t="s">
        <v>449</v>
      </c>
      <c r="S1682" s="3">
        <v>69750000</v>
      </c>
      <c r="T1682" s="3">
        <v>9281247990</v>
      </c>
      <c r="U1682" s="3" t="s">
        <v>29</v>
      </c>
    </row>
    <row r="1683" spans="1:21" ht="13.2" x14ac:dyDescent="0.25">
      <c r="A1683" s="14">
        <v>27157340000187</v>
      </c>
      <c r="B1683" s="15" t="str">
        <f t="shared" si="26"/>
        <v>27.157.340/0001-87</v>
      </c>
      <c r="C1683" s="12"/>
      <c r="D1683" s="3" t="s">
        <v>6470</v>
      </c>
      <c r="E1683" s="3" t="s">
        <v>6471</v>
      </c>
      <c r="F1683" s="3" t="s">
        <v>31</v>
      </c>
      <c r="G1683" s="4">
        <v>42786</v>
      </c>
      <c r="H1683" s="3" t="s">
        <v>21</v>
      </c>
      <c r="I1683" s="3" t="s">
        <v>47</v>
      </c>
      <c r="J1683" s="5">
        <v>300000</v>
      </c>
      <c r="K1683" s="3">
        <v>5620102</v>
      </c>
      <c r="L1683" s="3" t="s">
        <v>6472</v>
      </c>
      <c r="M1683" s="3" t="s">
        <v>6473</v>
      </c>
      <c r="N1683" s="3">
        <v>268</v>
      </c>
      <c r="O1683" s="3" t="s">
        <v>6474</v>
      </c>
      <c r="P1683" s="3" t="s">
        <v>950</v>
      </c>
      <c r="Q1683" s="3" t="s">
        <v>253</v>
      </c>
      <c r="R1683" s="3" t="s">
        <v>78</v>
      </c>
      <c r="S1683" s="3">
        <v>20941120</v>
      </c>
      <c r="T1683" s="3">
        <v>2131905295</v>
      </c>
      <c r="U1683" s="3" t="s">
        <v>29</v>
      </c>
    </row>
    <row r="1684" spans="1:21" ht="13.2" x14ac:dyDescent="0.25">
      <c r="A1684" s="14">
        <v>224919000169</v>
      </c>
      <c r="B1684" s="15" t="str">
        <f t="shared" si="26"/>
        <v>00.224.919/0001-69</v>
      </c>
      <c r="C1684" s="12"/>
      <c r="D1684" s="3" t="s">
        <v>6475</v>
      </c>
      <c r="E1684" s="3" t="s">
        <v>6475</v>
      </c>
      <c r="F1684" s="3" t="s">
        <v>20</v>
      </c>
      <c r="G1684" s="4">
        <v>34603</v>
      </c>
      <c r="H1684" s="3" t="s">
        <v>21</v>
      </c>
      <c r="I1684" s="3" t="s">
        <v>22</v>
      </c>
      <c r="J1684" s="5">
        <v>100000</v>
      </c>
      <c r="K1684" s="3">
        <v>2539002</v>
      </c>
      <c r="L1684" s="3" t="s">
        <v>6476</v>
      </c>
      <c r="M1684" s="3" t="s">
        <v>6477</v>
      </c>
      <c r="N1684" s="3">
        <v>145</v>
      </c>
      <c r="P1684" s="3" t="s">
        <v>1545</v>
      </c>
      <c r="Q1684" s="3" t="s">
        <v>367</v>
      </c>
      <c r="R1684" s="3" t="s">
        <v>28</v>
      </c>
      <c r="S1684" s="3">
        <v>13424700</v>
      </c>
      <c r="T1684" s="3">
        <v>1934261841</v>
      </c>
      <c r="U1684" s="3" t="s">
        <v>29</v>
      </c>
    </row>
    <row r="1685" spans="1:21" ht="13.2" x14ac:dyDescent="0.25">
      <c r="A1685" s="14">
        <v>59057992000136</v>
      </c>
      <c r="B1685" s="15" t="str">
        <f t="shared" si="26"/>
        <v>59.057.992/0001-36</v>
      </c>
      <c r="C1685" s="12"/>
      <c r="D1685" s="3" t="s">
        <v>6478</v>
      </c>
      <c r="E1685" s="3" t="s">
        <v>6478</v>
      </c>
      <c r="F1685" s="3" t="s">
        <v>20</v>
      </c>
      <c r="G1685" s="4">
        <v>33920</v>
      </c>
      <c r="H1685" s="3" t="s">
        <v>94</v>
      </c>
      <c r="I1685" s="3" t="s">
        <v>33</v>
      </c>
      <c r="J1685" s="5">
        <v>30196296</v>
      </c>
      <c r="K1685" s="3">
        <v>6201501</v>
      </c>
      <c r="L1685" s="3" t="s">
        <v>298</v>
      </c>
      <c r="M1685" s="3" t="s">
        <v>65</v>
      </c>
      <c r="N1685" s="3">
        <v>579</v>
      </c>
      <c r="O1685" s="3" t="s">
        <v>6479</v>
      </c>
      <c r="P1685" s="3" t="s">
        <v>1585</v>
      </c>
      <c r="Q1685" s="3" t="s">
        <v>27</v>
      </c>
      <c r="R1685" s="3" t="s">
        <v>28</v>
      </c>
      <c r="S1685" s="3">
        <v>1404100</v>
      </c>
      <c r="T1685" s="3">
        <v>1138896306</v>
      </c>
      <c r="U1685" s="3" t="s">
        <v>29</v>
      </c>
    </row>
    <row r="1686" spans="1:21" ht="13.2" x14ac:dyDescent="0.25">
      <c r="A1686" s="14">
        <v>1479308000124</v>
      </c>
      <c r="B1686" s="15" t="str">
        <f t="shared" si="26"/>
        <v>01.479.308/0001-24</v>
      </c>
      <c r="C1686" s="12"/>
      <c r="D1686" s="3" t="s">
        <v>6480</v>
      </c>
      <c r="E1686" s="3" t="s">
        <v>6481</v>
      </c>
      <c r="F1686" s="3" t="s">
        <v>45</v>
      </c>
      <c r="G1686" s="4">
        <v>35345</v>
      </c>
      <c r="H1686" s="3" t="s">
        <v>1329</v>
      </c>
      <c r="I1686" s="3" t="s">
        <v>47</v>
      </c>
      <c r="J1686" s="5">
        <v>62200</v>
      </c>
      <c r="K1686" s="3">
        <v>7420003</v>
      </c>
      <c r="L1686" s="3" t="s">
        <v>6482</v>
      </c>
      <c r="M1686" s="3" t="s">
        <v>6483</v>
      </c>
      <c r="N1686" s="3">
        <v>67</v>
      </c>
      <c r="P1686" s="3" t="s">
        <v>6484</v>
      </c>
      <c r="Q1686" s="3" t="s">
        <v>27</v>
      </c>
      <c r="R1686" s="3" t="s">
        <v>28</v>
      </c>
      <c r="S1686" s="3">
        <v>2347060</v>
      </c>
      <c r="T1686" s="3">
        <v>1122036007</v>
      </c>
      <c r="U1686" s="3" t="s">
        <v>29</v>
      </c>
    </row>
    <row r="1687" spans="1:21" ht="13.2" x14ac:dyDescent="0.25">
      <c r="A1687" s="14">
        <v>7094346000145</v>
      </c>
      <c r="B1687" s="15" t="str">
        <f t="shared" si="26"/>
        <v>07.094.346/0001-45</v>
      </c>
      <c r="C1687" s="12"/>
      <c r="D1687" s="3" t="s">
        <v>6485</v>
      </c>
      <c r="E1687" s="3" t="s">
        <v>6486</v>
      </c>
      <c r="F1687" s="3" t="s">
        <v>20</v>
      </c>
      <c r="G1687" s="4">
        <v>38300</v>
      </c>
      <c r="H1687" s="3" t="s">
        <v>21</v>
      </c>
      <c r="I1687" s="3" t="s">
        <v>33</v>
      </c>
      <c r="J1687" s="5">
        <v>1041600</v>
      </c>
      <c r="K1687" s="3">
        <v>6201501</v>
      </c>
      <c r="L1687" s="3" t="s">
        <v>298</v>
      </c>
      <c r="M1687" s="3" t="s">
        <v>6487</v>
      </c>
      <c r="N1687" s="3" t="s">
        <v>111</v>
      </c>
      <c r="O1687" s="3" t="s">
        <v>6488</v>
      </c>
      <c r="P1687" s="3" t="s">
        <v>630</v>
      </c>
      <c r="Q1687" s="3" t="s">
        <v>631</v>
      </c>
      <c r="R1687" s="3" t="s">
        <v>632</v>
      </c>
      <c r="S1687" s="3">
        <v>70712900</v>
      </c>
      <c r="T1687" s="3">
        <v>6137732000</v>
      </c>
      <c r="U1687" s="3" t="s">
        <v>29</v>
      </c>
    </row>
    <row r="1688" spans="1:21" ht="13.2" x14ac:dyDescent="0.25">
      <c r="A1688" s="14">
        <v>7306281000154</v>
      </c>
      <c r="B1688" s="15" t="str">
        <f t="shared" si="26"/>
        <v>07.306.281/0001-54</v>
      </c>
      <c r="C1688" s="12" t="str">
        <f>VLOOKUP(B1688,[1]Planilha1!$A:$B,2,0)</f>
        <v>Malu Montesino</v>
      </c>
      <c r="D1688" s="3" t="s">
        <v>6489</v>
      </c>
      <c r="E1688" s="3" t="s">
        <v>6489</v>
      </c>
      <c r="F1688" s="3" t="s">
        <v>20</v>
      </c>
      <c r="G1688" s="4">
        <v>38069</v>
      </c>
      <c r="H1688" s="3" t="s">
        <v>21</v>
      </c>
      <c r="I1688" s="3" t="s">
        <v>33</v>
      </c>
      <c r="J1688" s="5">
        <v>1448119200</v>
      </c>
      <c r="K1688" s="3">
        <v>6462000</v>
      </c>
      <c r="L1688" s="3" t="s">
        <v>250</v>
      </c>
      <c r="M1688" s="3" t="s">
        <v>246</v>
      </c>
      <c r="N1688" s="3">
        <v>453</v>
      </c>
      <c r="O1688" s="3" t="s">
        <v>3529</v>
      </c>
      <c r="P1688" s="3" t="s">
        <v>248</v>
      </c>
      <c r="Q1688" s="3" t="s">
        <v>27</v>
      </c>
      <c r="R1688" s="3" t="s">
        <v>28</v>
      </c>
      <c r="S1688" s="3">
        <v>1311907</v>
      </c>
      <c r="T1688" s="3">
        <v>1145606100</v>
      </c>
      <c r="U1688" s="3" t="s">
        <v>29</v>
      </c>
    </row>
    <row r="1689" spans="1:21" ht="13.2" x14ac:dyDescent="0.25">
      <c r="A1689" s="14">
        <v>47190129000173</v>
      </c>
      <c r="B1689" s="15" t="str">
        <f t="shared" si="26"/>
        <v>47.190.129/0001-73</v>
      </c>
      <c r="C1689" s="12"/>
      <c r="D1689" s="3" t="s">
        <v>6490</v>
      </c>
      <c r="E1689" s="3" t="s">
        <v>6490</v>
      </c>
      <c r="F1689" s="3" t="s">
        <v>20</v>
      </c>
      <c r="G1689" s="4">
        <v>27696</v>
      </c>
      <c r="H1689" s="3" t="s">
        <v>21</v>
      </c>
      <c r="I1689" s="3" t="s">
        <v>33</v>
      </c>
      <c r="J1689" s="5">
        <v>238339870</v>
      </c>
      <c r="K1689" s="3">
        <v>8011101</v>
      </c>
      <c r="L1689" s="3" t="s">
        <v>943</v>
      </c>
      <c r="M1689" s="3" t="s">
        <v>1655</v>
      </c>
      <c r="N1689" s="3">
        <v>191</v>
      </c>
      <c r="P1689" s="3" t="s">
        <v>248</v>
      </c>
      <c r="Q1689" s="3" t="s">
        <v>27</v>
      </c>
      <c r="R1689" s="3" t="s">
        <v>28</v>
      </c>
      <c r="S1689" s="3">
        <v>1326010</v>
      </c>
      <c r="T1689" s="3">
        <v>1145606000</v>
      </c>
      <c r="U1689" s="3" t="s">
        <v>29</v>
      </c>
    </row>
    <row r="1690" spans="1:21" ht="13.2" x14ac:dyDescent="0.25">
      <c r="A1690" s="14">
        <v>6207067000188</v>
      </c>
      <c r="B1690" s="15" t="str">
        <f t="shared" si="26"/>
        <v>06.207.067/0001-88</v>
      </c>
      <c r="C1690" s="12" t="str">
        <f>VLOOKUP(B1690,[1]Planilha1!$A:$B,2,0)</f>
        <v>Malu Montesino</v>
      </c>
      <c r="D1690" s="3" t="s">
        <v>6491</v>
      </c>
      <c r="E1690" s="3" t="s">
        <v>6492</v>
      </c>
      <c r="F1690" s="3" t="s">
        <v>20</v>
      </c>
      <c r="G1690" s="4">
        <v>38075</v>
      </c>
      <c r="H1690" s="3" t="s">
        <v>21</v>
      </c>
      <c r="I1690" s="3" t="s">
        <v>22</v>
      </c>
      <c r="J1690" s="5">
        <v>25000</v>
      </c>
      <c r="K1690" s="3">
        <v>4930202</v>
      </c>
      <c r="L1690" s="3" t="s">
        <v>2603</v>
      </c>
      <c r="M1690" s="3" t="s">
        <v>6493</v>
      </c>
      <c r="N1690" s="3">
        <v>644</v>
      </c>
      <c r="P1690" s="3" t="s">
        <v>6494</v>
      </c>
      <c r="Q1690" s="3" t="s">
        <v>1410</v>
      </c>
      <c r="R1690" s="3" t="s">
        <v>28</v>
      </c>
      <c r="S1690" s="3">
        <v>9061260</v>
      </c>
      <c r="T1690" s="3">
        <v>1178013478</v>
      </c>
      <c r="U1690" s="3" t="s">
        <v>29</v>
      </c>
    </row>
    <row r="1691" spans="1:21" ht="13.2" x14ac:dyDescent="0.25">
      <c r="A1691" s="14">
        <v>25007972000139</v>
      </c>
      <c r="B1691" s="15" t="str">
        <f t="shared" si="26"/>
        <v>25.007.972/0001-39</v>
      </c>
      <c r="C1691" s="12" t="str">
        <f>VLOOKUP(B1691,[1]Planilha1!$A:$B,2,0)</f>
        <v>Malu Montesino</v>
      </c>
      <c r="D1691" s="3" t="s">
        <v>6495</v>
      </c>
      <c r="E1691" s="3" t="s">
        <v>6496</v>
      </c>
      <c r="F1691" s="3" t="s">
        <v>20</v>
      </c>
      <c r="G1691" s="4">
        <v>32455</v>
      </c>
      <c r="H1691" s="3" t="s">
        <v>21</v>
      </c>
      <c r="I1691" s="3" t="s">
        <v>33</v>
      </c>
      <c r="J1691" s="5">
        <v>1000000</v>
      </c>
      <c r="K1691" s="3">
        <v>2452100</v>
      </c>
      <c r="L1691" s="3" t="s">
        <v>6497</v>
      </c>
      <c r="M1691" s="3">
        <v>7</v>
      </c>
      <c r="N1691" s="3" t="s">
        <v>82</v>
      </c>
      <c r="O1691" s="3" t="s">
        <v>6498</v>
      </c>
      <c r="P1691" s="3" t="s">
        <v>6499</v>
      </c>
      <c r="Q1691" s="3" t="s">
        <v>573</v>
      </c>
      <c r="R1691" s="3" t="s">
        <v>274</v>
      </c>
      <c r="S1691" s="3">
        <v>74985206</v>
      </c>
      <c r="T1691" s="3">
        <v>6232780011</v>
      </c>
      <c r="U1691" s="3" t="s">
        <v>29</v>
      </c>
    </row>
    <row r="1692" spans="1:21" ht="13.2" x14ac:dyDescent="0.25">
      <c r="A1692" s="14">
        <v>1545826000107</v>
      </c>
      <c r="B1692" s="15" t="str">
        <f t="shared" si="26"/>
        <v>01.545.826/0001-07</v>
      </c>
      <c r="C1692" s="12"/>
      <c r="D1692" s="3" t="s">
        <v>6500</v>
      </c>
      <c r="E1692" s="3" t="s">
        <v>6500</v>
      </c>
      <c r="F1692" s="3" t="s">
        <v>20</v>
      </c>
      <c r="G1692" s="4">
        <v>35382</v>
      </c>
      <c r="H1692" s="3" t="s">
        <v>377</v>
      </c>
      <c r="I1692" s="3" t="s">
        <v>33</v>
      </c>
      <c r="J1692" s="5">
        <v>2145119100</v>
      </c>
      <c r="K1692" s="3">
        <v>4110700</v>
      </c>
      <c r="L1692" s="3" t="s">
        <v>4133</v>
      </c>
      <c r="M1692" s="3" t="s">
        <v>1047</v>
      </c>
      <c r="N1692" s="3">
        <v>1830</v>
      </c>
      <c r="O1692" s="3" t="s">
        <v>6501</v>
      </c>
      <c r="P1692" s="3" t="s">
        <v>1049</v>
      </c>
      <c r="Q1692" s="3" t="s">
        <v>27</v>
      </c>
      <c r="R1692" s="3" t="s">
        <v>28</v>
      </c>
      <c r="S1692" s="3">
        <v>4543900</v>
      </c>
      <c r="T1692" s="3">
        <v>1130255800</v>
      </c>
      <c r="U1692" s="3" t="s">
        <v>29</v>
      </c>
    </row>
    <row r="1693" spans="1:21" ht="13.2" x14ac:dyDescent="0.25">
      <c r="A1693" s="14">
        <v>61288940000112</v>
      </c>
      <c r="B1693" s="15" t="str">
        <f t="shared" si="26"/>
        <v>61.288.940/0001-12</v>
      </c>
      <c r="C1693" s="12"/>
      <c r="D1693" s="3" t="s">
        <v>6502</v>
      </c>
      <c r="E1693" s="3" t="s">
        <v>6502</v>
      </c>
      <c r="F1693" s="3" t="s">
        <v>20</v>
      </c>
      <c r="G1693" s="4">
        <v>21790</v>
      </c>
      <c r="H1693" s="3" t="s">
        <v>94</v>
      </c>
      <c r="I1693" s="3" t="s">
        <v>33</v>
      </c>
      <c r="J1693" s="5">
        <v>175670020</v>
      </c>
      <c r="K1693" s="3">
        <v>4930202</v>
      </c>
      <c r="L1693" s="3" t="s">
        <v>2603</v>
      </c>
      <c r="M1693" s="3" t="s">
        <v>308</v>
      </c>
      <c r="N1693" s="3">
        <v>10989</v>
      </c>
      <c r="O1693" s="3" t="s">
        <v>6503</v>
      </c>
      <c r="P1693" s="3" t="s">
        <v>1397</v>
      </c>
      <c r="Q1693" s="3" t="s">
        <v>27</v>
      </c>
      <c r="R1693" s="3" t="s">
        <v>28</v>
      </c>
      <c r="S1693" s="3">
        <v>4578000</v>
      </c>
      <c r="T1693" s="3">
        <v>1130469090</v>
      </c>
      <c r="U1693" s="3" t="s">
        <v>29</v>
      </c>
    </row>
    <row r="1694" spans="1:21" ht="13.2" x14ac:dyDescent="0.25">
      <c r="A1694" s="14">
        <v>42246169000176</v>
      </c>
      <c r="B1694" s="15" t="str">
        <f t="shared" si="26"/>
        <v>42.246.169/0001-76</v>
      </c>
      <c r="C1694" s="12"/>
      <c r="D1694" s="3" t="s">
        <v>6504</v>
      </c>
      <c r="E1694" s="3" t="s">
        <v>6505</v>
      </c>
      <c r="F1694" s="3" t="s">
        <v>20</v>
      </c>
      <c r="G1694" s="4">
        <v>44355</v>
      </c>
      <c r="H1694" s="3" t="s">
        <v>21</v>
      </c>
      <c r="I1694" s="3" t="s">
        <v>47</v>
      </c>
      <c r="J1694" s="5">
        <v>10000</v>
      </c>
      <c r="K1694" s="3">
        <v>8211300</v>
      </c>
      <c r="L1694" s="3" t="s">
        <v>166</v>
      </c>
      <c r="M1694" s="3" t="s">
        <v>6506</v>
      </c>
      <c r="N1694" s="3">
        <v>481</v>
      </c>
      <c r="P1694" s="3" t="s">
        <v>4015</v>
      </c>
      <c r="Q1694" s="3" t="s">
        <v>6507</v>
      </c>
      <c r="R1694" s="3" t="s">
        <v>53</v>
      </c>
      <c r="S1694" s="3">
        <v>97340000</v>
      </c>
      <c r="T1694" s="3">
        <v>5599607111</v>
      </c>
      <c r="U1694" s="3" t="s">
        <v>29</v>
      </c>
    </row>
    <row r="1695" spans="1:21" ht="13.2" x14ac:dyDescent="0.25">
      <c r="A1695" s="14">
        <v>12388784000156</v>
      </c>
      <c r="B1695" s="15" t="str">
        <f t="shared" si="26"/>
        <v>12.388.784/0001-56</v>
      </c>
      <c r="C1695" s="12"/>
      <c r="D1695" s="3" t="s">
        <v>6508</v>
      </c>
      <c r="E1695" s="3" t="s">
        <v>6509</v>
      </c>
      <c r="F1695" s="3" t="s">
        <v>31</v>
      </c>
      <c r="G1695" s="4">
        <v>40400</v>
      </c>
      <c r="H1695" s="3" t="s">
        <v>21</v>
      </c>
      <c r="I1695" s="3" t="s">
        <v>33</v>
      </c>
      <c r="J1695" s="5">
        <v>1000000</v>
      </c>
      <c r="K1695" s="3">
        <v>8211300</v>
      </c>
      <c r="L1695" s="3" t="s">
        <v>166</v>
      </c>
      <c r="M1695" s="3" t="s">
        <v>6510</v>
      </c>
      <c r="N1695" s="3">
        <v>2222</v>
      </c>
      <c r="P1695" s="3" t="s">
        <v>3970</v>
      </c>
      <c r="Q1695" s="3" t="s">
        <v>27</v>
      </c>
      <c r="R1695" s="3" t="s">
        <v>28</v>
      </c>
      <c r="S1695" s="3">
        <v>4209002</v>
      </c>
      <c r="T1695" s="3">
        <v>1128376267</v>
      </c>
      <c r="U1695" s="3" t="s">
        <v>29</v>
      </c>
    </row>
    <row r="1696" spans="1:21" ht="13.2" x14ac:dyDescent="0.25">
      <c r="A1696" s="14">
        <v>61656088000199</v>
      </c>
      <c r="B1696" s="15" t="str">
        <f t="shared" si="26"/>
        <v>61.656.088/0001-99</v>
      </c>
      <c r="C1696" s="12"/>
      <c r="D1696" s="3" t="s">
        <v>6511</v>
      </c>
      <c r="E1696" s="3" t="s">
        <v>6512</v>
      </c>
      <c r="F1696" s="3" t="s">
        <v>20</v>
      </c>
      <c r="G1696" s="4">
        <v>32777</v>
      </c>
      <c r="H1696" s="3" t="s">
        <v>21</v>
      </c>
      <c r="I1696" s="3" t="s">
        <v>33</v>
      </c>
      <c r="J1696" s="5">
        <v>0</v>
      </c>
      <c r="K1696" s="3">
        <v>4663000</v>
      </c>
      <c r="L1696" s="3" t="s">
        <v>128</v>
      </c>
      <c r="M1696" s="3" t="s">
        <v>6513</v>
      </c>
      <c r="N1696" s="3">
        <v>470</v>
      </c>
      <c r="P1696" s="3" t="s">
        <v>5027</v>
      </c>
      <c r="Q1696" s="3" t="s">
        <v>27</v>
      </c>
      <c r="R1696" s="3" t="s">
        <v>28</v>
      </c>
      <c r="S1696" s="3">
        <v>5117001</v>
      </c>
      <c r="T1696" s="3">
        <v>1136444323</v>
      </c>
      <c r="U1696" s="3" t="s">
        <v>29</v>
      </c>
    </row>
    <row r="1697" spans="1:21" ht="13.2" x14ac:dyDescent="0.25">
      <c r="A1697" s="14">
        <v>43299211000180</v>
      </c>
      <c r="B1697" s="15" t="str">
        <f t="shared" si="26"/>
        <v>43.299.211/0001-80</v>
      </c>
      <c r="C1697" s="12"/>
      <c r="D1697" s="3" t="s">
        <v>6514</v>
      </c>
      <c r="E1697" s="3" t="s">
        <v>6514</v>
      </c>
      <c r="F1697" s="3" t="s">
        <v>20</v>
      </c>
      <c r="G1697" s="4">
        <v>44434</v>
      </c>
      <c r="H1697" s="3" t="s">
        <v>21</v>
      </c>
      <c r="I1697" s="3" t="s">
        <v>33</v>
      </c>
      <c r="J1697" s="5">
        <v>181213940</v>
      </c>
      <c r="K1697" s="3">
        <v>6622300</v>
      </c>
      <c r="L1697" s="3" t="s">
        <v>1324</v>
      </c>
      <c r="M1697" s="3" t="s">
        <v>2340</v>
      </c>
      <c r="N1697" s="3">
        <v>3064</v>
      </c>
      <c r="O1697" s="3" t="s">
        <v>6515</v>
      </c>
      <c r="P1697" s="3" t="s">
        <v>545</v>
      </c>
      <c r="Q1697" s="3" t="s">
        <v>27</v>
      </c>
      <c r="R1697" s="3" t="s">
        <v>28</v>
      </c>
      <c r="S1697" s="3">
        <v>1451000</v>
      </c>
      <c r="T1697" s="3">
        <v>2196430314</v>
      </c>
      <c r="U1697" s="3" t="s">
        <v>29</v>
      </c>
    </row>
    <row r="1698" spans="1:21" ht="13.2" x14ac:dyDescent="0.25">
      <c r="A1698" s="14">
        <v>42393892000188</v>
      </c>
      <c r="B1698" s="15" t="str">
        <f t="shared" si="26"/>
        <v>42.393.892/0001-88</v>
      </c>
      <c r="C1698" s="12" t="str">
        <f>VLOOKUP(B1698,[1]Planilha1!$A:$B,2,0)</f>
        <v>Mariane Nascimento</v>
      </c>
      <c r="D1698" s="3" t="s">
        <v>6516</v>
      </c>
      <c r="E1698" s="3" t="s">
        <v>6516</v>
      </c>
      <c r="F1698" s="3" t="s">
        <v>20</v>
      </c>
      <c r="G1698" s="4">
        <v>33996</v>
      </c>
      <c r="H1698" s="3" t="s">
        <v>21</v>
      </c>
      <c r="I1698" s="3" t="s">
        <v>22</v>
      </c>
      <c r="J1698" s="5">
        <v>700000</v>
      </c>
      <c r="K1698" s="3">
        <v>4645101</v>
      </c>
      <c r="L1698" s="3" t="s">
        <v>135</v>
      </c>
      <c r="M1698" s="3" t="s">
        <v>6517</v>
      </c>
      <c r="N1698" s="3">
        <v>355</v>
      </c>
      <c r="O1698" s="3" t="s">
        <v>6518</v>
      </c>
      <c r="P1698" s="3" t="s">
        <v>6519</v>
      </c>
      <c r="Q1698" s="3" t="s">
        <v>280</v>
      </c>
      <c r="R1698" s="3" t="s">
        <v>281</v>
      </c>
      <c r="S1698" s="3">
        <v>41720070</v>
      </c>
      <c r="T1698" s="3">
        <v>7130166355</v>
      </c>
      <c r="U1698" s="3" t="s">
        <v>29</v>
      </c>
    </row>
    <row r="1699" spans="1:21" ht="13.2" x14ac:dyDescent="0.25">
      <c r="A1699" s="14">
        <v>52079388000161</v>
      </c>
      <c r="B1699" s="15" t="str">
        <f t="shared" si="26"/>
        <v>52.079.388/0001-61</v>
      </c>
      <c r="C1699" s="12" t="str">
        <f>VLOOKUP(B1699,[1]Planilha1!$A:$B,2,0)</f>
        <v>Malu Montesino</v>
      </c>
      <c r="D1699" s="3" t="s">
        <v>6520</v>
      </c>
      <c r="E1699" s="3" t="s">
        <v>6521</v>
      </c>
      <c r="F1699" s="3" t="s">
        <v>20</v>
      </c>
      <c r="G1699" s="4">
        <v>45174</v>
      </c>
      <c r="H1699" s="3" t="s">
        <v>21</v>
      </c>
      <c r="I1699" s="3" t="s">
        <v>33</v>
      </c>
      <c r="J1699" s="5">
        <v>1000</v>
      </c>
      <c r="K1699" s="3">
        <v>6201501</v>
      </c>
      <c r="L1699" s="3" t="s">
        <v>298</v>
      </c>
      <c r="M1699" s="3" t="s">
        <v>6522</v>
      </c>
      <c r="N1699" s="3">
        <v>99</v>
      </c>
      <c r="O1699" s="3" t="s">
        <v>6523</v>
      </c>
      <c r="P1699" s="3" t="s">
        <v>1740</v>
      </c>
      <c r="Q1699" s="3" t="s">
        <v>27</v>
      </c>
      <c r="R1699" s="3" t="s">
        <v>28</v>
      </c>
      <c r="S1699" s="3">
        <v>5410010</v>
      </c>
      <c r="T1699" s="3">
        <v>1196540639</v>
      </c>
      <c r="U1699" s="3" t="s">
        <v>29</v>
      </c>
    </row>
    <row r="1700" spans="1:21" ht="13.2" x14ac:dyDescent="0.25">
      <c r="A1700" s="14">
        <v>3952213000101</v>
      </c>
      <c r="B1700" s="15" t="str">
        <f t="shared" si="26"/>
        <v>03.952.213/0001-01</v>
      </c>
      <c r="C1700" s="12"/>
      <c r="D1700" s="3" t="s">
        <v>6524</v>
      </c>
      <c r="E1700" s="3" t="s">
        <v>6524</v>
      </c>
      <c r="F1700" s="3" t="s">
        <v>20</v>
      </c>
      <c r="G1700" s="4">
        <v>36711</v>
      </c>
      <c r="H1700" s="3" t="s">
        <v>21</v>
      </c>
      <c r="I1700" s="3" t="s">
        <v>33</v>
      </c>
      <c r="J1700" s="5">
        <v>700000</v>
      </c>
      <c r="K1700" s="3">
        <v>4664800</v>
      </c>
      <c r="L1700" s="3" t="s">
        <v>691</v>
      </c>
      <c r="M1700" s="3" t="s">
        <v>6525</v>
      </c>
      <c r="N1700" s="3">
        <v>138</v>
      </c>
      <c r="P1700" s="3" t="s">
        <v>6526</v>
      </c>
      <c r="Q1700" s="3" t="s">
        <v>65</v>
      </c>
      <c r="R1700" s="3" t="s">
        <v>28</v>
      </c>
      <c r="S1700" s="3">
        <v>13070193</v>
      </c>
      <c r="T1700" s="3">
        <v>1937437070</v>
      </c>
      <c r="U1700" s="3" t="s">
        <v>29</v>
      </c>
    </row>
    <row r="1701" spans="1:21" ht="13.2" x14ac:dyDescent="0.25">
      <c r="A1701" s="14">
        <v>17082662000150</v>
      </c>
      <c r="B1701" s="15" t="str">
        <f t="shared" si="26"/>
        <v>17.082.662/0001-50</v>
      </c>
      <c r="C1701" s="12"/>
      <c r="D1701" s="3" t="s">
        <v>6527</v>
      </c>
      <c r="E1701" s="3" t="s">
        <v>6528</v>
      </c>
      <c r="F1701" s="3" t="s">
        <v>20</v>
      </c>
      <c r="G1701" s="4">
        <v>41197</v>
      </c>
      <c r="H1701" s="3" t="s">
        <v>21</v>
      </c>
      <c r="I1701" s="3" t="s">
        <v>47</v>
      </c>
      <c r="J1701" s="5">
        <v>200000</v>
      </c>
      <c r="K1701" s="3">
        <v>4322301</v>
      </c>
      <c r="L1701" s="3" t="s">
        <v>1563</v>
      </c>
      <c r="M1701" s="3" t="s">
        <v>4878</v>
      </c>
      <c r="N1701" s="3">
        <v>258</v>
      </c>
      <c r="P1701" s="3" t="s">
        <v>6529</v>
      </c>
      <c r="Q1701" s="3" t="s">
        <v>1132</v>
      </c>
      <c r="R1701" s="3" t="s">
        <v>28</v>
      </c>
      <c r="S1701" s="3">
        <v>8500330</v>
      </c>
      <c r="T1701" s="3">
        <v>1146773422</v>
      </c>
      <c r="U1701" s="3" t="s">
        <v>29</v>
      </c>
    </row>
    <row r="1702" spans="1:21" ht="13.2" x14ac:dyDescent="0.25">
      <c r="A1702" s="14">
        <v>14827727000151</v>
      </c>
      <c r="B1702" s="15" t="str">
        <f t="shared" si="26"/>
        <v>14.827.727/0001-51</v>
      </c>
      <c r="C1702" s="12"/>
      <c r="D1702" s="3" t="s">
        <v>6530</v>
      </c>
      <c r="E1702" s="3" t="s">
        <v>6530</v>
      </c>
      <c r="F1702" s="3" t="s">
        <v>20</v>
      </c>
      <c r="G1702" s="4">
        <v>40864</v>
      </c>
      <c r="H1702" s="3" t="s">
        <v>21</v>
      </c>
      <c r="I1702" s="3" t="s">
        <v>33</v>
      </c>
      <c r="J1702" s="5">
        <v>4492853</v>
      </c>
      <c r="K1702" s="3">
        <v>4110700</v>
      </c>
      <c r="L1702" s="3" t="s">
        <v>4133</v>
      </c>
      <c r="M1702" s="3" t="s">
        <v>6531</v>
      </c>
      <c r="N1702" s="3">
        <v>2050</v>
      </c>
      <c r="O1702" s="3" t="s">
        <v>6532</v>
      </c>
      <c r="P1702" s="3" t="s">
        <v>1359</v>
      </c>
      <c r="Q1702" s="3" t="s">
        <v>204</v>
      </c>
      <c r="R1702" s="3" t="s">
        <v>187</v>
      </c>
      <c r="S1702" s="3">
        <v>80730001</v>
      </c>
      <c r="T1702" s="3">
        <v>6992613812</v>
      </c>
      <c r="U1702" s="3" t="s">
        <v>29</v>
      </c>
    </row>
    <row r="1703" spans="1:21" ht="13.2" x14ac:dyDescent="0.25">
      <c r="A1703" s="14">
        <v>2931123000171</v>
      </c>
      <c r="B1703" s="15" t="str">
        <f t="shared" si="26"/>
        <v>02.931.123/0001-71</v>
      </c>
      <c r="C1703" s="12" t="str">
        <f>VLOOKUP(B1703,[1]Planilha1!$A:$B,2,0)</f>
        <v>Malu Montesino</v>
      </c>
      <c r="D1703" s="3" t="s">
        <v>6533</v>
      </c>
      <c r="E1703" s="3" t="s">
        <v>6534</v>
      </c>
      <c r="F1703" s="3" t="s">
        <v>20</v>
      </c>
      <c r="G1703" s="4">
        <v>36175</v>
      </c>
      <c r="H1703" s="3" t="s">
        <v>21</v>
      </c>
      <c r="I1703" s="3" t="s">
        <v>33</v>
      </c>
      <c r="J1703" s="5">
        <v>67766630</v>
      </c>
      <c r="K1703" s="3">
        <v>2814301</v>
      </c>
      <c r="L1703" s="3" t="s">
        <v>563</v>
      </c>
      <c r="M1703" s="3" t="s">
        <v>6535</v>
      </c>
      <c r="N1703" s="3">
        <v>507</v>
      </c>
      <c r="O1703" s="3">
        <v>541</v>
      </c>
      <c r="P1703" s="3" t="s">
        <v>566</v>
      </c>
      <c r="Q1703" s="3" t="s">
        <v>567</v>
      </c>
      <c r="R1703" s="3" t="s">
        <v>28</v>
      </c>
      <c r="S1703" s="3">
        <v>13213180</v>
      </c>
      <c r="T1703" s="3">
        <v>1131091150</v>
      </c>
      <c r="U1703" s="3" t="s">
        <v>29</v>
      </c>
    </row>
    <row r="1704" spans="1:21" ht="13.2" x14ac:dyDescent="0.25">
      <c r="A1704" s="14">
        <v>6188764000139</v>
      </c>
      <c r="B1704" s="15" t="str">
        <f t="shared" si="26"/>
        <v>06.188.764/0001-39</v>
      </c>
      <c r="C1704" s="12"/>
      <c r="D1704" s="3" t="s">
        <v>6536</v>
      </c>
      <c r="E1704" s="3" t="s">
        <v>6537</v>
      </c>
      <c r="F1704" s="3" t="s">
        <v>20</v>
      </c>
      <c r="G1704" s="4">
        <v>38078</v>
      </c>
      <c r="H1704" s="3" t="s">
        <v>94</v>
      </c>
      <c r="I1704" s="3" t="s">
        <v>33</v>
      </c>
      <c r="J1704" s="5">
        <v>15507788</v>
      </c>
      <c r="K1704" s="3">
        <v>4682600</v>
      </c>
      <c r="L1704" s="3" t="s">
        <v>1219</v>
      </c>
      <c r="M1704" s="3" t="s">
        <v>1130</v>
      </c>
      <c r="N1704" s="3">
        <v>1880</v>
      </c>
      <c r="O1704" s="3" t="s">
        <v>198</v>
      </c>
      <c r="P1704" s="3" t="s">
        <v>153</v>
      </c>
      <c r="Q1704" s="3" t="s">
        <v>3038</v>
      </c>
      <c r="R1704" s="3" t="s">
        <v>187</v>
      </c>
      <c r="S1704" s="3">
        <v>83650000</v>
      </c>
      <c r="U1704" s="3" t="s">
        <v>29</v>
      </c>
    </row>
    <row r="1705" spans="1:21" ht="13.2" x14ac:dyDescent="0.25">
      <c r="A1705" s="14">
        <v>16686026000175</v>
      </c>
      <c r="B1705" s="15" t="str">
        <f t="shared" si="26"/>
        <v>16.686.026/0001-75</v>
      </c>
      <c r="C1705" s="12" t="str">
        <f>VLOOKUP(B1705,[1]Planilha1!$A:$B,2,0)</f>
        <v>Malu Montesino</v>
      </c>
      <c r="D1705" s="3" t="s">
        <v>6538</v>
      </c>
      <c r="E1705" s="3" t="s">
        <v>6539</v>
      </c>
      <c r="F1705" s="3" t="s">
        <v>20</v>
      </c>
      <c r="G1705" s="4">
        <v>41102</v>
      </c>
      <c r="H1705" s="3" t="s">
        <v>21</v>
      </c>
      <c r="I1705" s="3" t="s">
        <v>33</v>
      </c>
      <c r="J1705" s="5">
        <v>4000000</v>
      </c>
      <c r="K1705" s="3">
        <v>4669999</v>
      </c>
      <c r="L1705" s="3" t="s">
        <v>558</v>
      </c>
      <c r="M1705" s="3" t="s">
        <v>6540</v>
      </c>
      <c r="N1705" s="3">
        <v>2660</v>
      </c>
      <c r="O1705" s="3" t="s">
        <v>6541</v>
      </c>
      <c r="P1705" s="3" t="s">
        <v>6542</v>
      </c>
      <c r="Q1705" s="3" t="s">
        <v>59</v>
      </c>
      <c r="R1705" s="3" t="s">
        <v>28</v>
      </c>
      <c r="S1705" s="3">
        <v>13278327</v>
      </c>
      <c r="T1705" s="3">
        <v>1938295454</v>
      </c>
      <c r="U1705" s="3" t="s">
        <v>29</v>
      </c>
    </row>
    <row r="1706" spans="1:21" ht="13.2" x14ac:dyDescent="0.25">
      <c r="A1706" s="14">
        <v>61083804000196</v>
      </c>
      <c r="B1706" s="15" t="str">
        <f t="shared" si="26"/>
        <v>61.083.804/0001-96</v>
      </c>
      <c r="C1706" s="12" t="str">
        <f>VLOOKUP(B1706,[1]Planilha1!$A:$B,2,0)</f>
        <v>Malu Montesino</v>
      </c>
      <c r="D1706" s="3" t="s">
        <v>6543</v>
      </c>
      <c r="E1706" s="3" t="s">
        <v>6543</v>
      </c>
      <c r="F1706" s="3" t="s">
        <v>20</v>
      </c>
      <c r="G1706" s="4">
        <v>26710</v>
      </c>
      <c r="H1706" s="3" t="s">
        <v>21</v>
      </c>
      <c r="I1706" s="3" t="s">
        <v>33</v>
      </c>
      <c r="J1706" s="5">
        <v>34307564</v>
      </c>
      <c r="K1706" s="3">
        <v>2219600</v>
      </c>
      <c r="L1706" s="3" t="s">
        <v>613</v>
      </c>
      <c r="M1706" s="3" t="s">
        <v>6544</v>
      </c>
      <c r="N1706" s="3">
        <v>74</v>
      </c>
      <c r="O1706" s="3" t="s">
        <v>6545</v>
      </c>
      <c r="P1706" s="3" t="s">
        <v>1019</v>
      </c>
      <c r="Q1706" s="3" t="s">
        <v>27</v>
      </c>
      <c r="R1706" s="3" t="s">
        <v>28</v>
      </c>
      <c r="S1706" s="3">
        <v>4576060</v>
      </c>
      <c r="T1706" s="3">
        <v>1239545428</v>
      </c>
      <c r="U1706" s="3" t="s">
        <v>29</v>
      </c>
    </row>
    <row r="1707" spans="1:21" ht="13.2" x14ac:dyDescent="0.25">
      <c r="A1707" s="14">
        <v>23728733000142</v>
      </c>
      <c r="B1707" s="15" t="str">
        <f t="shared" si="26"/>
        <v>23.728.733/0001-42</v>
      </c>
      <c r="C1707" s="12"/>
      <c r="D1707" s="3" t="s">
        <v>6546</v>
      </c>
      <c r="E1707" s="3" t="s">
        <v>6547</v>
      </c>
      <c r="F1707" s="3" t="s">
        <v>20</v>
      </c>
      <c r="G1707" s="4">
        <v>42332</v>
      </c>
      <c r="H1707" s="3" t="s">
        <v>21</v>
      </c>
      <c r="I1707" s="3" t="s">
        <v>47</v>
      </c>
      <c r="J1707" s="5">
        <v>937440</v>
      </c>
      <c r="K1707" s="3">
        <v>4744003</v>
      </c>
      <c r="L1707" s="3" t="s">
        <v>6548</v>
      </c>
      <c r="M1707" s="3" t="s">
        <v>6549</v>
      </c>
      <c r="N1707" s="3">
        <v>98</v>
      </c>
      <c r="P1707" s="3" t="s">
        <v>6550</v>
      </c>
      <c r="Q1707" s="3" t="s">
        <v>27</v>
      </c>
      <c r="R1707" s="3" t="s">
        <v>28</v>
      </c>
      <c r="S1707" s="3">
        <v>2714050</v>
      </c>
      <c r="T1707" s="3">
        <v>1123069441</v>
      </c>
      <c r="U1707" s="3" t="s">
        <v>29</v>
      </c>
    </row>
    <row r="1708" spans="1:21" ht="13.2" x14ac:dyDescent="0.25">
      <c r="A1708" s="14">
        <v>24355260000148</v>
      </c>
      <c r="B1708" s="15" t="str">
        <f t="shared" si="26"/>
        <v>24.355.260/0001-48</v>
      </c>
      <c r="C1708" s="12"/>
      <c r="D1708" s="3" t="s">
        <v>6551</v>
      </c>
      <c r="E1708" s="3" t="s">
        <v>6551</v>
      </c>
      <c r="F1708" s="3" t="s">
        <v>20</v>
      </c>
      <c r="G1708" s="4">
        <v>42439</v>
      </c>
      <c r="H1708" s="3" t="s">
        <v>21</v>
      </c>
      <c r="I1708" s="3" t="s">
        <v>22</v>
      </c>
      <c r="J1708" s="5">
        <v>230626</v>
      </c>
      <c r="K1708" s="3">
        <v>4663000</v>
      </c>
      <c r="L1708" s="3" t="s">
        <v>128</v>
      </c>
      <c r="M1708" s="3" t="s">
        <v>6552</v>
      </c>
      <c r="N1708" s="3">
        <v>122</v>
      </c>
      <c r="P1708" s="3" t="s">
        <v>6553</v>
      </c>
      <c r="Q1708" s="3" t="s">
        <v>231</v>
      </c>
      <c r="R1708" s="3" t="s">
        <v>28</v>
      </c>
      <c r="S1708" s="3">
        <v>18087094</v>
      </c>
      <c r="T1708" s="3">
        <v>1530312573</v>
      </c>
      <c r="U1708" s="3" t="s">
        <v>29</v>
      </c>
    </row>
    <row r="1709" spans="1:21" ht="13.2" x14ac:dyDescent="0.25">
      <c r="A1709" s="14">
        <v>981451000157</v>
      </c>
      <c r="B1709" s="15" t="str">
        <f t="shared" si="26"/>
        <v>00.981.451/0001-57</v>
      </c>
      <c r="C1709" s="12"/>
      <c r="D1709" s="3" t="s">
        <v>6554</v>
      </c>
      <c r="E1709" s="3" t="s">
        <v>6554</v>
      </c>
      <c r="F1709" s="3" t="s">
        <v>20</v>
      </c>
      <c r="G1709" s="4">
        <v>35048</v>
      </c>
      <c r="H1709" s="3" t="s">
        <v>21</v>
      </c>
      <c r="I1709" s="3" t="s">
        <v>33</v>
      </c>
      <c r="J1709" s="5">
        <v>117863710</v>
      </c>
      <c r="K1709" s="3">
        <v>2099199</v>
      </c>
      <c r="L1709" s="3" t="s">
        <v>80</v>
      </c>
      <c r="M1709" s="3" t="s">
        <v>6555</v>
      </c>
      <c r="N1709" s="3">
        <v>4690</v>
      </c>
      <c r="P1709" s="3" t="s">
        <v>6556</v>
      </c>
      <c r="Q1709" s="3" t="s">
        <v>231</v>
      </c>
      <c r="R1709" s="3" t="s">
        <v>28</v>
      </c>
      <c r="S1709" s="3">
        <v>18105000</v>
      </c>
      <c r="T1709" s="3">
        <v>1532354700</v>
      </c>
      <c r="U1709" s="3" t="s">
        <v>29</v>
      </c>
    </row>
    <row r="1710" spans="1:21" ht="13.2" x14ac:dyDescent="0.25">
      <c r="A1710" s="14">
        <v>14426600000120</v>
      </c>
      <c r="B1710" s="15" t="str">
        <f t="shared" si="26"/>
        <v>14.426.600/0001-20</v>
      </c>
      <c r="C1710" s="12"/>
      <c r="D1710" s="3" t="s">
        <v>6557</v>
      </c>
      <c r="E1710" s="3" t="s">
        <v>6557</v>
      </c>
      <c r="F1710" s="3" t="s">
        <v>20</v>
      </c>
      <c r="G1710" s="4">
        <v>40823</v>
      </c>
      <c r="H1710" s="3" t="s">
        <v>21</v>
      </c>
      <c r="I1710" s="3" t="s">
        <v>47</v>
      </c>
      <c r="J1710" s="5">
        <v>10000</v>
      </c>
      <c r="K1710" s="3">
        <v>3321000</v>
      </c>
      <c r="L1710" s="3" t="s">
        <v>2479</v>
      </c>
      <c r="M1710" s="3" t="s">
        <v>2450</v>
      </c>
      <c r="N1710" s="3">
        <v>330</v>
      </c>
      <c r="O1710" s="3" t="s">
        <v>6558</v>
      </c>
      <c r="P1710" s="3" t="s">
        <v>1380</v>
      </c>
      <c r="Q1710" s="3" t="s">
        <v>253</v>
      </c>
      <c r="R1710" s="3" t="s">
        <v>78</v>
      </c>
      <c r="S1710" s="3">
        <v>20770240</v>
      </c>
      <c r="T1710" s="3">
        <v>2181855640</v>
      </c>
      <c r="U1710" s="3" t="s">
        <v>29</v>
      </c>
    </row>
    <row r="1711" spans="1:21" ht="13.2" x14ac:dyDescent="0.25">
      <c r="A1711" s="14">
        <v>29372000140</v>
      </c>
      <c r="B1711" s="15" t="str">
        <f t="shared" si="26"/>
        <v>00.029.372/0001-40</v>
      </c>
      <c r="C1711" s="12" t="str">
        <f>VLOOKUP(B1711,[1]Planilha1!$A:$B,2,0)</f>
        <v>Malu Montesino</v>
      </c>
      <c r="D1711" s="3" t="s">
        <v>6559</v>
      </c>
      <c r="E1711" s="3" t="s">
        <v>6559</v>
      </c>
      <c r="F1711" s="3" t="s">
        <v>20</v>
      </c>
      <c r="G1711" s="4">
        <v>34565</v>
      </c>
      <c r="H1711" s="3" t="s">
        <v>21</v>
      </c>
      <c r="I1711" s="3" t="s">
        <v>33</v>
      </c>
      <c r="J1711" s="5">
        <v>1016689700</v>
      </c>
      <c r="K1711" s="3">
        <v>4664800</v>
      </c>
      <c r="L1711" s="3" t="s">
        <v>691</v>
      </c>
      <c r="M1711" s="3" t="s">
        <v>6560</v>
      </c>
      <c r="N1711" s="3">
        <v>4800</v>
      </c>
      <c r="O1711" s="3" t="s">
        <v>6561</v>
      </c>
      <c r="P1711" s="3" t="s">
        <v>185</v>
      </c>
      <c r="Q1711" s="3" t="s">
        <v>27</v>
      </c>
      <c r="R1711" s="3" t="s">
        <v>28</v>
      </c>
      <c r="S1711" s="3">
        <v>5676120</v>
      </c>
      <c r="T1711" s="3">
        <v>1130678181</v>
      </c>
      <c r="U1711" s="3" t="s">
        <v>29</v>
      </c>
    </row>
    <row r="1712" spans="1:21" ht="13.2" x14ac:dyDescent="0.25">
      <c r="A1712" s="14">
        <v>20302873000166</v>
      </c>
      <c r="B1712" s="15" t="str">
        <f t="shared" si="26"/>
        <v>20.302.873/0001-66</v>
      </c>
      <c r="C1712" s="12"/>
      <c r="D1712" s="3" t="s">
        <v>6562</v>
      </c>
      <c r="E1712" s="3" t="s">
        <v>6563</v>
      </c>
      <c r="F1712" s="3" t="s">
        <v>20</v>
      </c>
      <c r="G1712" s="4">
        <v>31008</v>
      </c>
      <c r="H1712" s="3" t="s">
        <v>21</v>
      </c>
      <c r="I1712" s="3" t="s">
        <v>33</v>
      </c>
      <c r="J1712" s="5">
        <v>18000000</v>
      </c>
      <c r="K1712" s="3">
        <v>2392300</v>
      </c>
      <c r="L1712" s="3" t="s">
        <v>6564</v>
      </c>
      <c r="M1712" s="3" t="s">
        <v>6565</v>
      </c>
      <c r="N1712" s="3" t="s">
        <v>111</v>
      </c>
      <c r="P1712" s="3" t="s">
        <v>911</v>
      </c>
      <c r="Q1712" s="3" t="s">
        <v>6566</v>
      </c>
      <c r="R1712" s="3" t="s">
        <v>100</v>
      </c>
      <c r="S1712" s="3">
        <v>35582000</v>
      </c>
      <c r="T1712" s="3">
        <v>3733235010</v>
      </c>
      <c r="U1712" s="3" t="s">
        <v>29</v>
      </c>
    </row>
    <row r="1713" spans="1:21" ht="13.2" x14ac:dyDescent="0.25">
      <c r="A1713" s="14">
        <v>8570957000185</v>
      </c>
      <c r="B1713" s="15" t="str">
        <f t="shared" si="26"/>
        <v>08.570.957/0001-85</v>
      </c>
      <c r="C1713" s="12"/>
      <c r="D1713" s="3" t="s">
        <v>6567</v>
      </c>
      <c r="E1713" s="3" t="s">
        <v>6567</v>
      </c>
      <c r="F1713" s="3" t="s">
        <v>20</v>
      </c>
      <c r="G1713" s="4">
        <v>39055</v>
      </c>
      <c r="H1713" s="3" t="s">
        <v>21</v>
      </c>
      <c r="I1713" s="3" t="s">
        <v>33</v>
      </c>
      <c r="J1713" s="5">
        <v>2100000</v>
      </c>
      <c r="K1713" s="3">
        <v>2930101</v>
      </c>
      <c r="L1713" s="3" t="s">
        <v>856</v>
      </c>
      <c r="M1713" s="3" t="s">
        <v>6568</v>
      </c>
      <c r="N1713" s="3" t="s">
        <v>111</v>
      </c>
      <c r="O1713" s="3" t="s">
        <v>3007</v>
      </c>
      <c r="P1713" s="3" t="s">
        <v>153</v>
      </c>
      <c r="Q1713" s="3" t="s">
        <v>6569</v>
      </c>
      <c r="R1713" s="3" t="s">
        <v>53</v>
      </c>
      <c r="S1713" s="3">
        <v>99400000</v>
      </c>
      <c r="T1713" s="3">
        <v>5433831009</v>
      </c>
      <c r="U1713" s="3" t="s">
        <v>29</v>
      </c>
    </row>
    <row r="1714" spans="1:21" ht="13.2" x14ac:dyDescent="0.25">
      <c r="A1714" s="14">
        <v>22873750000100</v>
      </c>
      <c r="B1714" s="15" t="str">
        <f t="shared" si="26"/>
        <v>22.873.750/0001-00</v>
      </c>
      <c r="C1714" s="12" t="str">
        <f>VLOOKUP(B1714,[1]Planilha1!$A:$B,2,0)</f>
        <v>Malu Montesino</v>
      </c>
      <c r="D1714" s="3" t="s">
        <v>6570</v>
      </c>
      <c r="E1714" s="3" t="s">
        <v>6571</v>
      </c>
      <c r="F1714" s="3" t="s">
        <v>20</v>
      </c>
      <c r="G1714" s="4">
        <v>42202</v>
      </c>
      <c r="H1714" s="3" t="s">
        <v>21</v>
      </c>
      <c r="I1714" s="3" t="s">
        <v>47</v>
      </c>
      <c r="J1714" s="5">
        <v>80000</v>
      </c>
      <c r="K1714" s="3">
        <v>8630503</v>
      </c>
      <c r="L1714" s="3" t="s">
        <v>1292</v>
      </c>
      <c r="M1714" s="3" t="s">
        <v>6572</v>
      </c>
      <c r="N1714" s="3">
        <v>245</v>
      </c>
      <c r="O1714" s="3" t="s">
        <v>6573</v>
      </c>
      <c r="P1714" s="3" t="s">
        <v>874</v>
      </c>
      <c r="Q1714" s="3" t="s">
        <v>231</v>
      </c>
      <c r="R1714" s="3" t="s">
        <v>28</v>
      </c>
      <c r="S1714" s="3">
        <v>18046725</v>
      </c>
      <c r="T1714" s="3">
        <v>1532813300</v>
      </c>
      <c r="U1714" s="3" t="s">
        <v>29</v>
      </c>
    </row>
    <row r="1715" spans="1:21" ht="13.2" x14ac:dyDescent="0.25">
      <c r="A1715" s="14">
        <v>7733376000154</v>
      </c>
      <c r="B1715" s="15" t="str">
        <f t="shared" si="26"/>
        <v>07.733.376/0001-54</v>
      </c>
      <c r="C1715" s="12"/>
      <c r="D1715" s="3" t="s">
        <v>6574</v>
      </c>
      <c r="E1715" s="3" t="s">
        <v>6575</v>
      </c>
      <c r="F1715" s="3" t="s">
        <v>20</v>
      </c>
      <c r="G1715" s="4">
        <v>38604</v>
      </c>
      <c r="H1715" s="3" t="s">
        <v>21</v>
      </c>
      <c r="I1715" s="3" t="s">
        <v>47</v>
      </c>
      <c r="J1715" s="5">
        <v>100000</v>
      </c>
      <c r="K1715" s="3">
        <v>6920601</v>
      </c>
      <c r="L1715" s="3" t="s">
        <v>1507</v>
      </c>
      <c r="M1715" s="3" t="s">
        <v>6576</v>
      </c>
      <c r="N1715" s="3">
        <v>2914</v>
      </c>
      <c r="O1715" s="3" t="s">
        <v>6577</v>
      </c>
      <c r="P1715" s="3" t="s">
        <v>137</v>
      </c>
      <c r="Q1715" s="3" t="s">
        <v>27</v>
      </c>
      <c r="R1715" s="3" t="s">
        <v>28</v>
      </c>
      <c r="S1715" s="3">
        <v>5036040</v>
      </c>
      <c r="T1715" s="3">
        <v>1136758776</v>
      </c>
      <c r="U1715" s="3" t="s">
        <v>29</v>
      </c>
    </row>
    <row r="1716" spans="1:21" ht="13.2" x14ac:dyDescent="0.25">
      <c r="A1716" s="14">
        <v>77152338000193</v>
      </c>
      <c r="B1716" s="15" t="str">
        <f t="shared" si="26"/>
        <v>77.152.338/0001-93</v>
      </c>
      <c r="C1716" s="12" t="str">
        <f>VLOOKUP(B1716,[1]Planilha1!$A:$B,2,0)</f>
        <v>Malu Montesino</v>
      </c>
      <c r="D1716" s="3" t="s">
        <v>6578</v>
      </c>
      <c r="E1716" s="3" t="s">
        <v>6579</v>
      </c>
      <c r="F1716" s="3" t="s">
        <v>20</v>
      </c>
      <c r="G1716" s="4">
        <v>27841</v>
      </c>
      <c r="H1716" s="3" t="s">
        <v>21</v>
      </c>
      <c r="I1716" s="3" t="s">
        <v>33</v>
      </c>
      <c r="J1716" s="5">
        <v>7133380</v>
      </c>
      <c r="K1716" s="3">
        <v>2813500</v>
      </c>
      <c r="L1716" s="3" t="s">
        <v>1383</v>
      </c>
      <c r="M1716" s="3" t="s">
        <v>2328</v>
      </c>
      <c r="N1716" s="3">
        <v>1141</v>
      </c>
      <c r="P1716" s="3" t="s">
        <v>4740</v>
      </c>
      <c r="Q1716" s="3" t="s">
        <v>186</v>
      </c>
      <c r="R1716" s="3" t="s">
        <v>187</v>
      </c>
      <c r="S1716" s="3">
        <v>83065000</v>
      </c>
      <c r="T1716" s="3">
        <v>4133822425</v>
      </c>
      <c r="U1716" s="3" t="s">
        <v>29</v>
      </c>
    </row>
    <row r="1717" spans="1:21" ht="13.2" x14ac:dyDescent="0.25">
      <c r="A1717" s="14">
        <v>43691393000130</v>
      </c>
      <c r="B1717" s="15" t="str">
        <f t="shared" si="26"/>
        <v>43.691.393/0001-30</v>
      </c>
      <c r="C1717" s="12" t="str">
        <f>VLOOKUP(B1717,[1]Planilha1!$A:$B,2,0)</f>
        <v>Malu Montesino</v>
      </c>
      <c r="D1717" s="3" t="s">
        <v>6580</v>
      </c>
      <c r="E1717" s="3" t="s">
        <v>6580</v>
      </c>
      <c r="F1717" s="3" t="s">
        <v>20</v>
      </c>
      <c r="G1717" s="4">
        <v>26795</v>
      </c>
      <c r="H1717" s="3" t="s">
        <v>21</v>
      </c>
      <c r="I1717" s="3" t="s">
        <v>33</v>
      </c>
      <c r="J1717" s="5">
        <v>10000000</v>
      </c>
      <c r="K1717" s="3">
        <v>2099199</v>
      </c>
      <c r="L1717" s="3" t="s">
        <v>80</v>
      </c>
      <c r="M1717" s="3" t="s">
        <v>6581</v>
      </c>
      <c r="N1717" s="3">
        <v>262</v>
      </c>
      <c r="P1717" s="3" t="s">
        <v>1401</v>
      </c>
      <c r="Q1717" s="3" t="s">
        <v>357</v>
      </c>
      <c r="R1717" s="3" t="s">
        <v>28</v>
      </c>
      <c r="S1717" s="3">
        <v>7220010</v>
      </c>
      <c r="T1717" s="3">
        <v>1121462160</v>
      </c>
      <c r="U1717" s="3" t="s">
        <v>29</v>
      </c>
    </row>
    <row r="1718" spans="1:21" ht="13.2" x14ac:dyDescent="0.25">
      <c r="A1718" s="14">
        <v>59275792000150</v>
      </c>
      <c r="B1718" s="15" t="str">
        <f t="shared" si="26"/>
        <v>59.275.792/0001-50</v>
      </c>
      <c r="C1718" s="12" t="str">
        <f>VLOOKUP(B1718,[1]Planilha1!$A:$B,2,0)</f>
        <v>Malu Montesino</v>
      </c>
      <c r="D1718" s="3" t="s">
        <v>6582</v>
      </c>
      <c r="E1718" s="3" t="s">
        <v>6583</v>
      </c>
      <c r="F1718" s="3" t="s">
        <v>20</v>
      </c>
      <c r="G1718" s="4">
        <v>24317</v>
      </c>
      <c r="H1718" s="3" t="s">
        <v>21</v>
      </c>
      <c r="I1718" s="3" t="s">
        <v>33</v>
      </c>
      <c r="J1718" s="5">
        <v>10563195000</v>
      </c>
      <c r="K1718" s="3">
        <v>2910701</v>
      </c>
      <c r="L1718" s="3" t="s">
        <v>2241</v>
      </c>
      <c r="M1718" s="3" t="s">
        <v>4116</v>
      </c>
      <c r="N1718" s="3">
        <v>1805</v>
      </c>
      <c r="P1718" s="3" t="s">
        <v>2681</v>
      </c>
      <c r="Q1718" s="3" t="s">
        <v>471</v>
      </c>
      <c r="R1718" s="3" t="s">
        <v>28</v>
      </c>
      <c r="S1718" s="3">
        <v>9550050</v>
      </c>
      <c r="T1718" s="3">
        <v>1142345090</v>
      </c>
      <c r="U1718" s="3" t="s">
        <v>29</v>
      </c>
    </row>
    <row r="1719" spans="1:21" ht="13.2" x14ac:dyDescent="0.25">
      <c r="A1719" s="14">
        <v>4088389000120</v>
      </c>
      <c r="B1719" s="15" t="str">
        <f t="shared" si="26"/>
        <v>04.088.389/0001-20</v>
      </c>
      <c r="C1719" s="12"/>
      <c r="D1719" s="3" t="s">
        <v>6584</v>
      </c>
      <c r="E1719" s="3" t="s">
        <v>6584</v>
      </c>
      <c r="F1719" s="3" t="s">
        <v>20</v>
      </c>
      <c r="G1719" s="4">
        <v>36808</v>
      </c>
      <c r="H1719" s="3" t="s">
        <v>94</v>
      </c>
      <c r="I1719" s="3" t="s">
        <v>33</v>
      </c>
      <c r="J1719" s="5">
        <v>84207384</v>
      </c>
      <c r="K1719" s="3">
        <v>3600601</v>
      </c>
      <c r="L1719" s="3" t="s">
        <v>788</v>
      </c>
      <c r="M1719" s="3" t="s">
        <v>6585</v>
      </c>
      <c r="N1719" s="3">
        <v>268</v>
      </c>
      <c r="O1719" s="3" t="s">
        <v>496</v>
      </c>
      <c r="P1719" s="3" t="s">
        <v>4571</v>
      </c>
      <c r="Q1719" s="3" t="s">
        <v>27</v>
      </c>
      <c r="R1719" s="3" t="s">
        <v>28</v>
      </c>
      <c r="S1719" s="3">
        <v>5348030</v>
      </c>
      <c r="T1719" s="3">
        <v>1137166666</v>
      </c>
      <c r="U1719" s="3" t="s">
        <v>29</v>
      </c>
    </row>
    <row r="1720" spans="1:21" ht="13.2" x14ac:dyDescent="0.25">
      <c r="A1720" s="14">
        <v>66098914000145</v>
      </c>
      <c r="B1720" s="15" t="str">
        <f t="shared" si="26"/>
        <v>66.098.914/0001-45</v>
      </c>
      <c r="C1720" s="12"/>
      <c r="D1720" s="3" t="s">
        <v>6586</v>
      </c>
      <c r="E1720" s="3" t="s">
        <v>6586</v>
      </c>
      <c r="F1720" s="3" t="s">
        <v>20</v>
      </c>
      <c r="G1720" s="4">
        <v>33408</v>
      </c>
      <c r="H1720" s="3" t="s">
        <v>21</v>
      </c>
      <c r="I1720" s="3" t="s">
        <v>33</v>
      </c>
      <c r="J1720" s="5">
        <v>200000</v>
      </c>
      <c r="K1720" s="3">
        <v>3313999</v>
      </c>
      <c r="L1720" s="3" t="s">
        <v>1670</v>
      </c>
      <c r="M1720" s="3" t="s">
        <v>6587</v>
      </c>
      <c r="N1720" s="3">
        <v>186</v>
      </c>
      <c r="P1720" s="3" t="s">
        <v>6588</v>
      </c>
      <c r="Q1720" s="3" t="s">
        <v>1410</v>
      </c>
      <c r="R1720" s="3" t="s">
        <v>28</v>
      </c>
      <c r="S1720" s="3">
        <v>9175020</v>
      </c>
      <c r="T1720" s="3">
        <v>1149718000</v>
      </c>
      <c r="U1720" s="3" t="s">
        <v>29</v>
      </c>
    </row>
    <row r="1721" spans="1:21" ht="13.2" x14ac:dyDescent="0.25">
      <c r="A1721" s="14">
        <v>4583398000197</v>
      </c>
      <c r="B1721" s="15" t="str">
        <f t="shared" si="26"/>
        <v>04.583.398/0001-97</v>
      </c>
      <c r="C1721" s="12"/>
      <c r="D1721" s="3" t="s">
        <v>6589</v>
      </c>
      <c r="E1721" s="3" t="s">
        <v>6589</v>
      </c>
      <c r="F1721" s="3" t="s">
        <v>20</v>
      </c>
      <c r="G1721" s="4">
        <v>37099</v>
      </c>
      <c r="H1721" s="3" t="s">
        <v>21</v>
      </c>
      <c r="I1721" s="3" t="s">
        <v>22</v>
      </c>
      <c r="J1721" s="5">
        <v>180000</v>
      </c>
      <c r="K1721" s="3">
        <v>4744099</v>
      </c>
      <c r="L1721" s="3" t="s">
        <v>115</v>
      </c>
      <c r="M1721" s="3" t="s">
        <v>6590</v>
      </c>
      <c r="N1721" s="3">
        <v>840</v>
      </c>
      <c r="O1721" s="3" t="s">
        <v>6591</v>
      </c>
      <c r="P1721" s="3" t="s">
        <v>6592</v>
      </c>
      <c r="Q1721" s="3" t="s">
        <v>99</v>
      </c>
      <c r="R1721" s="3" t="s">
        <v>100</v>
      </c>
      <c r="S1721" s="3">
        <v>34006042</v>
      </c>
      <c r="T1721" s="3">
        <v>3101020304</v>
      </c>
      <c r="U1721" s="3" t="s">
        <v>29</v>
      </c>
    </row>
    <row r="1722" spans="1:21" ht="13.2" x14ac:dyDescent="0.25">
      <c r="A1722" s="14">
        <v>82873068000220</v>
      </c>
      <c r="B1722" s="15" t="str">
        <f t="shared" si="26"/>
        <v>82.873.068/0002-20</v>
      </c>
      <c r="C1722" s="12"/>
      <c r="D1722" s="3" t="s">
        <v>6593</v>
      </c>
      <c r="E1722" s="3" t="s">
        <v>6594</v>
      </c>
      <c r="F1722" s="3" t="s">
        <v>20</v>
      </c>
      <c r="G1722" s="4">
        <v>37508</v>
      </c>
      <c r="H1722" s="3" t="s">
        <v>21</v>
      </c>
      <c r="I1722" s="3" t="s">
        <v>33</v>
      </c>
      <c r="J1722" s="5">
        <v>66392680</v>
      </c>
      <c r="K1722" s="3">
        <v>4644301</v>
      </c>
      <c r="L1722" s="3" t="s">
        <v>326</v>
      </c>
      <c r="M1722" s="3" t="s">
        <v>6595</v>
      </c>
      <c r="N1722" s="3">
        <v>310</v>
      </c>
      <c r="P1722" s="3" t="s">
        <v>1839</v>
      </c>
      <c r="Q1722" s="3" t="s">
        <v>654</v>
      </c>
      <c r="R1722" s="3" t="s">
        <v>91</v>
      </c>
      <c r="S1722" s="3">
        <v>88704410</v>
      </c>
      <c r="T1722" s="3">
        <v>486218000</v>
      </c>
      <c r="U1722" s="3" t="s">
        <v>29</v>
      </c>
    </row>
    <row r="1723" spans="1:21" ht="13.2" x14ac:dyDescent="0.25">
      <c r="A1723" s="14">
        <v>90180605000102</v>
      </c>
      <c r="B1723" s="15" t="str">
        <f t="shared" si="26"/>
        <v>90.180.605/0001-02</v>
      </c>
      <c r="C1723" s="12"/>
      <c r="D1723" s="3" t="s">
        <v>6596</v>
      </c>
      <c r="E1723" s="3" t="s">
        <v>6597</v>
      </c>
      <c r="F1723" s="3" t="s">
        <v>20</v>
      </c>
      <c r="G1723" s="4">
        <v>31020</v>
      </c>
      <c r="H1723" s="3" t="s">
        <v>94</v>
      </c>
      <c r="I1723" s="3" t="s">
        <v>33</v>
      </c>
      <c r="J1723" s="5">
        <v>28864060</v>
      </c>
      <c r="K1723" s="3">
        <v>6512000</v>
      </c>
      <c r="L1723" s="3" t="s">
        <v>6015</v>
      </c>
      <c r="M1723" s="3" t="s">
        <v>6598</v>
      </c>
      <c r="N1723" s="3">
        <v>450</v>
      </c>
      <c r="O1723" s="3" t="s">
        <v>6599</v>
      </c>
      <c r="P1723" s="3" t="s">
        <v>6600</v>
      </c>
      <c r="Q1723" s="3" t="s">
        <v>437</v>
      </c>
      <c r="R1723" s="3" t="s">
        <v>53</v>
      </c>
      <c r="S1723" s="3">
        <v>90020060</v>
      </c>
      <c r="T1723" s="3">
        <v>5130278864</v>
      </c>
      <c r="U1723" s="3" t="s">
        <v>29</v>
      </c>
    </row>
    <row r="1724" spans="1:21" ht="13.2" x14ac:dyDescent="0.25">
      <c r="A1724" s="14">
        <v>5712756000187</v>
      </c>
      <c r="B1724" s="15" t="str">
        <f t="shared" si="26"/>
        <v>05.712.756/0001-87</v>
      </c>
      <c r="C1724" s="12"/>
      <c r="D1724" s="3" t="s">
        <v>6601</v>
      </c>
      <c r="E1724" s="3" t="s">
        <v>6601</v>
      </c>
      <c r="F1724" s="3" t="s">
        <v>20</v>
      </c>
      <c r="G1724" s="4">
        <v>37797</v>
      </c>
      <c r="H1724" s="3" t="s">
        <v>2634</v>
      </c>
      <c r="I1724" s="3" t="s">
        <v>33</v>
      </c>
      <c r="J1724" s="5">
        <v>0</v>
      </c>
      <c r="K1724" s="3">
        <v>6462000</v>
      </c>
      <c r="L1724" s="3" t="s">
        <v>250</v>
      </c>
      <c r="M1724" s="3" t="s">
        <v>6602</v>
      </c>
      <c r="N1724" s="3" t="s">
        <v>82</v>
      </c>
      <c r="O1724" s="3" t="s">
        <v>6603</v>
      </c>
      <c r="P1724" s="3" t="s">
        <v>6604</v>
      </c>
      <c r="R1724" s="3" t="s">
        <v>2637</v>
      </c>
      <c r="U1724" s="3" t="s">
        <v>29</v>
      </c>
    </row>
    <row r="1725" spans="1:21" ht="13.2" x14ac:dyDescent="0.25">
      <c r="A1725" s="14">
        <v>69097186000145</v>
      </c>
      <c r="B1725" s="15" t="str">
        <f t="shared" si="26"/>
        <v>69.097.186/0001-45</v>
      </c>
      <c r="C1725" s="12" t="str">
        <f>VLOOKUP(B1725,[1]Planilha1!$A:$B,2,0)</f>
        <v>Malu Montesino</v>
      </c>
      <c r="D1725" s="3" t="s">
        <v>6605</v>
      </c>
      <c r="E1725" s="3" t="s">
        <v>6606</v>
      </c>
      <c r="F1725" s="3" t="s">
        <v>20</v>
      </c>
      <c r="G1725" s="4">
        <v>34277</v>
      </c>
      <c r="H1725" s="3" t="s">
        <v>21</v>
      </c>
      <c r="I1725" s="3" t="s">
        <v>33</v>
      </c>
      <c r="J1725" s="5">
        <v>150000</v>
      </c>
      <c r="K1725" s="3">
        <v>4313400</v>
      </c>
      <c r="L1725" s="3" t="s">
        <v>3808</v>
      </c>
      <c r="M1725" s="3" t="s">
        <v>1856</v>
      </c>
      <c r="N1725" s="3">
        <v>230</v>
      </c>
      <c r="P1725" s="3" t="s">
        <v>6607</v>
      </c>
      <c r="Q1725" s="3" t="s">
        <v>27</v>
      </c>
      <c r="R1725" s="3" t="s">
        <v>28</v>
      </c>
      <c r="S1725" s="3">
        <v>4821455</v>
      </c>
      <c r="T1725" s="3">
        <v>1156628001</v>
      </c>
      <c r="U1725" s="3" t="s">
        <v>29</v>
      </c>
    </row>
    <row r="1726" spans="1:21" ht="13.2" x14ac:dyDescent="0.25">
      <c r="A1726" s="14">
        <v>2291486000190</v>
      </c>
      <c r="B1726" s="15" t="str">
        <f t="shared" si="26"/>
        <v>02.291.486/0001-90</v>
      </c>
      <c r="C1726" s="12" t="str">
        <f>VLOOKUP(B1726,[1]Planilha1!$A:$B,2,0)</f>
        <v>Malu Montesino</v>
      </c>
      <c r="D1726" s="3" t="s">
        <v>6608</v>
      </c>
      <c r="E1726" s="3" t="s">
        <v>6608</v>
      </c>
      <c r="F1726" s="3" t="s">
        <v>20</v>
      </c>
      <c r="G1726" s="4">
        <v>35699</v>
      </c>
      <c r="H1726" s="3" t="s">
        <v>21</v>
      </c>
      <c r="I1726" s="3" t="s">
        <v>33</v>
      </c>
      <c r="J1726" s="5">
        <v>225437310</v>
      </c>
      <c r="K1726" s="3">
        <v>2223400</v>
      </c>
      <c r="L1726" s="3" t="s">
        <v>868</v>
      </c>
      <c r="M1726" s="3" t="s">
        <v>6609</v>
      </c>
      <c r="N1726" s="3">
        <v>750</v>
      </c>
      <c r="P1726" s="3" t="s">
        <v>3957</v>
      </c>
      <c r="Q1726" s="3" t="s">
        <v>2365</v>
      </c>
      <c r="R1726" s="3" t="s">
        <v>28</v>
      </c>
      <c r="S1726" s="3">
        <v>7776235</v>
      </c>
      <c r="T1726" s="3">
        <v>1146178000</v>
      </c>
      <c r="U1726" s="3" t="s">
        <v>29</v>
      </c>
    </row>
    <row r="1727" spans="1:21" ht="13.2" x14ac:dyDescent="0.25">
      <c r="A1727" s="14">
        <v>2291486000513</v>
      </c>
      <c r="B1727" s="15" t="str">
        <f t="shared" si="26"/>
        <v>02.291.486/0005-13</v>
      </c>
      <c r="C1727" s="12"/>
      <c r="D1727" s="3" t="s">
        <v>6608</v>
      </c>
      <c r="E1727" s="3" t="s">
        <v>6610</v>
      </c>
      <c r="F1727" s="3" t="s">
        <v>20</v>
      </c>
      <c r="G1727" s="4">
        <v>41662</v>
      </c>
      <c r="H1727" s="3" t="s">
        <v>21</v>
      </c>
      <c r="I1727" s="3" t="s">
        <v>33</v>
      </c>
      <c r="J1727" s="5">
        <v>225437310</v>
      </c>
      <c r="K1727" s="3">
        <v>2223400</v>
      </c>
      <c r="L1727" s="3" t="s">
        <v>868</v>
      </c>
      <c r="M1727" s="3" t="s">
        <v>6609</v>
      </c>
      <c r="N1727" s="3">
        <v>430</v>
      </c>
      <c r="P1727" s="3" t="s">
        <v>3957</v>
      </c>
      <c r="Q1727" s="3" t="s">
        <v>2365</v>
      </c>
      <c r="R1727" s="3" t="s">
        <v>28</v>
      </c>
      <c r="S1727" s="3">
        <v>7776235</v>
      </c>
      <c r="T1727" s="3">
        <v>1146178000</v>
      </c>
      <c r="U1727" s="3" t="s">
        <v>29</v>
      </c>
    </row>
    <row r="1728" spans="1:21" ht="13.2" x14ac:dyDescent="0.25">
      <c r="A1728" s="14">
        <v>36012308000102</v>
      </c>
      <c r="B1728" s="15" t="str">
        <f t="shared" si="26"/>
        <v>36.012.308/0001-02</v>
      </c>
      <c r="C1728" s="12" t="str">
        <f>VLOOKUP(B1728,[1]Planilha1!$A:$B,2,0)</f>
        <v>Malu Montesino</v>
      </c>
      <c r="D1728" s="3" t="s">
        <v>6611</v>
      </c>
      <c r="E1728" s="3" t="s">
        <v>6611</v>
      </c>
      <c r="F1728" s="3" t="s">
        <v>20</v>
      </c>
      <c r="G1728" s="4">
        <v>43845</v>
      </c>
      <c r="H1728" s="3" t="s">
        <v>21</v>
      </c>
      <c r="I1728" s="3" t="s">
        <v>33</v>
      </c>
      <c r="J1728" s="5">
        <v>2943950</v>
      </c>
      <c r="K1728" s="3">
        <v>6202300</v>
      </c>
      <c r="L1728" s="3" t="s">
        <v>103</v>
      </c>
      <c r="M1728" s="3" t="s">
        <v>5333</v>
      </c>
      <c r="N1728" s="3">
        <v>1748</v>
      </c>
      <c r="O1728" s="3" t="s">
        <v>6612</v>
      </c>
      <c r="P1728" s="3" t="s">
        <v>1019</v>
      </c>
      <c r="Q1728" s="3" t="s">
        <v>27</v>
      </c>
      <c r="R1728" s="3" t="s">
        <v>28</v>
      </c>
      <c r="S1728" s="3">
        <v>4571000</v>
      </c>
      <c r="T1728" s="3">
        <v>1122275353</v>
      </c>
      <c r="U1728" s="3" t="s">
        <v>29</v>
      </c>
    </row>
    <row r="1729" spans="1:21" ht="13.2" x14ac:dyDescent="0.25">
      <c r="A1729" s="14">
        <v>14719482000149</v>
      </c>
      <c r="B1729" s="15" t="str">
        <f t="shared" si="26"/>
        <v>14.719.482/0001-49</v>
      </c>
      <c r="C1729" s="12"/>
      <c r="D1729" s="3" t="s">
        <v>6613</v>
      </c>
      <c r="E1729" s="3" t="s">
        <v>6614</v>
      </c>
      <c r="F1729" s="3" t="s">
        <v>20</v>
      </c>
      <c r="G1729" s="4">
        <v>40879</v>
      </c>
      <c r="H1729" s="3" t="s">
        <v>21</v>
      </c>
      <c r="I1729" s="3" t="s">
        <v>22</v>
      </c>
      <c r="J1729" s="5">
        <v>500000</v>
      </c>
      <c r="K1729" s="3">
        <v>2732500</v>
      </c>
      <c r="L1729" s="3" t="s">
        <v>1162</v>
      </c>
      <c r="M1729" s="3" t="s">
        <v>6615</v>
      </c>
      <c r="N1729" s="3">
        <v>950</v>
      </c>
      <c r="P1729" s="3" t="s">
        <v>6616</v>
      </c>
      <c r="Q1729" s="3" t="s">
        <v>730</v>
      </c>
      <c r="R1729" s="3" t="s">
        <v>53</v>
      </c>
      <c r="S1729" s="3">
        <v>95046490</v>
      </c>
      <c r="T1729" s="3">
        <v>5430390680</v>
      </c>
      <c r="U1729" s="3" t="s">
        <v>29</v>
      </c>
    </row>
    <row r="1730" spans="1:21" ht="13.2" x14ac:dyDescent="0.25">
      <c r="A1730" s="14">
        <v>17227422000105</v>
      </c>
      <c r="B1730" s="15" t="str">
        <f t="shared" si="26"/>
        <v>17.227.422/0001-05</v>
      </c>
      <c r="C1730" s="12"/>
      <c r="D1730" s="3" t="s">
        <v>6617</v>
      </c>
      <c r="E1730" s="3" t="s">
        <v>6618</v>
      </c>
      <c r="F1730" s="3" t="s">
        <v>20</v>
      </c>
      <c r="G1730" s="4">
        <v>24538</v>
      </c>
      <c r="H1730" s="3" t="s">
        <v>94</v>
      </c>
      <c r="I1730" s="3" t="s">
        <v>33</v>
      </c>
      <c r="J1730" s="5">
        <v>6454243000</v>
      </c>
      <c r="K1730" s="3">
        <v>2423702</v>
      </c>
      <c r="L1730" s="3" t="s">
        <v>1587</v>
      </c>
      <c r="M1730" s="3" t="s">
        <v>6619</v>
      </c>
      <c r="N1730" s="3" t="s">
        <v>111</v>
      </c>
      <c r="O1730" s="3" t="s">
        <v>6620</v>
      </c>
      <c r="P1730" s="3" t="s">
        <v>6621</v>
      </c>
      <c r="Q1730" s="3" t="s">
        <v>6622</v>
      </c>
      <c r="R1730" s="3" t="s">
        <v>100</v>
      </c>
      <c r="S1730" s="3">
        <v>36497899</v>
      </c>
      <c r="T1730" s="3">
        <v>1130946600</v>
      </c>
      <c r="U1730" s="3" t="s">
        <v>29</v>
      </c>
    </row>
    <row r="1731" spans="1:21" ht="13.2" x14ac:dyDescent="0.25">
      <c r="A1731" s="14">
        <v>33611500000119</v>
      </c>
      <c r="B1731" s="15" t="str">
        <f t="shared" ref="B1731:B1794" si="27">TEXT(A1731,"00\.000\.000\/0000\-00")</f>
        <v>33.611.500/0001-19</v>
      </c>
      <c r="C1731" s="12" t="str">
        <f>VLOOKUP(B1731,[1]Planilha1!$A:$B,2,0)</f>
        <v>Malu Montesino</v>
      </c>
      <c r="D1731" s="3" t="s">
        <v>6623</v>
      </c>
      <c r="E1731" s="3" t="s">
        <v>6623</v>
      </c>
      <c r="F1731" s="3" t="s">
        <v>20</v>
      </c>
      <c r="G1731" s="4">
        <v>26001</v>
      </c>
      <c r="H1731" s="3" t="s">
        <v>377</v>
      </c>
      <c r="I1731" s="3" t="s">
        <v>33</v>
      </c>
      <c r="J1731" s="5">
        <v>24347292000</v>
      </c>
      <c r="K1731" s="3">
        <v>2423702</v>
      </c>
      <c r="L1731" s="3" t="s">
        <v>1587</v>
      </c>
      <c r="M1731" s="3" t="s">
        <v>4218</v>
      </c>
      <c r="N1731" s="3">
        <v>8501</v>
      </c>
      <c r="O1731" s="3" t="s">
        <v>6624</v>
      </c>
      <c r="P1731" s="3" t="s">
        <v>1740</v>
      </c>
      <c r="Q1731" s="3" t="s">
        <v>27</v>
      </c>
      <c r="R1731" s="3" t="s">
        <v>28</v>
      </c>
      <c r="S1731" s="3">
        <v>5425070</v>
      </c>
      <c r="T1731" s="3">
        <v>1130946600</v>
      </c>
      <c r="U1731" s="3" t="s">
        <v>29</v>
      </c>
    </row>
    <row r="1732" spans="1:21" ht="13.2" x14ac:dyDescent="0.25">
      <c r="A1732" s="14">
        <v>26976969000196</v>
      </c>
      <c r="B1732" s="15" t="str">
        <f t="shared" si="27"/>
        <v>26.976.969/0001-96</v>
      </c>
      <c r="C1732" s="12"/>
      <c r="D1732" s="3" t="s">
        <v>6625</v>
      </c>
      <c r="E1732" s="3" t="s">
        <v>6626</v>
      </c>
      <c r="F1732" s="3" t="s">
        <v>20</v>
      </c>
      <c r="G1732" s="4">
        <v>33351</v>
      </c>
      <c r="H1732" s="3" t="s">
        <v>21</v>
      </c>
      <c r="I1732" s="3" t="s">
        <v>33</v>
      </c>
      <c r="J1732" s="5">
        <v>1500000</v>
      </c>
      <c r="K1732" s="3">
        <v>7112000</v>
      </c>
      <c r="L1732" s="3" t="s">
        <v>276</v>
      </c>
      <c r="M1732" s="3" t="s">
        <v>6627</v>
      </c>
      <c r="N1732" s="3">
        <v>303</v>
      </c>
      <c r="O1732" s="3" t="s">
        <v>6628</v>
      </c>
      <c r="P1732" s="3" t="s">
        <v>70</v>
      </c>
      <c r="Q1732" s="3" t="s">
        <v>617</v>
      </c>
      <c r="R1732" s="3" t="s">
        <v>28</v>
      </c>
      <c r="S1732" s="3">
        <v>6401000</v>
      </c>
      <c r="T1732" s="3">
        <v>1155314235</v>
      </c>
      <c r="U1732" s="3" t="s">
        <v>29</v>
      </c>
    </row>
    <row r="1733" spans="1:21" ht="13.2" x14ac:dyDescent="0.25">
      <c r="A1733" s="14">
        <v>9069985000186</v>
      </c>
      <c r="B1733" s="15" t="str">
        <f t="shared" si="27"/>
        <v>09.069.985/0001-86</v>
      </c>
      <c r="C1733" s="12"/>
      <c r="D1733" s="3" t="s">
        <v>6629</v>
      </c>
      <c r="E1733" s="3" t="s">
        <v>6630</v>
      </c>
      <c r="F1733" s="3" t="s">
        <v>20</v>
      </c>
      <c r="G1733" s="4">
        <v>39339</v>
      </c>
      <c r="H1733" s="3" t="s">
        <v>21</v>
      </c>
      <c r="I1733" s="3" t="s">
        <v>33</v>
      </c>
      <c r="J1733" s="5">
        <v>250000</v>
      </c>
      <c r="K1733" s="3">
        <v>2930101</v>
      </c>
      <c r="L1733" s="3" t="s">
        <v>856</v>
      </c>
      <c r="M1733" s="3" t="s">
        <v>6631</v>
      </c>
      <c r="N1733" s="7">
        <v>11115</v>
      </c>
      <c r="O1733" s="3" t="s">
        <v>6632</v>
      </c>
      <c r="P1733" s="3" t="s">
        <v>6633</v>
      </c>
      <c r="Q1733" s="3" t="s">
        <v>1289</v>
      </c>
      <c r="R1733" s="3" t="s">
        <v>187</v>
      </c>
      <c r="S1733" s="3">
        <v>87055405</v>
      </c>
      <c r="T1733" s="3">
        <v>4430251918</v>
      </c>
      <c r="U1733" s="3" t="s">
        <v>29</v>
      </c>
    </row>
    <row r="1734" spans="1:21" ht="13.2" x14ac:dyDescent="0.25">
      <c r="A1734" s="14">
        <v>11171922000188</v>
      </c>
      <c r="B1734" s="15" t="str">
        <f t="shared" si="27"/>
        <v>11.171.922/0001-88</v>
      </c>
      <c r="C1734" s="12" t="str">
        <f>VLOOKUP(B1734,[1]Planilha1!$A:$B,2,0)</f>
        <v>Malu Montesino</v>
      </c>
      <c r="D1734" s="3" t="s">
        <v>6634</v>
      </c>
      <c r="E1734" s="3" t="s">
        <v>6635</v>
      </c>
      <c r="F1734" s="3" t="s">
        <v>20</v>
      </c>
      <c r="G1734" s="4">
        <v>40051</v>
      </c>
      <c r="H1734" s="3" t="s">
        <v>21</v>
      </c>
      <c r="I1734" s="3" t="s">
        <v>33</v>
      </c>
      <c r="J1734" s="5">
        <v>16000000</v>
      </c>
      <c r="K1734" s="3">
        <v>2229302</v>
      </c>
      <c r="L1734" s="3" t="s">
        <v>576</v>
      </c>
      <c r="M1734" s="3" t="s">
        <v>6636</v>
      </c>
      <c r="N1734" s="3">
        <v>190</v>
      </c>
      <c r="P1734" s="3" t="s">
        <v>6637</v>
      </c>
      <c r="Q1734" s="3" t="s">
        <v>1235</v>
      </c>
      <c r="R1734" s="3" t="s">
        <v>28</v>
      </c>
      <c r="S1734" s="3">
        <v>13347380</v>
      </c>
      <c r="T1734" s="3">
        <v>1939369700</v>
      </c>
      <c r="U1734" s="3" t="s">
        <v>29</v>
      </c>
    </row>
    <row r="1735" spans="1:21" ht="13.2" x14ac:dyDescent="0.25">
      <c r="A1735" s="14">
        <v>41699402000103</v>
      </c>
      <c r="B1735" s="15" t="str">
        <f t="shared" si="27"/>
        <v>41.699.402/0001-03</v>
      </c>
      <c r="C1735" s="12"/>
      <c r="D1735" s="3" t="s">
        <v>6638</v>
      </c>
      <c r="E1735" s="3" t="s">
        <v>6638</v>
      </c>
      <c r="F1735" s="3" t="s">
        <v>20</v>
      </c>
      <c r="G1735" s="4">
        <v>44312</v>
      </c>
      <c r="H1735" s="3" t="s">
        <v>21</v>
      </c>
      <c r="I1735" s="3" t="s">
        <v>47</v>
      </c>
      <c r="J1735" s="5">
        <v>1993100</v>
      </c>
      <c r="K1735" s="3">
        <v>2869100</v>
      </c>
      <c r="L1735" s="3" t="s">
        <v>1416</v>
      </c>
      <c r="M1735" s="3" t="s">
        <v>6639</v>
      </c>
      <c r="N1735" s="3">
        <v>414</v>
      </c>
      <c r="O1735" s="3" t="s">
        <v>6640</v>
      </c>
      <c r="P1735" s="3" t="s">
        <v>3391</v>
      </c>
      <c r="Q1735" s="3" t="s">
        <v>4379</v>
      </c>
      <c r="R1735" s="3" t="s">
        <v>91</v>
      </c>
      <c r="S1735" s="3">
        <v>88820000</v>
      </c>
      <c r="T1735" s="3">
        <v>4896642336</v>
      </c>
      <c r="U1735" s="3" t="s">
        <v>29</v>
      </c>
    </row>
    <row r="1736" spans="1:21" ht="13.2" x14ac:dyDescent="0.25">
      <c r="A1736" s="14">
        <v>13892384000146</v>
      </c>
      <c r="B1736" s="15" t="str">
        <f t="shared" si="27"/>
        <v>13.892.384/0001-46</v>
      </c>
      <c r="C1736" s="12"/>
      <c r="D1736" s="3" t="s">
        <v>6641</v>
      </c>
      <c r="E1736" s="3" t="s">
        <v>6642</v>
      </c>
      <c r="F1736" s="3" t="s">
        <v>20</v>
      </c>
      <c r="G1736" s="4">
        <v>40722</v>
      </c>
      <c r="H1736" s="3" t="s">
        <v>21</v>
      </c>
      <c r="I1736" s="3" t="s">
        <v>33</v>
      </c>
      <c r="J1736" s="5">
        <v>2205272</v>
      </c>
      <c r="K1736" s="3">
        <v>7830200</v>
      </c>
      <c r="L1736" s="3" t="s">
        <v>473</v>
      </c>
      <c r="M1736" s="3" t="s">
        <v>6643</v>
      </c>
      <c r="N1736" s="3">
        <v>442</v>
      </c>
      <c r="P1736" s="3" t="s">
        <v>6644</v>
      </c>
      <c r="Q1736" s="3" t="s">
        <v>6371</v>
      </c>
      <c r="R1736" s="3" t="s">
        <v>100</v>
      </c>
      <c r="S1736" s="3">
        <v>33880100</v>
      </c>
      <c r="T1736" s="3">
        <v>3171710912</v>
      </c>
      <c r="U1736" s="3" t="s">
        <v>29</v>
      </c>
    </row>
    <row r="1737" spans="1:21" ht="13.2" x14ac:dyDescent="0.25">
      <c r="A1737" s="14">
        <v>6028137000130</v>
      </c>
      <c r="B1737" s="15" t="str">
        <f t="shared" si="27"/>
        <v>06.028.137/0001-30</v>
      </c>
      <c r="C1737" s="12" t="str">
        <f>VLOOKUP(B1737,[1]Planilha1!$A:$B,2,0)</f>
        <v>Malu Montesino</v>
      </c>
      <c r="D1737" s="3" t="s">
        <v>6645</v>
      </c>
      <c r="E1737" s="3" t="s">
        <v>6646</v>
      </c>
      <c r="F1737" s="3" t="s">
        <v>20</v>
      </c>
      <c r="G1737" s="4">
        <v>37958</v>
      </c>
      <c r="H1737" s="3" t="s">
        <v>21</v>
      </c>
      <c r="I1737" s="3" t="s">
        <v>33</v>
      </c>
      <c r="J1737" s="5">
        <v>111448424</v>
      </c>
      <c r="K1737" s="3">
        <v>4664800</v>
      </c>
      <c r="L1737" s="3" t="s">
        <v>691</v>
      </c>
      <c r="M1737" s="3" t="s">
        <v>6647</v>
      </c>
      <c r="N1737" s="3">
        <v>291</v>
      </c>
      <c r="O1737" s="3" t="s">
        <v>6648</v>
      </c>
      <c r="P1737" s="3" t="s">
        <v>753</v>
      </c>
      <c r="Q1737" s="3" t="s">
        <v>27</v>
      </c>
      <c r="R1737" s="3" t="s">
        <v>28</v>
      </c>
      <c r="S1737" s="3">
        <v>5317020</v>
      </c>
      <c r="T1737" s="3">
        <v>1126087400</v>
      </c>
      <c r="U1737" s="3" t="s">
        <v>29</v>
      </c>
    </row>
    <row r="1738" spans="1:21" ht="13.2" x14ac:dyDescent="0.25">
      <c r="A1738" s="14">
        <v>10440482000154</v>
      </c>
      <c r="B1738" s="15" t="str">
        <f t="shared" si="27"/>
        <v>10.440.482/0001-54</v>
      </c>
      <c r="C1738" s="12"/>
      <c r="D1738" s="3" t="s">
        <v>6649</v>
      </c>
      <c r="E1738" s="3" t="s">
        <v>6650</v>
      </c>
      <c r="F1738" s="3" t="s">
        <v>20</v>
      </c>
      <c r="G1738" s="4">
        <v>39745</v>
      </c>
      <c r="H1738" s="3" t="s">
        <v>94</v>
      </c>
      <c r="I1738" s="3" t="s">
        <v>33</v>
      </c>
      <c r="J1738" s="5">
        <v>1022771460</v>
      </c>
      <c r="K1738" s="3">
        <v>6619399</v>
      </c>
      <c r="L1738" s="3" t="s">
        <v>4160</v>
      </c>
      <c r="M1738" s="3" t="s">
        <v>1047</v>
      </c>
      <c r="N1738" s="3">
        <v>2041</v>
      </c>
      <c r="O1738" s="3" t="s">
        <v>6651</v>
      </c>
      <c r="P1738" s="3" t="s">
        <v>1049</v>
      </c>
      <c r="Q1738" s="3" t="s">
        <v>27</v>
      </c>
      <c r="R1738" s="3" t="s">
        <v>28</v>
      </c>
      <c r="S1738" s="3">
        <v>4543011</v>
      </c>
      <c r="T1738" s="3">
        <v>1151849003</v>
      </c>
      <c r="U1738" s="3" t="s">
        <v>29</v>
      </c>
    </row>
    <row r="1739" spans="1:21" ht="13.2" x14ac:dyDescent="0.25">
      <c r="A1739" s="14">
        <v>6349959000113</v>
      </c>
      <c r="B1739" s="15" t="str">
        <f t="shared" si="27"/>
        <v>06.349.959/0001-13</v>
      </c>
      <c r="C1739" s="12" t="str">
        <f>VLOOKUP(B1739,[1]Planilha1!$A:$B,2,0)</f>
        <v>Malu Montesino</v>
      </c>
      <c r="D1739" s="3" t="s">
        <v>6652</v>
      </c>
      <c r="E1739" s="3" t="s">
        <v>6653</v>
      </c>
      <c r="F1739" s="3" t="s">
        <v>20</v>
      </c>
      <c r="G1739" s="4">
        <v>38168</v>
      </c>
      <c r="H1739" s="3" t="s">
        <v>94</v>
      </c>
      <c r="I1739" s="3" t="s">
        <v>33</v>
      </c>
      <c r="J1739" s="5">
        <v>46424210</v>
      </c>
      <c r="K1739" s="3">
        <v>4752100</v>
      </c>
      <c r="L1739" s="3" t="s">
        <v>1263</v>
      </c>
      <c r="M1739" s="3" t="s">
        <v>6654</v>
      </c>
      <c r="N1739" s="3">
        <v>603</v>
      </c>
      <c r="O1739" s="3" t="s">
        <v>6655</v>
      </c>
      <c r="P1739" s="3" t="s">
        <v>4930</v>
      </c>
      <c r="Q1739" s="3" t="s">
        <v>476</v>
      </c>
      <c r="R1739" s="3" t="s">
        <v>100</v>
      </c>
      <c r="S1739" s="3">
        <v>30320570</v>
      </c>
      <c r="T1739" s="3">
        <v>3130788200</v>
      </c>
      <c r="U1739" s="3" t="s">
        <v>29</v>
      </c>
    </row>
    <row r="1740" spans="1:21" ht="13.2" x14ac:dyDescent="0.25">
      <c r="A1740" s="14">
        <v>2267071000180</v>
      </c>
      <c r="B1740" s="15" t="str">
        <f t="shared" si="27"/>
        <v>02.267.071/0001-80</v>
      </c>
      <c r="C1740" s="12"/>
      <c r="D1740" s="3" t="s">
        <v>6656</v>
      </c>
      <c r="E1740" s="3" t="s">
        <v>6656</v>
      </c>
      <c r="F1740" s="3" t="s">
        <v>20</v>
      </c>
      <c r="G1740" s="4">
        <v>35768</v>
      </c>
      <c r="H1740" s="3" t="s">
        <v>21</v>
      </c>
      <c r="I1740" s="3" t="s">
        <v>33</v>
      </c>
      <c r="J1740" s="5">
        <v>93377704</v>
      </c>
      <c r="K1740" s="3">
        <v>6204000</v>
      </c>
      <c r="L1740" s="3" t="s">
        <v>2081</v>
      </c>
      <c r="M1740" s="3" t="s">
        <v>246</v>
      </c>
      <c r="N1740" s="3">
        <v>2202</v>
      </c>
      <c r="O1740" s="3" t="s">
        <v>6657</v>
      </c>
      <c r="P1740" s="3" t="s">
        <v>248</v>
      </c>
      <c r="Q1740" s="3" t="s">
        <v>27</v>
      </c>
      <c r="R1740" s="3" t="s">
        <v>28</v>
      </c>
      <c r="S1740" s="3">
        <v>1310932</v>
      </c>
      <c r="T1740" s="3">
        <v>1133656300</v>
      </c>
      <c r="U1740" s="3" t="s">
        <v>29</v>
      </c>
    </row>
    <row r="1741" spans="1:21" ht="13.2" x14ac:dyDescent="0.25">
      <c r="A1741" s="14">
        <v>5824013000107</v>
      </c>
      <c r="B1741" s="15" t="str">
        <f t="shared" si="27"/>
        <v>05.824.013/0001-07</v>
      </c>
      <c r="C1741" s="12" t="str">
        <f>VLOOKUP(B1741,[1]Planilha1!$A:$B,2,0)</f>
        <v>Malu Montesino</v>
      </c>
      <c r="D1741" s="3" t="s">
        <v>6658</v>
      </c>
      <c r="E1741" s="3" t="s">
        <v>6658</v>
      </c>
      <c r="F1741" s="3" t="s">
        <v>20</v>
      </c>
      <c r="G1741" s="4">
        <v>37831</v>
      </c>
      <c r="H1741" s="3" t="s">
        <v>21</v>
      </c>
      <c r="I1741" s="3" t="s">
        <v>33</v>
      </c>
      <c r="J1741" s="5">
        <v>1000000</v>
      </c>
      <c r="K1741" s="3">
        <v>4663000</v>
      </c>
      <c r="L1741" s="3" t="s">
        <v>128</v>
      </c>
      <c r="M1741" s="3" t="s">
        <v>6659</v>
      </c>
      <c r="N1741" s="3">
        <v>1114</v>
      </c>
      <c r="P1741" s="3" t="s">
        <v>3314</v>
      </c>
      <c r="Q1741" s="3" t="s">
        <v>27</v>
      </c>
      <c r="R1741" s="3" t="s">
        <v>28</v>
      </c>
      <c r="S1741" s="3">
        <v>3410000</v>
      </c>
      <c r="T1741" s="3">
        <v>1126731111</v>
      </c>
      <c r="U1741" s="3" t="s">
        <v>29</v>
      </c>
    </row>
    <row r="1742" spans="1:21" ht="13.2" x14ac:dyDescent="0.25">
      <c r="A1742" s="14">
        <v>54797796000184</v>
      </c>
      <c r="B1742" s="15" t="str">
        <f t="shared" si="27"/>
        <v>54.797.796/0001-84</v>
      </c>
      <c r="C1742" s="12" t="str">
        <f>VLOOKUP(B1742,[1]Planilha1!$A:$B,2,0)</f>
        <v>Malu Montesino</v>
      </c>
      <c r="D1742" s="3" t="s">
        <v>6660</v>
      </c>
      <c r="E1742" s="3" t="s">
        <v>6661</v>
      </c>
      <c r="F1742" s="3" t="s">
        <v>20</v>
      </c>
      <c r="G1742" s="4">
        <v>45400</v>
      </c>
      <c r="H1742" s="3" t="s">
        <v>21</v>
      </c>
      <c r="I1742" s="3" t="s">
        <v>33</v>
      </c>
      <c r="J1742" s="5">
        <v>1500000</v>
      </c>
      <c r="K1742" s="3">
        <v>7490104</v>
      </c>
      <c r="L1742" s="3" t="s">
        <v>1597</v>
      </c>
      <c r="M1742" s="3" t="s">
        <v>308</v>
      </c>
      <c r="N1742" s="3">
        <v>14401</v>
      </c>
      <c r="O1742" s="3" t="s">
        <v>6662</v>
      </c>
      <c r="P1742" s="3" t="s">
        <v>310</v>
      </c>
      <c r="Q1742" s="3" t="s">
        <v>27</v>
      </c>
      <c r="R1742" s="3" t="s">
        <v>28</v>
      </c>
      <c r="S1742" s="3">
        <v>4794000</v>
      </c>
      <c r="T1742" s="3">
        <v>1195497077</v>
      </c>
      <c r="U1742" s="3" t="s">
        <v>29</v>
      </c>
    </row>
    <row r="1743" spans="1:21" ht="13.2" x14ac:dyDescent="0.25">
      <c r="A1743" s="14">
        <v>26965679000147</v>
      </c>
      <c r="B1743" s="15" t="str">
        <f t="shared" si="27"/>
        <v>26.965.679/0001-47</v>
      </c>
      <c r="C1743" s="12"/>
      <c r="D1743" s="3" t="s">
        <v>6663</v>
      </c>
      <c r="E1743" s="3" t="s">
        <v>6664</v>
      </c>
      <c r="F1743" s="3" t="s">
        <v>20</v>
      </c>
      <c r="G1743" s="4">
        <v>42762</v>
      </c>
      <c r="H1743" s="3" t="s">
        <v>21</v>
      </c>
      <c r="I1743" s="3" t="s">
        <v>22</v>
      </c>
      <c r="J1743" s="5">
        <v>300000</v>
      </c>
      <c r="K1743" s="3">
        <v>2660400</v>
      </c>
      <c r="L1743" s="3" t="s">
        <v>953</v>
      </c>
      <c r="M1743" s="3" t="s">
        <v>6665</v>
      </c>
      <c r="N1743" s="3">
        <v>2407</v>
      </c>
      <c r="P1743" s="3" t="s">
        <v>6666</v>
      </c>
      <c r="Q1743" s="3" t="s">
        <v>915</v>
      </c>
      <c r="R1743" s="3" t="s">
        <v>28</v>
      </c>
      <c r="S1743" s="3">
        <v>14140000</v>
      </c>
      <c r="T1743" s="3">
        <v>1633252928</v>
      </c>
      <c r="U1743" s="3" t="s">
        <v>29</v>
      </c>
    </row>
    <row r="1744" spans="1:21" ht="13.2" x14ac:dyDescent="0.25">
      <c r="A1744" s="14">
        <v>43829308000157</v>
      </c>
      <c r="B1744" s="15" t="str">
        <f t="shared" si="27"/>
        <v>43.829.308/0001-57</v>
      </c>
      <c r="C1744" s="12"/>
      <c r="D1744" s="3" t="s">
        <v>6667</v>
      </c>
      <c r="E1744" s="3" t="s">
        <v>6668</v>
      </c>
      <c r="F1744" s="3" t="s">
        <v>20</v>
      </c>
      <c r="G1744" s="4">
        <v>26948</v>
      </c>
      <c r="H1744" s="3" t="s">
        <v>21</v>
      </c>
      <c r="I1744" s="3" t="s">
        <v>33</v>
      </c>
      <c r="J1744" s="5">
        <v>12194000</v>
      </c>
      <c r="K1744" s="3">
        <v>2869100</v>
      </c>
      <c r="L1744" s="3" t="s">
        <v>1416</v>
      </c>
      <c r="M1744" s="3" t="s">
        <v>6669</v>
      </c>
      <c r="N1744" s="3">
        <v>135</v>
      </c>
      <c r="P1744" s="3" t="s">
        <v>2254</v>
      </c>
      <c r="Q1744" s="3" t="s">
        <v>204</v>
      </c>
      <c r="R1744" s="3" t="s">
        <v>187</v>
      </c>
      <c r="S1744" s="3">
        <v>81460040</v>
      </c>
      <c r="T1744" s="3">
        <v>4133471030</v>
      </c>
      <c r="U1744" s="3" t="s">
        <v>29</v>
      </c>
    </row>
    <row r="1745" spans="1:21" ht="13.2" x14ac:dyDescent="0.25">
      <c r="A1745" s="14">
        <v>10194833000194</v>
      </c>
      <c r="B1745" s="15" t="str">
        <f t="shared" si="27"/>
        <v>10.194.833/0001-94</v>
      </c>
      <c r="C1745" s="12"/>
      <c r="D1745" s="3" t="s">
        <v>6670</v>
      </c>
      <c r="E1745" s="3" t="s">
        <v>6671</v>
      </c>
      <c r="F1745" s="3" t="s">
        <v>45</v>
      </c>
      <c r="G1745" s="4">
        <v>39637</v>
      </c>
      <c r="H1745" s="3" t="s">
        <v>21</v>
      </c>
      <c r="I1745" s="3" t="s">
        <v>33</v>
      </c>
      <c r="J1745" s="5">
        <v>64517470</v>
      </c>
      <c r="K1745" s="3">
        <v>4639701</v>
      </c>
      <c r="L1745" s="3" t="s">
        <v>3611</v>
      </c>
      <c r="M1745" s="3" t="s">
        <v>4666</v>
      </c>
      <c r="N1745" s="3">
        <v>2758</v>
      </c>
      <c r="O1745" s="3" t="s">
        <v>828</v>
      </c>
      <c r="P1745" s="3" t="s">
        <v>6672</v>
      </c>
      <c r="Q1745" s="3" t="s">
        <v>27</v>
      </c>
      <c r="R1745" s="3" t="s">
        <v>28</v>
      </c>
      <c r="S1745" s="3">
        <v>2701000</v>
      </c>
      <c r="T1745" s="3">
        <v>1139339910</v>
      </c>
      <c r="U1745" s="3" t="s">
        <v>29</v>
      </c>
    </row>
    <row r="1746" spans="1:21" ht="13.2" x14ac:dyDescent="0.25">
      <c r="A1746" s="14">
        <v>27163650000104</v>
      </c>
      <c r="B1746" s="15" t="str">
        <f t="shared" si="27"/>
        <v>27.163.650/0001-04</v>
      </c>
      <c r="C1746" s="12"/>
      <c r="D1746" s="3" t="s">
        <v>6673</v>
      </c>
      <c r="E1746" s="3" t="s">
        <v>6674</v>
      </c>
      <c r="F1746" s="3" t="s">
        <v>45</v>
      </c>
      <c r="G1746" s="4">
        <v>42787</v>
      </c>
      <c r="H1746" s="3" t="s">
        <v>21</v>
      </c>
      <c r="I1746" s="3" t="s">
        <v>47</v>
      </c>
      <c r="J1746" s="5">
        <v>500000</v>
      </c>
      <c r="K1746" s="3">
        <v>4120400</v>
      </c>
      <c r="L1746" s="3" t="s">
        <v>87</v>
      </c>
      <c r="M1746" s="3" t="s">
        <v>308</v>
      </c>
      <c r="N1746" s="3">
        <v>18801</v>
      </c>
      <c r="O1746" s="3" t="s">
        <v>6675</v>
      </c>
      <c r="P1746" s="3" t="s">
        <v>6676</v>
      </c>
      <c r="Q1746" s="3" t="s">
        <v>27</v>
      </c>
      <c r="R1746" s="3" t="s">
        <v>28</v>
      </c>
      <c r="S1746" s="3">
        <v>4757025</v>
      </c>
      <c r="T1746" s="3">
        <v>1180993904</v>
      </c>
      <c r="U1746" s="3" t="s">
        <v>29</v>
      </c>
    </row>
    <row r="1747" spans="1:21" ht="13.2" x14ac:dyDescent="0.25">
      <c r="A1747" s="14">
        <v>62413869000115</v>
      </c>
      <c r="B1747" s="15" t="str">
        <f t="shared" si="27"/>
        <v>62.413.869/0001-15</v>
      </c>
      <c r="C1747" s="12" t="str">
        <f>VLOOKUP(B1747,[1]Planilha1!$A:$B,2,0)</f>
        <v>Mariane Nascimento</v>
      </c>
      <c r="D1747" s="3" t="s">
        <v>6677</v>
      </c>
      <c r="E1747" s="3" t="s">
        <v>6677</v>
      </c>
      <c r="F1747" s="3" t="s">
        <v>20</v>
      </c>
      <c r="G1747" s="4">
        <v>32937</v>
      </c>
      <c r="H1747" s="3" t="s">
        <v>21</v>
      </c>
      <c r="I1747" s="3" t="s">
        <v>33</v>
      </c>
      <c r="J1747" s="5">
        <v>300000</v>
      </c>
      <c r="K1747" s="3">
        <v>2660400</v>
      </c>
      <c r="L1747" s="3" t="s">
        <v>953</v>
      </c>
      <c r="M1747" s="3" t="s">
        <v>3514</v>
      </c>
      <c r="N1747" s="3">
        <v>93</v>
      </c>
      <c r="P1747" s="3" t="s">
        <v>1752</v>
      </c>
      <c r="Q1747" s="3" t="s">
        <v>524</v>
      </c>
      <c r="R1747" s="3" t="s">
        <v>28</v>
      </c>
      <c r="S1747" s="3">
        <v>14080620</v>
      </c>
      <c r="T1747" s="3">
        <v>1639691085</v>
      </c>
      <c r="U1747" s="3" t="s">
        <v>29</v>
      </c>
    </row>
    <row r="1748" spans="1:21" ht="13.2" x14ac:dyDescent="0.25">
      <c r="A1748" s="14">
        <v>2847287000115</v>
      </c>
      <c r="B1748" s="15" t="str">
        <f t="shared" si="27"/>
        <v>02.847.287/0001-15</v>
      </c>
      <c r="C1748" s="12"/>
      <c r="D1748" s="3" t="s">
        <v>6678</v>
      </c>
      <c r="E1748" s="3" t="s">
        <v>6679</v>
      </c>
      <c r="F1748" s="3" t="s">
        <v>20</v>
      </c>
      <c r="G1748" s="4">
        <v>36117</v>
      </c>
      <c r="H1748" s="3" t="s">
        <v>21</v>
      </c>
      <c r="I1748" s="3" t="s">
        <v>22</v>
      </c>
      <c r="J1748" s="5">
        <v>110000</v>
      </c>
      <c r="K1748" s="3">
        <v>2219600</v>
      </c>
      <c r="L1748" s="3" t="s">
        <v>613</v>
      </c>
      <c r="M1748" s="3" t="s">
        <v>6680</v>
      </c>
      <c r="N1748" s="3">
        <v>122</v>
      </c>
      <c r="P1748" s="3" t="s">
        <v>406</v>
      </c>
      <c r="Q1748" s="3" t="s">
        <v>357</v>
      </c>
      <c r="R1748" s="3" t="s">
        <v>28</v>
      </c>
      <c r="S1748" s="3">
        <v>7232140</v>
      </c>
      <c r="T1748" s="3">
        <v>1124821094</v>
      </c>
      <c r="U1748" s="3" t="s">
        <v>29</v>
      </c>
    </row>
    <row r="1749" spans="1:21" ht="13.2" x14ac:dyDescent="0.25">
      <c r="A1749" s="14">
        <v>15670288000189</v>
      </c>
      <c r="B1749" s="15" t="str">
        <f t="shared" si="27"/>
        <v>15.670.288/0001-89</v>
      </c>
      <c r="C1749" s="12"/>
      <c r="D1749" s="3" t="s">
        <v>6681</v>
      </c>
      <c r="E1749" s="3" t="s">
        <v>6681</v>
      </c>
      <c r="F1749" s="3" t="s">
        <v>20</v>
      </c>
      <c r="G1749" s="4">
        <v>41059</v>
      </c>
      <c r="H1749" s="3" t="s">
        <v>21</v>
      </c>
      <c r="I1749" s="3" t="s">
        <v>33</v>
      </c>
      <c r="J1749" s="5">
        <v>24992810</v>
      </c>
      <c r="K1749" s="3">
        <v>4693100</v>
      </c>
      <c r="L1749" s="3" t="s">
        <v>238</v>
      </c>
      <c r="M1749" s="3" t="s">
        <v>2209</v>
      </c>
      <c r="N1749" s="3">
        <v>1240</v>
      </c>
      <c r="O1749" s="3" t="s">
        <v>6682</v>
      </c>
      <c r="P1749" s="3" t="s">
        <v>2211</v>
      </c>
      <c r="Q1749" s="3" t="s">
        <v>27</v>
      </c>
      <c r="R1749" s="3" t="s">
        <v>28</v>
      </c>
      <c r="S1749" s="3">
        <v>4711130</v>
      </c>
      <c r="T1749" s="3">
        <v>1130369988</v>
      </c>
      <c r="U1749" s="3" t="s">
        <v>29</v>
      </c>
    </row>
    <row r="1750" spans="1:21" ht="13.2" x14ac:dyDescent="0.25">
      <c r="A1750" s="14">
        <v>1603603000221</v>
      </c>
      <c r="B1750" s="15" t="str">
        <f t="shared" si="27"/>
        <v>01.603.603/0002-21</v>
      </c>
      <c r="C1750" s="12"/>
      <c r="D1750" s="3" t="s">
        <v>6683</v>
      </c>
      <c r="E1750" s="3" t="s">
        <v>6684</v>
      </c>
      <c r="F1750" s="3" t="s">
        <v>20</v>
      </c>
      <c r="G1750" s="4">
        <v>37649</v>
      </c>
      <c r="H1750" s="3" t="s">
        <v>94</v>
      </c>
      <c r="I1750" s="3" t="s">
        <v>33</v>
      </c>
      <c r="J1750" s="5" t="s">
        <v>6685</v>
      </c>
      <c r="K1750" s="3">
        <v>8299799</v>
      </c>
      <c r="L1750" s="3" t="s">
        <v>532</v>
      </c>
      <c r="M1750" s="3" t="s">
        <v>246</v>
      </c>
      <c r="N1750" s="3">
        <v>1776</v>
      </c>
      <c r="O1750" s="3" t="s">
        <v>3141</v>
      </c>
      <c r="P1750" s="3" t="s">
        <v>248</v>
      </c>
      <c r="Q1750" s="3" t="s">
        <v>27</v>
      </c>
      <c r="R1750" s="3" t="s">
        <v>28</v>
      </c>
      <c r="S1750" s="3">
        <v>1310921</v>
      </c>
      <c r="T1750" s="3">
        <v>6121031800</v>
      </c>
      <c r="U1750" s="3" t="s">
        <v>29</v>
      </c>
    </row>
    <row r="1751" spans="1:21" ht="13.2" x14ac:dyDescent="0.25">
      <c r="A1751" s="14">
        <v>26626385000190</v>
      </c>
      <c r="B1751" s="15" t="str">
        <f t="shared" si="27"/>
        <v>26.626.385/0001-90</v>
      </c>
      <c r="C1751" s="12"/>
      <c r="D1751" s="3" t="s">
        <v>6686</v>
      </c>
      <c r="E1751" s="3" t="s">
        <v>6686</v>
      </c>
      <c r="F1751" s="3" t="s">
        <v>20</v>
      </c>
      <c r="G1751" s="4">
        <v>42703</v>
      </c>
      <c r="H1751" s="3" t="s">
        <v>21</v>
      </c>
      <c r="I1751" s="3" t="s">
        <v>22</v>
      </c>
      <c r="J1751" s="5">
        <v>90000</v>
      </c>
      <c r="K1751" s="3">
        <v>3292202</v>
      </c>
      <c r="L1751" s="3" t="s">
        <v>1654</v>
      </c>
      <c r="M1751" s="3" t="s">
        <v>1981</v>
      </c>
      <c r="N1751" s="3">
        <v>1311</v>
      </c>
      <c r="P1751" s="3" t="s">
        <v>6687</v>
      </c>
      <c r="Q1751" s="3" t="s">
        <v>3112</v>
      </c>
      <c r="R1751" s="3" t="s">
        <v>53</v>
      </c>
      <c r="S1751" s="3">
        <v>93601530</v>
      </c>
      <c r="T1751" s="3">
        <v>5131919746</v>
      </c>
      <c r="U1751" s="3" t="s">
        <v>29</v>
      </c>
    </row>
    <row r="1752" spans="1:21" ht="13.2" x14ac:dyDescent="0.25">
      <c r="A1752" s="14">
        <v>895069000120</v>
      </c>
      <c r="B1752" s="15" t="str">
        <f t="shared" si="27"/>
        <v>00.895.069/0001-20</v>
      </c>
      <c r="C1752" s="12"/>
      <c r="D1752" s="3" t="s">
        <v>6688</v>
      </c>
      <c r="E1752" s="3" t="s">
        <v>6688</v>
      </c>
      <c r="F1752" s="3" t="s">
        <v>20</v>
      </c>
      <c r="G1752" s="4">
        <v>35002</v>
      </c>
      <c r="H1752" s="3" t="s">
        <v>21</v>
      </c>
      <c r="I1752" s="3" t="s">
        <v>33</v>
      </c>
      <c r="J1752" s="5">
        <v>1231218400</v>
      </c>
      <c r="K1752" s="3">
        <v>6462000</v>
      </c>
      <c r="L1752" s="3" t="s">
        <v>250</v>
      </c>
      <c r="M1752" s="3" t="s">
        <v>6689</v>
      </c>
      <c r="N1752" s="3">
        <v>6555</v>
      </c>
      <c r="O1752" s="3" t="s">
        <v>721</v>
      </c>
      <c r="P1752" s="3" t="s">
        <v>252</v>
      </c>
      <c r="Q1752" s="3" t="s">
        <v>253</v>
      </c>
      <c r="R1752" s="3" t="s">
        <v>78</v>
      </c>
      <c r="S1752" s="3">
        <v>22780160</v>
      </c>
      <c r="T1752" s="3">
        <v>2130359100</v>
      </c>
      <c r="U1752" s="3" t="s">
        <v>29</v>
      </c>
    </row>
    <row r="1753" spans="1:21" ht="13.2" x14ac:dyDescent="0.25">
      <c r="A1753" s="14">
        <v>33247743000110</v>
      </c>
      <c r="B1753" s="15" t="str">
        <f t="shared" si="27"/>
        <v>33.247.743/0001-10</v>
      </c>
      <c r="C1753" s="12"/>
      <c r="D1753" s="3" t="s">
        <v>6690</v>
      </c>
      <c r="E1753" s="3" t="s">
        <v>6691</v>
      </c>
      <c r="F1753" s="3" t="s">
        <v>20</v>
      </c>
      <c r="G1753" s="4">
        <v>24348</v>
      </c>
      <c r="H1753" s="3" t="s">
        <v>21</v>
      </c>
      <c r="I1753" s="3" t="s">
        <v>33</v>
      </c>
      <c r="J1753" s="5">
        <v>686215300</v>
      </c>
      <c r="K1753" s="3">
        <v>2121101</v>
      </c>
      <c r="L1753" s="3" t="s">
        <v>233</v>
      </c>
      <c r="M1753" s="3" t="s">
        <v>4680</v>
      </c>
      <c r="N1753" s="3">
        <v>8464</v>
      </c>
      <c r="P1753" s="3" t="s">
        <v>1136</v>
      </c>
      <c r="Q1753" s="3" t="s">
        <v>253</v>
      </c>
      <c r="R1753" s="3" t="s">
        <v>78</v>
      </c>
      <c r="S1753" s="3">
        <v>22783110</v>
      </c>
      <c r="T1753" s="3">
        <v>2121416040</v>
      </c>
      <c r="U1753" s="3" t="s">
        <v>29</v>
      </c>
    </row>
    <row r="1754" spans="1:21" ht="13.2" x14ac:dyDescent="0.25">
      <c r="A1754" s="14">
        <v>5742832000105</v>
      </c>
      <c r="B1754" s="15" t="str">
        <f t="shared" si="27"/>
        <v>05.742.832/0001-05</v>
      </c>
      <c r="C1754" s="12"/>
      <c r="D1754" s="3" t="s">
        <v>6692</v>
      </c>
      <c r="E1754" s="3" t="s">
        <v>6692</v>
      </c>
      <c r="F1754" s="3" t="s">
        <v>20</v>
      </c>
      <c r="G1754" s="4">
        <v>37785</v>
      </c>
      <c r="H1754" s="3" t="s">
        <v>21</v>
      </c>
      <c r="I1754" s="3" t="s">
        <v>33</v>
      </c>
      <c r="J1754" s="5">
        <v>800000</v>
      </c>
      <c r="K1754" s="3">
        <v>4645101</v>
      </c>
      <c r="L1754" s="3" t="s">
        <v>135</v>
      </c>
      <c r="M1754" s="3" t="s">
        <v>6693</v>
      </c>
      <c r="N1754" s="3">
        <v>66</v>
      </c>
      <c r="O1754" s="3" t="s">
        <v>6694</v>
      </c>
      <c r="P1754" s="3" t="s">
        <v>1136</v>
      </c>
      <c r="Q1754" s="3" t="s">
        <v>253</v>
      </c>
      <c r="R1754" s="3" t="s">
        <v>78</v>
      </c>
      <c r="S1754" s="3">
        <v>22775044</v>
      </c>
      <c r="T1754" s="3">
        <v>2124391062</v>
      </c>
      <c r="U1754" s="3" t="s">
        <v>29</v>
      </c>
    </row>
    <row r="1755" spans="1:21" ht="13.2" x14ac:dyDescent="0.25">
      <c r="A1755" s="14">
        <v>28429720000196</v>
      </c>
      <c r="B1755" s="15" t="str">
        <f t="shared" si="27"/>
        <v>28.429.720/0001-96</v>
      </c>
      <c r="C1755" s="12"/>
      <c r="D1755" s="3" t="s">
        <v>6695</v>
      </c>
      <c r="E1755" s="3" t="s">
        <v>6696</v>
      </c>
      <c r="F1755" s="3" t="s">
        <v>20</v>
      </c>
      <c r="G1755" s="4">
        <v>42963</v>
      </c>
      <c r="H1755" s="3" t="s">
        <v>21</v>
      </c>
      <c r="I1755" s="3" t="s">
        <v>33</v>
      </c>
      <c r="J1755" s="5">
        <v>400000</v>
      </c>
      <c r="K1755" s="3">
        <v>4744099</v>
      </c>
      <c r="L1755" s="3" t="s">
        <v>115</v>
      </c>
      <c r="M1755" s="3" t="s">
        <v>6697</v>
      </c>
      <c r="N1755" s="3">
        <v>121</v>
      </c>
      <c r="O1755" s="3" t="s">
        <v>361</v>
      </c>
      <c r="P1755" s="3" t="s">
        <v>6698</v>
      </c>
      <c r="Q1755" s="3" t="s">
        <v>6644</v>
      </c>
      <c r="R1755" s="3" t="s">
        <v>100</v>
      </c>
      <c r="S1755" s="3">
        <v>34990000</v>
      </c>
      <c r="T1755" s="3">
        <v>3130358000</v>
      </c>
      <c r="U1755" s="3" t="s">
        <v>29</v>
      </c>
    </row>
    <row r="1756" spans="1:21" ht="13.2" x14ac:dyDescent="0.25">
      <c r="A1756" s="14">
        <v>23232208000131</v>
      </c>
      <c r="B1756" s="15" t="str">
        <f t="shared" si="27"/>
        <v>23.232.208/0001-31</v>
      </c>
      <c r="C1756" s="12"/>
      <c r="D1756" s="3" t="s">
        <v>6699</v>
      </c>
      <c r="E1756" s="3" t="s">
        <v>6700</v>
      </c>
      <c r="F1756" s="3" t="s">
        <v>45</v>
      </c>
      <c r="G1756" s="4">
        <v>42255</v>
      </c>
      <c r="H1756" s="3" t="s">
        <v>21</v>
      </c>
      <c r="I1756" s="3" t="s">
        <v>47</v>
      </c>
      <c r="J1756" s="5">
        <v>100000</v>
      </c>
      <c r="K1756" s="3">
        <v>4663000</v>
      </c>
      <c r="L1756" s="3" t="s">
        <v>128</v>
      </c>
      <c r="M1756" s="3" t="s">
        <v>6701</v>
      </c>
      <c r="N1756" s="3">
        <v>630</v>
      </c>
      <c r="O1756" s="3" t="s">
        <v>1844</v>
      </c>
      <c r="P1756" s="3" t="s">
        <v>70</v>
      </c>
      <c r="Q1756" s="3" t="s">
        <v>524</v>
      </c>
      <c r="R1756" s="3" t="s">
        <v>28</v>
      </c>
      <c r="S1756" s="3">
        <v>14010120</v>
      </c>
      <c r="T1756" s="3">
        <v>1631026510</v>
      </c>
      <c r="U1756" s="3" t="s">
        <v>29</v>
      </c>
    </row>
    <row r="1757" spans="1:21" ht="13.2" x14ac:dyDescent="0.25">
      <c r="A1757" s="14">
        <v>11343460000139</v>
      </c>
      <c r="B1757" s="15" t="str">
        <f t="shared" si="27"/>
        <v>11.343.460/0001-39</v>
      </c>
      <c r="C1757" s="12"/>
      <c r="D1757" s="3" t="s">
        <v>6702</v>
      </c>
      <c r="E1757" s="3" t="s">
        <v>6703</v>
      </c>
      <c r="F1757" s="3" t="s">
        <v>45</v>
      </c>
      <c r="G1757" s="4">
        <v>40126</v>
      </c>
      <c r="H1757" s="3" t="s">
        <v>21</v>
      </c>
      <c r="I1757" s="3" t="s">
        <v>22</v>
      </c>
      <c r="J1757" s="5">
        <v>612000</v>
      </c>
      <c r="K1757" s="3">
        <v>1811302</v>
      </c>
      <c r="L1757" s="3" t="s">
        <v>5202</v>
      </c>
      <c r="M1757" s="3" t="s">
        <v>6704</v>
      </c>
      <c r="N1757" s="3">
        <v>3901</v>
      </c>
      <c r="O1757" s="3" t="s">
        <v>6705</v>
      </c>
      <c r="P1757" s="3" t="s">
        <v>2254</v>
      </c>
      <c r="Q1757" s="3" t="s">
        <v>204</v>
      </c>
      <c r="R1757" s="3" t="s">
        <v>187</v>
      </c>
      <c r="S1757" s="3">
        <v>81280330</v>
      </c>
      <c r="T1757" s="3">
        <v>4130821010</v>
      </c>
      <c r="U1757" s="3" t="s">
        <v>29</v>
      </c>
    </row>
    <row r="1758" spans="1:21" ht="13.2" x14ac:dyDescent="0.25">
      <c r="A1758" s="14">
        <v>2265823000174</v>
      </c>
      <c r="B1758" s="15" t="str">
        <f t="shared" si="27"/>
        <v>02.265.823/0001-74</v>
      </c>
      <c r="C1758" s="12"/>
      <c r="D1758" s="3" t="s">
        <v>6706</v>
      </c>
      <c r="E1758" s="3" t="s">
        <v>6706</v>
      </c>
      <c r="F1758" s="3" t="s">
        <v>20</v>
      </c>
      <c r="G1758" s="4">
        <v>35768</v>
      </c>
      <c r="H1758" s="3" t="s">
        <v>21</v>
      </c>
      <c r="I1758" s="3" t="s">
        <v>33</v>
      </c>
      <c r="J1758" s="5">
        <v>97716150</v>
      </c>
      <c r="K1758" s="3">
        <v>8011101</v>
      </c>
      <c r="L1758" s="3" t="s">
        <v>943</v>
      </c>
      <c r="M1758" s="3" t="s">
        <v>6707</v>
      </c>
      <c r="N1758" s="3">
        <v>465</v>
      </c>
      <c r="O1758" s="3" t="s">
        <v>6708</v>
      </c>
      <c r="P1758" s="3" t="s">
        <v>2699</v>
      </c>
      <c r="Q1758" s="3" t="s">
        <v>631</v>
      </c>
      <c r="R1758" s="3" t="s">
        <v>632</v>
      </c>
      <c r="S1758" s="3">
        <v>70632300</v>
      </c>
      <c r="T1758" s="3">
        <v>1121978888</v>
      </c>
      <c r="U1758" s="3" t="s">
        <v>29</v>
      </c>
    </row>
    <row r="1759" spans="1:21" ht="13.2" x14ac:dyDescent="0.25">
      <c r="A1759" s="14">
        <v>18562846000180</v>
      </c>
      <c r="B1759" s="15" t="str">
        <f t="shared" si="27"/>
        <v>18.562.846/0001-80</v>
      </c>
      <c r="C1759" s="12"/>
      <c r="D1759" s="3" t="s">
        <v>6709</v>
      </c>
      <c r="E1759" s="3" t="s">
        <v>6710</v>
      </c>
      <c r="F1759" s="3" t="s">
        <v>45</v>
      </c>
      <c r="G1759" s="4">
        <v>41481</v>
      </c>
      <c r="H1759" s="3" t="s">
        <v>21</v>
      </c>
      <c r="I1759" s="3" t="s">
        <v>33</v>
      </c>
      <c r="J1759" s="5">
        <v>10000</v>
      </c>
      <c r="K1759" s="3">
        <v>7112000</v>
      </c>
      <c r="L1759" s="3" t="s">
        <v>276</v>
      </c>
      <c r="M1759" s="3" t="s">
        <v>59</v>
      </c>
      <c r="N1759" s="3">
        <v>253</v>
      </c>
      <c r="P1759" s="3" t="s">
        <v>6711</v>
      </c>
      <c r="Q1759" s="3" t="s">
        <v>929</v>
      </c>
      <c r="R1759" s="3" t="s">
        <v>28</v>
      </c>
      <c r="S1759" s="3">
        <v>6542090</v>
      </c>
      <c r="T1759" s="3">
        <v>1122423171</v>
      </c>
      <c r="U1759" s="3" t="s">
        <v>29</v>
      </c>
    </row>
    <row r="1760" spans="1:21" ht="13.2" x14ac:dyDescent="0.25">
      <c r="A1760" s="14">
        <v>54379172000147</v>
      </c>
      <c r="B1760" s="15" t="str">
        <f t="shared" si="27"/>
        <v>54.379.172/0001-47</v>
      </c>
      <c r="C1760" s="12" t="str">
        <f>VLOOKUP(B1760,[1]Planilha1!$A:$B,2,0)</f>
        <v>Mariane Nascimento</v>
      </c>
      <c r="D1760" s="3" t="s">
        <v>6712</v>
      </c>
      <c r="E1760" s="3" t="s">
        <v>6713</v>
      </c>
      <c r="F1760" s="3" t="s">
        <v>20</v>
      </c>
      <c r="G1760" s="4">
        <v>45370</v>
      </c>
      <c r="H1760" s="3" t="s">
        <v>21</v>
      </c>
      <c r="I1760" s="3" t="s">
        <v>22</v>
      </c>
      <c r="J1760" s="5">
        <v>6000000</v>
      </c>
      <c r="K1760" s="3">
        <v>4644301</v>
      </c>
      <c r="L1760" s="3" t="s">
        <v>326</v>
      </c>
      <c r="M1760" s="3" t="s">
        <v>6714</v>
      </c>
      <c r="N1760" s="3" t="s">
        <v>111</v>
      </c>
      <c r="O1760" s="3" t="s">
        <v>6715</v>
      </c>
      <c r="P1760" s="3" t="s">
        <v>1064</v>
      </c>
      <c r="Q1760" s="3" t="s">
        <v>573</v>
      </c>
      <c r="R1760" s="3" t="s">
        <v>274</v>
      </c>
      <c r="S1760" s="3">
        <v>74938080</v>
      </c>
      <c r="T1760" s="3">
        <v>6232114230</v>
      </c>
      <c r="U1760" s="3" t="s">
        <v>29</v>
      </c>
    </row>
    <row r="1761" spans="1:21" ht="13.2" x14ac:dyDescent="0.25">
      <c r="A1761" s="14">
        <v>12130013000164</v>
      </c>
      <c r="B1761" s="15" t="str">
        <f t="shared" si="27"/>
        <v>12.130.013/0001-64</v>
      </c>
      <c r="C1761" s="12"/>
      <c r="D1761" s="3" t="s">
        <v>6716</v>
      </c>
      <c r="E1761" s="3" t="s">
        <v>6716</v>
      </c>
      <c r="F1761" s="3" t="s">
        <v>20</v>
      </c>
      <c r="G1761" s="4">
        <v>40350</v>
      </c>
      <c r="H1761" s="3" t="s">
        <v>94</v>
      </c>
      <c r="I1761" s="3" t="s">
        <v>33</v>
      </c>
      <c r="J1761" s="5">
        <v>29510822</v>
      </c>
      <c r="K1761" s="3">
        <v>6209100</v>
      </c>
      <c r="L1761" s="3" t="s">
        <v>303</v>
      </c>
      <c r="M1761" s="3" t="s">
        <v>6717</v>
      </c>
      <c r="N1761" s="3">
        <v>4384</v>
      </c>
      <c r="O1761" s="3" t="s">
        <v>6718</v>
      </c>
      <c r="P1761" s="3" t="s">
        <v>2279</v>
      </c>
      <c r="Q1761" s="3" t="s">
        <v>929</v>
      </c>
      <c r="R1761" s="3" t="s">
        <v>28</v>
      </c>
      <c r="S1761" s="3">
        <v>6541038</v>
      </c>
      <c r="T1761" s="3">
        <v>1141535951</v>
      </c>
      <c r="U1761" s="3" t="s">
        <v>29</v>
      </c>
    </row>
    <row r="1762" spans="1:21" ht="13.2" x14ac:dyDescent="0.25">
      <c r="A1762" s="14">
        <v>195690000181</v>
      </c>
      <c r="B1762" s="15" t="str">
        <f t="shared" si="27"/>
        <v>00.195.690/0001-81</v>
      </c>
      <c r="C1762" s="12"/>
      <c r="D1762" s="3" t="s">
        <v>6719</v>
      </c>
      <c r="E1762" s="3" t="s">
        <v>6720</v>
      </c>
      <c r="F1762" s="3" t="s">
        <v>20</v>
      </c>
      <c r="G1762" s="4">
        <v>34582</v>
      </c>
      <c r="H1762" s="3" t="s">
        <v>21</v>
      </c>
      <c r="I1762" s="3" t="s">
        <v>33</v>
      </c>
      <c r="J1762" s="5">
        <v>3100000</v>
      </c>
      <c r="K1762" s="3">
        <v>4682600</v>
      </c>
      <c r="L1762" s="3" t="s">
        <v>1219</v>
      </c>
      <c r="M1762" s="3" t="s">
        <v>459</v>
      </c>
      <c r="N1762" s="3">
        <v>407</v>
      </c>
      <c r="O1762" s="3" t="s">
        <v>6721</v>
      </c>
      <c r="P1762" s="3" t="s">
        <v>6722</v>
      </c>
      <c r="Q1762" s="3" t="s">
        <v>332</v>
      </c>
      <c r="R1762" s="3" t="s">
        <v>78</v>
      </c>
      <c r="S1762" s="3">
        <v>25056070</v>
      </c>
      <c r="T1762" s="3">
        <v>2123422100</v>
      </c>
      <c r="U1762" s="3" t="s">
        <v>29</v>
      </c>
    </row>
    <row r="1763" spans="1:21" ht="13.2" x14ac:dyDescent="0.25">
      <c r="A1763" s="14">
        <v>21604118000107</v>
      </c>
      <c r="B1763" s="15" t="str">
        <f t="shared" si="27"/>
        <v>21.604.118/0001-07</v>
      </c>
      <c r="C1763" s="12"/>
      <c r="D1763" s="3" t="s">
        <v>6723</v>
      </c>
      <c r="E1763" s="3" t="s">
        <v>6723</v>
      </c>
      <c r="F1763" s="3" t="s">
        <v>20</v>
      </c>
      <c r="G1763" s="4">
        <v>41992</v>
      </c>
      <c r="H1763" s="3" t="s">
        <v>21</v>
      </c>
      <c r="I1763" s="3" t="s">
        <v>22</v>
      </c>
      <c r="J1763" s="5">
        <v>100000</v>
      </c>
      <c r="K1763" s="3">
        <v>4729699</v>
      </c>
      <c r="L1763" s="3" t="s">
        <v>2864</v>
      </c>
      <c r="M1763" s="3" t="s">
        <v>6555</v>
      </c>
      <c r="N1763" s="3">
        <v>1741</v>
      </c>
      <c r="P1763" s="3" t="s">
        <v>4423</v>
      </c>
      <c r="Q1763" s="3" t="s">
        <v>6724</v>
      </c>
      <c r="R1763" s="3" t="s">
        <v>187</v>
      </c>
      <c r="S1763" s="3">
        <v>83833082</v>
      </c>
      <c r="T1763" s="3">
        <v>4130757199</v>
      </c>
      <c r="U1763" s="3" t="s">
        <v>29</v>
      </c>
    </row>
    <row r="1764" spans="1:21" ht="13.2" x14ac:dyDescent="0.25">
      <c r="A1764" s="14">
        <v>60040599000119</v>
      </c>
      <c r="B1764" s="15" t="str">
        <f t="shared" si="27"/>
        <v>60.040.599/0001-19</v>
      </c>
      <c r="C1764" s="12"/>
      <c r="D1764" s="3" t="s">
        <v>6725</v>
      </c>
      <c r="E1764" s="3" t="s">
        <v>6725</v>
      </c>
      <c r="F1764" s="3" t="s">
        <v>20</v>
      </c>
      <c r="G1764" s="4">
        <v>32553</v>
      </c>
      <c r="H1764" s="3" t="s">
        <v>21</v>
      </c>
      <c r="I1764" s="3" t="s">
        <v>33</v>
      </c>
      <c r="J1764" s="5">
        <v>198883</v>
      </c>
      <c r="K1764" s="3">
        <v>3250705</v>
      </c>
      <c r="L1764" s="3" t="s">
        <v>2420</v>
      </c>
      <c r="M1764" s="3" t="s">
        <v>6726</v>
      </c>
      <c r="N1764" s="3">
        <v>600</v>
      </c>
      <c r="O1764" s="3" t="s">
        <v>6727</v>
      </c>
      <c r="P1764" s="3" t="s">
        <v>1005</v>
      </c>
      <c r="Q1764" s="3" t="s">
        <v>65</v>
      </c>
      <c r="R1764" s="3" t="s">
        <v>28</v>
      </c>
      <c r="S1764" s="3">
        <v>13069320</v>
      </c>
      <c r="T1764" s="3">
        <v>1932839020</v>
      </c>
      <c r="U1764" s="3" t="s">
        <v>29</v>
      </c>
    </row>
    <row r="1765" spans="1:21" ht="13.2" x14ac:dyDescent="0.25">
      <c r="A1765" s="14">
        <v>5509085000151</v>
      </c>
      <c r="B1765" s="15" t="str">
        <f t="shared" si="27"/>
        <v>05.509.085/0001-51</v>
      </c>
      <c r="C1765" s="12"/>
      <c r="D1765" s="3" t="s">
        <v>6728</v>
      </c>
      <c r="E1765" s="3" t="s">
        <v>6729</v>
      </c>
      <c r="F1765" s="3" t="s">
        <v>45</v>
      </c>
      <c r="G1765" s="4">
        <v>37662</v>
      </c>
      <c r="H1765" s="3" t="s">
        <v>21</v>
      </c>
      <c r="I1765" s="3" t="s">
        <v>33</v>
      </c>
      <c r="J1765" s="5">
        <v>7500</v>
      </c>
      <c r="K1765" s="3">
        <v>7311400</v>
      </c>
      <c r="L1765" s="3" t="s">
        <v>656</v>
      </c>
      <c r="M1765" s="3" t="s">
        <v>6730</v>
      </c>
      <c r="N1765" s="3">
        <v>599</v>
      </c>
      <c r="O1765" s="3" t="s">
        <v>6731</v>
      </c>
      <c r="P1765" s="3" t="s">
        <v>3970</v>
      </c>
      <c r="Q1765" s="3" t="s">
        <v>27</v>
      </c>
      <c r="R1765" s="3" t="s">
        <v>28</v>
      </c>
      <c r="S1765" s="3">
        <v>4208050</v>
      </c>
      <c r="T1765" s="3">
        <v>1120623909</v>
      </c>
      <c r="U1765" s="3" t="s">
        <v>29</v>
      </c>
    </row>
    <row r="1766" spans="1:21" ht="13.2" x14ac:dyDescent="0.25">
      <c r="A1766" s="14">
        <v>5777093000189</v>
      </c>
      <c r="B1766" s="15" t="str">
        <f t="shared" si="27"/>
        <v>05.777.093/0001-89</v>
      </c>
      <c r="C1766" s="12"/>
      <c r="D1766" s="3" t="s">
        <v>6732</v>
      </c>
      <c r="E1766" s="3" t="s">
        <v>6732</v>
      </c>
      <c r="F1766" s="3" t="s">
        <v>20</v>
      </c>
      <c r="G1766" s="4">
        <v>37806</v>
      </c>
      <c r="H1766" s="3" t="s">
        <v>21</v>
      </c>
      <c r="I1766" s="3" t="s">
        <v>33</v>
      </c>
      <c r="J1766" s="5">
        <v>250000</v>
      </c>
      <c r="K1766" s="3">
        <v>7020400</v>
      </c>
      <c r="L1766" s="3" t="s">
        <v>170</v>
      </c>
      <c r="M1766" s="3" t="s">
        <v>2429</v>
      </c>
      <c r="N1766" s="3">
        <v>418</v>
      </c>
      <c r="O1766" s="3" t="s">
        <v>6733</v>
      </c>
      <c r="P1766" s="3" t="s">
        <v>316</v>
      </c>
      <c r="Q1766" s="3" t="s">
        <v>27</v>
      </c>
      <c r="R1766" s="3" t="s">
        <v>28</v>
      </c>
      <c r="S1766" s="3">
        <v>4551060</v>
      </c>
      <c r="T1766" s="3">
        <v>1151050300</v>
      </c>
      <c r="U1766" s="3" t="s">
        <v>29</v>
      </c>
    </row>
    <row r="1767" spans="1:21" ht="13.2" x14ac:dyDescent="0.25">
      <c r="A1767" s="14">
        <v>14914101000182</v>
      </c>
      <c r="B1767" s="15" t="str">
        <f t="shared" si="27"/>
        <v>14.914.101/0001-82</v>
      </c>
      <c r="C1767" s="12"/>
      <c r="D1767" s="3" t="s">
        <v>6734</v>
      </c>
      <c r="E1767" s="3" t="s">
        <v>6735</v>
      </c>
      <c r="F1767" s="3" t="s">
        <v>20</v>
      </c>
      <c r="G1767" s="4">
        <v>40891</v>
      </c>
      <c r="H1767" s="3" t="s">
        <v>21</v>
      </c>
      <c r="I1767" s="3" t="s">
        <v>47</v>
      </c>
      <c r="J1767" s="5">
        <v>1000000</v>
      </c>
      <c r="K1767" s="3">
        <v>8121400</v>
      </c>
      <c r="L1767" s="3" t="s">
        <v>494</v>
      </c>
      <c r="M1767" s="3" t="s">
        <v>3946</v>
      </c>
      <c r="N1767" s="3">
        <v>3374</v>
      </c>
      <c r="P1767" s="3" t="s">
        <v>6736</v>
      </c>
      <c r="Q1767" s="3" t="s">
        <v>1410</v>
      </c>
      <c r="R1767" s="3" t="s">
        <v>28</v>
      </c>
      <c r="S1767" s="3">
        <v>9271410</v>
      </c>
      <c r="T1767" s="3">
        <v>1144767785</v>
      </c>
      <c r="U1767" s="3" t="s">
        <v>29</v>
      </c>
    </row>
    <row r="1768" spans="1:21" ht="13.2" x14ac:dyDescent="0.25">
      <c r="A1768" s="14">
        <v>28460483000126</v>
      </c>
      <c r="B1768" s="15" t="str">
        <f t="shared" si="27"/>
        <v>28.460.483/0001-26</v>
      </c>
      <c r="C1768" s="12" t="str">
        <f>VLOOKUP(B1768,[1]Planilha1!$A:$B,2,0)</f>
        <v>Malu Montesino</v>
      </c>
      <c r="D1768" s="3" t="s">
        <v>6737</v>
      </c>
      <c r="E1768" s="3" t="s">
        <v>6737</v>
      </c>
      <c r="F1768" s="3" t="s">
        <v>45</v>
      </c>
      <c r="G1768" s="4">
        <v>31317</v>
      </c>
      <c r="H1768" s="3" t="s">
        <v>32</v>
      </c>
      <c r="I1768" s="3" t="s">
        <v>33</v>
      </c>
      <c r="J1768" s="5">
        <v>0</v>
      </c>
      <c r="K1768" s="3">
        <v>8650001</v>
      </c>
      <c r="L1768" s="3" t="s">
        <v>6738</v>
      </c>
      <c r="M1768" s="3" t="s">
        <v>6739</v>
      </c>
      <c r="N1768" s="3">
        <v>271</v>
      </c>
      <c r="O1768" s="3" t="s">
        <v>6740</v>
      </c>
      <c r="P1768" s="3" t="s">
        <v>70</v>
      </c>
      <c r="Q1768" s="3" t="s">
        <v>77</v>
      </c>
      <c r="R1768" s="3" t="s">
        <v>78</v>
      </c>
      <c r="S1768" s="3">
        <v>26210060</v>
      </c>
      <c r="U1768" s="3" t="s">
        <v>29</v>
      </c>
    </row>
    <row r="1769" spans="1:21" ht="13.2" x14ac:dyDescent="0.25">
      <c r="A1769" s="14">
        <v>3979056000128</v>
      </c>
      <c r="B1769" s="15" t="str">
        <f t="shared" si="27"/>
        <v>03.979.056/0001-28</v>
      </c>
      <c r="C1769" s="12"/>
      <c r="D1769" s="3" t="s">
        <v>6741</v>
      </c>
      <c r="E1769" s="3" t="s">
        <v>6742</v>
      </c>
      <c r="F1769" s="3" t="s">
        <v>20</v>
      </c>
      <c r="G1769" s="4">
        <v>36693</v>
      </c>
      <c r="H1769" s="3" t="s">
        <v>21</v>
      </c>
      <c r="I1769" s="3" t="s">
        <v>33</v>
      </c>
      <c r="J1769" s="5">
        <v>3848450</v>
      </c>
      <c r="K1769" s="3">
        <v>4759899</v>
      </c>
      <c r="L1769" s="3" t="s">
        <v>207</v>
      </c>
      <c r="M1769" s="3" t="s">
        <v>6743</v>
      </c>
      <c r="N1769" s="3">
        <v>72</v>
      </c>
      <c r="P1769" s="3" t="s">
        <v>70</v>
      </c>
      <c r="Q1769" s="3" t="s">
        <v>471</v>
      </c>
      <c r="R1769" s="3" t="s">
        <v>28</v>
      </c>
      <c r="S1769" s="3">
        <v>9510220</v>
      </c>
      <c r="T1769" s="3">
        <v>1137293003</v>
      </c>
      <c r="U1769" s="3" t="s">
        <v>29</v>
      </c>
    </row>
    <row r="1770" spans="1:21" ht="13.2" x14ac:dyDescent="0.25">
      <c r="A1770" s="14">
        <v>79846465000118</v>
      </c>
      <c r="B1770" s="15" t="str">
        <f t="shared" si="27"/>
        <v>79.846.465/0001-18</v>
      </c>
      <c r="C1770" s="12"/>
      <c r="D1770" s="3" t="s">
        <v>6744</v>
      </c>
      <c r="E1770" s="3" t="s">
        <v>6744</v>
      </c>
      <c r="F1770" s="3" t="s">
        <v>20</v>
      </c>
      <c r="G1770" s="4">
        <v>31764</v>
      </c>
      <c r="H1770" s="3" t="s">
        <v>21</v>
      </c>
      <c r="I1770" s="3" t="s">
        <v>33</v>
      </c>
      <c r="J1770" s="5">
        <v>8235334</v>
      </c>
      <c r="K1770" s="3">
        <v>4649408</v>
      </c>
      <c r="L1770" s="3" t="s">
        <v>464</v>
      </c>
      <c r="M1770" s="3" t="s">
        <v>6745</v>
      </c>
      <c r="N1770" s="3">
        <v>129</v>
      </c>
      <c r="P1770" s="3" t="s">
        <v>6746</v>
      </c>
      <c r="Q1770" s="3" t="s">
        <v>6747</v>
      </c>
      <c r="R1770" s="3" t="s">
        <v>91</v>
      </c>
      <c r="S1770" s="3">
        <v>88160486</v>
      </c>
      <c r="T1770" s="3">
        <v>4832052140</v>
      </c>
      <c r="U1770" s="3" t="s">
        <v>29</v>
      </c>
    </row>
    <row r="1771" spans="1:21" ht="13.2" x14ac:dyDescent="0.25">
      <c r="A1771" s="14">
        <v>89952709000109</v>
      </c>
      <c r="B1771" s="15" t="str">
        <f t="shared" si="27"/>
        <v>89.952.709/0001-09</v>
      </c>
      <c r="C1771" s="12"/>
      <c r="D1771" s="3" t="s">
        <v>6748</v>
      </c>
      <c r="E1771" s="3" t="s">
        <v>6748</v>
      </c>
      <c r="F1771" s="3" t="s">
        <v>20</v>
      </c>
      <c r="G1771" s="4">
        <v>30644</v>
      </c>
      <c r="H1771" s="3" t="s">
        <v>94</v>
      </c>
      <c r="I1771" s="3" t="s">
        <v>33</v>
      </c>
      <c r="J1771" s="5">
        <v>72098540</v>
      </c>
      <c r="K1771" s="3">
        <v>4299599</v>
      </c>
      <c r="L1771" s="3" t="s">
        <v>1185</v>
      </c>
      <c r="M1771" s="3" t="s">
        <v>6749</v>
      </c>
      <c r="N1771" s="3">
        <v>1251</v>
      </c>
      <c r="P1771" s="3" t="s">
        <v>6750</v>
      </c>
      <c r="Q1771" s="3" t="s">
        <v>204</v>
      </c>
      <c r="R1771" s="3" t="s">
        <v>187</v>
      </c>
      <c r="S1771" s="3">
        <v>81290060</v>
      </c>
      <c r="T1771" s="3">
        <v>412854040</v>
      </c>
      <c r="U1771" s="3" t="s">
        <v>29</v>
      </c>
    </row>
    <row r="1772" spans="1:21" ht="13.2" x14ac:dyDescent="0.25">
      <c r="A1772" s="14">
        <v>6164253000187</v>
      </c>
      <c r="B1772" s="15" t="str">
        <f t="shared" si="27"/>
        <v>06.164.253/0001-87</v>
      </c>
      <c r="C1772" s="12"/>
      <c r="D1772" s="3" t="s">
        <v>6751</v>
      </c>
      <c r="E1772" s="3" t="s">
        <v>6751</v>
      </c>
      <c r="F1772" s="3" t="s">
        <v>20</v>
      </c>
      <c r="G1772" s="4">
        <v>38068</v>
      </c>
      <c r="H1772" s="3" t="s">
        <v>377</v>
      </c>
      <c r="I1772" s="3" t="s">
        <v>33</v>
      </c>
      <c r="J1772" s="5">
        <v>4202543900</v>
      </c>
      <c r="K1772" s="3">
        <v>6462000</v>
      </c>
      <c r="L1772" s="3" t="s">
        <v>250</v>
      </c>
      <c r="M1772" s="3" t="s">
        <v>2872</v>
      </c>
      <c r="N1772" s="3">
        <v>1661</v>
      </c>
      <c r="O1772" s="3" t="s">
        <v>6752</v>
      </c>
      <c r="P1772" s="3" t="s">
        <v>306</v>
      </c>
      <c r="Q1772" s="3" t="s">
        <v>27</v>
      </c>
      <c r="R1772" s="3" t="s">
        <v>28</v>
      </c>
      <c r="S1772" s="3">
        <v>4719906</v>
      </c>
      <c r="T1772" s="3">
        <v>1122744136</v>
      </c>
      <c r="U1772" s="3" t="s">
        <v>29</v>
      </c>
    </row>
    <row r="1773" spans="1:21" ht="13.2" x14ac:dyDescent="0.25">
      <c r="A1773" s="14">
        <v>20217208000174</v>
      </c>
      <c r="B1773" s="15" t="str">
        <f t="shared" si="27"/>
        <v>20.217.208/0001-74</v>
      </c>
      <c r="C1773" s="12"/>
      <c r="D1773" s="3" t="s">
        <v>6753</v>
      </c>
      <c r="E1773" s="3" t="s">
        <v>6754</v>
      </c>
      <c r="F1773" s="3" t="s">
        <v>20</v>
      </c>
      <c r="G1773" s="4">
        <v>41767</v>
      </c>
      <c r="H1773" s="3" t="s">
        <v>21</v>
      </c>
      <c r="I1773" s="3" t="s">
        <v>33</v>
      </c>
      <c r="J1773" s="5">
        <v>10000000</v>
      </c>
      <c r="K1773" s="3">
        <v>6613400</v>
      </c>
      <c r="L1773" s="3" t="s">
        <v>2962</v>
      </c>
      <c r="M1773" s="3" t="s">
        <v>2384</v>
      </c>
      <c r="N1773" s="3">
        <v>100</v>
      </c>
      <c r="O1773" s="3" t="s">
        <v>6755</v>
      </c>
      <c r="P1773" s="3" t="s">
        <v>1118</v>
      </c>
      <c r="Q1773" s="3" t="s">
        <v>617</v>
      </c>
      <c r="R1773" s="3" t="s">
        <v>28</v>
      </c>
      <c r="S1773" s="3">
        <v>6404250</v>
      </c>
      <c r="T1773" s="3">
        <v>1140032475</v>
      </c>
      <c r="U1773" s="3" t="s">
        <v>29</v>
      </c>
    </row>
    <row r="1774" spans="1:21" ht="13.2" x14ac:dyDescent="0.25">
      <c r="A1774" s="14">
        <v>26894010000101</v>
      </c>
      <c r="B1774" s="15" t="str">
        <f t="shared" si="27"/>
        <v>26.894.010/0001-01</v>
      </c>
      <c r="C1774" s="12"/>
      <c r="D1774" s="3" t="s">
        <v>6756</v>
      </c>
      <c r="E1774" s="3" t="s">
        <v>6757</v>
      </c>
      <c r="F1774" s="3" t="s">
        <v>20</v>
      </c>
      <c r="G1774" s="4">
        <v>42753</v>
      </c>
      <c r="H1774" s="3" t="s">
        <v>21</v>
      </c>
      <c r="I1774" s="3" t="s">
        <v>33</v>
      </c>
      <c r="J1774" s="5">
        <v>650000</v>
      </c>
      <c r="K1774" s="3">
        <v>8211300</v>
      </c>
      <c r="L1774" s="3" t="s">
        <v>166</v>
      </c>
      <c r="M1774" s="3" t="s">
        <v>308</v>
      </c>
      <c r="N1774" s="3">
        <v>14171</v>
      </c>
      <c r="O1774" s="3" t="s">
        <v>6758</v>
      </c>
      <c r="P1774" s="3" t="s">
        <v>310</v>
      </c>
      <c r="Q1774" s="3" t="s">
        <v>27</v>
      </c>
      <c r="R1774" s="3" t="s">
        <v>28</v>
      </c>
      <c r="S1774" s="3">
        <v>4794000</v>
      </c>
      <c r="T1774" s="3">
        <v>1138984033</v>
      </c>
      <c r="U1774" s="3" t="s">
        <v>29</v>
      </c>
    </row>
    <row r="1775" spans="1:21" ht="13.2" x14ac:dyDescent="0.25">
      <c r="A1775" s="14">
        <v>85070068004197</v>
      </c>
      <c r="B1775" s="15" t="str">
        <f t="shared" si="27"/>
        <v>85.070.068/0041-97</v>
      </c>
      <c r="C1775" s="12" t="str">
        <f>VLOOKUP(B1775,[1]Planilha1!$A:$B,2,0)</f>
        <v>Malu Montesino</v>
      </c>
      <c r="D1775" s="3" t="s">
        <v>6759</v>
      </c>
      <c r="E1775" s="3" t="s">
        <v>6760</v>
      </c>
      <c r="F1775" s="3" t="s">
        <v>20</v>
      </c>
      <c r="G1775" s="4">
        <v>41682</v>
      </c>
      <c r="H1775" s="3" t="s">
        <v>94</v>
      </c>
      <c r="I1775" s="3" t="s">
        <v>33</v>
      </c>
      <c r="J1775" s="5">
        <v>614400000</v>
      </c>
      <c r="K1775" s="3">
        <v>4731800</v>
      </c>
      <c r="L1775" s="3" t="s">
        <v>1930</v>
      </c>
      <c r="M1775" s="3" t="s">
        <v>3558</v>
      </c>
      <c r="N1775" s="3">
        <v>9796</v>
      </c>
      <c r="O1775" s="3" t="s">
        <v>6573</v>
      </c>
      <c r="P1775" s="3" t="s">
        <v>6761</v>
      </c>
      <c r="Q1775" s="3" t="s">
        <v>1289</v>
      </c>
      <c r="R1775" s="3" t="s">
        <v>187</v>
      </c>
      <c r="S1775" s="3">
        <v>87070000</v>
      </c>
      <c r="T1775" s="3">
        <v>4432184748</v>
      </c>
      <c r="U1775" s="3" t="s">
        <v>29</v>
      </c>
    </row>
    <row r="1776" spans="1:21" ht="13.2" x14ac:dyDescent="0.25">
      <c r="A1776" s="14">
        <v>60500246000154</v>
      </c>
      <c r="B1776" s="15" t="str">
        <f t="shared" si="27"/>
        <v>60.500.246/0001-54</v>
      </c>
      <c r="C1776" s="12"/>
      <c r="D1776" s="3" t="s">
        <v>6762</v>
      </c>
      <c r="E1776" s="3" t="s">
        <v>6762</v>
      </c>
      <c r="F1776" s="3" t="s">
        <v>20</v>
      </c>
      <c r="G1776" s="4">
        <v>14020</v>
      </c>
      <c r="H1776" s="3" t="s">
        <v>21</v>
      </c>
      <c r="I1776" s="3" t="s">
        <v>33</v>
      </c>
      <c r="J1776" s="5">
        <v>759001100</v>
      </c>
      <c r="K1776" s="3">
        <v>2211100</v>
      </c>
      <c r="L1776" s="3" t="s">
        <v>2845</v>
      </c>
      <c r="M1776" s="3" t="s">
        <v>6763</v>
      </c>
      <c r="N1776" s="3">
        <v>39</v>
      </c>
      <c r="O1776" s="3" t="s">
        <v>505</v>
      </c>
      <c r="P1776" s="3" t="s">
        <v>6764</v>
      </c>
      <c r="Q1776" s="3" t="s">
        <v>1177</v>
      </c>
      <c r="R1776" s="3" t="s">
        <v>28</v>
      </c>
      <c r="S1776" s="3">
        <v>13457200</v>
      </c>
      <c r="T1776" s="3">
        <v>1128184128</v>
      </c>
      <c r="U1776" s="3" t="s">
        <v>29</v>
      </c>
    </row>
    <row r="1777" spans="1:21" ht="13.2" x14ac:dyDescent="0.25">
      <c r="A1777" s="14">
        <v>6990590000123</v>
      </c>
      <c r="B1777" s="15" t="str">
        <f t="shared" si="27"/>
        <v>06.990.590/0001-23</v>
      </c>
      <c r="C1777" s="12" t="str">
        <f>VLOOKUP(B1777,[1]Planilha1!$A:$B,2,0)</f>
        <v>Malu Montesino</v>
      </c>
      <c r="D1777" s="3" t="s">
        <v>6765</v>
      </c>
      <c r="E1777" s="3" t="s">
        <v>6765</v>
      </c>
      <c r="F1777" s="3" t="s">
        <v>20</v>
      </c>
      <c r="G1777" s="4">
        <v>38231</v>
      </c>
      <c r="H1777" s="3" t="s">
        <v>21</v>
      </c>
      <c r="I1777" s="3" t="s">
        <v>33</v>
      </c>
      <c r="J1777" s="5">
        <v>200000000</v>
      </c>
      <c r="K1777" s="3">
        <v>6319400</v>
      </c>
      <c r="L1777" s="3" t="s">
        <v>1953</v>
      </c>
      <c r="M1777" s="3" t="s">
        <v>2340</v>
      </c>
      <c r="N1777" s="3">
        <v>3477</v>
      </c>
      <c r="O1777" s="3" t="s">
        <v>6766</v>
      </c>
      <c r="P1777" s="3" t="s">
        <v>1230</v>
      </c>
      <c r="Q1777" s="3" t="s">
        <v>27</v>
      </c>
      <c r="R1777" s="3" t="s">
        <v>28</v>
      </c>
      <c r="S1777" s="3">
        <v>4538133</v>
      </c>
      <c r="T1777" s="3">
        <v>1123958400</v>
      </c>
      <c r="U1777" s="3" t="s">
        <v>29</v>
      </c>
    </row>
    <row r="1778" spans="1:21" ht="13.2" x14ac:dyDescent="0.25">
      <c r="A1778" s="14">
        <v>41997477000170</v>
      </c>
      <c r="B1778" s="15" t="str">
        <f t="shared" si="27"/>
        <v>41.997.477/0001-70</v>
      </c>
      <c r="C1778" s="12"/>
      <c r="D1778" s="3" t="s">
        <v>6767</v>
      </c>
      <c r="E1778" s="3" t="s">
        <v>6768</v>
      </c>
      <c r="F1778" s="3" t="s">
        <v>20</v>
      </c>
      <c r="G1778" s="4">
        <v>44334</v>
      </c>
      <c r="H1778" s="3" t="s">
        <v>21</v>
      </c>
      <c r="I1778" s="3" t="s">
        <v>47</v>
      </c>
      <c r="J1778" s="5">
        <v>20000</v>
      </c>
      <c r="K1778" s="3">
        <v>7319002</v>
      </c>
      <c r="L1778" s="3" t="s">
        <v>48</v>
      </c>
      <c r="M1778" s="3" t="s">
        <v>6769</v>
      </c>
      <c r="N1778" s="3">
        <v>785</v>
      </c>
      <c r="P1778" s="3" t="s">
        <v>6770</v>
      </c>
      <c r="Q1778" s="3" t="s">
        <v>6771</v>
      </c>
      <c r="R1778" s="3" t="s">
        <v>28</v>
      </c>
      <c r="S1778" s="3">
        <v>14850000</v>
      </c>
      <c r="T1778" s="3">
        <v>1696277034</v>
      </c>
      <c r="U1778" s="3" t="s">
        <v>29</v>
      </c>
    </row>
    <row r="1779" spans="1:21" ht="13.2" x14ac:dyDescent="0.25">
      <c r="A1779" s="14">
        <v>165960000101</v>
      </c>
      <c r="B1779" s="15" t="str">
        <f t="shared" si="27"/>
        <v>00.165.960/0001-01</v>
      </c>
      <c r="C1779" s="12"/>
      <c r="D1779" s="3" t="s">
        <v>6772</v>
      </c>
      <c r="E1779" s="3" t="s">
        <v>6773</v>
      </c>
      <c r="F1779" s="3" t="s">
        <v>20</v>
      </c>
      <c r="G1779" s="4">
        <v>34571</v>
      </c>
      <c r="H1779" s="3" t="s">
        <v>94</v>
      </c>
      <c r="I1779" s="3" t="s">
        <v>33</v>
      </c>
      <c r="J1779" s="5">
        <v>211551870</v>
      </c>
      <c r="K1779" s="3">
        <v>6202300</v>
      </c>
      <c r="L1779" s="3" t="s">
        <v>103</v>
      </c>
      <c r="M1779" s="3" t="s">
        <v>6023</v>
      </c>
      <c r="N1779" s="3">
        <v>1183</v>
      </c>
      <c r="O1779" s="3" t="s">
        <v>6774</v>
      </c>
      <c r="P1779" s="3" t="s">
        <v>6775</v>
      </c>
      <c r="Q1779" s="3" t="s">
        <v>2015</v>
      </c>
      <c r="R1779" s="3" t="s">
        <v>91</v>
      </c>
      <c r="S1779" s="3">
        <v>89036000</v>
      </c>
      <c r="T1779" s="3">
        <v>4730360000</v>
      </c>
      <c r="U1779" s="3" t="s">
        <v>29</v>
      </c>
    </row>
    <row r="1780" spans="1:21" ht="13.2" x14ac:dyDescent="0.25">
      <c r="A1780" s="14">
        <v>15664649000184</v>
      </c>
      <c r="B1780" s="15" t="str">
        <f t="shared" si="27"/>
        <v>15.664.649/0001-84</v>
      </c>
      <c r="C1780" s="12" t="str">
        <f>VLOOKUP(B1780,[1]Planilha1!$A:$B,2,0)</f>
        <v>Mariane Nascimento</v>
      </c>
      <c r="D1780" s="3" t="s">
        <v>6776</v>
      </c>
      <c r="E1780" s="3" t="s">
        <v>6777</v>
      </c>
      <c r="F1780" s="3" t="s">
        <v>20</v>
      </c>
      <c r="G1780" s="4">
        <v>41058</v>
      </c>
      <c r="H1780" s="3" t="s">
        <v>21</v>
      </c>
      <c r="I1780" s="3" t="s">
        <v>33</v>
      </c>
      <c r="J1780" s="5">
        <v>162810000</v>
      </c>
      <c r="K1780" s="3">
        <v>6202300</v>
      </c>
      <c r="L1780" s="3" t="s">
        <v>103</v>
      </c>
      <c r="M1780" s="3" t="s">
        <v>6778</v>
      </c>
      <c r="N1780" s="3">
        <v>716</v>
      </c>
      <c r="O1780" s="3" t="s">
        <v>1461</v>
      </c>
      <c r="P1780" s="3" t="s">
        <v>1019</v>
      </c>
      <c r="Q1780" s="3" t="s">
        <v>27</v>
      </c>
      <c r="R1780" s="3" t="s">
        <v>28</v>
      </c>
      <c r="S1780" s="3">
        <v>4571926</v>
      </c>
      <c r="T1780" s="3">
        <v>1135227499</v>
      </c>
      <c r="U1780" s="3" t="s">
        <v>29</v>
      </c>
    </row>
    <row r="1781" spans="1:21" ht="13.2" x14ac:dyDescent="0.25">
      <c r="A1781" s="14">
        <v>2984242000192</v>
      </c>
      <c r="B1781" s="15" t="str">
        <f t="shared" si="27"/>
        <v>02.984.242/0001-92</v>
      </c>
      <c r="C1781" s="12"/>
      <c r="D1781" s="3" t="s">
        <v>6779</v>
      </c>
      <c r="E1781" s="3" t="s">
        <v>6780</v>
      </c>
      <c r="F1781" s="3" t="s">
        <v>20</v>
      </c>
      <c r="G1781" s="4">
        <v>36209</v>
      </c>
      <c r="H1781" s="3" t="s">
        <v>21</v>
      </c>
      <c r="I1781" s="3" t="s">
        <v>33</v>
      </c>
      <c r="J1781" s="5">
        <v>6000000</v>
      </c>
      <c r="K1781" s="3">
        <v>4322301</v>
      </c>
      <c r="L1781" s="3" t="s">
        <v>1563</v>
      </c>
      <c r="M1781" s="3" t="s">
        <v>2157</v>
      </c>
      <c r="N1781" s="3">
        <v>448</v>
      </c>
      <c r="P1781" s="3" t="s">
        <v>70</v>
      </c>
      <c r="Q1781" s="3" t="s">
        <v>710</v>
      </c>
      <c r="R1781" s="3" t="s">
        <v>711</v>
      </c>
      <c r="S1781" s="3">
        <v>49010280</v>
      </c>
      <c r="T1781" s="3">
        <v>7930236541</v>
      </c>
      <c r="U1781" s="3" t="s">
        <v>29</v>
      </c>
    </row>
    <row r="1782" spans="1:21" ht="13.2" x14ac:dyDescent="0.25">
      <c r="A1782" s="14">
        <v>9088553000112</v>
      </c>
      <c r="B1782" s="15" t="str">
        <f t="shared" si="27"/>
        <v>09.088.553/0001-12</v>
      </c>
      <c r="C1782" s="12"/>
      <c r="D1782" s="3" t="s">
        <v>6781</v>
      </c>
      <c r="E1782" s="3" t="s">
        <v>6780</v>
      </c>
      <c r="F1782" s="3" t="s">
        <v>20</v>
      </c>
      <c r="G1782" s="4">
        <v>39344</v>
      </c>
      <c r="H1782" s="3" t="s">
        <v>21</v>
      </c>
      <c r="I1782" s="3" t="s">
        <v>47</v>
      </c>
      <c r="J1782" s="5">
        <v>5000</v>
      </c>
      <c r="K1782" s="3">
        <v>7112000</v>
      </c>
      <c r="L1782" s="3" t="s">
        <v>276</v>
      </c>
      <c r="M1782" s="3" t="s">
        <v>3568</v>
      </c>
      <c r="N1782" s="3">
        <v>2283</v>
      </c>
      <c r="O1782" s="3" t="s">
        <v>6782</v>
      </c>
      <c r="P1782" s="3" t="s">
        <v>1503</v>
      </c>
      <c r="Q1782" s="3" t="s">
        <v>1410</v>
      </c>
      <c r="R1782" s="3" t="s">
        <v>28</v>
      </c>
      <c r="S1782" s="3">
        <v>9080111</v>
      </c>
      <c r="T1782" s="3">
        <v>1153121807</v>
      </c>
      <c r="U1782" s="3" t="s">
        <v>29</v>
      </c>
    </row>
    <row r="1783" spans="1:21" ht="13.2" x14ac:dyDescent="0.25">
      <c r="A1783" s="14">
        <v>9229201000130</v>
      </c>
      <c r="B1783" s="15" t="str">
        <f t="shared" si="27"/>
        <v>09.229.201/0001-30</v>
      </c>
      <c r="C1783" s="12"/>
      <c r="D1783" s="3" t="s">
        <v>6783</v>
      </c>
      <c r="E1783" s="3" t="s">
        <v>6783</v>
      </c>
      <c r="F1783" s="3" t="s">
        <v>20</v>
      </c>
      <c r="G1783" s="4">
        <v>39413</v>
      </c>
      <c r="H1783" s="3" t="s">
        <v>377</v>
      </c>
      <c r="I1783" s="3" t="s">
        <v>33</v>
      </c>
      <c r="J1783" s="5">
        <v>1938166500</v>
      </c>
      <c r="K1783" s="3">
        <v>6462000</v>
      </c>
      <c r="L1783" s="3" t="s">
        <v>250</v>
      </c>
      <c r="M1783" s="3" t="s">
        <v>6784</v>
      </c>
      <c r="N1783" s="3">
        <v>1215</v>
      </c>
      <c r="O1783" s="3" t="s">
        <v>2676</v>
      </c>
      <c r="P1783" s="3" t="s">
        <v>4571</v>
      </c>
      <c r="Q1783" s="3" t="s">
        <v>27</v>
      </c>
      <c r="R1783" s="3" t="s">
        <v>28</v>
      </c>
      <c r="S1783" s="3">
        <v>5345000</v>
      </c>
      <c r="T1783" s="3">
        <v>1121978888</v>
      </c>
      <c r="U1783" s="3" t="s">
        <v>29</v>
      </c>
    </row>
    <row r="1784" spans="1:21" ht="13.2" x14ac:dyDescent="0.25">
      <c r="A1784" s="14">
        <v>3157268000120</v>
      </c>
      <c r="B1784" s="15" t="str">
        <f t="shared" si="27"/>
        <v>03.157.268/0001-20</v>
      </c>
      <c r="C1784" s="12" t="str">
        <f>VLOOKUP(B1784,[1]Planilha1!$A:$B,2,0)</f>
        <v>Malu Montesino</v>
      </c>
      <c r="D1784" s="3" t="s">
        <v>6785</v>
      </c>
      <c r="E1784" s="3" t="s">
        <v>6785</v>
      </c>
      <c r="F1784" s="3" t="s">
        <v>20</v>
      </c>
      <c r="G1784" s="4">
        <v>36284</v>
      </c>
      <c r="H1784" s="3" t="s">
        <v>94</v>
      </c>
      <c r="I1784" s="3" t="s">
        <v>33</v>
      </c>
      <c r="J1784" s="5">
        <v>65524250</v>
      </c>
      <c r="K1784" s="3">
        <v>4684299</v>
      </c>
      <c r="L1784" s="3" t="s">
        <v>419</v>
      </c>
      <c r="M1784" s="3" t="s">
        <v>6786</v>
      </c>
      <c r="N1784" s="3">
        <v>136</v>
      </c>
      <c r="P1784" s="3" t="s">
        <v>1977</v>
      </c>
      <c r="Q1784" s="3" t="s">
        <v>2507</v>
      </c>
      <c r="R1784" s="3" t="s">
        <v>28</v>
      </c>
      <c r="S1784" s="3">
        <v>12704420</v>
      </c>
      <c r="T1784" s="3">
        <v>1231412144</v>
      </c>
      <c r="U1784" s="3" t="s">
        <v>29</v>
      </c>
    </row>
    <row r="1785" spans="1:21" ht="13.2" x14ac:dyDescent="0.25">
      <c r="A1785" s="14">
        <v>50829567000143</v>
      </c>
      <c r="B1785" s="15" t="str">
        <f t="shared" si="27"/>
        <v>50.829.567/0001-43</v>
      </c>
      <c r="C1785" s="12"/>
      <c r="D1785" s="3" t="s">
        <v>6787</v>
      </c>
      <c r="E1785" s="3" t="s">
        <v>6788</v>
      </c>
      <c r="F1785" s="3" t="s">
        <v>20</v>
      </c>
      <c r="G1785" s="4">
        <v>45072</v>
      </c>
      <c r="H1785" s="3" t="s">
        <v>21</v>
      </c>
      <c r="I1785" s="3" t="s">
        <v>22</v>
      </c>
      <c r="J1785" s="5">
        <v>250000</v>
      </c>
      <c r="K1785" s="3">
        <v>4322302</v>
      </c>
      <c r="L1785" s="3" t="s">
        <v>5651</v>
      </c>
      <c r="M1785" s="3" t="s">
        <v>6789</v>
      </c>
      <c r="N1785" s="3">
        <v>17</v>
      </c>
      <c r="O1785" s="3" t="s">
        <v>6790</v>
      </c>
      <c r="P1785" s="3" t="s">
        <v>6791</v>
      </c>
      <c r="Q1785" s="3" t="s">
        <v>27</v>
      </c>
      <c r="R1785" s="3" t="s">
        <v>28</v>
      </c>
      <c r="S1785" s="3">
        <v>2914130</v>
      </c>
      <c r="T1785" s="3">
        <v>1151935289</v>
      </c>
      <c r="U1785" s="3" t="s">
        <v>29</v>
      </c>
    </row>
    <row r="1786" spans="1:21" ht="13.2" x14ac:dyDescent="0.25">
      <c r="A1786" s="14">
        <v>25034666000191</v>
      </c>
      <c r="B1786" s="15" t="str">
        <f t="shared" si="27"/>
        <v>25.034.666/0001-91</v>
      </c>
      <c r="C1786" s="12"/>
      <c r="D1786" s="3" t="s">
        <v>6792</v>
      </c>
      <c r="E1786" s="3" t="s">
        <v>6793</v>
      </c>
      <c r="F1786" s="3" t="s">
        <v>20</v>
      </c>
      <c r="G1786" s="4">
        <v>42541</v>
      </c>
      <c r="H1786" s="3" t="s">
        <v>21</v>
      </c>
      <c r="I1786" s="3" t="s">
        <v>47</v>
      </c>
      <c r="J1786" s="5">
        <v>500000</v>
      </c>
      <c r="K1786" s="3">
        <v>4322302</v>
      </c>
      <c r="L1786" s="3" t="s">
        <v>5651</v>
      </c>
      <c r="M1786" s="3" t="s">
        <v>6789</v>
      </c>
      <c r="N1786" s="3">
        <v>17</v>
      </c>
      <c r="P1786" s="3" t="s">
        <v>6791</v>
      </c>
      <c r="Q1786" s="3" t="s">
        <v>27</v>
      </c>
      <c r="R1786" s="3" t="s">
        <v>28</v>
      </c>
      <c r="S1786" s="3">
        <v>2914130</v>
      </c>
      <c r="T1786" s="3">
        <v>1125923839</v>
      </c>
      <c r="U1786" s="3" t="s">
        <v>29</v>
      </c>
    </row>
    <row r="1787" spans="1:21" ht="13.2" x14ac:dyDescent="0.25">
      <c r="A1787" s="14">
        <v>51328814000190</v>
      </c>
      <c r="B1787" s="15" t="str">
        <f t="shared" si="27"/>
        <v>51.328.814/0001-90</v>
      </c>
      <c r="C1787" s="12"/>
      <c r="D1787" s="3" t="s">
        <v>6794</v>
      </c>
      <c r="E1787" s="3" t="s">
        <v>6794</v>
      </c>
      <c r="F1787" s="3" t="s">
        <v>20</v>
      </c>
      <c r="G1787" s="4">
        <v>45113</v>
      </c>
      <c r="H1787" s="3" t="s">
        <v>94</v>
      </c>
      <c r="I1787" s="3" t="s">
        <v>33</v>
      </c>
      <c r="J1787" s="5">
        <v>69277980</v>
      </c>
      <c r="K1787" s="3">
        <v>6462000</v>
      </c>
      <c r="L1787" s="3" t="s">
        <v>250</v>
      </c>
      <c r="M1787" s="3" t="s">
        <v>6795</v>
      </c>
      <c r="N1787" s="3">
        <v>913</v>
      </c>
      <c r="O1787" s="3" t="s">
        <v>6796</v>
      </c>
      <c r="P1787" s="3" t="s">
        <v>1230</v>
      </c>
      <c r="Q1787" s="3" t="s">
        <v>27</v>
      </c>
      <c r="R1787" s="3" t="s">
        <v>28</v>
      </c>
      <c r="S1787" s="3">
        <v>4534013</v>
      </c>
      <c r="T1787" s="3">
        <v>1130730444</v>
      </c>
      <c r="U1787" s="3" t="s">
        <v>29</v>
      </c>
    </row>
    <row r="1788" spans="1:21" ht="13.2" x14ac:dyDescent="0.25">
      <c r="A1788" s="14">
        <v>30149204000150</v>
      </c>
      <c r="B1788" s="15" t="str">
        <f t="shared" si="27"/>
        <v>30.149.204/0001-50</v>
      </c>
      <c r="C1788" s="12"/>
      <c r="D1788" s="3" t="s">
        <v>6797</v>
      </c>
      <c r="E1788" s="3" t="s">
        <v>6798</v>
      </c>
      <c r="F1788" s="3" t="s">
        <v>20</v>
      </c>
      <c r="G1788" s="4">
        <v>43199</v>
      </c>
      <c r="H1788" s="3" t="s">
        <v>21</v>
      </c>
      <c r="I1788" s="3" t="s">
        <v>33</v>
      </c>
      <c r="J1788" s="5">
        <v>500000</v>
      </c>
      <c r="K1788" s="3">
        <v>4110700</v>
      </c>
      <c r="L1788" s="3" t="s">
        <v>4133</v>
      </c>
      <c r="M1788" s="3" t="s">
        <v>4015</v>
      </c>
      <c r="N1788" s="3">
        <v>1453</v>
      </c>
      <c r="O1788" s="3" t="s">
        <v>6799</v>
      </c>
      <c r="P1788" s="3" t="s">
        <v>1760</v>
      </c>
      <c r="Q1788" s="3" t="s">
        <v>262</v>
      </c>
      <c r="R1788" s="3" t="s">
        <v>28</v>
      </c>
      <c r="S1788" s="3">
        <v>6083210</v>
      </c>
      <c r="T1788" s="3">
        <v>1191958380</v>
      </c>
      <c r="U1788" s="3" t="s">
        <v>29</v>
      </c>
    </row>
    <row r="1789" spans="1:21" ht="13.2" x14ac:dyDescent="0.25">
      <c r="A1789" s="14">
        <v>11943208000160</v>
      </c>
      <c r="B1789" s="15" t="str">
        <f t="shared" si="27"/>
        <v>11.943.208/0001-60</v>
      </c>
      <c r="C1789" s="12"/>
      <c r="D1789" s="3" t="s">
        <v>6800</v>
      </c>
      <c r="E1789" s="3" t="s">
        <v>6801</v>
      </c>
      <c r="F1789" s="3" t="s">
        <v>20</v>
      </c>
      <c r="G1789" s="4">
        <v>40312</v>
      </c>
      <c r="H1789" s="3" t="s">
        <v>21</v>
      </c>
      <c r="I1789" s="3" t="s">
        <v>22</v>
      </c>
      <c r="J1789" s="5">
        <v>400000</v>
      </c>
      <c r="K1789" s="3">
        <v>1821100</v>
      </c>
      <c r="L1789" s="3" t="s">
        <v>3504</v>
      </c>
      <c r="M1789" s="3" t="s">
        <v>6802</v>
      </c>
      <c r="N1789" s="3">
        <v>107</v>
      </c>
      <c r="O1789" s="3" t="s">
        <v>6803</v>
      </c>
      <c r="P1789" s="3" t="s">
        <v>6804</v>
      </c>
      <c r="Q1789" s="3" t="s">
        <v>280</v>
      </c>
      <c r="R1789" s="3" t="s">
        <v>281</v>
      </c>
      <c r="S1789" s="3">
        <v>41928132</v>
      </c>
      <c r="T1789" s="3">
        <v>7130227740</v>
      </c>
      <c r="U1789" s="3" t="s">
        <v>29</v>
      </c>
    </row>
    <row r="1790" spans="1:21" ht="13.2" x14ac:dyDescent="0.25">
      <c r="A1790" s="14">
        <v>57305153000164</v>
      </c>
      <c r="B1790" s="15" t="str">
        <f t="shared" si="27"/>
        <v>57.305.153/0001-64</v>
      </c>
      <c r="C1790" s="12"/>
      <c r="D1790" s="3" t="s">
        <v>6805</v>
      </c>
      <c r="E1790" s="3" t="s">
        <v>6805</v>
      </c>
      <c r="F1790" s="3" t="s">
        <v>20</v>
      </c>
      <c r="G1790" s="4">
        <v>31876</v>
      </c>
      <c r="H1790" s="3" t="s">
        <v>21</v>
      </c>
      <c r="I1790" s="3" t="s">
        <v>22</v>
      </c>
      <c r="J1790" s="5">
        <v>100000</v>
      </c>
      <c r="K1790" s="3">
        <v>5811500</v>
      </c>
      <c r="L1790" s="3" t="s">
        <v>5272</v>
      </c>
      <c r="M1790" s="3" t="s">
        <v>6806</v>
      </c>
      <c r="N1790" s="3">
        <v>157</v>
      </c>
      <c r="P1790" s="3" t="s">
        <v>6807</v>
      </c>
      <c r="Q1790" s="3" t="s">
        <v>262</v>
      </c>
      <c r="R1790" s="3" t="s">
        <v>28</v>
      </c>
      <c r="S1790" s="3">
        <v>6050210</v>
      </c>
      <c r="T1790" s="3">
        <v>1136833617</v>
      </c>
      <c r="U1790" s="3" t="s">
        <v>29</v>
      </c>
    </row>
    <row r="1791" spans="1:21" ht="13.2" x14ac:dyDescent="0.25">
      <c r="A1791" s="14">
        <v>62835962000118</v>
      </c>
      <c r="B1791" s="15" t="str">
        <f t="shared" si="27"/>
        <v>62.835.962/0001-18</v>
      </c>
      <c r="C1791" s="12"/>
      <c r="D1791" s="3" t="s">
        <v>6808</v>
      </c>
      <c r="E1791" s="3" t="s">
        <v>6808</v>
      </c>
      <c r="F1791" s="3" t="s">
        <v>20</v>
      </c>
      <c r="G1791" s="4">
        <v>25771</v>
      </c>
      <c r="H1791" s="3" t="s">
        <v>21</v>
      </c>
      <c r="I1791" s="3" t="s">
        <v>22</v>
      </c>
      <c r="J1791" s="5">
        <v>100000</v>
      </c>
      <c r="K1791" s="3">
        <v>1811302</v>
      </c>
      <c r="L1791" s="3" t="s">
        <v>5202</v>
      </c>
      <c r="M1791" s="3" t="s">
        <v>6809</v>
      </c>
      <c r="N1791" s="3">
        <v>574</v>
      </c>
      <c r="P1791" s="3" t="s">
        <v>3997</v>
      </c>
      <c r="Q1791" s="3" t="s">
        <v>27</v>
      </c>
      <c r="R1791" s="3" t="s">
        <v>28</v>
      </c>
      <c r="S1791" s="3">
        <v>2146010</v>
      </c>
      <c r="T1791" s="3">
        <v>1122014449</v>
      </c>
      <c r="U1791" s="3" t="s">
        <v>29</v>
      </c>
    </row>
    <row r="1792" spans="1:21" ht="13.2" x14ac:dyDescent="0.25">
      <c r="A1792" s="14">
        <v>69415008000115</v>
      </c>
      <c r="B1792" s="15" t="str">
        <f t="shared" si="27"/>
        <v>69.415.008/0001-15</v>
      </c>
      <c r="C1792" s="12"/>
      <c r="D1792" s="3" t="s">
        <v>6810</v>
      </c>
      <c r="E1792" s="3" t="s">
        <v>6810</v>
      </c>
      <c r="F1792" s="3" t="s">
        <v>20</v>
      </c>
      <c r="G1792" s="4">
        <v>34129</v>
      </c>
      <c r="H1792" s="3" t="s">
        <v>21</v>
      </c>
      <c r="I1792" s="3" t="s">
        <v>22</v>
      </c>
      <c r="J1792" s="5">
        <v>300000</v>
      </c>
      <c r="K1792" s="3">
        <v>1811302</v>
      </c>
      <c r="L1792" s="3" t="s">
        <v>5202</v>
      </c>
      <c r="M1792" s="3" t="s">
        <v>6811</v>
      </c>
      <c r="N1792" s="3">
        <v>7</v>
      </c>
      <c r="O1792" s="3" t="s">
        <v>117</v>
      </c>
      <c r="P1792" s="3" t="s">
        <v>6812</v>
      </c>
      <c r="Q1792" s="3" t="s">
        <v>2063</v>
      </c>
      <c r="R1792" s="3" t="s">
        <v>382</v>
      </c>
      <c r="S1792" s="3">
        <v>65066265</v>
      </c>
      <c r="T1792" s="3">
        <v>9832487700</v>
      </c>
      <c r="U1792" s="3" t="s">
        <v>29</v>
      </c>
    </row>
    <row r="1793" spans="1:21" ht="13.2" x14ac:dyDescent="0.25">
      <c r="A1793" s="14">
        <v>7668295000541</v>
      </c>
      <c r="B1793" s="15" t="str">
        <f t="shared" si="27"/>
        <v>07.668.295/0005-41</v>
      </c>
      <c r="C1793" s="12"/>
      <c r="D1793" s="3" t="s">
        <v>6813</v>
      </c>
      <c r="E1793" s="3" t="s">
        <v>6814</v>
      </c>
      <c r="F1793" s="3" t="s">
        <v>20</v>
      </c>
      <c r="G1793" s="4">
        <v>40700</v>
      </c>
      <c r="H1793" s="3" t="s">
        <v>21</v>
      </c>
      <c r="I1793" s="3" t="s">
        <v>33</v>
      </c>
      <c r="J1793" s="5">
        <v>3600000</v>
      </c>
      <c r="K1793" s="3">
        <v>230600</v>
      </c>
      <c r="L1793" s="3" t="s">
        <v>1269</v>
      </c>
      <c r="M1793" s="3" t="s">
        <v>2999</v>
      </c>
      <c r="N1793" s="3">
        <v>508</v>
      </c>
      <c r="P1793" s="3" t="s">
        <v>6815</v>
      </c>
      <c r="Q1793" s="3" t="s">
        <v>6816</v>
      </c>
      <c r="R1793" s="3" t="s">
        <v>53</v>
      </c>
      <c r="S1793" s="3">
        <v>95400000</v>
      </c>
      <c r="T1793" s="3">
        <v>5133883387</v>
      </c>
      <c r="U1793" s="3" t="s">
        <v>29</v>
      </c>
    </row>
    <row r="1794" spans="1:21" ht="13.2" x14ac:dyDescent="0.25">
      <c r="A1794" s="14">
        <v>13045248000110</v>
      </c>
      <c r="B1794" s="15" t="str">
        <f t="shared" si="27"/>
        <v>13.045.248/0001-10</v>
      </c>
      <c r="C1794" s="12"/>
      <c r="D1794" s="3" t="s">
        <v>6817</v>
      </c>
      <c r="E1794" s="3" t="s">
        <v>6817</v>
      </c>
      <c r="F1794" s="3" t="s">
        <v>20</v>
      </c>
      <c r="G1794" s="4">
        <v>40508</v>
      </c>
      <c r="H1794" s="3" t="s">
        <v>32</v>
      </c>
      <c r="I1794" s="3" t="s">
        <v>33</v>
      </c>
      <c r="J1794" s="5">
        <v>10000</v>
      </c>
      <c r="K1794" s="3">
        <v>6920602</v>
      </c>
      <c r="L1794" s="3" t="s">
        <v>1022</v>
      </c>
      <c r="M1794" s="3" t="s">
        <v>5333</v>
      </c>
      <c r="N1794" s="3">
        <v>105</v>
      </c>
      <c r="O1794" s="3" t="s">
        <v>6818</v>
      </c>
      <c r="P1794" s="3" t="s">
        <v>1019</v>
      </c>
      <c r="Q1794" s="3" t="s">
        <v>27</v>
      </c>
      <c r="R1794" s="3" t="s">
        <v>28</v>
      </c>
      <c r="S1794" s="3">
        <v>4571900</v>
      </c>
      <c r="T1794" s="3">
        <v>1138865100</v>
      </c>
      <c r="U1794" s="3" t="s">
        <v>29</v>
      </c>
    </row>
    <row r="1795" spans="1:21" ht="13.2" x14ac:dyDescent="0.25">
      <c r="A1795" s="14">
        <v>3620220000106</v>
      </c>
      <c r="B1795" s="15" t="str">
        <f t="shared" ref="B1795:B1858" si="28">TEXT(A1795,"00\.000\.000\/0000\-00")</f>
        <v>03.620.220/0001-06</v>
      </c>
      <c r="C1795" s="12" t="str">
        <f>VLOOKUP(B1795,[1]Planilha1!$A:$B,2,0)</f>
        <v>Malu Montesino</v>
      </c>
      <c r="D1795" s="3" t="s">
        <v>6819</v>
      </c>
      <c r="E1795" s="3" t="s">
        <v>6819</v>
      </c>
      <c r="F1795" s="3" t="s">
        <v>20</v>
      </c>
      <c r="G1795" s="4">
        <v>36550</v>
      </c>
      <c r="H1795" s="3" t="s">
        <v>21</v>
      </c>
      <c r="I1795" s="3" t="s">
        <v>33</v>
      </c>
      <c r="J1795" s="5">
        <v>40000000</v>
      </c>
      <c r="K1795" s="3">
        <v>2829199</v>
      </c>
      <c r="L1795" s="3" t="s">
        <v>1514</v>
      </c>
      <c r="M1795" s="3" t="s">
        <v>6820</v>
      </c>
      <c r="N1795" s="3">
        <v>45</v>
      </c>
      <c r="O1795" s="3" t="s">
        <v>6821</v>
      </c>
      <c r="P1795" s="3" t="s">
        <v>70</v>
      </c>
      <c r="Q1795" s="3" t="s">
        <v>2388</v>
      </c>
      <c r="R1795" s="3" t="s">
        <v>91</v>
      </c>
      <c r="S1795" s="3">
        <v>89665000</v>
      </c>
      <c r="T1795" s="3">
        <v>4935552203</v>
      </c>
      <c r="U1795" s="3" t="s">
        <v>29</v>
      </c>
    </row>
    <row r="1796" spans="1:21" ht="13.2" x14ac:dyDescent="0.25">
      <c r="A1796" s="14">
        <v>22084604000104</v>
      </c>
      <c r="B1796" s="15" t="str">
        <f t="shared" si="28"/>
        <v>22.084.604/0001-04</v>
      </c>
      <c r="C1796" s="12"/>
      <c r="D1796" s="3" t="s">
        <v>6822</v>
      </c>
      <c r="E1796" s="3" t="s">
        <v>6823</v>
      </c>
      <c r="F1796" s="3" t="s">
        <v>20</v>
      </c>
      <c r="G1796" s="4">
        <v>42082</v>
      </c>
      <c r="H1796" s="3" t="s">
        <v>21</v>
      </c>
      <c r="I1796" s="3" t="s">
        <v>47</v>
      </c>
      <c r="J1796" s="5">
        <v>800000</v>
      </c>
      <c r="K1796" s="3">
        <v>7020400</v>
      </c>
      <c r="L1796" s="3" t="s">
        <v>170</v>
      </c>
      <c r="M1796" s="3" t="s">
        <v>6824</v>
      </c>
      <c r="N1796" s="3">
        <v>95</v>
      </c>
      <c r="O1796" s="3" t="s">
        <v>6825</v>
      </c>
      <c r="P1796" s="3" t="s">
        <v>3613</v>
      </c>
      <c r="Q1796" s="3" t="s">
        <v>1339</v>
      </c>
      <c r="R1796" s="3" t="s">
        <v>456</v>
      </c>
      <c r="S1796" s="3">
        <v>52061130</v>
      </c>
      <c r="T1796" s="3">
        <v>8130905564</v>
      </c>
      <c r="U1796" s="3" t="s">
        <v>29</v>
      </c>
    </row>
    <row r="1797" spans="1:21" ht="13.2" x14ac:dyDescent="0.25">
      <c r="A1797" s="14">
        <v>33485422000153</v>
      </c>
      <c r="B1797" s="15" t="str">
        <f t="shared" si="28"/>
        <v>33.485.422/0001-53</v>
      </c>
      <c r="C1797" s="12"/>
      <c r="D1797" s="3" t="s">
        <v>6826</v>
      </c>
      <c r="E1797" s="3" t="s">
        <v>6827</v>
      </c>
      <c r="F1797" s="3" t="s">
        <v>31</v>
      </c>
      <c r="G1797" s="4">
        <v>43584</v>
      </c>
      <c r="H1797" s="3" t="s">
        <v>21</v>
      </c>
      <c r="I1797" s="3" t="s">
        <v>47</v>
      </c>
      <c r="J1797" s="5">
        <v>99800</v>
      </c>
      <c r="K1797" s="3">
        <v>4751201</v>
      </c>
      <c r="L1797" s="3" t="s">
        <v>23</v>
      </c>
      <c r="M1797" s="3" t="s">
        <v>6828</v>
      </c>
      <c r="N1797" s="3">
        <v>1944</v>
      </c>
      <c r="P1797" s="3" t="s">
        <v>6052</v>
      </c>
      <c r="Q1797" s="3" t="s">
        <v>204</v>
      </c>
      <c r="R1797" s="3" t="s">
        <v>187</v>
      </c>
      <c r="S1797" s="3">
        <v>81030100</v>
      </c>
      <c r="T1797" s="3">
        <v>4184410063</v>
      </c>
      <c r="U1797" s="3" t="s">
        <v>29</v>
      </c>
    </row>
    <row r="1798" spans="1:21" ht="13.2" x14ac:dyDescent="0.25">
      <c r="A1798" s="14">
        <v>42611727000155</v>
      </c>
      <c r="B1798" s="15" t="str">
        <f t="shared" si="28"/>
        <v>42.611.727/0001-55</v>
      </c>
      <c r="C1798" s="12" t="str">
        <f>VLOOKUP(B1798,[1]Planilha1!$A:$B,2,0)</f>
        <v>Malu Montesino</v>
      </c>
      <c r="D1798" s="3" t="s">
        <v>6829</v>
      </c>
      <c r="E1798" s="3" t="s">
        <v>6830</v>
      </c>
      <c r="F1798" s="3" t="s">
        <v>20</v>
      </c>
      <c r="G1798" s="4">
        <v>44383</v>
      </c>
      <c r="H1798" s="3" t="s">
        <v>21</v>
      </c>
      <c r="I1798" s="3" t="s">
        <v>33</v>
      </c>
      <c r="J1798" s="5">
        <v>334410000</v>
      </c>
      <c r="K1798" s="3">
        <v>2910701</v>
      </c>
      <c r="L1798" s="3" t="s">
        <v>2241</v>
      </c>
      <c r="M1798" s="3" t="s">
        <v>6831</v>
      </c>
      <c r="N1798" s="3" t="s">
        <v>82</v>
      </c>
      <c r="O1798" s="3" t="s">
        <v>6832</v>
      </c>
      <c r="P1798" s="3" t="s">
        <v>6833</v>
      </c>
      <c r="Q1798" s="3" t="s">
        <v>6834</v>
      </c>
      <c r="R1798" s="3" t="s">
        <v>28</v>
      </c>
      <c r="S1798" s="3">
        <v>13496540</v>
      </c>
      <c r="T1798" s="3">
        <v>1181185538</v>
      </c>
      <c r="U1798" s="3" t="s">
        <v>29</v>
      </c>
    </row>
    <row r="1799" spans="1:21" ht="13.2" x14ac:dyDescent="0.25">
      <c r="A1799" s="14">
        <v>2351006001887</v>
      </c>
      <c r="B1799" s="15" t="str">
        <f t="shared" si="28"/>
        <v>02.351.006/0018-87</v>
      </c>
      <c r="C1799" s="12" t="str">
        <f>VLOOKUP(B1799,[1]Planilha1!$A:$B,2,0)</f>
        <v>Malu Montesino</v>
      </c>
      <c r="D1799" s="3" t="s">
        <v>6835</v>
      </c>
      <c r="E1799" s="3" t="s">
        <v>6835</v>
      </c>
      <c r="F1799" s="3" t="s">
        <v>20</v>
      </c>
      <c r="G1799" s="4">
        <v>43616</v>
      </c>
      <c r="H1799" s="3" t="s">
        <v>21</v>
      </c>
      <c r="I1799" s="3" t="s">
        <v>33</v>
      </c>
      <c r="J1799" s="5">
        <v>16256538</v>
      </c>
      <c r="K1799" s="3">
        <v>4684299</v>
      </c>
      <c r="L1799" s="3" t="s">
        <v>419</v>
      </c>
      <c r="M1799" s="3" t="s">
        <v>6836</v>
      </c>
      <c r="N1799" s="3">
        <v>286</v>
      </c>
      <c r="O1799" s="3" t="s">
        <v>6837</v>
      </c>
      <c r="P1799" s="3" t="s">
        <v>70</v>
      </c>
      <c r="Q1799" s="3" t="s">
        <v>6838</v>
      </c>
      <c r="R1799" s="3" t="s">
        <v>765</v>
      </c>
      <c r="S1799" s="3">
        <v>29395000</v>
      </c>
      <c r="T1799" s="3">
        <v>4121068600</v>
      </c>
      <c r="U1799" s="3" t="s">
        <v>29</v>
      </c>
    </row>
    <row r="1800" spans="1:21" ht="13.2" x14ac:dyDescent="0.25">
      <c r="A1800" s="14">
        <v>2351006000139</v>
      </c>
      <c r="B1800" s="15" t="str">
        <f t="shared" si="28"/>
        <v>02.351.006/0001-39</v>
      </c>
      <c r="C1800" s="12"/>
      <c r="D1800" s="3" t="s">
        <v>6835</v>
      </c>
      <c r="E1800" s="3" t="s">
        <v>6839</v>
      </c>
      <c r="F1800" s="3" t="s">
        <v>20</v>
      </c>
      <c r="G1800" s="4">
        <v>35827</v>
      </c>
      <c r="H1800" s="3" t="s">
        <v>21</v>
      </c>
      <c r="I1800" s="3" t="s">
        <v>33</v>
      </c>
      <c r="J1800" s="5">
        <v>16256538</v>
      </c>
      <c r="K1800" s="3">
        <v>2399199</v>
      </c>
      <c r="L1800" s="3" t="s">
        <v>3272</v>
      </c>
      <c r="M1800" s="3" t="s">
        <v>6840</v>
      </c>
      <c r="N1800" s="3">
        <v>5126</v>
      </c>
      <c r="O1800" s="3" t="s">
        <v>6841</v>
      </c>
      <c r="P1800" s="3" t="s">
        <v>6842</v>
      </c>
      <c r="Q1800" s="3" t="s">
        <v>2005</v>
      </c>
      <c r="R1800" s="3" t="s">
        <v>187</v>
      </c>
      <c r="S1800" s="3">
        <v>83707754</v>
      </c>
      <c r="T1800" s="3">
        <v>4121068600</v>
      </c>
      <c r="U1800" s="3" t="s">
        <v>29</v>
      </c>
    </row>
    <row r="1801" spans="1:21" ht="13.2" x14ac:dyDescent="0.25">
      <c r="A1801" s="14">
        <v>92559830000171</v>
      </c>
      <c r="B1801" s="15" t="str">
        <f t="shared" si="28"/>
        <v>92.559.830/0001-71</v>
      </c>
      <c r="C1801" s="12"/>
      <c r="D1801" s="3" t="s">
        <v>6843</v>
      </c>
      <c r="E1801" s="3" t="s">
        <v>6844</v>
      </c>
      <c r="F1801" s="3" t="s">
        <v>20</v>
      </c>
      <c r="G1801" s="4">
        <v>32531</v>
      </c>
      <c r="H1801" s="3" t="s">
        <v>94</v>
      </c>
      <c r="I1801" s="3" t="s">
        <v>33</v>
      </c>
      <c r="J1801" s="5">
        <v>28800000</v>
      </c>
      <c r="K1801" s="3">
        <v>8299702</v>
      </c>
      <c r="L1801" s="3" t="s">
        <v>937</v>
      </c>
      <c r="M1801" s="3" t="s">
        <v>4878</v>
      </c>
      <c r="N1801" s="3">
        <v>466</v>
      </c>
      <c r="O1801" s="3" t="s">
        <v>6845</v>
      </c>
      <c r="P1801" s="3" t="s">
        <v>370</v>
      </c>
      <c r="Q1801" s="3" t="s">
        <v>437</v>
      </c>
      <c r="R1801" s="3" t="s">
        <v>53</v>
      </c>
      <c r="S1801" s="3">
        <v>90480000</v>
      </c>
      <c r="T1801" s="3">
        <v>5132268999</v>
      </c>
      <c r="U1801" s="3" t="s">
        <v>29</v>
      </c>
    </row>
    <row r="1802" spans="1:21" ht="13.2" x14ac:dyDescent="0.25">
      <c r="A1802" s="14">
        <v>28581308000197</v>
      </c>
      <c r="B1802" s="15" t="str">
        <f t="shared" si="28"/>
        <v>28.581.308/0001-97</v>
      </c>
      <c r="C1802" s="12" t="str">
        <f>VLOOKUP(B1802,[1]Planilha1!$A:$B,2,0)</f>
        <v>Mariane Nascimento</v>
      </c>
      <c r="D1802" s="3" t="s">
        <v>6846</v>
      </c>
      <c r="E1802" s="3" t="s">
        <v>6846</v>
      </c>
      <c r="F1802" s="3" t="s">
        <v>20</v>
      </c>
      <c r="G1802" s="4">
        <v>42983</v>
      </c>
      <c r="H1802" s="3" t="s">
        <v>94</v>
      </c>
      <c r="I1802" s="3" t="s">
        <v>33</v>
      </c>
      <c r="J1802" s="5">
        <v>66933020</v>
      </c>
      <c r="K1802" s="3">
        <v>8299799</v>
      </c>
      <c r="L1802" s="3" t="s">
        <v>532</v>
      </c>
      <c r="M1802" s="3" t="s">
        <v>314</v>
      </c>
      <c r="N1802" s="3">
        <v>205</v>
      </c>
      <c r="O1802" s="3" t="s">
        <v>6847</v>
      </c>
      <c r="P1802" s="3" t="s">
        <v>316</v>
      </c>
      <c r="Q1802" s="3" t="s">
        <v>27</v>
      </c>
      <c r="R1802" s="3" t="s">
        <v>28</v>
      </c>
      <c r="S1802" s="3">
        <v>4551000</v>
      </c>
      <c r="T1802" s="3">
        <v>1146734313</v>
      </c>
      <c r="U1802" s="3" t="s">
        <v>29</v>
      </c>
    </row>
    <row r="1803" spans="1:21" ht="13.2" x14ac:dyDescent="0.25">
      <c r="A1803" s="14">
        <v>3801905000159</v>
      </c>
      <c r="B1803" s="15" t="str">
        <f t="shared" si="28"/>
        <v>03.801.905/0001-59</v>
      </c>
      <c r="C1803" s="12"/>
      <c r="D1803" s="3" t="s">
        <v>6848</v>
      </c>
      <c r="E1803" s="3" t="s">
        <v>6849</v>
      </c>
      <c r="F1803" s="3" t="s">
        <v>20</v>
      </c>
      <c r="G1803" s="4">
        <v>36657</v>
      </c>
      <c r="H1803" s="3" t="s">
        <v>21</v>
      </c>
      <c r="I1803" s="3" t="s">
        <v>33</v>
      </c>
      <c r="J1803" s="5">
        <v>990609660</v>
      </c>
      <c r="K1803" s="3">
        <v>4663000</v>
      </c>
      <c r="L1803" s="3" t="s">
        <v>128</v>
      </c>
      <c r="M1803" s="3" t="s">
        <v>5306</v>
      </c>
      <c r="N1803" s="3">
        <v>1400</v>
      </c>
      <c r="O1803" s="3" t="s">
        <v>6850</v>
      </c>
      <c r="P1803" s="3" t="s">
        <v>1049</v>
      </c>
      <c r="Q1803" s="3" t="s">
        <v>27</v>
      </c>
      <c r="R1803" s="3" t="s">
        <v>28</v>
      </c>
      <c r="S1803" s="3">
        <v>4543000</v>
      </c>
      <c r="T1803" s="3">
        <v>1836547000</v>
      </c>
      <c r="U1803" s="3" t="s">
        <v>29</v>
      </c>
    </row>
    <row r="1804" spans="1:21" ht="13.2" x14ac:dyDescent="0.25">
      <c r="A1804" s="14">
        <v>71957310000147</v>
      </c>
      <c r="B1804" s="15" t="str">
        <f t="shared" si="28"/>
        <v>71.957.310/0001-47</v>
      </c>
      <c r="C1804" s="12"/>
      <c r="D1804" s="3" t="s">
        <v>6851</v>
      </c>
      <c r="E1804" s="3" t="s">
        <v>6851</v>
      </c>
      <c r="F1804" s="3" t="s">
        <v>20</v>
      </c>
      <c r="G1804" s="4">
        <v>34207</v>
      </c>
      <c r="H1804" s="3" t="s">
        <v>21</v>
      </c>
      <c r="I1804" s="3" t="s">
        <v>33</v>
      </c>
      <c r="J1804" s="5">
        <v>15681935</v>
      </c>
      <c r="K1804" s="3">
        <v>3250701</v>
      </c>
      <c r="L1804" s="3" t="s">
        <v>2195</v>
      </c>
      <c r="M1804" s="3" t="s">
        <v>6852</v>
      </c>
      <c r="N1804" s="3">
        <v>1967</v>
      </c>
      <c r="P1804" s="3" t="s">
        <v>6853</v>
      </c>
      <c r="Q1804" s="3" t="s">
        <v>37</v>
      </c>
      <c r="R1804" s="3" t="s">
        <v>28</v>
      </c>
      <c r="S1804" s="3">
        <v>13473620</v>
      </c>
      <c r="T1804" s="3">
        <v>1934689640</v>
      </c>
      <c r="U1804" s="3" t="s">
        <v>29</v>
      </c>
    </row>
    <row r="1805" spans="1:21" ht="13.2" x14ac:dyDescent="0.25">
      <c r="A1805" s="14">
        <v>89850341000160</v>
      </c>
      <c r="B1805" s="15" t="str">
        <f t="shared" si="28"/>
        <v>89.850.341/0001-60</v>
      </c>
      <c r="C1805" s="12"/>
      <c r="D1805" s="3" t="s">
        <v>6854</v>
      </c>
      <c r="E1805" s="3" t="s">
        <v>6854</v>
      </c>
      <c r="F1805" s="3" t="s">
        <v>20</v>
      </c>
      <c r="G1805" s="4">
        <v>26018</v>
      </c>
      <c r="H1805" s="3" t="s">
        <v>377</v>
      </c>
      <c r="I1805" s="3" t="s">
        <v>33</v>
      </c>
      <c r="J1805" s="5">
        <v>2256130000</v>
      </c>
      <c r="K1805" s="3">
        <v>1533500</v>
      </c>
      <c r="L1805" s="3" t="s">
        <v>162</v>
      </c>
      <c r="M1805" s="3" t="s">
        <v>6855</v>
      </c>
      <c r="N1805" s="3">
        <v>214</v>
      </c>
      <c r="P1805" s="3" t="s">
        <v>6856</v>
      </c>
      <c r="Q1805" s="3" t="s">
        <v>6857</v>
      </c>
      <c r="R1805" s="3" t="s">
        <v>301</v>
      </c>
      <c r="S1805" s="3">
        <v>62040125</v>
      </c>
      <c r="T1805" s="3">
        <v>8831122906</v>
      </c>
      <c r="U1805" s="3" t="s">
        <v>29</v>
      </c>
    </row>
    <row r="1806" spans="1:21" ht="13.2" x14ac:dyDescent="0.25">
      <c r="A1806" s="14">
        <v>13966854000179</v>
      </c>
      <c r="B1806" s="15" t="str">
        <f t="shared" si="28"/>
        <v>13.966.854/0001-79</v>
      </c>
      <c r="C1806" s="12"/>
      <c r="D1806" s="3" t="s">
        <v>6858</v>
      </c>
      <c r="E1806" s="3" t="s">
        <v>6859</v>
      </c>
      <c r="F1806" s="3" t="s">
        <v>20</v>
      </c>
      <c r="G1806" s="4">
        <v>40742</v>
      </c>
      <c r="H1806" s="3" t="s">
        <v>21</v>
      </c>
      <c r="I1806" s="3" t="s">
        <v>33</v>
      </c>
      <c r="J1806" s="5">
        <v>1000000</v>
      </c>
      <c r="K1806" s="3">
        <v>2229301</v>
      </c>
      <c r="L1806" s="3" t="s">
        <v>1793</v>
      </c>
      <c r="M1806" s="3" t="s">
        <v>6860</v>
      </c>
      <c r="N1806" s="3">
        <v>546</v>
      </c>
      <c r="O1806" s="3" t="s">
        <v>6861</v>
      </c>
      <c r="P1806" s="3" t="s">
        <v>6862</v>
      </c>
      <c r="Q1806" s="3" t="s">
        <v>6863</v>
      </c>
      <c r="R1806" s="3" t="s">
        <v>100</v>
      </c>
      <c r="S1806" s="3">
        <v>37545000</v>
      </c>
      <c r="T1806" s="3">
        <v>3534712922</v>
      </c>
      <c r="U1806" s="3" t="s">
        <v>29</v>
      </c>
    </row>
    <row r="1807" spans="1:21" ht="13.2" x14ac:dyDescent="0.25">
      <c r="A1807" s="14">
        <v>2513899000171</v>
      </c>
      <c r="B1807" s="15" t="str">
        <f t="shared" si="28"/>
        <v>02.513.899/0001-71</v>
      </c>
      <c r="C1807" s="12"/>
      <c r="D1807" s="3" t="s">
        <v>6864</v>
      </c>
      <c r="E1807" s="3" t="s">
        <v>6864</v>
      </c>
      <c r="F1807" s="3" t="s">
        <v>20</v>
      </c>
      <c r="G1807" s="4">
        <v>35891</v>
      </c>
      <c r="H1807" s="3" t="s">
        <v>21</v>
      </c>
      <c r="I1807" s="3" t="s">
        <v>33</v>
      </c>
      <c r="J1807" s="5">
        <v>271234780</v>
      </c>
      <c r="K1807" s="3">
        <v>4644301</v>
      </c>
      <c r="L1807" s="3" t="s">
        <v>326</v>
      </c>
      <c r="M1807" s="3" t="s">
        <v>6865</v>
      </c>
      <c r="N1807" s="3">
        <v>1160</v>
      </c>
      <c r="O1807" s="3" t="s">
        <v>6866</v>
      </c>
      <c r="P1807" s="3" t="s">
        <v>70</v>
      </c>
      <c r="Q1807" s="3" t="s">
        <v>204</v>
      </c>
      <c r="R1807" s="3" t="s">
        <v>187</v>
      </c>
      <c r="S1807" s="3">
        <v>80410201</v>
      </c>
      <c r="T1807" s="3">
        <v>4136682444</v>
      </c>
      <c r="U1807" s="3" t="s">
        <v>29</v>
      </c>
    </row>
    <row r="1808" spans="1:21" ht="13.2" x14ac:dyDescent="0.25">
      <c r="A1808" s="14">
        <v>5691697000108</v>
      </c>
      <c r="B1808" s="15" t="str">
        <f t="shared" si="28"/>
        <v>05.691.697/0001-08</v>
      </c>
      <c r="C1808" s="12"/>
      <c r="D1808" s="3" t="s">
        <v>6867</v>
      </c>
      <c r="E1808" s="3" t="s">
        <v>6868</v>
      </c>
      <c r="F1808" s="3" t="s">
        <v>20</v>
      </c>
      <c r="G1808" s="4">
        <v>37686</v>
      </c>
      <c r="H1808" s="3" t="s">
        <v>21</v>
      </c>
      <c r="I1808" s="3" t="s">
        <v>33</v>
      </c>
      <c r="J1808" s="5">
        <v>10132779</v>
      </c>
      <c r="K1808" s="3">
        <v>8299799</v>
      </c>
      <c r="L1808" s="3" t="s">
        <v>532</v>
      </c>
      <c r="M1808" s="3" t="s">
        <v>2884</v>
      </c>
      <c r="N1808" s="3">
        <v>111</v>
      </c>
      <c r="O1808" s="3" t="s">
        <v>6869</v>
      </c>
      <c r="P1808" s="3" t="s">
        <v>1492</v>
      </c>
      <c r="Q1808" s="3" t="s">
        <v>27</v>
      </c>
      <c r="R1808" s="3" t="s">
        <v>28</v>
      </c>
      <c r="S1808" s="3">
        <v>5069900</v>
      </c>
      <c r="T1808" s="3">
        <v>1121353000</v>
      </c>
      <c r="U1808" s="3" t="s">
        <v>29</v>
      </c>
    </row>
    <row r="1809" spans="1:21" ht="13.2" x14ac:dyDescent="0.25">
      <c r="A1809" s="14">
        <v>31227138000151</v>
      </c>
      <c r="B1809" s="15" t="str">
        <f t="shared" si="28"/>
        <v>31.227.138/0001-51</v>
      </c>
      <c r="C1809" s="12" t="str">
        <f>VLOOKUP(B1809,[1]Planilha1!$A:$B,2,0)</f>
        <v>Malu Montesino</v>
      </c>
      <c r="D1809" s="3" t="s">
        <v>6870</v>
      </c>
      <c r="E1809" s="3" t="s">
        <v>6870</v>
      </c>
      <c r="F1809" s="3" t="s">
        <v>20</v>
      </c>
      <c r="G1809" s="4">
        <v>43327</v>
      </c>
      <c r="H1809" s="3" t="s">
        <v>21</v>
      </c>
      <c r="I1809" s="3" t="s">
        <v>33</v>
      </c>
      <c r="J1809" s="5">
        <v>1573000</v>
      </c>
      <c r="K1809" s="3">
        <v>4669999</v>
      </c>
      <c r="L1809" s="3" t="s">
        <v>558</v>
      </c>
      <c r="M1809" s="3" t="s">
        <v>6871</v>
      </c>
      <c r="N1809" s="3">
        <v>529</v>
      </c>
      <c r="P1809" s="3" t="s">
        <v>616</v>
      </c>
      <c r="Q1809" s="3" t="s">
        <v>617</v>
      </c>
      <c r="R1809" s="3" t="s">
        <v>28</v>
      </c>
      <c r="S1809" s="3">
        <v>6460080</v>
      </c>
      <c r="T1809" s="3">
        <v>1192911873</v>
      </c>
      <c r="U1809" s="3" t="s">
        <v>29</v>
      </c>
    </row>
    <row r="1810" spans="1:21" ht="13.2" x14ac:dyDescent="0.25">
      <c r="A1810" s="14">
        <v>10777579000157</v>
      </c>
      <c r="B1810" s="15" t="str">
        <f t="shared" si="28"/>
        <v>10.777.579/0001-57</v>
      </c>
      <c r="C1810" s="12"/>
      <c r="D1810" s="3" t="s">
        <v>6872</v>
      </c>
      <c r="E1810" s="3" t="s">
        <v>6873</v>
      </c>
      <c r="F1810" s="3" t="s">
        <v>20</v>
      </c>
      <c r="G1810" s="4">
        <v>39918</v>
      </c>
      <c r="H1810" s="3" t="s">
        <v>21</v>
      </c>
      <c r="I1810" s="3" t="s">
        <v>22</v>
      </c>
      <c r="J1810" s="5">
        <v>200000</v>
      </c>
      <c r="K1810" s="3">
        <v>2821601</v>
      </c>
      <c r="L1810" s="3" t="s">
        <v>976</v>
      </c>
      <c r="M1810" s="3" t="s">
        <v>6874</v>
      </c>
      <c r="N1810" s="3">
        <v>224</v>
      </c>
      <c r="P1810" s="3" t="s">
        <v>6875</v>
      </c>
      <c r="Q1810" s="3" t="s">
        <v>3966</v>
      </c>
      <c r="R1810" s="3" t="s">
        <v>28</v>
      </c>
      <c r="S1810" s="3">
        <v>7431315</v>
      </c>
      <c r="T1810" s="3">
        <v>1146526005</v>
      </c>
      <c r="U1810" s="3" t="s">
        <v>29</v>
      </c>
    </row>
    <row r="1811" spans="1:21" ht="13.2" x14ac:dyDescent="0.25">
      <c r="A1811" s="14">
        <v>10285590000108</v>
      </c>
      <c r="B1811" s="15" t="str">
        <f t="shared" si="28"/>
        <v>10.285.590/0001-08</v>
      </c>
      <c r="C1811" s="12"/>
      <c r="D1811" s="3" t="s">
        <v>6876</v>
      </c>
      <c r="E1811" s="3" t="s">
        <v>6876</v>
      </c>
      <c r="F1811" s="3" t="s">
        <v>45</v>
      </c>
      <c r="G1811" s="4">
        <v>39675</v>
      </c>
      <c r="H1811" s="3" t="s">
        <v>377</v>
      </c>
      <c r="I1811" s="3" t="s">
        <v>33</v>
      </c>
      <c r="J1811" s="5">
        <v>4155810800</v>
      </c>
      <c r="K1811" s="3">
        <v>4642701</v>
      </c>
      <c r="L1811" s="3" t="s">
        <v>1174</v>
      </c>
      <c r="M1811" s="3" t="s">
        <v>6877</v>
      </c>
      <c r="N1811" s="3">
        <v>154</v>
      </c>
      <c r="P1811" s="3" t="s">
        <v>3697</v>
      </c>
      <c r="Q1811" s="3" t="s">
        <v>253</v>
      </c>
      <c r="R1811" s="3" t="s">
        <v>78</v>
      </c>
      <c r="S1811" s="3">
        <v>22290240</v>
      </c>
      <c r="T1811" s="3">
        <v>2125036850</v>
      </c>
      <c r="U1811" s="3" t="s">
        <v>29</v>
      </c>
    </row>
    <row r="1812" spans="1:21" ht="13.2" x14ac:dyDescent="0.25">
      <c r="A1812" s="14">
        <v>27059432000124</v>
      </c>
      <c r="B1812" s="15" t="str">
        <f t="shared" si="28"/>
        <v>27.059.432/0001-24</v>
      </c>
      <c r="C1812" s="12"/>
      <c r="D1812" s="3" t="s">
        <v>6878</v>
      </c>
      <c r="E1812" s="3" t="s">
        <v>6878</v>
      </c>
      <c r="F1812" s="3" t="s">
        <v>20</v>
      </c>
      <c r="G1812" s="4">
        <v>42774</v>
      </c>
      <c r="H1812" s="3" t="s">
        <v>94</v>
      </c>
      <c r="I1812" s="3" t="s">
        <v>33</v>
      </c>
      <c r="J1812" s="5">
        <v>992045100</v>
      </c>
      <c r="K1812" s="3">
        <v>6462000</v>
      </c>
      <c r="L1812" s="3" t="s">
        <v>250</v>
      </c>
      <c r="M1812" s="3" t="s">
        <v>6879</v>
      </c>
      <c r="N1812" s="3">
        <v>200</v>
      </c>
      <c r="O1812" s="3" t="s">
        <v>6880</v>
      </c>
      <c r="P1812" s="3" t="s">
        <v>252</v>
      </c>
      <c r="Q1812" s="3" t="s">
        <v>253</v>
      </c>
      <c r="R1812" s="3" t="s">
        <v>78</v>
      </c>
      <c r="S1812" s="3">
        <v>22775056</v>
      </c>
      <c r="T1812" s="3">
        <v>1199999999</v>
      </c>
      <c r="U1812" s="3" t="s">
        <v>29</v>
      </c>
    </row>
    <row r="1813" spans="1:21" ht="13.2" x14ac:dyDescent="0.25">
      <c r="A1813" s="14">
        <v>20587017000102</v>
      </c>
      <c r="B1813" s="15" t="str">
        <f t="shared" si="28"/>
        <v>20.587.017/0001-02</v>
      </c>
      <c r="C1813" s="12"/>
      <c r="D1813" s="3" t="s">
        <v>6881</v>
      </c>
      <c r="E1813" s="3" t="s">
        <v>6882</v>
      </c>
      <c r="F1813" s="3" t="s">
        <v>20</v>
      </c>
      <c r="G1813" s="4">
        <v>41827</v>
      </c>
      <c r="H1813" s="3" t="s">
        <v>21</v>
      </c>
      <c r="I1813" s="3" t="s">
        <v>22</v>
      </c>
      <c r="J1813" s="5">
        <v>1000000</v>
      </c>
      <c r="K1813" s="3">
        <v>4673700</v>
      </c>
      <c r="L1813" s="3" t="s">
        <v>861</v>
      </c>
      <c r="M1813" s="3" t="s">
        <v>4536</v>
      </c>
      <c r="N1813" s="3">
        <v>723</v>
      </c>
      <c r="O1813" s="3" t="s">
        <v>6883</v>
      </c>
      <c r="P1813" s="3" t="s">
        <v>4538</v>
      </c>
      <c r="Q1813" s="3" t="s">
        <v>617</v>
      </c>
      <c r="R1813" s="3" t="s">
        <v>28</v>
      </c>
      <c r="S1813" s="3">
        <v>6473000</v>
      </c>
      <c r="T1813" s="3">
        <v>1123730757</v>
      </c>
      <c r="U1813" s="3" t="s">
        <v>29</v>
      </c>
    </row>
    <row r="1814" spans="1:21" ht="13.2" x14ac:dyDescent="0.25">
      <c r="A1814" s="14">
        <v>24990777000109</v>
      </c>
      <c r="B1814" s="15" t="str">
        <f t="shared" si="28"/>
        <v>24.990.777/0001-09</v>
      </c>
      <c r="C1814" s="12"/>
      <c r="D1814" s="3" t="s">
        <v>6884</v>
      </c>
      <c r="E1814" s="3" t="s">
        <v>6885</v>
      </c>
      <c r="F1814" s="3" t="s">
        <v>20</v>
      </c>
      <c r="G1814" s="4">
        <v>42534</v>
      </c>
      <c r="H1814" s="3" t="s">
        <v>94</v>
      </c>
      <c r="I1814" s="3" t="s">
        <v>33</v>
      </c>
      <c r="J1814" s="5">
        <v>8528651300</v>
      </c>
      <c r="K1814" s="3">
        <v>6462000</v>
      </c>
      <c r="L1814" s="3" t="s">
        <v>250</v>
      </c>
      <c r="M1814" s="3" t="s">
        <v>6886</v>
      </c>
      <c r="N1814" s="3">
        <v>73</v>
      </c>
      <c r="O1814" s="3" t="s">
        <v>6887</v>
      </c>
      <c r="P1814" s="3" t="s">
        <v>6888</v>
      </c>
      <c r="Q1814" s="3" t="s">
        <v>2063</v>
      </c>
      <c r="R1814" s="3" t="s">
        <v>382</v>
      </c>
      <c r="S1814" s="3">
        <v>65074115</v>
      </c>
      <c r="T1814" s="3">
        <v>9821083582</v>
      </c>
      <c r="U1814" s="3" t="s">
        <v>29</v>
      </c>
    </row>
    <row r="1815" spans="1:21" ht="13.2" x14ac:dyDescent="0.25">
      <c r="A1815" s="14">
        <v>59717553000102</v>
      </c>
      <c r="B1815" s="15" t="str">
        <f t="shared" si="28"/>
        <v>59.717.553/0001-02</v>
      </c>
      <c r="C1815" s="12"/>
      <c r="D1815" s="3" t="s">
        <v>6889</v>
      </c>
      <c r="E1815" s="3" t="s">
        <v>6890</v>
      </c>
      <c r="F1815" s="3" t="s">
        <v>20</v>
      </c>
      <c r="G1815" s="4">
        <v>32469</v>
      </c>
      <c r="H1815" s="3" t="s">
        <v>377</v>
      </c>
      <c r="I1815" s="3" t="s">
        <v>33</v>
      </c>
      <c r="J1815" s="5">
        <v>1713377700</v>
      </c>
      <c r="K1815" s="3">
        <v>2622100</v>
      </c>
      <c r="L1815" s="3" t="s">
        <v>5714</v>
      </c>
      <c r="M1815" s="3" t="s">
        <v>543</v>
      </c>
      <c r="N1815" s="3">
        <v>1811</v>
      </c>
      <c r="O1815" s="3" t="s">
        <v>6891</v>
      </c>
      <c r="P1815" s="3" t="s">
        <v>874</v>
      </c>
      <c r="Q1815" s="3" t="s">
        <v>27</v>
      </c>
      <c r="R1815" s="3" t="s">
        <v>28</v>
      </c>
      <c r="S1815" s="3">
        <v>1452001</v>
      </c>
      <c r="T1815" s="3">
        <v>1136168600</v>
      </c>
      <c r="U1815" s="3" t="s">
        <v>29</v>
      </c>
    </row>
    <row r="1816" spans="1:21" ht="13.2" x14ac:dyDescent="0.25">
      <c r="A1816" s="14">
        <v>13217485000111</v>
      </c>
      <c r="B1816" s="15" t="str">
        <f t="shared" si="28"/>
        <v>13.217.485/0001-11</v>
      </c>
      <c r="C1816" s="12"/>
      <c r="D1816" s="3" t="s">
        <v>6892</v>
      </c>
      <c r="E1816" s="3" t="s">
        <v>6892</v>
      </c>
      <c r="F1816" s="3" t="s">
        <v>20</v>
      </c>
      <c r="G1816" s="4">
        <v>40574</v>
      </c>
      <c r="H1816" s="3" t="s">
        <v>377</v>
      </c>
      <c r="I1816" s="3" t="s">
        <v>33</v>
      </c>
      <c r="J1816" s="5">
        <v>1939821700</v>
      </c>
      <c r="K1816" s="3">
        <v>6462000</v>
      </c>
      <c r="L1816" s="3" t="s">
        <v>250</v>
      </c>
      <c r="M1816" s="3" t="s">
        <v>2281</v>
      </c>
      <c r="N1816" s="3">
        <v>7221</v>
      </c>
      <c r="O1816" s="3" t="s">
        <v>6893</v>
      </c>
      <c r="P1816" s="3" t="s">
        <v>1740</v>
      </c>
      <c r="Q1816" s="3" t="s">
        <v>27</v>
      </c>
      <c r="R1816" s="3" t="s">
        <v>28</v>
      </c>
      <c r="S1816" s="3">
        <v>5425902</v>
      </c>
      <c r="T1816" s="3">
        <v>1138792800</v>
      </c>
      <c r="U1816" s="3" t="s">
        <v>29</v>
      </c>
    </row>
    <row r="1817" spans="1:21" ht="13.2" x14ac:dyDescent="0.25">
      <c r="A1817" s="14">
        <v>48756654000176</v>
      </c>
      <c r="B1817" s="15" t="str">
        <f t="shared" si="28"/>
        <v>48.756.654/0001-76</v>
      </c>
      <c r="C1817" s="12"/>
      <c r="D1817" s="3" t="s">
        <v>6894</v>
      </c>
      <c r="E1817" s="3" t="s">
        <v>6895</v>
      </c>
      <c r="F1817" s="3" t="s">
        <v>20</v>
      </c>
      <c r="G1817" s="4">
        <v>28166</v>
      </c>
      <c r="H1817" s="3" t="s">
        <v>32</v>
      </c>
      <c r="I1817" s="3" t="s">
        <v>22</v>
      </c>
      <c r="J1817" s="5">
        <v>9500</v>
      </c>
      <c r="K1817" s="3">
        <v>8211300</v>
      </c>
      <c r="L1817" s="3" t="s">
        <v>166</v>
      </c>
      <c r="M1817" s="3" t="s">
        <v>6896</v>
      </c>
      <c r="N1817" s="3">
        <v>182</v>
      </c>
      <c r="O1817" s="3" t="s">
        <v>6897</v>
      </c>
      <c r="P1817" s="3" t="s">
        <v>235</v>
      </c>
      <c r="Q1817" s="3" t="s">
        <v>27</v>
      </c>
      <c r="R1817" s="3" t="s">
        <v>28</v>
      </c>
      <c r="S1817" s="3">
        <v>4582000</v>
      </c>
      <c r="T1817" s="3">
        <v>1155318488</v>
      </c>
      <c r="U1817" s="3" t="s">
        <v>29</v>
      </c>
    </row>
    <row r="1818" spans="1:21" ht="13.2" x14ac:dyDescent="0.25">
      <c r="A1818" s="14">
        <v>8905300000121</v>
      </c>
      <c r="B1818" s="15" t="str">
        <f t="shared" si="28"/>
        <v>08.905.300/0001-21</v>
      </c>
      <c r="C1818" s="12"/>
      <c r="D1818" s="3" t="s">
        <v>6898</v>
      </c>
      <c r="E1818" s="3" t="s">
        <v>6898</v>
      </c>
      <c r="F1818" s="3" t="s">
        <v>20</v>
      </c>
      <c r="G1818" s="4">
        <v>39248</v>
      </c>
      <c r="H1818" s="3" t="s">
        <v>21</v>
      </c>
      <c r="I1818" s="3" t="s">
        <v>33</v>
      </c>
      <c r="J1818" s="5">
        <v>1108098600</v>
      </c>
      <c r="K1818" s="3">
        <v>4299599</v>
      </c>
      <c r="L1818" s="3" t="s">
        <v>1185</v>
      </c>
      <c r="M1818" s="3" t="s">
        <v>6795</v>
      </c>
      <c r="N1818" s="3">
        <v>913</v>
      </c>
      <c r="O1818" s="3" t="s">
        <v>3377</v>
      </c>
      <c r="P1818" s="3" t="s">
        <v>1230</v>
      </c>
      <c r="Q1818" s="3" t="s">
        <v>27</v>
      </c>
      <c r="R1818" s="3" t="s">
        <v>28</v>
      </c>
      <c r="S1818" s="3">
        <v>4534013</v>
      </c>
      <c r="T1818" s="3">
        <v>1123885800</v>
      </c>
      <c r="U1818" s="3" t="s">
        <v>29</v>
      </c>
    </row>
    <row r="1819" spans="1:21" ht="13.2" x14ac:dyDescent="0.25">
      <c r="A1819" s="14">
        <v>31406860000153</v>
      </c>
      <c r="B1819" s="15" t="str">
        <f t="shared" si="28"/>
        <v>31.406.860/0001-53</v>
      </c>
      <c r="C1819" s="12" t="str">
        <f>VLOOKUP(B1819,[1]Planilha1!$A:$B,2,0)</f>
        <v>Malu Montesino</v>
      </c>
      <c r="D1819" s="3" t="s">
        <v>6899</v>
      </c>
      <c r="E1819" s="3" t="s">
        <v>6899</v>
      </c>
      <c r="F1819" s="3" t="s">
        <v>20</v>
      </c>
      <c r="G1819" s="4">
        <v>43346</v>
      </c>
      <c r="H1819" s="3" t="s">
        <v>94</v>
      </c>
      <c r="I1819" s="3" t="s">
        <v>33</v>
      </c>
      <c r="J1819" s="5">
        <v>909360000</v>
      </c>
      <c r="K1819" s="3">
        <v>6462000</v>
      </c>
      <c r="L1819" s="3" t="s">
        <v>250</v>
      </c>
      <c r="M1819" s="3" t="s">
        <v>6795</v>
      </c>
      <c r="N1819" s="3">
        <v>913</v>
      </c>
      <c r="O1819" s="3" t="s">
        <v>6900</v>
      </c>
      <c r="P1819" s="3" t="s">
        <v>1230</v>
      </c>
      <c r="Q1819" s="3" t="s">
        <v>27</v>
      </c>
      <c r="R1819" s="3" t="s">
        <v>28</v>
      </c>
      <c r="S1819" s="3">
        <v>4534013</v>
      </c>
      <c r="T1819" s="3">
        <v>1639628100</v>
      </c>
      <c r="U1819" s="3" t="s">
        <v>29</v>
      </c>
    </row>
    <row r="1820" spans="1:21" ht="13.2" x14ac:dyDescent="0.25">
      <c r="A1820" s="14">
        <v>1770039000150</v>
      </c>
      <c r="B1820" s="15" t="str">
        <f t="shared" si="28"/>
        <v>01.770.039/0001-50</v>
      </c>
      <c r="C1820" s="12"/>
      <c r="D1820" s="3" t="s">
        <v>6901</v>
      </c>
      <c r="E1820" s="3" t="s">
        <v>6901</v>
      </c>
      <c r="F1820" s="3" t="s">
        <v>20</v>
      </c>
      <c r="G1820" s="4">
        <v>35523</v>
      </c>
      <c r="H1820" s="3" t="s">
        <v>21</v>
      </c>
      <c r="I1820" s="3" t="s">
        <v>33</v>
      </c>
      <c r="J1820" s="5">
        <v>208503780</v>
      </c>
      <c r="K1820" s="3">
        <v>2833000</v>
      </c>
      <c r="L1820" s="3" t="s">
        <v>151</v>
      </c>
      <c r="M1820" s="3" t="s">
        <v>6902</v>
      </c>
      <c r="N1820" s="3" t="s">
        <v>82</v>
      </c>
      <c r="O1820" s="3" t="s">
        <v>6903</v>
      </c>
      <c r="P1820" s="3" t="s">
        <v>6904</v>
      </c>
      <c r="Q1820" s="3" t="s">
        <v>6395</v>
      </c>
      <c r="R1820" s="3" t="s">
        <v>53</v>
      </c>
      <c r="S1820" s="3">
        <v>99150000</v>
      </c>
      <c r="U1820" s="3" t="s">
        <v>29</v>
      </c>
    </row>
    <row r="1821" spans="1:21" ht="13.2" x14ac:dyDescent="0.25">
      <c r="A1821" s="14">
        <v>10260950000109</v>
      </c>
      <c r="B1821" s="15" t="str">
        <f t="shared" si="28"/>
        <v>10.260.950/0001-09</v>
      </c>
      <c r="C1821" s="12"/>
      <c r="D1821" s="3" t="s">
        <v>6905</v>
      </c>
      <c r="E1821" s="3" t="s">
        <v>6905</v>
      </c>
      <c r="F1821" s="3" t="s">
        <v>45</v>
      </c>
      <c r="G1821" s="4">
        <v>39625</v>
      </c>
      <c r="H1821" s="3" t="s">
        <v>21</v>
      </c>
      <c r="I1821" s="3" t="s">
        <v>33</v>
      </c>
      <c r="J1821" s="5">
        <v>15000</v>
      </c>
      <c r="K1821" s="3">
        <v>7830200</v>
      </c>
      <c r="L1821" s="3" t="s">
        <v>473</v>
      </c>
      <c r="M1821" s="3" t="s">
        <v>6906</v>
      </c>
      <c r="N1821" s="3">
        <v>551</v>
      </c>
      <c r="O1821" s="3" t="s">
        <v>6907</v>
      </c>
      <c r="P1821" s="3" t="s">
        <v>4806</v>
      </c>
      <c r="Q1821" s="3" t="s">
        <v>27</v>
      </c>
      <c r="R1821" s="3" t="s">
        <v>28</v>
      </c>
      <c r="S1821" s="3">
        <v>1540040</v>
      </c>
      <c r="T1821" s="3">
        <v>1135673706</v>
      </c>
      <c r="U1821" s="3" t="s">
        <v>29</v>
      </c>
    </row>
    <row r="1822" spans="1:21" ht="13.2" x14ac:dyDescent="0.25">
      <c r="A1822" s="14">
        <v>13024103000133</v>
      </c>
      <c r="B1822" s="15" t="str">
        <f t="shared" si="28"/>
        <v>13.024.103/0001-33</v>
      </c>
      <c r="C1822" s="12"/>
      <c r="D1822" s="3" t="s">
        <v>6908</v>
      </c>
      <c r="E1822" s="3" t="s">
        <v>6909</v>
      </c>
      <c r="F1822" s="3" t="s">
        <v>20</v>
      </c>
      <c r="G1822" s="4">
        <v>40469</v>
      </c>
      <c r="H1822" s="3" t="s">
        <v>21</v>
      </c>
      <c r="I1822" s="3" t="s">
        <v>22</v>
      </c>
      <c r="J1822" s="5">
        <v>15000</v>
      </c>
      <c r="K1822" s="3">
        <v>4649408</v>
      </c>
      <c r="L1822" s="3" t="s">
        <v>464</v>
      </c>
      <c r="M1822" s="3" t="s">
        <v>3144</v>
      </c>
      <c r="N1822" s="3">
        <v>645</v>
      </c>
      <c r="O1822" s="3" t="s">
        <v>6910</v>
      </c>
      <c r="P1822" s="3" t="s">
        <v>2279</v>
      </c>
      <c r="Q1822" s="3" t="s">
        <v>617</v>
      </c>
      <c r="R1822" s="3" t="s">
        <v>28</v>
      </c>
      <c r="S1822" s="3">
        <v>6454080</v>
      </c>
      <c r="T1822" s="3">
        <v>1141843925</v>
      </c>
      <c r="U1822" s="3" t="s">
        <v>29</v>
      </c>
    </row>
    <row r="1823" spans="1:21" ht="13.2" x14ac:dyDescent="0.25">
      <c r="A1823" s="14">
        <v>7758095000156</v>
      </c>
      <c r="B1823" s="15" t="str">
        <f t="shared" si="28"/>
        <v>07.758.095/0001-56</v>
      </c>
      <c r="C1823" s="12"/>
      <c r="D1823" s="3" t="s">
        <v>6911</v>
      </c>
      <c r="E1823" s="3" t="s">
        <v>6912</v>
      </c>
      <c r="F1823" s="3" t="s">
        <v>20</v>
      </c>
      <c r="G1823" s="4">
        <v>38644</v>
      </c>
      <c r="H1823" s="3" t="s">
        <v>21</v>
      </c>
      <c r="I1823" s="3" t="s">
        <v>22</v>
      </c>
      <c r="J1823" s="5">
        <v>250000</v>
      </c>
      <c r="K1823" s="3">
        <v>4530703</v>
      </c>
      <c r="L1823" s="3" t="s">
        <v>768</v>
      </c>
      <c r="M1823" s="3" t="s">
        <v>6913</v>
      </c>
      <c r="N1823" s="3">
        <v>790</v>
      </c>
      <c r="P1823" s="3" t="s">
        <v>6914</v>
      </c>
      <c r="Q1823" s="3" t="s">
        <v>204</v>
      </c>
      <c r="R1823" s="3" t="s">
        <v>187</v>
      </c>
      <c r="S1823" s="3">
        <v>81610040</v>
      </c>
      <c r="T1823" s="3">
        <v>4130294320</v>
      </c>
      <c r="U1823" s="3" t="s">
        <v>29</v>
      </c>
    </row>
    <row r="1824" spans="1:21" ht="13.2" x14ac:dyDescent="0.25">
      <c r="A1824" s="14">
        <v>62874094000185</v>
      </c>
      <c r="B1824" s="15" t="str">
        <f t="shared" si="28"/>
        <v>62.874.094/0001-85</v>
      </c>
      <c r="C1824" s="12"/>
      <c r="D1824" s="3" t="s">
        <v>6915</v>
      </c>
      <c r="E1824" s="3" t="s">
        <v>6915</v>
      </c>
      <c r="F1824" s="3" t="s">
        <v>20</v>
      </c>
      <c r="G1824" s="4">
        <v>25804</v>
      </c>
      <c r="H1824" s="3" t="s">
        <v>21</v>
      </c>
      <c r="I1824" s="3" t="s">
        <v>33</v>
      </c>
      <c r="J1824" s="5">
        <v>7900000</v>
      </c>
      <c r="K1824" s="3">
        <v>8011101</v>
      </c>
      <c r="L1824" s="3" t="s">
        <v>943</v>
      </c>
      <c r="M1824" s="3" t="s">
        <v>6916</v>
      </c>
      <c r="N1824" s="3">
        <v>788</v>
      </c>
      <c r="P1824" s="3" t="s">
        <v>6917</v>
      </c>
      <c r="Q1824" s="3" t="s">
        <v>1878</v>
      </c>
      <c r="R1824" s="3" t="s">
        <v>28</v>
      </c>
      <c r="S1824" s="3">
        <v>6803000</v>
      </c>
      <c r="T1824" s="3">
        <v>1147851600</v>
      </c>
      <c r="U1824" s="3" t="s">
        <v>29</v>
      </c>
    </row>
    <row r="1825" spans="1:21" ht="13.2" x14ac:dyDescent="0.25">
      <c r="A1825" s="14">
        <v>8402943000152</v>
      </c>
      <c r="B1825" s="15" t="str">
        <f t="shared" si="28"/>
        <v>08.402.943/0001-52</v>
      </c>
      <c r="C1825" s="12"/>
      <c r="D1825" s="3" t="s">
        <v>6918</v>
      </c>
      <c r="E1825" s="3" t="s">
        <v>1395</v>
      </c>
      <c r="F1825" s="3" t="s">
        <v>20</v>
      </c>
      <c r="G1825" s="4">
        <v>24344</v>
      </c>
      <c r="H1825" s="3" t="s">
        <v>377</v>
      </c>
      <c r="I1825" s="3" t="s">
        <v>33</v>
      </c>
      <c r="J1825" s="5">
        <v>3100000000</v>
      </c>
      <c r="K1825" s="3">
        <v>1412601</v>
      </c>
      <c r="L1825" s="3" t="s">
        <v>1353</v>
      </c>
      <c r="M1825" s="3" t="s">
        <v>6919</v>
      </c>
      <c r="N1825" s="3">
        <v>9000</v>
      </c>
      <c r="O1825" s="3" t="s">
        <v>6920</v>
      </c>
      <c r="P1825" s="3" t="s">
        <v>6921</v>
      </c>
      <c r="Q1825" s="3" t="s">
        <v>2477</v>
      </c>
      <c r="R1825" s="3" t="s">
        <v>1725</v>
      </c>
      <c r="S1825" s="3">
        <v>59115900</v>
      </c>
      <c r="T1825" s="3">
        <v>1122812442</v>
      </c>
      <c r="U1825" s="3" t="s">
        <v>29</v>
      </c>
    </row>
    <row r="1826" spans="1:21" ht="13.2" x14ac:dyDescent="0.25">
      <c r="A1826" s="14">
        <v>42035097000118</v>
      </c>
      <c r="B1826" s="15" t="str">
        <f t="shared" si="28"/>
        <v>42.035.097/0001-18</v>
      </c>
      <c r="C1826" s="12"/>
      <c r="D1826" s="3" t="s">
        <v>6922</v>
      </c>
      <c r="E1826" s="3" t="s">
        <v>6922</v>
      </c>
      <c r="F1826" s="3" t="s">
        <v>20</v>
      </c>
      <c r="G1826" s="4">
        <v>33892</v>
      </c>
      <c r="H1826" s="3" t="s">
        <v>21</v>
      </c>
      <c r="I1826" s="3" t="s">
        <v>33</v>
      </c>
      <c r="J1826" s="5">
        <v>2500000</v>
      </c>
      <c r="K1826" s="3">
        <v>8011101</v>
      </c>
      <c r="L1826" s="3" t="s">
        <v>943</v>
      </c>
      <c r="M1826" s="3" t="s">
        <v>6923</v>
      </c>
      <c r="N1826" s="3">
        <v>489</v>
      </c>
      <c r="O1826" s="3" t="s">
        <v>6924</v>
      </c>
      <c r="P1826" s="3" t="s">
        <v>6925</v>
      </c>
      <c r="Q1826" s="3" t="s">
        <v>5089</v>
      </c>
      <c r="R1826" s="3" t="s">
        <v>281</v>
      </c>
      <c r="S1826" s="3">
        <v>42701330</v>
      </c>
      <c r="T1826" s="3">
        <v>7133698000</v>
      </c>
      <c r="U1826" s="3" t="s">
        <v>29</v>
      </c>
    </row>
    <row r="1827" spans="1:21" ht="13.2" x14ac:dyDescent="0.25">
      <c r="A1827" s="14">
        <v>51372423000173</v>
      </c>
      <c r="B1827" s="15" t="str">
        <f t="shared" si="28"/>
        <v>51.372.423/0001-73</v>
      </c>
      <c r="C1827" s="12" t="str">
        <f>VLOOKUP(B1827,[1]Planilha1!$A:$B,2,0)</f>
        <v>Malu Montesino</v>
      </c>
      <c r="D1827" s="3" t="s">
        <v>6926</v>
      </c>
      <c r="E1827" s="3" t="s">
        <v>6926</v>
      </c>
      <c r="F1827" s="3" t="s">
        <v>20</v>
      </c>
      <c r="G1827" s="4">
        <v>29129</v>
      </c>
      <c r="H1827" s="3" t="s">
        <v>21</v>
      </c>
      <c r="I1827" s="3" t="s">
        <v>33</v>
      </c>
      <c r="J1827" s="5">
        <v>20000000</v>
      </c>
      <c r="K1827" s="3">
        <v>4687703</v>
      </c>
      <c r="L1827" s="3" t="s">
        <v>6927</v>
      </c>
      <c r="M1827" s="3" t="s">
        <v>6928</v>
      </c>
      <c r="N1827" s="3">
        <v>307</v>
      </c>
      <c r="P1827" s="3" t="s">
        <v>5224</v>
      </c>
      <c r="Q1827" s="3" t="s">
        <v>357</v>
      </c>
      <c r="R1827" s="3" t="s">
        <v>28</v>
      </c>
      <c r="S1827" s="3">
        <v>7140010</v>
      </c>
      <c r="T1827" s="3">
        <v>1124049900</v>
      </c>
      <c r="U1827" s="3" t="s">
        <v>29</v>
      </c>
    </row>
    <row r="1828" spans="1:21" ht="13.2" x14ac:dyDescent="0.25">
      <c r="A1828" s="14">
        <v>13921582000190</v>
      </c>
      <c r="B1828" s="15" t="str">
        <f t="shared" si="28"/>
        <v>13.921.582/0001-90</v>
      </c>
      <c r="C1828" s="12"/>
      <c r="D1828" s="3" t="s">
        <v>6929</v>
      </c>
      <c r="E1828" s="3" t="s">
        <v>6929</v>
      </c>
      <c r="F1828" s="3" t="s">
        <v>20</v>
      </c>
      <c r="G1828" s="4">
        <v>40729</v>
      </c>
      <c r="H1828" s="3" t="s">
        <v>21</v>
      </c>
      <c r="I1828" s="3" t="s">
        <v>47</v>
      </c>
      <c r="J1828" s="5">
        <v>60000</v>
      </c>
      <c r="K1828" s="3">
        <v>3101200</v>
      </c>
      <c r="L1828" s="3" t="s">
        <v>359</v>
      </c>
      <c r="M1828" s="3" t="s">
        <v>5944</v>
      </c>
      <c r="N1828" s="3">
        <v>726</v>
      </c>
      <c r="P1828" s="3" t="s">
        <v>70</v>
      </c>
      <c r="Q1828" s="3" t="s">
        <v>6930</v>
      </c>
      <c r="R1828" s="3" t="s">
        <v>28</v>
      </c>
      <c r="S1828" s="3">
        <v>17475001</v>
      </c>
      <c r="T1828" s="3">
        <v>1437370999</v>
      </c>
      <c r="U1828" s="3" t="s">
        <v>29</v>
      </c>
    </row>
    <row r="1829" spans="1:21" ht="13.2" x14ac:dyDescent="0.25">
      <c r="A1829" s="14">
        <v>59519603000147</v>
      </c>
      <c r="B1829" s="15" t="str">
        <f t="shared" si="28"/>
        <v>59.519.603/0001-47</v>
      </c>
      <c r="C1829" s="12" t="str">
        <f>VLOOKUP(B1829,[1]Planilha1!$A:$B,2,0)</f>
        <v>Malu Montesino</v>
      </c>
      <c r="D1829" s="3" t="s">
        <v>6931</v>
      </c>
      <c r="E1829" s="3" t="s">
        <v>6931</v>
      </c>
      <c r="F1829" s="3" t="s">
        <v>20</v>
      </c>
      <c r="G1829" s="4">
        <v>32415</v>
      </c>
      <c r="H1829" s="3" t="s">
        <v>21</v>
      </c>
      <c r="I1829" s="3" t="s">
        <v>33</v>
      </c>
      <c r="J1829" s="5">
        <v>10000000</v>
      </c>
      <c r="K1829" s="3">
        <v>8121400</v>
      </c>
      <c r="L1829" s="3" t="s">
        <v>494</v>
      </c>
      <c r="M1829" s="3" t="s">
        <v>6932</v>
      </c>
      <c r="N1829" s="3">
        <v>702</v>
      </c>
      <c r="P1829" s="3" t="s">
        <v>4806</v>
      </c>
      <c r="Q1829" s="3" t="s">
        <v>27</v>
      </c>
      <c r="R1829" s="3" t="s">
        <v>28</v>
      </c>
      <c r="S1829" s="3">
        <v>1543001</v>
      </c>
      <c r="U1829" s="3" t="s">
        <v>29</v>
      </c>
    </row>
    <row r="1830" spans="1:21" ht="13.2" x14ac:dyDescent="0.25">
      <c r="A1830" s="14">
        <v>3215031000158</v>
      </c>
      <c r="B1830" s="15" t="str">
        <f t="shared" si="28"/>
        <v>03.215.031/0001-58</v>
      </c>
      <c r="C1830" s="12"/>
      <c r="D1830" s="3" t="s">
        <v>6933</v>
      </c>
      <c r="E1830" s="3" t="s">
        <v>6934</v>
      </c>
      <c r="F1830" s="3" t="s">
        <v>20</v>
      </c>
      <c r="G1830" s="4">
        <v>36318</v>
      </c>
      <c r="H1830" s="3" t="s">
        <v>21</v>
      </c>
      <c r="I1830" s="3" t="s">
        <v>33</v>
      </c>
      <c r="J1830" s="5">
        <v>300000</v>
      </c>
      <c r="K1830" s="3">
        <v>4618402</v>
      </c>
      <c r="L1830" s="3" t="s">
        <v>3114</v>
      </c>
      <c r="M1830" s="3" t="s">
        <v>6935</v>
      </c>
      <c r="N1830" s="3">
        <v>67</v>
      </c>
      <c r="O1830" s="3" t="s">
        <v>6066</v>
      </c>
      <c r="P1830" s="3" t="s">
        <v>6936</v>
      </c>
      <c r="Q1830" s="3" t="s">
        <v>471</v>
      </c>
      <c r="R1830" s="3" t="s">
        <v>28</v>
      </c>
      <c r="S1830" s="3">
        <v>9520100</v>
      </c>
      <c r="T1830" s="3">
        <v>1144264532</v>
      </c>
      <c r="U1830" s="3" t="s">
        <v>29</v>
      </c>
    </row>
    <row r="1831" spans="1:21" ht="13.2" x14ac:dyDescent="0.25">
      <c r="A1831" s="14">
        <v>85783272000168</v>
      </c>
      <c r="B1831" s="15" t="str">
        <f t="shared" si="28"/>
        <v>85.783.272/0001-68</v>
      </c>
      <c r="C1831" s="12"/>
      <c r="D1831" s="3" t="s">
        <v>6937</v>
      </c>
      <c r="E1831" s="3" t="s">
        <v>6937</v>
      </c>
      <c r="F1831" s="3" t="s">
        <v>20</v>
      </c>
      <c r="G1831" s="4">
        <v>24893</v>
      </c>
      <c r="H1831" s="3" t="s">
        <v>21</v>
      </c>
      <c r="I1831" s="3" t="s">
        <v>33</v>
      </c>
      <c r="J1831" s="5">
        <v>5100000</v>
      </c>
      <c r="K1831" s="3">
        <v>2522500</v>
      </c>
      <c r="L1831" s="3" t="s">
        <v>6938</v>
      </c>
      <c r="M1831" s="3" t="s">
        <v>6939</v>
      </c>
      <c r="N1831" s="3">
        <v>322</v>
      </c>
      <c r="P1831" s="3" t="s">
        <v>6940</v>
      </c>
      <c r="Q1831" s="3" t="s">
        <v>1123</v>
      </c>
      <c r="R1831" s="3" t="s">
        <v>91</v>
      </c>
      <c r="S1831" s="3">
        <v>89162454</v>
      </c>
      <c r="T1831" s="3">
        <v>4735319005</v>
      </c>
      <c r="U1831" s="3" t="s">
        <v>29</v>
      </c>
    </row>
    <row r="1832" spans="1:21" ht="13.2" x14ac:dyDescent="0.25">
      <c r="A1832" s="14">
        <v>47255183000230</v>
      </c>
      <c r="B1832" s="15" t="str">
        <f t="shared" si="28"/>
        <v>47.255.183/0002-30</v>
      </c>
      <c r="C1832" s="12" t="str">
        <f>VLOOKUP(B1832,[1]Planilha1!$A:$B,2,0)</f>
        <v>Mariane Nascimento</v>
      </c>
      <c r="D1832" s="3" t="s">
        <v>6941</v>
      </c>
      <c r="E1832" s="3" t="s">
        <v>6942</v>
      </c>
      <c r="F1832" s="3" t="s">
        <v>45</v>
      </c>
      <c r="G1832" s="4">
        <v>45218</v>
      </c>
      <c r="H1832" s="3" t="s">
        <v>21</v>
      </c>
      <c r="I1832" s="3" t="s">
        <v>33</v>
      </c>
      <c r="J1832" s="5">
        <v>1000000</v>
      </c>
      <c r="K1832" s="3">
        <v>4644301</v>
      </c>
      <c r="L1832" s="3" t="s">
        <v>326</v>
      </c>
      <c r="M1832" s="3" t="s">
        <v>6943</v>
      </c>
      <c r="N1832" s="3">
        <v>147</v>
      </c>
      <c r="O1832" s="3" t="s">
        <v>6944</v>
      </c>
      <c r="P1832" s="3" t="s">
        <v>6945</v>
      </c>
      <c r="Q1832" s="3" t="s">
        <v>4528</v>
      </c>
      <c r="R1832" s="3" t="s">
        <v>765</v>
      </c>
      <c r="S1832" s="3">
        <v>29173795</v>
      </c>
      <c r="T1832" s="3">
        <v>6240121103</v>
      </c>
      <c r="U1832" s="3" t="s">
        <v>29</v>
      </c>
    </row>
    <row r="1833" spans="1:21" ht="13.2" x14ac:dyDescent="0.25">
      <c r="A1833" s="14">
        <v>33250713000758</v>
      </c>
      <c r="B1833" s="15" t="str">
        <f t="shared" si="28"/>
        <v>33.250.713/0007-58</v>
      </c>
      <c r="C1833" s="12"/>
      <c r="D1833" s="3" t="s">
        <v>6946</v>
      </c>
      <c r="E1833" s="3" t="s">
        <v>6947</v>
      </c>
      <c r="F1833" s="3" t="s">
        <v>20</v>
      </c>
      <c r="G1833" s="4">
        <v>29977</v>
      </c>
      <c r="H1833" s="3" t="s">
        <v>21</v>
      </c>
      <c r="I1833" s="3" t="s">
        <v>33</v>
      </c>
      <c r="J1833" s="5">
        <v>25000000</v>
      </c>
      <c r="K1833" s="3">
        <v>4645101</v>
      </c>
      <c r="L1833" s="3" t="s">
        <v>135</v>
      </c>
      <c r="M1833" s="3" t="s">
        <v>5715</v>
      </c>
      <c r="N1833" s="3">
        <v>550</v>
      </c>
      <c r="O1833" s="3" t="s">
        <v>6948</v>
      </c>
      <c r="P1833" s="3" t="s">
        <v>616</v>
      </c>
      <c r="Q1833" s="3" t="s">
        <v>617</v>
      </c>
      <c r="R1833" s="3" t="s">
        <v>28</v>
      </c>
      <c r="S1833" s="3">
        <v>6460020</v>
      </c>
      <c r="T1833" s="3">
        <v>2121211300</v>
      </c>
      <c r="U1833" s="3" t="s">
        <v>29</v>
      </c>
    </row>
    <row r="1834" spans="1:21" ht="13.2" x14ac:dyDescent="0.25">
      <c r="A1834" s="14">
        <v>73505349000159</v>
      </c>
      <c r="B1834" s="15" t="str">
        <f t="shared" si="28"/>
        <v>73.505.349/0001-59</v>
      </c>
      <c r="C1834" s="12"/>
      <c r="D1834" s="3" t="s">
        <v>6949</v>
      </c>
      <c r="E1834" s="3" t="s">
        <v>6949</v>
      </c>
      <c r="F1834" s="3" t="s">
        <v>20</v>
      </c>
      <c r="G1834" s="4">
        <v>34256</v>
      </c>
      <c r="H1834" s="3" t="s">
        <v>21</v>
      </c>
      <c r="I1834" s="3" t="s">
        <v>33</v>
      </c>
      <c r="J1834" s="5">
        <v>750000</v>
      </c>
      <c r="K1834" s="3">
        <v>7733100</v>
      </c>
      <c r="L1834" s="3" t="s">
        <v>2690</v>
      </c>
      <c r="M1834" s="3" t="s">
        <v>6950</v>
      </c>
      <c r="N1834" s="3">
        <v>55</v>
      </c>
      <c r="O1834" s="3" t="s">
        <v>6951</v>
      </c>
      <c r="P1834" s="3" t="s">
        <v>2207</v>
      </c>
      <c r="Q1834" s="3" t="s">
        <v>27</v>
      </c>
      <c r="R1834" s="3" t="s">
        <v>28</v>
      </c>
      <c r="S1834" s="3">
        <v>2034000</v>
      </c>
      <c r="T1834" s="3">
        <v>6733572600</v>
      </c>
      <c r="U1834" s="3" t="s">
        <v>29</v>
      </c>
    </row>
    <row r="1835" spans="1:21" ht="13.2" x14ac:dyDescent="0.25">
      <c r="A1835" s="14">
        <v>8815559000181</v>
      </c>
      <c r="B1835" s="15" t="str">
        <f t="shared" si="28"/>
        <v>08.815.559/0001-81</v>
      </c>
      <c r="C1835" s="12" t="str">
        <f>VLOOKUP(B1835,[1]Planilha1!$A:$B,2,0)</f>
        <v>Malu Montesino</v>
      </c>
      <c r="D1835" s="3" t="s">
        <v>6952</v>
      </c>
      <c r="E1835" s="3" t="s">
        <v>6953</v>
      </c>
      <c r="F1835" s="3" t="s">
        <v>20</v>
      </c>
      <c r="G1835" s="4">
        <v>39216</v>
      </c>
      <c r="H1835" s="3" t="s">
        <v>21</v>
      </c>
      <c r="I1835" s="3" t="s">
        <v>33</v>
      </c>
      <c r="J1835" s="5">
        <v>100000</v>
      </c>
      <c r="K1835" s="3">
        <v>7112000</v>
      </c>
      <c r="L1835" s="3" t="s">
        <v>276</v>
      </c>
      <c r="M1835" s="3" t="s">
        <v>6954</v>
      </c>
      <c r="N1835" s="3">
        <v>20</v>
      </c>
      <c r="O1835" s="3" t="s">
        <v>6955</v>
      </c>
      <c r="P1835" s="3" t="s">
        <v>2161</v>
      </c>
      <c r="Q1835" s="3" t="s">
        <v>4888</v>
      </c>
      <c r="R1835" s="3" t="s">
        <v>91</v>
      </c>
      <c r="S1835" s="3">
        <v>89700228</v>
      </c>
      <c r="T1835" s="3">
        <v>4934440373</v>
      </c>
      <c r="U1835" s="3" t="s">
        <v>29</v>
      </c>
    </row>
    <row r="1836" spans="1:21" ht="13.2" x14ac:dyDescent="0.25">
      <c r="A1836" s="14">
        <v>46203942000178</v>
      </c>
      <c r="B1836" s="15" t="str">
        <f t="shared" si="28"/>
        <v>46.203.942/0001-78</v>
      </c>
      <c r="C1836" s="12"/>
      <c r="D1836" s="3" t="s">
        <v>6956</v>
      </c>
      <c r="E1836" s="3" t="s">
        <v>6957</v>
      </c>
      <c r="F1836" s="3" t="s">
        <v>20</v>
      </c>
      <c r="G1836" s="4">
        <v>44680</v>
      </c>
      <c r="H1836" s="3" t="s">
        <v>21</v>
      </c>
      <c r="I1836" s="3" t="s">
        <v>47</v>
      </c>
      <c r="J1836" s="5">
        <v>10000</v>
      </c>
      <c r="K1836" s="3">
        <v>8211300</v>
      </c>
      <c r="L1836" s="3" t="s">
        <v>166</v>
      </c>
      <c r="M1836" s="3" t="s">
        <v>6958</v>
      </c>
      <c r="N1836" s="3">
        <v>70</v>
      </c>
      <c r="O1836" s="3" t="s">
        <v>6959</v>
      </c>
      <c r="P1836" s="3" t="s">
        <v>6960</v>
      </c>
      <c r="Q1836" s="3" t="s">
        <v>667</v>
      </c>
      <c r="R1836" s="3" t="s">
        <v>301</v>
      </c>
      <c r="S1836" s="3">
        <v>60175705</v>
      </c>
      <c r="T1836" s="3">
        <v>8598042202</v>
      </c>
      <c r="U1836" s="3" t="s">
        <v>29</v>
      </c>
    </row>
    <row r="1837" spans="1:21" ht="13.2" x14ac:dyDescent="0.25">
      <c r="A1837" s="14">
        <v>21892032000119</v>
      </c>
      <c r="B1837" s="15" t="str">
        <f t="shared" si="28"/>
        <v>21.892.032/0001-19</v>
      </c>
      <c r="C1837" s="12"/>
      <c r="D1837" s="3" t="s">
        <v>6961</v>
      </c>
      <c r="E1837" s="3" t="s">
        <v>6962</v>
      </c>
      <c r="F1837" s="3" t="s">
        <v>20</v>
      </c>
      <c r="G1837" s="4">
        <v>42047</v>
      </c>
      <c r="H1837" s="3" t="s">
        <v>21</v>
      </c>
      <c r="I1837" s="3" t="s">
        <v>33</v>
      </c>
      <c r="J1837" s="5">
        <v>137528300</v>
      </c>
      <c r="K1837" s="3">
        <v>4644301</v>
      </c>
      <c r="L1837" s="3" t="s">
        <v>326</v>
      </c>
      <c r="M1837" s="3" t="s">
        <v>2071</v>
      </c>
      <c r="N1837" s="3">
        <v>3500</v>
      </c>
      <c r="O1837" s="3" t="s">
        <v>6963</v>
      </c>
      <c r="P1837" s="3" t="s">
        <v>252</v>
      </c>
      <c r="Q1837" s="3" t="s">
        <v>253</v>
      </c>
      <c r="R1837" s="3" t="s">
        <v>78</v>
      </c>
      <c r="S1837" s="3">
        <v>22640102</v>
      </c>
      <c r="T1837" s="3">
        <v>2138244747</v>
      </c>
      <c r="U1837" s="3" t="s">
        <v>29</v>
      </c>
    </row>
    <row r="1838" spans="1:21" ht="13.2" x14ac:dyDescent="0.25">
      <c r="A1838" s="14">
        <v>1571702000198</v>
      </c>
      <c r="B1838" s="15" t="str">
        <f t="shared" si="28"/>
        <v>01.571.702/0001-98</v>
      </c>
      <c r="C1838" s="12"/>
      <c r="D1838" s="3" t="s">
        <v>6964</v>
      </c>
      <c r="E1838" s="3" t="s">
        <v>6965</v>
      </c>
      <c r="F1838" s="3" t="s">
        <v>20</v>
      </c>
      <c r="G1838" s="4">
        <v>24623</v>
      </c>
      <c r="H1838" s="3" t="s">
        <v>94</v>
      </c>
      <c r="I1838" s="3" t="s">
        <v>33</v>
      </c>
      <c r="J1838" s="5">
        <v>156486930</v>
      </c>
      <c r="K1838" s="3">
        <v>2121101</v>
      </c>
      <c r="L1838" s="3" t="s">
        <v>233</v>
      </c>
      <c r="M1838" s="3" t="s">
        <v>6966</v>
      </c>
      <c r="N1838" s="3" t="s">
        <v>82</v>
      </c>
      <c r="O1838" s="3" t="s">
        <v>6967</v>
      </c>
      <c r="P1838" s="3" t="s">
        <v>6968</v>
      </c>
      <c r="Q1838" s="3" t="s">
        <v>273</v>
      </c>
      <c r="R1838" s="3" t="s">
        <v>274</v>
      </c>
      <c r="S1838" s="3">
        <v>74775027</v>
      </c>
      <c r="T1838" s="3">
        <v>6232656500</v>
      </c>
      <c r="U1838" s="3" t="s">
        <v>29</v>
      </c>
    </row>
    <row r="1839" spans="1:21" ht="13.2" x14ac:dyDescent="0.25">
      <c r="A1839" s="14">
        <v>7509106000164</v>
      </c>
      <c r="B1839" s="15" t="str">
        <f t="shared" si="28"/>
        <v>07.509.106/0001-64</v>
      </c>
      <c r="C1839" s="12"/>
      <c r="D1839" s="3" t="s">
        <v>6969</v>
      </c>
      <c r="E1839" s="3" t="s">
        <v>6970</v>
      </c>
      <c r="F1839" s="3" t="s">
        <v>20</v>
      </c>
      <c r="G1839" s="4">
        <v>38510</v>
      </c>
      <c r="H1839" s="3" t="s">
        <v>21</v>
      </c>
      <c r="I1839" s="3" t="s">
        <v>33</v>
      </c>
      <c r="J1839" s="5">
        <v>4602258</v>
      </c>
      <c r="K1839" s="3">
        <v>7112000</v>
      </c>
      <c r="L1839" s="3" t="s">
        <v>276</v>
      </c>
      <c r="M1839" s="3" t="s">
        <v>2066</v>
      </c>
      <c r="N1839" s="3">
        <v>817</v>
      </c>
      <c r="O1839" s="3" t="s">
        <v>6971</v>
      </c>
      <c r="P1839" s="3" t="s">
        <v>2067</v>
      </c>
      <c r="Q1839" s="3" t="s">
        <v>27</v>
      </c>
      <c r="R1839" s="3" t="s">
        <v>28</v>
      </c>
      <c r="S1839" s="3">
        <v>4514041</v>
      </c>
      <c r="T1839" s="3">
        <v>1155811088</v>
      </c>
      <c r="U1839" s="3" t="s">
        <v>29</v>
      </c>
    </row>
    <row r="1840" spans="1:21" ht="13.2" x14ac:dyDescent="0.25">
      <c r="A1840" s="14">
        <v>3485692000101</v>
      </c>
      <c r="B1840" s="15" t="str">
        <f t="shared" si="28"/>
        <v>03.485.692/0001-01</v>
      </c>
      <c r="C1840" s="12"/>
      <c r="D1840" s="3" t="s">
        <v>6972</v>
      </c>
      <c r="E1840" s="3" t="s">
        <v>6972</v>
      </c>
      <c r="F1840" s="3" t="s">
        <v>20</v>
      </c>
      <c r="G1840" s="4">
        <v>36468</v>
      </c>
      <c r="H1840" s="3" t="s">
        <v>21</v>
      </c>
      <c r="I1840" s="3" t="s">
        <v>33</v>
      </c>
      <c r="J1840" s="5">
        <v>1200000</v>
      </c>
      <c r="K1840" s="3">
        <v>4663000</v>
      </c>
      <c r="L1840" s="3" t="s">
        <v>128</v>
      </c>
      <c r="M1840" s="3" t="s">
        <v>6973</v>
      </c>
      <c r="N1840" s="7">
        <v>2461</v>
      </c>
      <c r="P1840" s="3" t="s">
        <v>2014</v>
      </c>
      <c r="Q1840" s="3" t="s">
        <v>2015</v>
      </c>
      <c r="R1840" s="3" t="s">
        <v>91</v>
      </c>
      <c r="S1840" s="3">
        <v>89066010</v>
      </c>
      <c r="T1840" s="3">
        <v>4733216300</v>
      </c>
      <c r="U1840" s="3" t="s">
        <v>29</v>
      </c>
    </row>
    <row r="1841" spans="1:21" ht="13.2" x14ac:dyDescent="0.25">
      <c r="A1841" s="14">
        <v>5678146000104</v>
      </c>
      <c r="B1841" s="15" t="str">
        <f t="shared" si="28"/>
        <v>05.678.146/0001-04</v>
      </c>
      <c r="C1841" s="12"/>
      <c r="D1841" s="3" t="s">
        <v>6974</v>
      </c>
      <c r="E1841" s="3" t="s">
        <v>6974</v>
      </c>
      <c r="F1841" s="3" t="s">
        <v>20</v>
      </c>
      <c r="G1841" s="4">
        <v>37761</v>
      </c>
      <c r="H1841" s="3" t="s">
        <v>21</v>
      </c>
      <c r="I1841" s="3" t="s">
        <v>33</v>
      </c>
      <c r="J1841" s="5">
        <v>501000</v>
      </c>
      <c r="K1841" s="3">
        <v>4645101</v>
      </c>
      <c r="L1841" s="3" t="s">
        <v>135</v>
      </c>
      <c r="M1841" s="3" t="s">
        <v>6975</v>
      </c>
      <c r="N1841" s="3">
        <v>351</v>
      </c>
      <c r="P1841" s="3" t="s">
        <v>593</v>
      </c>
      <c r="Q1841" s="3" t="s">
        <v>27</v>
      </c>
      <c r="R1841" s="3" t="s">
        <v>28</v>
      </c>
      <c r="S1841" s="3">
        <v>4727040</v>
      </c>
      <c r="T1841" s="3">
        <v>1156420587</v>
      </c>
      <c r="U1841" s="3" t="s">
        <v>29</v>
      </c>
    </row>
    <row r="1842" spans="1:21" ht="13.2" x14ac:dyDescent="0.25">
      <c r="A1842" s="14">
        <v>96452545000108</v>
      </c>
      <c r="B1842" s="15" t="str">
        <f t="shared" si="28"/>
        <v>96.452.545/0001-08</v>
      </c>
      <c r="C1842" s="12" t="str">
        <f>VLOOKUP(B1842,[1]Planilha1!$A:$B,2,0)</f>
        <v>Malu Montesino</v>
      </c>
      <c r="D1842" s="3" t="s">
        <v>6976</v>
      </c>
      <c r="E1842" s="3" t="s">
        <v>6976</v>
      </c>
      <c r="F1842" s="3" t="s">
        <v>45</v>
      </c>
      <c r="G1842" s="4">
        <v>34060</v>
      </c>
      <c r="H1842" s="3" t="s">
        <v>21</v>
      </c>
      <c r="I1842" s="3" t="s">
        <v>33</v>
      </c>
      <c r="J1842" s="5">
        <v>10690183</v>
      </c>
      <c r="K1842" s="3">
        <v>5232000</v>
      </c>
      <c r="L1842" s="3" t="s">
        <v>700</v>
      </c>
      <c r="M1842" s="3" t="s">
        <v>3037</v>
      </c>
      <c r="N1842" s="3">
        <v>145</v>
      </c>
      <c r="O1842" s="3" t="s">
        <v>6977</v>
      </c>
      <c r="P1842" s="3" t="s">
        <v>70</v>
      </c>
      <c r="Q1842" s="3" t="s">
        <v>294</v>
      </c>
      <c r="R1842" s="3" t="s">
        <v>28</v>
      </c>
      <c r="S1842" s="3">
        <v>11010151</v>
      </c>
      <c r="T1842" s="3">
        <v>1135244500</v>
      </c>
      <c r="U1842" s="3" t="s">
        <v>29</v>
      </c>
    </row>
    <row r="1843" spans="1:21" ht="13.2" x14ac:dyDescent="0.25">
      <c r="A1843" s="14">
        <v>34175527000179</v>
      </c>
      <c r="B1843" s="15" t="str">
        <f t="shared" si="28"/>
        <v>34.175.527/0001-79</v>
      </c>
      <c r="C1843" s="12" t="str">
        <f>VLOOKUP(B1843,[1]Planilha1!$A:$B,2,0)</f>
        <v>Malu Montesino</v>
      </c>
      <c r="D1843" s="3" t="s">
        <v>6978</v>
      </c>
      <c r="E1843" s="3" t="s">
        <v>6979</v>
      </c>
      <c r="F1843" s="3" t="s">
        <v>20</v>
      </c>
      <c r="G1843" s="4">
        <v>43657</v>
      </c>
      <c r="H1843" s="3" t="s">
        <v>21</v>
      </c>
      <c r="I1843" s="3" t="s">
        <v>33</v>
      </c>
      <c r="J1843" s="5">
        <v>250000</v>
      </c>
      <c r="K1843" s="3">
        <v>4633801</v>
      </c>
      <c r="L1843" s="3" t="s">
        <v>750</v>
      </c>
      <c r="M1843" s="3" t="s">
        <v>6980</v>
      </c>
      <c r="N1843" s="3">
        <v>232</v>
      </c>
      <c r="O1843" s="3" t="s">
        <v>496</v>
      </c>
      <c r="P1843" s="3" t="s">
        <v>536</v>
      </c>
      <c r="Q1843" s="3" t="s">
        <v>2031</v>
      </c>
      <c r="R1843" s="3" t="s">
        <v>456</v>
      </c>
      <c r="S1843" s="3">
        <v>56302450</v>
      </c>
      <c r="T1843" s="3">
        <v>8796836701</v>
      </c>
      <c r="U1843" s="3" t="s">
        <v>29</v>
      </c>
    </row>
    <row r="1844" spans="1:21" ht="13.2" x14ac:dyDescent="0.25">
      <c r="A1844" s="14">
        <v>461255000151</v>
      </c>
      <c r="B1844" s="15" t="str">
        <f t="shared" si="28"/>
        <v>00.461.255/0001-51</v>
      </c>
      <c r="C1844" s="12"/>
      <c r="D1844" s="3" t="s">
        <v>6981</v>
      </c>
      <c r="E1844" s="3" t="s">
        <v>6981</v>
      </c>
      <c r="F1844" s="3" t="s">
        <v>20</v>
      </c>
      <c r="G1844" s="4">
        <v>34730</v>
      </c>
      <c r="H1844" s="3" t="s">
        <v>21</v>
      </c>
      <c r="I1844" s="3" t="s">
        <v>22</v>
      </c>
      <c r="J1844" s="5">
        <v>4000000</v>
      </c>
      <c r="K1844" s="3">
        <v>4751201</v>
      </c>
      <c r="L1844" s="3" t="s">
        <v>23</v>
      </c>
      <c r="M1844" s="3" t="s">
        <v>6982</v>
      </c>
      <c r="N1844" s="3">
        <v>687</v>
      </c>
      <c r="O1844" s="3" t="s">
        <v>6983</v>
      </c>
      <c r="P1844" s="3" t="s">
        <v>6420</v>
      </c>
      <c r="Q1844" s="3" t="s">
        <v>1640</v>
      </c>
      <c r="R1844" s="3" t="s">
        <v>78</v>
      </c>
      <c r="S1844" s="3">
        <v>24230321</v>
      </c>
      <c r="T1844" s="3">
        <v>2127292909</v>
      </c>
      <c r="U1844" s="3" t="s">
        <v>29</v>
      </c>
    </row>
    <row r="1845" spans="1:21" ht="13.2" x14ac:dyDescent="0.25">
      <c r="A1845" s="14">
        <v>21072669000169</v>
      </c>
      <c r="B1845" s="15" t="str">
        <f t="shared" si="28"/>
        <v>21.072.669/0001-69</v>
      </c>
      <c r="C1845" s="12"/>
      <c r="D1845" s="3" t="s">
        <v>6984</v>
      </c>
      <c r="E1845" s="3" t="s">
        <v>6985</v>
      </c>
      <c r="F1845" s="3" t="s">
        <v>20</v>
      </c>
      <c r="G1845" s="4">
        <v>41901</v>
      </c>
      <c r="H1845" s="3" t="s">
        <v>21</v>
      </c>
      <c r="I1845" s="3" t="s">
        <v>33</v>
      </c>
      <c r="J1845" s="5">
        <v>487055940</v>
      </c>
      <c r="K1845" s="3">
        <v>1093702</v>
      </c>
      <c r="L1845" s="3" t="s">
        <v>6986</v>
      </c>
      <c r="M1845" s="3" t="s">
        <v>6987</v>
      </c>
      <c r="N1845" s="3" t="s">
        <v>6988</v>
      </c>
      <c r="O1845" s="3" t="s">
        <v>6989</v>
      </c>
      <c r="P1845" s="3" t="s">
        <v>6990</v>
      </c>
      <c r="Q1845" s="3" t="s">
        <v>324</v>
      </c>
      <c r="R1845" s="3" t="s">
        <v>28</v>
      </c>
      <c r="S1845" s="3">
        <v>17034400</v>
      </c>
      <c r="T1845" s="3">
        <v>1433662430</v>
      </c>
      <c r="U1845" s="3" t="s">
        <v>29</v>
      </c>
    </row>
    <row r="1846" spans="1:21" ht="13.2" x14ac:dyDescent="0.25">
      <c r="A1846" s="14">
        <v>2273580000116</v>
      </c>
      <c r="B1846" s="15" t="str">
        <f t="shared" si="28"/>
        <v>02.273.580/0001-16</v>
      </c>
      <c r="C1846" s="12"/>
      <c r="D1846" s="3" t="s">
        <v>6991</v>
      </c>
      <c r="E1846" s="3" t="s">
        <v>6992</v>
      </c>
      <c r="F1846" s="3" t="s">
        <v>20</v>
      </c>
      <c r="G1846" s="4">
        <v>35768</v>
      </c>
      <c r="H1846" s="3" t="s">
        <v>21</v>
      </c>
      <c r="I1846" s="3" t="s">
        <v>33</v>
      </c>
      <c r="J1846" s="5">
        <v>203139400</v>
      </c>
      <c r="K1846" s="3">
        <v>3091101</v>
      </c>
      <c r="L1846" s="3" t="s">
        <v>6446</v>
      </c>
      <c r="M1846" s="3" t="s">
        <v>6993</v>
      </c>
      <c r="N1846" s="3">
        <v>2615</v>
      </c>
      <c r="O1846" s="3" t="s">
        <v>6994</v>
      </c>
      <c r="P1846" s="3" t="s">
        <v>6995</v>
      </c>
      <c r="Q1846" s="3" t="s">
        <v>448</v>
      </c>
      <c r="R1846" s="3" t="s">
        <v>449</v>
      </c>
      <c r="S1846" s="3">
        <v>69037005</v>
      </c>
      <c r="T1846" s="3">
        <v>9252126800</v>
      </c>
      <c r="U1846" s="3" t="s">
        <v>29</v>
      </c>
    </row>
    <row r="1847" spans="1:21" ht="13.2" x14ac:dyDescent="0.25">
      <c r="A1847" s="14">
        <v>30218553000186</v>
      </c>
      <c r="B1847" s="15" t="str">
        <f t="shared" si="28"/>
        <v>30.218.553/0001-86</v>
      </c>
      <c r="C1847" s="12"/>
      <c r="D1847" s="3" t="s">
        <v>6996</v>
      </c>
      <c r="E1847" s="3" t="s">
        <v>6996</v>
      </c>
      <c r="F1847" s="3" t="s">
        <v>20</v>
      </c>
      <c r="G1847" s="4">
        <v>43207</v>
      </c>
      <c r="H1847" s="3" t="s">
        <v>21</v>
      </c>
      <c r="I1847" s="3" t="s">
        <v>47</v>
      </c>
      <c r="J1847" s="5">
        <v>100000</v>
      </c>
      <c r="K1847" s="3">
        <v>4530703</v>
      </c>
      <c r="L1847" s="3" t="s">
        <v>768</v>
      </c>
      <c r="M1847" s="3" t="s">
        <v>6997</v>
      </c>
      <c r="N1847" s="3">
        <v>417</v>
      </c>
      <c r="P1847" s="3" t="s">
        <v>6998</v>
      </c>
      <c r="Q1847" s="3" t="s">
        <v>65</v>
      </c>
      <c r="R1847" s="3" t="s">
        <v>28</v>
      </c>
      <c r="S1847" s="3">
        <v>13068601</v>
      </c>
      <c r="T1847" s="3">
        <v>1921297444</v>
      </c>
      <c r="U1847" s="3" t="s">
        <v>29</v>
      </c>
    </row>
    <row r="1848" spans="1:21" ht="13.2" x14ac:dyDescent="0.25">
      <c r="A1848" s="14">
        <v>30667695000120</v>
      </c>
      <c r="B1848" s="15" t="str">
        <f t="shared" si="28"/>
        <v>30.667.695/0001-20</v>
      </c>
      <c r="C1848" s="12"/>
      <c r="D1848" s="3" t="s">
        <v>6999</v>
      </c>
      <c r="E1848" s="3" t="s">
        <v>6999</v>
      </c>
      <c r="F1848" s="3" t="s">
        <v>20</v>
      </c>
      <c r="G1848" s="4">
        <v>29446</v>
      </c>
      <c r="H1848" s="3" t="s">
        <v>21</v>
      </c>
      <c r="I1848" s="3" t="s">
        <v>33</v>
      </c>
      <c r="J1848" s="5">
        <v>33322894</v>
      </c>
      <c r="K1848" s="3">
        <v>3250705</v>
      </c>
      <c r="L1848" s="3" t="s">
        <v>2420</v>
      </c>
      <c r="M1848" s="3" t="s">
        <v>7000</v>
      </c>
      <c r="N1848" s="3">
        <v>1410</v>
      </c>
      <c r="P1848" s="3" t="s">
        <v>7001</v>
      </c>
      <c r="Q1848" s="3" t="s">
        <v>7002</v>
      </c>
      <c r="R1848" s="3" t="s">
        <v>78</v>
      </c>
      <c r="S1848" s="3">
        <v>24751000</v>
      </c>
      <c r="T1848" s="3">
        <v>2121997555</v>
      </c>
      <c r="U1848" s="3" t="s">
        <v>29</v>
      </c>
    </row>
    <row r="1849" spans="1:21" ht="13.2" x14ac:dyDescent="0.25">
      <c r="A1849" s="14">
        <v>3721772000100</v>
      </c>
      <c r="B1849" s="15" t="str">
        <f t="shared" si="28"/>
        <v>03.721.772/0001-00</v>
      </c>
      <c r="C1849" s="12"/>
      <c r="D1849" s="3" t="s">
        <v>7003</v>
      </c>
      <c r="E1849" s="3" t="s">
        <v>7004</v>
      </c>
      <c r="F1849" s="3" t="s">
        <v>20</v>
      </c>
      <c r="G1849" s="4">
        <v>36609</v>
      </c>
      <c r="H1849" s="3" t="s">
        <v>21</v>
      </c>
      <c r="I1849" s="3" t="s">
        <v>33</v>
      </c>
      <c r="J1849" s="5">
        <v>1000000</v>
      </c>
      <c r="K1849" s="3">
        <v>4120400</v>
      </c>
      <c r="L1849" s="3" t="s">
        <v>87</v>
      </c>
      <c r="M1849" s="3" t="s">
        <v>7005</v>
      </c>
      <c r="N1849" s="3">
        <v>2369</v>
      </c>
      <c r="O1849" s="3" t="s">
        <v>7006</v>
      </c>
      <c r="P1849" s="3" t="s">
        <v>545</v>
      </c>
      <c r="Q1849" s="3" t="s">
        <v>27</v>
      </c>
      <c r="R1849" s="3" t="s">
        <v>28</v>
      </c>
      <c r="S1849" s="3">
        <v>1452922</v>
      </c>
      <c r="T1849" s="3">
        <v>1135623615</v>
      </c>
      <c r="U1849" s="3" t="s">
        <v>29</v>
      </c>
    </row>
    <row r="1850" spans="1:21" ht="13.2" x14ac:dyDescent="0.25">
      <c r="A1850" s="14">
        <v>20748696000146</v>
      </c>
      <c r="B1850" s="15" t="str">
        <f t="shared" si="28"/>
        <v>20.748.696/0001-46</v>
      </c>
      <c r="C1850" s="12"/>
      <c r="D1850" s="3" t="s">
        <v>7007</v>
      </c>
      <c r="E1850" s="3" t="s">
        <v>7008</v>
      </c>
      <c r="F1850" s="3" t="s">
        <v>20</v>
      </c>
      <c r="G1850" s="4">
        <v>41851</v>
      </c>
      <c r="H1850" s="3" t="s">
        <v>21</v>
      </c>
      <c r="I1850" s="3" t="s">
        <v>33</v>
      </c>
      <c r="J1850" s="5">
        <v>100000</v>
      </c>
      <c r="K1850" s="3">
        <v>2731700</v>
      </c>
      <c r="L1850" s="3" t="s">
        <v>440</v>
      </c>
      <c r="M1850" s="3" t="s">
        <v>7009</v>
      </c>
      <c r="N1850" s="3">
        <v>1230</v>
      </c>
      <c r="P1850" s="3" t="s">
        <v>7010</v>
      </c>
      <c r="Q1850" s="3" t="s">
        <v>7011</v>
      </c>
      <c r="R1850" s="3" t="s">
        <v>28</v>
      </c>
      <c r="S1850" s="3">
        <v>18557442</v>
      </c>
      <c r="T1850" s="3">
        <v>1532681773</v>
      </c>
      <c r="U1850" s="3" t="s">
        <v>29</v>
      </c>
    </row>
    <row r="1851" spans="1:21" ht="13.2" x14ac:dyDescent="0.25">
      <c r="A1851" s="14">
        <v>46813566000133</v>
      </c>
      <c r="B1851" s="15" t="str">
        <f t="shared" si="28"/>
        <v>46.813.566/0001-33</v>
      </c>
      <c r="C1851" s="12"/>
      <c r="D1851" s="3" t="s">
        <v>7012</v>
      </c>
      <c r="E1851" s="3" t="s">
        <v>7013</v>
      </c>
      <c r="F1851" s="3" t="s">
        <v>20</v>
      </c>
      <c r="G1851" s="4">
        <v>44729</v>
      </c>
      <c r="H1851" s="3" t="s">
        <v>21</v>
      </c>
      <c r="I1851" s="3" t="s">
        <v>47</v>
      </c>
      <c r="J1851" s="5">
        <v>20000</v>
      </c>
      <c r="K1851" s="3">
        <v>8211300</v>
      </c>
      <c r="L1851" s="3" t="s">
        <v>166</v>
      </c>
      <c r="M1851" s="3" t="s">
        <v>7014</v>
      </c>
      <c r="N1851" s="3" t="s">
        <v>111</v>
      </c>
      <c r="O1851" s="3" t="s">
        <v>7015</v>
      </c>
      <c r="P1851" s="3" t="s">
        <v>7016</v>
      </c>
      <c r="Q1851" s="3" t="s">
        <v>7017</v>
      </c>
      <c r="R1851" s="3" t="s">
        <v>100</v>
      </c>
      <c r="S1851" s="3">
        <v>35667000</v>
      </c>
      <c r="T1851" s="3">
        <v>3791258091</v>
      </c>
      <c r="U1851" s="3" t="s">
        <v>29</v>
      </c>
    </row>
    <row r="1852" spans="1:21" ht="13.2" x14ac:dyDescent="0.25">
      <c r="A1852" s="14">
        <v>12998627000162</v>
      </c>
      <c r="B1852" s="15" t="str">
        <f t="shared" si="28"/>
        <v>12.998.627/0001-62</v>
      </c>
      <c r="C1852" s="12"/>
      <c r="D1852" s="3" t="s">
        <v>7018</v>
      </c>
      <c r="E1852" s="3" t="s">
        <v>7018</v>
      </c>
      <c r="F1852" s="3" t="s">
        <v>20</v>
      </c>
      <c r="G1852" s="4">
        <v>40486</v>
      </c>
      <c r="H1852" s="3" t="s">
        <v>21</v>
      </c>
      <c r="I1852" s="3" t="s">
        <v>22</v>
      </c>
      <c r="J1852" s="5">
        <v>240000</v>
      </c>
      <c r="K1852" s="3">
        <v>4930202</v>
      </c>
      <c r="L1852" s="3" t="s">
        <v>2603</v>
      </c>
      <c r="M1852" s="3" t="s">
        <v>5026</v>
      </c>
      <c r="N1852" s="3">
        <v>68</v>
      </c>
      <c r="P1852" s="3" t="s">
        <v>5027</v>
      </c>
      <c r="Q1852" s="3" t="s">
        <v>27</v>
      </c>
      <c r="R1852" s="3" t="s">
        <v>28</v>
      </c>
      <c r="S1852" s="3">
        <v>5117100</v>
      </c>
      <c r="T1852" s="3">
        <v>1126392317</v>
      </c>
      <c r="U1852" s="3" t="s">
        <v>29</v>
      </c>
    </row>
    <row r="1853" spans="1:21" ht="13.2" x14ac:dyDescent="0.25">
      <c r="A1853" s="14">
        <v>3442397000160</v>
      </c>
      <c r="B1853" s="15" t="str">
        <f t="shared" si="28"/>
        <v>03.442.397/0001-60</v>
      </c>
      <c r="C1853" s="12"/>
      <c r="D1853" s="3" t="s">
        <v>7019</v>
      </c>
      <c r="E1853" s="3" t="s">
        <v>7019</v>
      </c>
      <c r="F1853" s="3" t="s">
        <v>20</v>
      </c>
      <c r="G1853" s="4">
        <v>36440</v>
      </c>
      <c r="H1853" s="3" t="s">
        <v>21</v>
      </c>
      <c r="I1853" s="3" t="s">
        <v>33</v>
      </c>
      <c r="J1853" s="5">
        <v>1300000</v>
      </c>
      <c r="K1853" s="3">
        <v>4684299</v>
      </c>
      <c r="L1853" s="3" t="s">
        <v>419</v>
      </c>
      <c r="M1853" s="3" t="s">
        <v>7020</v>
      </c>
      <c r="N1853" s="3">
        <v>379</v>
      </c>
      <c r="P1853" s="3" t="s">
        <v>7021</v>
      </c>
      <c r="Q1853" s="3" t="s">
        <v>27</v>
      </c>
      <c r="R1853" s="3" t="s">
        <v>28</v>
      </c>
      <c r="S1853" s="3">
        <v>4728060</v>
      </c>
      <c r="T1853" s="3">
        <v>1621058222</v>
      </c>
      <c r="U1853" s="3" t="s">
        <v>29</v>
      </c>
    </row>
    <row r="1854" spans="1:21" ht="13.2" x14ac:dyDescent="0.25">
      <c r="A1854" s="14">
        <v>23729444000168</v>
      </c>
      <c r="B1854" s="15" t="str">
        <f t="shared" si="28"/>
        <v>23.729.444/0001-68</v>
      </c>
      <c r="C1854" s="12" t="str">
        <f>VLOOKUP(B1854,[1]Planilha1!$A:$B,2,0)</f>
        <v>Malu Montesino</v>
      </c>
      <c r="D1854" s="3" t="s">
        <v>7022</v>
      </c>
      <c r="E1854" s="3" t="s">
        <v>7022</v>
      </c>
      <c r="F1854" s="3" t="s">
        <v>20</v>
      </c>
      <c r="G1854" s="4">
        <v>42332</v>
      </c>
      <c r="H1854" s="3" t="s">
        <v>21</v>
      </c>
      <c r="I1854" s="3" t="s">
        <v>33</v>
      </c>
      <c r="J1854" s="5">
        <v>200000</v>
      </c>
      <c r="K1854" s="3">
        <v>2812700</v>
      </c>
      <c r="L1854" s="3" t="s">
        <v>1534</v>
      </c>
      <c r="M1854" s="3" t="s">
        <v>7023</v>
      </c>
      <c r="N1854" s="3">
        <v>1577</v>
      </c>
      <c r="P1854" s="3" t="s">
        <v>7024</v>
      </c>
      <c r="Q1854" s="3" t="s">
        <v>3034</v>
      </c>
      <c r="R1854" s="3" t="s">
        <v>28</v>
      </c>
      <c r="S1854" s="3">
        <v>14800659</v>
      </c>
      <c r="T1854" s="3">
        <v>1634155167</v>
      </c>
      <c r="U1854" s="3" t="s">
        <v>29</v>
      </c>
    </row>
    <row r="1855" spans="1:21" ht="13.2" x14ac:dyDescent="0.25">
      <c r="A1855" s="14">
        <v>20367629000181</v>
      </c>
      <c r="B1855" s="15" t="str">
        <f t="shared" si="28"/>
        <v>20.367.629/0001-81</v>
      </c>
      <c r="C1855" s="12"/>
      <c r="D1855" s="3" t="s">
        <v>7025</v>
      </c>
      <c r="E1855" s="3" t="s">
        <v>7026</v>
      </c>
      <c r="F1855" s="3" t="s">
        <v>20</v>
      </c>
      <c r="G1855" s="4">
        <v>28594</v>
      </c>
      <c r="H1855" s="3" t="s">
        <v>94</v>
      </c>
      <c r="I1855" s="3" t="s">
        <v>33</v>
      </c>
      <c r="J1855" s="5">
        <v>28626178</v>
      </c>
      <c r="K1855" s="3">
        <v>3041500</v>
      </c>
      <c r="L1855" s="3" t="s">
        <v>7027</v>
      </c>
      <c r="M1855" s="3" t="s">
        <v>7028</v>
      </c>
      <c r="N1855" s="3" t="s">
        <v>82</v>
      </c>
      <c r="P1855" s="3" t="s">
        <v>153</v>
      </c>
      <c r="Q1855" s="3" t="s">
        <v>829</v>
      </c>
      <c r="R1855" s="3" t="s">
        <v>100</v>
      </c>
      <c r="S1855" s="3">
        <v>37504900</v>
      </c>
      <c r="T1855" s="3">
        <v>3521434000</v>
      </c>
      <c r="U1855" s="3" t="s">
        <v>29</v>
      </c>
    </row>
    <row r="1856" spans="1:21" ht="13.2" x14ac:dyDescent="0.25">
      <c r="A1856" s="14">
        <v>59300418000167</v>
      </c>
      <c r="B1856" s="15" t="str">
        <f t="shared" si="28"/>
        <v>59.300.418/0001-67</v>
      </c>
      <c r="C1856" s="12"/>
      <c r="D1856" s="3" t="s">
        <v>7029</v>
      </c>
      <c r="E1856" s="3" t="s">
        <v>7029</v>
      </c>
      <c r="F1856" s="3" t="s">
        <v>45</v>
      </c>
      <c r="G1856" s="4">
        <v>32350</v>
      </c>
      <c r="H1856" s="3" t="s">
        <v>21</v>
      </c>
      <c r="I1856" s="3" t="s">
        <v>33</v>
      </c>
      <c r="J1856" s="5">
        <v>9494586</v>
      </c>
      <c r="K1856" s="3">
        <v>3250705</v>
      </c>
      <c r="L1856" s="3" t="s">
        <v>2420</v>
      </c>
      <c r="M1856" s="3" t="s">
        <v>7030</v>
      </c>
      <c r="N1856" s="3">
        <v>222</v>
      </c>
      <c r="O1856" s="3" t="s">
        <v>7031</v>
      </c>
      <c r="P1856" s="3" t="s">
        <v>2313</v>
      </c>
      <c r="Q1856" s="3" t="s">
        <v>2313</v>
      </c>
      <c r="R1856" s="3" t="s">
        <v>28</v>
      </c>
      <c r="S1856" s="3">
        <v>12908829</v>
      </c>
      <c r="T1856" s="3">
        <v>1142267344</v>
      </c>
      <c r="U1856" s="3" t="s">
        <v>29</v>
      </c>
    </row>
    <row r="1857" spans="1:21" ht="13.2" x14ac:dyDescent="0.25">
      <c r="A1857" s="14">
        <v>2777131000105</v>
      </c>
      <c r="B1857" s="15" t="str">
        <f t="shared" si="28"/>
        <v>02.777.131/0001-05</v>
      </c>
      <c r="C1857" s="12" t="str">
        <f>VLOOKUP(B1857,[1]Planilha1!$A:$B,2,0)</f>
        <v>Malu Montesino</v>
      </c>
      <c r="D1857" s="3" t="s">
        <v>7032</v>
      </c>
      <c r="E1857" s="3" t="s">
        <v>7032</v>
      </c>
      <c r="F1857" s="3" t="s">
        <v>20</v>
      </c>
      <c r="G1857" s="4">
        <v>36032</v>
      </c>
      <c r="H1857" s="3" t="s">
        <v>21</v>
      </c>
      <c r="I1857" s="3" t="s">
        <v>33</v>
      </c>
      <c r="J1857" s="5">
        <v>200459760</v>
      </c>
      <c r="K1857" s="3">
        <v>2091600</v>
      </c>
      <c r="L1857" s="3" t="s">
        <v>485</v>
      </c>
      <c r="M1857" s="3" t="s">
        <v>7033</v>
      </c>
      <c r="N1857" s="3">
        <v>91</v>
      </c>
      <c r="P1857" s="3" t="s">
        <v>7034</v>
      </c>
      <c r="Q1857" s="3" t="s">
        <v>7035</v>
      </c>
      <c r="R1857" s="3" t="s">
        <v>28</v>
      </c>
      <c r="S1857" s="3">
        <v>6696070</v>
      </c>
      <c r="T1857" s="3">
        <v>1132057854</v>
      </c>
      <c r="U1857" s="3" t="s">
        <v>29</v>
      </c>
    </row>
    <row r="1858" spans="1:21" ht="13.2" x14ac:dyDescent="0.25">
      <c r="A1858" s="14">
        <v>83748772000133</v>
      </c>
      <c r="B1858" s="15" t="str">
        <f t="shared" si="28"/>
        <v>83.748.772/0001-33</v>
      </c>
      <c r="C1858" s="12"/>
      <c r="D1858" s="3" t="s">
        <v>7036</v>
      </c>
      <c r="E1858" s="3" t="s">
        <v>7036</v>
      </c>
      <c r="F1858" s="3" t="s">
        <v>20</v>
      </c>
      <c r="G1858" s="4">
        <v>29172</v>
      </c>
      <c r="H1858" s="3" t="s">
        <v>21</v>
      </c>
      <c r="I1858" s="3" t="s">
        <v>33</v>
      </c>
      <c r="J1858" s="5">
        <v>89962000</v>
      </c>
      <c r="K1858" s="3">
        <v>4663000</v>
      </c>
      <c r="L1858" s="3" t="s">
        <v>128</v>
      </c>
      <c r="M1858" s="3" t="s">
        <v>7037</v>
      </c>
      <c r="N1858" s="3">
        <v>1116</v>
      </c>
      <c r="P1858" s="3" t="s">
        <v>7038</v>
      </c>
      <c r="Q1858" s="3" t="s">
        <v>2015</v>
      </c>
      <c r="R1858" s="3" t="s">
        <v>91</v>
      </c>
      <c r="S1858" s="3">
        <v>89065101</v>
      </c>
      <c r="T1858" s="3">
        <v>4730365555</v>
      </c>
      <c r="U1858" s="3" t="s">
        <v>29</v>
      </c>
    </row>
    <row r="1859" spans="1:21" ht="13.2" x14ac:dyDescent="0.25">
      <c r="A1859" s="14">
        <v>28655764000134</v>
      </c>
      <c r="B1859" s="15" t="str">
        <f t="shared" ref="B1859:B1922" si="29">TEXT(A1859,"00\.000\.000\/0000\-00")</f>
        <v>28.655.764/0001-34</v>
      </c>
      <c r="C1859" s="12"/>
      <c r="D1859" s="3" t="s">
        <v>7039</v>
      </c>
      <c r="E1859" s="3" t="s">
        <v>7039</v>
      </c>
      <c r="F1859" s="3" t="s">
        <v>20</v>
      </c>
      <c r="G1859" s="4">
        <v>42993</v>
      </c>
      <c r="H1859" s="3" t="s">
        <v>21</v>
      </c>
      <c r="I1859" s="3" t="s">
        <v>47</v>
      </c>
      <c r="J1859" s="5">
        <v>93700</v>
      </c>
      <c r="K1859" s="3">
        <v>4645101</v>
      </c>
      <c r="L1859" s="3" t="s">
        <v>135</v>
      </c>
      <c r="M1859" s="3" t="s">
        <v>7040</v>
      </c>
      <c r="N1859" s="3">
        <v>653</v>
      </c>
      <c r="P1859" s="3" t="s">
        <v>7041</v>
      </c>
      <c r="Q1859" s="3" t="s">
        <v>107</v>
      </c>
      <c r="R1859" s="3" t="s">
        <v>91</v>
      </c>
      <c r="S1859" s="3">
        <v>88070810</v>
      </c>
      <c r="T1859" s="3">
        <v>4830911174</v>
      </c>
      <c r="U1859" s="3" t="s">
        <v>29</v>
      </c>
    </row>
    <row r="1860" spans="1:21" ht="13.2" x14ac:dyDescent="0.25">
      <c r="A1860" s="14">
        <v>83141507000192</v>
      </c>
      <c r="B1860" s="15" t="str">
        <f t="shared" si="29"/>
        <v>83.141.507/0001-92</v>
      </c>
      <c r="C1860" s="12"/>
      <c r="D1860" s="3" t="s">
        <v>7042</v>
      </c>
      <c r="E1860" s="3" t="s">
        <v>7042</v>
      </c>
      <c r="F1860" s="3" t="s">
        <v>20</v>
      </c>
      <c r="G1860" s="4">
        <v>27593</v>
      </c>
      <c r="H1860" s="3" t="s">
        <v>94</v>
      </c>
      <c r="I1860" s="3" t="s">
        <v>33</v>
      </c>
      <c r="J1860" s="5">
        <v>92000000</v>
      </c>
      <c r="K1860" s="3">
        <v>2865800</v>
      </c>
      <c r="L1860" s="3" t="s">
        <v>2353</v>
      </c>
      <c r="M1860" s="3" t="s">
        <v>7043</v>
      </c>
      <c r="N1860" s="3">
        <v>1104</v>
      </c>
      <c r="P1860" s="3" t="s">
        <v>7044</v>
      </c>
      <c r="Q1860" s="3" t="s">
        <v>1123</v>
      </c>
      <c r="R1860" s="3" t="s">
        <v>91</v>
      </c>
      <c r="S1860" s="3">
        <v>89162036</v>
      </c>
      <c r="T1860" s="3">
        <v>4735314400</v>
      </c>
      <c r="U1860" s="3" t="s">
        <v>29</v>
      </c>
    </row>
    <row r="1861" spans="1:21" ht="13.2" x14ac:dyDescent="0.25">
      <c r="A1861" s="14">
        <v>13998458000123</v>
      </c>
      <c r="B1861" s="15" t="str">
        <f t="shared" si="29"/>
        <v>13.998.458/0001-23</v>
      </c>
      <c r="C1861" s="12"/>
      <c r="D1861" s="3" t="s">
        <v>7045</v>
      </c>
      <c r="E1861" s="3" t="s">
        <v>7045</v>
      </c>
      <c r="F1861" s="3" t="s">
        <v>45</v>
      </c>
      <c r="G1861" s="4">
        <v>40725</v>
      </c>
      <c r="H1861" s="3" t="s">
        <v>21</v>
      </c>
      <c r="I1861" s="3" t="s">
        <v>33</v>
      </c>
      <c r="J1861" s="5">
        <v>750904</v>
      </c>
      <c r="K1861" s="3">
        <v>8211300</v>
      </c>
      <c r="L1861" s="3" t="s">
        <v>166</v>
      </c>
      <c r="M1861" s="3" t="s">
        <v>7046</v>
      </c>
      <c r="N1861" s="3">
        <v>760</v>
      </c>
      <c r="O1861" s="3" t="s">
        <v>7047</v>
      </c>
      <c r="P1861" s="3" t="s">
        <v>7048</v>
      </c>
      <c r="Q1861" s="3" t="s">
        <v>881</v>
      </c>
      <c r="R1861" s="3" t="s">
        <v>28</v>
      </c>
      <c r="S1861" s="3">
        <v>9372010</v>
      </c>
      <c r="T1861" s="3">
        <v>1145476699</v>
      </c>
      <c r="U1861" s="3" t="s">
        <v>29</v>
      </c>
    </row>
    <row r="1862" spans="1:21" ht="13.2" x14ac:dyDescent="0.25">
      <c r="A1862" s="14">
        <v>10207759000101</v>
      </c>
      <c r="B1862" s="15" t="str">
        <f t="shared" si="29"/>
        <v>10.207.759/0001-01</v>
      </c>
      <c r="C1862" s="12"/>
      <c r="D1862" s="3" t="s">
        <v>7049</v>
      </c>
      <c r="E1862" s="3" t="s">
        <v>7049</v>
      </c>
      <c r="F1862" s="3" t="s">
        <v>20</v>
      </c>
      <c r="G1862" s="4">
        <v>39646</v>
      </c>
      <c r="H1862" s="3" t="s">
        <v>94</v>
      </c>
      <c r="I1862" s="3" t="s">
        <v>33</v>
      </c>
      <c r="J1862" s="5">
        <v>4000000</v>
      </c>
      <c r="K1862" s="3">
        <v>7112000</v>
      </c>
      <c r="L1862" s="3" t="s">
        <v>276</v>
      </c>
      <c r="M1862" s="3" t="s">
        <v>6116</v>
      </c>
      <c r="N1862" s="3">
        <v>654</v>
      </c>
      <c r="O1862" s="3" t="s">
        <v>7050</v>
      </c>
      <c r="P1862" s="3" t="s">
        <v>2207</v>
      </c>
      <c r="Q1862" s="3" t="s">
        <v>27</v>
      </c>
      <c r="R1862" s="3" t="s">
        <v>28</v>
      </c>
      <c r="S1862" s="3">
        <v>2010000</v>
      </c>
      <c r="T1862" s="3">
        <v>1125394351</v>
      </c>
      <c r="U1862" s="3" t="s">
        <v>29</v>
      </c>
    </row>
    <row r="1863" spans="1:21" ht="13.2" x14ac:dyDescent="0.25">
      <c r="A1863" s="14">
        <v>61797924000155</v>
      </c>
      <c r="B1863" s="15" t="str">
        <f t="shared" si="29"/>
        <v>61.797.924/0001-55</v>
      </c>
      <c r="C1863" s="12" t="str">
        <f>VLOOKUP(B1863,[1]Planilha1!$A:$B,2,0)</f>
        <v>Malu Montesino</v>
      </c>
      <c r="D1863" s="3" t="s">
        <v>7051</v>
      </c>
      <c r="E1863" s="3" t="s">
        <v>7051</v>
      </c>
      <c r="F1863" s="3" t="s">
        <v>20</v>
      </c>
      <c r="G1863" s="4">
        <v>25863</v>
      </c>
      <c r="H1863" s="3" t="s">
        <v>21</v>
      </c>
      <c r="I1863" s="3" t="s">
        <v>33</v>
      </c>
      <c r="J1863" s="5">
        <v>334601470</v>
      </c>
      <c r="K1863" s="3">
        <v>4651601</v>
      </c>
      <c r="L1863" s="3" t="s">
        <v>684</v>
      </c>
      <c r="M1863" s="3" t="s">
        <v>1891</v>
      </c>
      <c r="N1863" s="3">
        <v>750</v>
      </c>
      <c r="O1863" s="3" t="s">
        <v>7052</v>
      </c>
      <c r="P1863" s="3" t="s">
        <v>940</v>
      </c>
      <c r="Q1863" s="3" t="s">
        <v>617</v>
      </c>
      <c r="R1863" s="3" t="s">
        <v>28</v>
      </c>
      <c r="S1863" s="3">
        <v>6454000</v>
      </c>
      <c r="T1863" s="3">
        <v>1126578779</v>
      </c>
      <c r="U1863" s="3" t="s">
        <v>29</v>
      </c>
    </row>
    <row r="1864" spans="1:21" ht="13.2" x14ac:dyDescent="0.25">
      <c r="A1864" s="14">
        <v>9507374000172</v>
      </c>
      <c r="B1864" s="15" t="str">
        <f t="shared" si="29"/>
        <v>09.507.374/0001-72</v>
      </c>
      <c r="C1864" s="12"/>
      <c r="D1864" s="3" t="s">
        <v>7053</v>
      </c>
      <c r="E1864" s="3" t="s">
        <v>7054</v>
      </c>
      <c r="F1864" s="3" t="s">
        <v>45</v>
      </c>
      <c r="G1864" s="4">
        <v>39555</v>
      </c>
      <c r="H1864" s="3" t="s">
        <v>21</v>
      </c>
      <c r="I1864" s="3" t="s">
        <v>33</v>
      </c>
      <c r="J1864" s="5">
        <v>1856937</v>
      </c>
      <c r="K1864" s="3">
        <v>7490199</v>
      </c>
      <c r="L1864" s="3" t="s">
        <v>1091</v>
      </c>
      <c r="M1864" s="3" t="s">
        <v>7055</v>
      </c>
      <c r="N1864" s="3">
        <v>161</v>
      </c>
      <c r="O1864" s="3" t="s">
        <v>7056</v>
      </c>
      <c r="P1864" s="3" t="s">
        <v>1740</v>
      </c>
      <c r="Q1864" s="3" t="s">
        <v>27</v>
      </c>
      <c r="R1864" s="3" t="s">
        <v>28</v>
      </c>
      <c r="S1864" s="3">
        <v>5422050</v>
      </c>
      <c r="T1864" s="3">
        <v>1131741770</v>
      </c>
      <c r="U1864" s="3" t="s">
        <v>29</v>
      </c>
    </row>
    <row r="1865" spans="1:21" ht="13.2" x14ac:dyDescent="0.25">
      <c r="A1865" s="14">
        <v>4079384000130</v>
      </c>
      <c r="B1865" s="15" t="str">
        <f t="shared" si="29"/>
        <v>04.079.384/0001-30</v>
      </c>
      <c r="C1865" s="12" t="str">
        <f>VLOOKUP(B1865,[1]Planilha1!$A:$B,2,0)</f>
        <v>Malu Montesino</v>
      </c>
      <c r="D1865" s="3" t="s">
        <v>7057</v>
      </c>
      <c r="E1865" s="3" t="s">
        <v>7058</v>
      </c>
      <c r="F1865" s="3" t="s">
        <v>20</v>
      </c>
      <c r="G1865" s="4">
        <v>36804</v>
      </c>
      <c r="H1865" s="3" t="s">
        <v>21</v>
      </c>
      <c r="I1865" s="3" t="s">
        <v>33</v>
      </c>
      <c r="J1865" s="5">
        <v>23144800</v>
      </c>
      <c r="K1865" s="3">
        <v>2651500</v>
      </c>
      <c r="L1865" s="3" t="s">
        <v>600</v>
      </c>
      <c r="M1865" s="3" t="s">
        <v>4485</v>
      </c>
      <c r="N1865" s="3">
        <v>190</v>
      </c>
      <c r="P1865" s="3" t="s">
        <v>4894</v>
      </c>
      <c r="Q1865" s="3" t="s">
        <v>27</v>
      </c>
      <c r="R1865" s="3" t="s">
        <v>28</v>
      </c>
      <c r="S1865" s="3">
        <v>4671245</v>
      </c>
      <c r="T1865" s="3">
        <v>1155256025</v>
      </c>
      <c r="U1865" s="3" t="s">
        <v>29</v>
      </c>
    </row>
    <row r="1866" spans="1:21" ht="13.2" x14ac:dyDescent="0.25">
      <c r="A1866" s="14">
        <v>53276010000110</v>
      </c>
      <c r="B1866" s="15" t="str">
        <f t="shared" si="29"/>
        <v>53.276.010/0001-10</v>
      </c>
      <c r="C1866" s="12"/>
      <c r="D1866" s="3" t="s">
        <v>7059</v>
      </c>
      <c r="E1866" s="3" t="s">
        <v>7059</v>
      </c>
      <c r="F1866" s="3" t="s">
        <v>20</v>
      </c>
      <c r="G1866" s="4">
        <v>30741</v>
      </c>
      <c r="H1866" s="3" t="s">
        <v>21</v>
      </c>
      <c r="I1866" s="3" t="s">
        <v>33</v>
      </c>
      <c r="J1866" s="5">
        <v>90744056</v>
      </c>
      <c r="K1866" s="3">
        <v>4669999</v>
      </c>
      <c r="L1866" s="3" t="s">
        <v>558</v>
      </c>
      <c r="M1866" s="3" t="s">
        <v>5402</v>
      </c>
      <c r="N1866" s="3">
        <v>385</v>
      </c>
      <c r="P1866" s="3" t="s">
        <v>153</v>
      </c>
      <c r="Q1866" s="3" t="s">
        <v>567</v>
      </c>
      <c r="R1866" s="3" t="s">
        <v>28</v>
      </c>
      <c r="S1866" s="3">
        <v>13213009</v>
      </c>
      <c r="T1866" s="3">
        <v>1145892600</v>
      </c>
      <c r="U1866" s="3" t="s">
        <v>29</v>
      </c>
    </row>
    <row r="1867" spans="1:21" ht="13.2" x14ac:dyDescent="0.25">
      <c r="A1867" s="14">
        <v>8545186000176</v>
      </c>
      <c r="B1867" s="15" t="str">
        <f t="shared" si="29"/>
        <v>08.545.186/0001-76</v>
      </c>
      <c r="C1867" s="12"/>
      <c r="D1867" s="3" t="s">
        <v>7060</v>
      </c>
      <c r="E1867" s="3" t="s">
        <v>7061</v>
      </c>
      <c r="F1867" s="3" t="s">
        <v>20</v>
      </c>
      <c r="G1867" s="4">
        <v>39064</v>
      </c>
      <c r="H1867" s="3" t="s">
        <v>21</v>
      </c>
      <c r="I1867" s="3" t="s">
        <v>33</v>
      </c>
      <c r="J1867" s="5">
        <v>7000000</v>
      </c>
      <c r="K1867" s="3">
        <v>5911199</v>
      </c>
      <c r="L1867" s="3" t="s">
        <v>1969</v>
      </c>
      <c r="M1867" s="3" t="s">
        <v>7062</v>
      </c>
      <c r="N1867" s="3">
        <v>118</v>
      </c>
      <c r="O1867" s="3" t="s">
        <v>7063</v>
      </c>
      <c r="P1867" s="3" t="s">
        <v>630</v>
      </c>
      <c r="Q1867" s="3" t="s">
        <v>631</v>
      </c>
      <c r="R1867" s="3" t="s">
        <v>632</v>
      </c>
      <c r="S1867" s="3">
        <v>70715900</v>
      </c>
      <c r="T1867" s="3">
        <v>6133273777</v>
      </c>
      <c r="U1867" s="3" t="s">
        <v>29</v>
      </c>
    </row>
    <row r="1868" spans="1:21" ht="13.2" x14ac:dyDescent="0.25">
      <c r="A1868" s="14">
        <v>74241019000166</v>
      </c>
      <c r="B1868" s="15" t="str">
        <f t="shared" si="29"/>
        <v>74.241.019/0001-66</v>
      </c>
      <c r="C1868" s="12" t="str">
        <f>VLOOKUP(B1868,[1]Planilha1!$A:$B,2,0)</f>
        <v>Malu Montesino</v>
      </c>
      <c r="D1868" s="3" t="s">
        <v>7064</v>
      </c>
      <c r="E1868" s="3" t="s">
        <v>7065</v>
      </c>
      <c r="F1868" s="3" t="s">
        <v>20</v>
      </c>
      <c r="G1868" s="4">
        <v>34337</v>
      </c>
      <c r="H1868" s="3" t="s">
        <v>21</v>
      </c>
      <c r="I1868" s="3" t="s">
        <v>22</v>
      </c>
      <c r="J1868" s="5">
        <v>600000</v>
      </c>
      <c r="K1868" s="3">
        <v>2093200</v>
      </c>
      <c r="L1868" s="3" t="s">
        <v>913</v>
      </c>
      <c r="M1868" s="3" t="s">
        <v>7066</v>
      </c>
      <c r="N1868" s="3">
        <v>808</v>
      </c>
      <c r="P1868" s="3" t="s">
        <v>1515</v>
      </c>
      <c r="Q1868" s="3" t="s">
        <v>3193</v>
      </c>
      <c r="R1868" s="3" t="s">
        <v>28</v>
      </c>
      <c r="S1868" s="3">
        <v>8772011</v>
      </c>
      <c r="T1868" s="3">
        <v>1127035930</v>
      </c>
      <c r="U1868" s="3" t="s">
        <v>29</v>
      </c>
    </row>
    <row r="1869" spans="1:21" ht="13.2" x14ac:dyDescent="0.25">
      <c r="A1869" s="14">
        <v>44357085000135</v>
      </c>
      <c r="B1869" s="15" t="str">
        <f t="shared" si="29"/>
        <v>44.357.085/0001-35</v>
      </c>
      <c r="C1869" s="12"/>
      <c r="D1869" s="3" t="s">
        <v>7067</v>
      </c>
      <c r="E1869" s="3" t="s">
        <v>7067</v>
      </c>
      <c r="F1869" s="3" t="s">
        <v>20</v>
      </c>
      <c r="G1869" s="4">
        <v>29447</v>
      </c>
      <c r="H1869" s="3" t="s">
        <v>21</v>
      </c>
      <c r="I1869" s="3" t="s">
        <v>33</v>
      </c>
      <c r="J1869" s="5">
        <v>30765000</v>
      </c>
      <c r="K1869" s="3">
        <v>4530701</v>
      </c>
      <c r="L1869" s="3" t="s">
        <v>2176</v>
      </c>
      <c r="M1869" s="3" t="s">
        <v>7068</v>
      </c>
      <c r="N1869" s="3">
        <v>1118</v>
      </c>
      <c r="P1869" s="3" t="s">
        <v>7069</v>
      </c>
      <c r="Q1869" s="3" t="s">
        <v>27</v>
      </c>
      <c r="R1869" s="3" t="s">
        <v>28</v>
      </c>
      <c r="S1869" s="3">
        <v>3118001</v>
      </c>
      <c r="T1869" s="3">
        <v>1126021000</v>
      </c>
      <c r="U1869" s="3" t="s">
        <v>29</v>
      </c>
    </row>
    <row r="1870" spans="1:21" ht="13.2" x14ac:dyDescent="0.25">
      <c r="A1870" s="14">
        <v>8435257000188</v>
      </c>
      <c r="B1870" s="15" t="str">
        <f t="shared" si="29"/>
        <v>08.435.257/0001-88</v>
      </c>
      <c r="C1870" s="12" t="str">
        <f>VLOOKUP(B1870,[1]Planilha1!$A:$B,2,0)</f>
        <v>Malu Montesino</v>
      </c>
      <c r="D1870" s="3" t="s">
        <v>7070</v>
      </c>
      <c r="E1870" s="3" t="s">
        <v>7071</v>
      </c>
      <c r="F1870" s="3" t="s">
        <v>20</v>
      </c>
      <c r="G1870" s="4">
        <v>29846</v>
      </c>
      <c r="H1870" s="3" t="s">
        <v>21</v>
      </c>
      <c r="I1870" s="3" t="s">
        <v>33</v>
      </c>
      <c r="J1870" s="5">
        <v>7000000</v>
      </c>
      <c r="K1870" s="3">
        <v>2832100</v>
      </c>
      <c r="L1870" s="3" t="s">
        <v>2184</v>
      </c>
      <c r="M1870" s="3" t="s">
        <v>7072</v>
      </c>
      <c r="N1870" s="3">
        <v>324</v>
      </c>
      <c r="O1870" s="3" t="s">
        <v>7073</v>
      </c>
      <c r="P1870" s="3" t="s">
        <v>7074</v>
      </c>
      <c r="Q1870" s="3" t="s">
        <v>1846</v>
      </c>
      <c r="R1870" s="3" t="s">
        <v>1847</v>
      </c>
      <c r="S1870" s="3">
        <v>57081585</v>
      </c>
      <c r="T1870" s="3">
        <v>8233243077</v>
      </c>
      <c r="U1870" s="3" t="s">
        <v>29</v>
      </c>
    </row>
    <row r="1871" spans="1:21" ht="13.2" x14ac:dyDescent="0.25">
      <c r="A1871" s="14">
        <v>2187627000129</v>
      </c>
      <c r="B1871" s="15" t="str">
        <f t="shared" si="29"/>
        <v>02.187.627/0001-29</v>
      </c>
      <c r="C1871" s="12"/>
      <c r="D1871" s="3" t="s">
        <v>7075</v>
      </c>
      <c r="E1871" s="3" t="s">
        <v>7076</v>
      </c>
      <c r="F1871" s="3" t="s">
        <v>20</v>
      </c>
      <c r="G1871" s="4">
        <v>35653</v>
      </c>
      <c r="H1871" s="3" t="s">
        <v>21</v>
      </c>
      <c r="I1871" s="3" t="s">
        <v>22</v>
      </c>
      <c r="J1871" s="5">
        <v>50000</v>
      </c>
      <c r="K1871" s="3">
        <v>7112000</v>
      </c>
      <c r="L1871" s="3" t="s">
        <v>276</v>
      </c>
      <c r="M1871" s="3" t="s">
        <v>7077</v>
      </c>
      <c r="N1871" s="3">
        <v>968</v>
      </c>
      <c r="O1871" s="3" t="s">
        <v>7078</v>
      </c>
      <c r="P1871" s="3" t="s">
        <v>7079</v>
      </c>
      <c r="Q1871" s="3" t="s">
        <v>273</v>
      </c>
      <c r="R1871" s="3" t="s">
        <v>274</v>
      </c>
      <c r="S1871" s="3">
        <v>74210030</v>
      </c>
      <c r="T1871" s="3">
        <v>6202853147</v>
      </c>
      <c r="U1871" s="3" t="s">
        <v>29</v>
      </c>
    </row>
    <row r="1872" spans="1:21" ht="13.2" x14ac:dyDescent="0.25">
      <c r="A1872" s="14">
        <v>8406359000175</v>
      </c>
      <c r="B1872" s="15" t="str">
        <f t="shared" si="29"/>
        <v>08.406.359/0001-75</v>
      </c>
      <c r="C1872" s="12" t="str">
        <f>VLOOKUP(B1872,[1]Planilha1!$A:$B,2,0)</f>
        <v>Malu Montesino</v>
      </c>
      <c r="D1872" s="3" t="s">
        <v>7080</v>
      </c>
      <c r="E1872" s="3" t="s">
        <v>7081</v>
      </c>
      <c r="F1872" s="3" t="s">
        <v>20</v>
      </c>
      <c r="G1872" s="4">
        <v>38972</v>
      </c>
      <c r="H1872" s="3" t="s">
        <v>21</v>
      </c>
      <c r="I1872" s="3" t="s">
        <v>33</v>
      </c>
      <c r="J1872" s="5">
        <v>4108000</v>
      </c>
      <c r="K1872" s="3">
        <v>2099199</v>
      </c>
      <c r="L1872" s="3" t="s">
        <v>80</v>
      </c>
      <c r="M1872" s="3" t="s">
        <v>7082</v>
      </c>
      <c r="N1872" s="3" t="s">
        <v>7083</v>
      </c>
      <c r="P1872" s="3" t="s">
        <v>70</v>
      </c>
      <c r="Q1872" s="3" t="s">
        <v>6193</v>
      </c>
      <c r="R1872" s="3" t="s">
        <v>28</v>
      </c>
      <c r="S1872" s="3">
        <v>17250027</v>
      </c>
      <c r="T1872" s="3">
        <v>1632898420</v>
      </c>
      <c r="U1872" s="3" t="s">
        <v>29</v>
      </c>
    </row>
    <row r="1873" spans="1:21" ht="13.2" x14ac:dyDescent="0.25">
      <c r="A1873" s="14">
        <v>13903093000106</v>
      </c>
      <c r="B1873" s="15" t="str">
        <f t="shared" si="29"/>
        <v>13.903.093/0001-06</v>
      </c>
      <c r="C1873" s="12" t="str">
        <f>VLOOKUP(B1873,[1]Planilha1!$A:$B,2,0)</f>
        <v>Malu Montesino</v>
      </c>
      <c r="D1873" s="3" t="s">
        <v>7084</v>
      </c>
      <c r="E1873" s="3" t="s">
        <v>7085</v>
      </c>
      <c r="F1873" s="3" t="s">
        <v>20</v>
      </c>
      <c r="G1873" s="4">
        <v>40722</v>
      </c>
      <c r="H1873" s="3" t="s">
        <v>21</v>
      </c>
      <c r="I1873" s="3" t="s">
        <v>33</v>
      </c>
      <c r="J1873" s="5">
        <v>7000000</v>
      </c>
      <c r="K1873" s="3">
        <v>2825900</v>
      </c>
      <c r="L1873" s="3" t="s">
        <v>345</v>
      </c>
      <c r="M1873" s="3" t="s">
        <v>7086</v>
      </c>
      <c r="N1873" s="3">
        <v>1000</v>
      </c>
      <c r="P1873" s="3" t="s">
        <v>7087</v>
      </c>
      <c r="Q1873" s="3" t="s">
        <v>3579</v>
      </c>
      <c r="R1873" s="3" t="s">
        <v>187</v>
      </c>
      <c r="S1873" s="3">
        <v>86702690</v>
      </c>
      <c r="T1873" s="3">
        <v>4331726578</v>
      </c>
      <c r="U1873" s="3" t="s">
        <v>29</v>
      </c>
    </row>
    <row r="1874" spans="1:21" ht="13.2" x14ac:dyDescent="0.25">
      <c r="A1874" s="14">
        <v>8762826000108</v>
      </c>
      <c r="B1874" s="15" t="str">
        <f t="shared" si="29"/>
        <v>08.762.826/0001-08</v>
      </c>
      <c r="C1874" s="12" t="str">
        <f>VLOOKUP(B1874,[1]Planilha1!$A:$B,2,0)</f>
        <v>Malu Montesino</v>
      </c>
      <c r="D1874" s="3" t="s">
        <v>7088</v>
      </c>
      <c r="E1874" s="3" t="s">
        <v>7089</v>
      </c>
      <c r="F1874" s="3" t="s">
        <v>20</v>
      </c>
      <c r="G1874" s="4">
        <v>39188</v>
      </c>
      <c r="H1874" s="3" t="s">
        <v>94</v>
      </c>
      <c r="I1874" s="3" t="s">
        <v>33</v>
      </c>
      <c r="J1874" s="5">
        <v>26795000</v>
      </c>
      <c r="K1874" s="3">
        <v>3250704</v>
      </c>
      <c r="L1874" s="3" t="s">
        <v>7090</v>
      </c>
      <c r="M1874" s="3" t="s">
        <v>7091</v>
      </c>
      <c r="N1874" s="3">
        <v>1150</v>
      </c>
      <c r="P1874" s="3" t="s">
        <v>7092</v>
      </c>
      <c r="Q1874" s="3" t="s">
        <v>7093</v>
      </c>
      <c r="R1874" s="3" t="s">
        <v>91</v>
      </c>
      <c r="S1874" s="3">
        <v>88495000</v>
      </c>
      <c r="T1874" s="3">
        <v>4832547700</v>
      </c>
      <c r="U1874" s="3" t="s">
        <v>29</v>
      </c>
    </row>
    <row r="1875" spans="1:21" ht="13.2" x14ac:dyDescent="0.25">
      <c r="A1875" s="14">
        <v>66832825000342</v>
      </c>
      <c r="B1875" s="15" t="str">
        <f t="shared" si="29"/>
        <v>66.832.825/0003-42</v>
      </c>
      <c r="C1875" s="12"/>
      <c r="D1875" s="3" t="s">
        <v>7094</v>
      </c>
      <c r="E1875" s="3" t="s">
        <v>7094</v>
      </c>
      <c r="F1875" s="3" t="s">
        <v>20</v>
      </c>
      <c r="G1875" s="4">
        <v>44834</v>
      </c>
      <c r="H1875" s="3" t="s">
        <v>21</v>
      </c>
      <c r="I1875" s="3" t="s">
        <v>33</v>
      </c>
      <c r="J1875" s="5">
        <v>26525800</v>
      </c>
      <c r="K1875" s="3">
        <v>4679604</v>
      </c>
      <c r="L1875" s="3" t="s">
        <v>4648</v>
      </c>
      <c r="M1875" s="3" t="s">
        <v>7095</v>
      </c>
      <c r="N1875" s="3">
        <v>30</v>
      </c>
      <c r="O1875" s="3" t="s">
        <v>7096</v>
      </c>
      <c r="P1875" s="3" t="s">
        <v>7097</v>
      </c>
      <c r="Q1875" s="3" t="s">
        <v>3461</v>
      </c>
      <c r="R1875" s="3" t="s">
        <v>765</v>
      </c>
      <c r="S1875" s="3">
        <v>29111630</v>
      </c>
      <c r="T1875" s="3">
        <v>1936731978</v>
      </c>
      <c r="U1875" s="3" t="s">
        <v>29</v>
      </c>
    </row>
    <row r="1876" spans="1:21" ht="13.2" x14ac:dyDescent="0.25">
      <c r="A1876" s="14">
        <v>35302323000114</v>
      </c>
      <c r="B1876" s="15" t="str">
        <f t="shared" si="29"/>
        <v>35.302.323/0001-14</v>
      </c>
      <c r="C1876" s="12"/>
      <c r="D1876" s="3" t="s">
        <v>7098</v>
      </c>
      <c r="E1876" s="3" t="s">
        <v>7099</v>
      </c>
      <c r="F1876" s="3" t="s">
        <v>20</v>
      </c>
      <c r="G1876" s="4">
        <v>43762</v>
      </c>
      <c r="H1876" s="3" t="s">
        <v>21</v>
      </c>
      <c r="I1876" s="3" t="s">
        <v>22</v>
      </c>
      <c r="J1876" s="5">
        <v>100000</v>
      </c>
      <c r="K1876" s="3">
        <v>4742300</v>
      </c>
      <c r="L1876" s="3" t="s">
        <v>1152</v>
      </c>
      <c r="M1876" s="3" t="s">
        <v>7100</v>
      </c>
      <c r="N1876" s="3">
        <v>151</v>
      </c>
      <c r="O1876" s="3" t="s">
        <v>7101</v>
      </c>
      <c r="P1876" s="3" t="s">
        <v>7102</v>
      </c>
      <c r="Q1876" s="3" t="s">
        <v>536</v>
      </c>
      <c r="R1876" s="3" t="s">
        <v>91</v>
      </c>
      <c r="S1876" s="3">
        <v>88110612</v>
      </c>
      <c r="T1876" s="3">
        <v>4833812929</v>
      </c>
      <c r="U1876" s="3" t="s">
        <v>29</v>
      </c>
    </row>
    <row r="1877" spans="1:21" ht="13.2" x14ac:dyDescent="0.25">
      <c r="A1877" s="14">
        <v>12648327000153</v>
      </c>
      <c r="B1877" s="15" t="str">
        <f t="shared" si="29"/>
        <v>12.648.327/0001-53</v>
      </c>
      <c r="C1877" s="12" t="str">
        <f>VLOOKUP(B1877,[1]Planilha1!$A:$B,2,0)</f>
        <v>Mariane Nascimento</v>
      </c>
      <c r="D1877" s="3" t="s">
        <v>7103</v>
      </c>
      <c r="E1877" s="3" t="s">
        <v>7103</v>
      </c>
      <c r="F1877" s="3" t="s">
        <v>20</v>
      </c>
      <c r="G1877" s="4">
        <v>40434</v>
      </c>
      <c r="H1877" s="3" t="s">
        <v>377</v>
      </c>
      <c r="I1877" s="3" t="s">
        <v>33</v>
      </c>
      <c r="J1877" s="5">
        <v>2559468800</v>
      </c>
      <c r="K1877" s="3">
        <v>6462000</v>
      </c>
      <c r="L1877" s="3" t="s">
        <v>250</v>
      </c>
      <c r="M1877" s="3" t="s">
        <v>2524</v>
      </c>
      <c r="N1877" s="3">
        <v>1343</v>
      </c>
      <c r="O1877" s="3" t="s">
        <v>7104</v>
      </c>
      <c r="P1877" s="3" t="s">
        <v>248</v>
      </c>
      <c r="Q1877" s="3" t="s">
        <v>27</v>
      </c>
      <c r="R1877" s="3" t="s">
        <v>28</v>
      </c>
      <c r="S1877" s="3">
        <v>1317910</v>
      </c>
      <c r="T1877" s="3">
        <v>1139054067</v>
      </c>
      <c r="U1877" s="3" t="s">
        <v>29</v>
      </c>
    </row>
    <row r="1878" spans="1:21" ht="13.2" x14ac:dyDescent="0.25">
      <c r="A1878" s="14">
        <v>4124390000162</v>
      </c>
      <c r="B1878" s="15" t="str">
        <f t="shared" si="29"/>
        <v>04.124.390/0001-62</v>
      </c>
      <c r="C1878" s="12"/>
      <c r="D1878" s="3" t="s">
        <v>7105</v>
      </c>
      <c r="E1878" s="3" t="s">
        <v>7106</v>
      </c>
      <c r="F1878" s="3" t="s">
        <v>20</v>
      </c>
      <c r="G1878" s="4">
        <v>36829</v>
      </c>
      <c r="H1878" s="3" t="s">
        <v>21</v>
      </c>
      <c r="I1878" s="3" t="s">
        <v>33</v>
      </c>
      <c r="J1878" s="5">
        <v>7535430</v>
      </c>
      <c r="K1878" s="3">
        <v>2812700</v>
      </c>
      <c r="L1878" s="3" t="s">
        <v>1534</v>
      </c>
      <c r="M1878" s="3" t="s">
        <v>7107</v>
      </c>
      <c r="N1878" s="3">
        <v>345</v>
      </c>
      <c r="P1878" s="3" t="s">
        <v>7108</v>
      </c>
      <c r="Q1878" s="3" t="s">
        <v>875</v>
      </c>
      <c r="R1878" s="3" t="s">
        <v>53</v>
      </c>
      <c r="S1878" s="3">
        <v>93135390</v>
      </c>
      <c r="T1878" s="3">
        <v>5137782929</v>
      </c>
      <c r="U1878" s="3" t="s">
        <v>29</v>
      </c>
    </row>
    <row r="1879" spans="1:21" ht="13.2" x14ac:dyDescent="0.25">
      <c r="A1879" s="14">
        <v>15431830000221</v>
      </c>
      <c r="B1879" s="15" t="str">
        <f t="shared" si="29"/>
        <v>15.431.830/0002-21</v>
      </c>
      <c r="C1879" s="12" t="str">
        <f>VLOOKUP(B1879,[1]Planilha1!$A:$B,2,0)</f>
        <v>Malu Montesino</v>
      </c>
      <c r="D1879" s="3" t="s">
        <v>7109</v>
      </c>
      <c r="E1879" s="3" t="s">
        <v>7109</v>
      </c>
      <c r="F1879" s="3" t="s">
        <v>45</v>
      </c>
      <c r="G1879" s="4">
        <v>42174</v>
      </c>
      <c r="H1879" s="3" t="s">
        <v>21</v>
      </c>
      <c r="I1879" s="3" t="s">
        <v>33</v>
      </c>
      <c r="J1879" s="5">
        <v>1810176</v>
      </c>
      <c r="K1879" s="3">
        <v>4669999</v>
      </c>
      <c r="L1879" s="3" t="s">
        <v>558</v>
      </c>
      <c r="M1879" s="3" t="s">
        <v>3376</v>
      </c>
      <c r="N1879" s="10">
        <v>46002</v>
      </c>
      <c r="O1879" s="3" t="s">
        <v>7110</v>
      </c>
      <c r="P1879" s="3" t="s">
        <v>1064</v>
      </c>
      <c r="Q1879" s="3" t="s">
        <v>27</v>
      </c>
      <c r="R1879" s="3" t="s">
        <v>28</v>
      </c>
      <c r="S1879" s="3">
        <v>4011002</v>
      </c>
      <c r="T1879" s="3">
        <v>1135047600</v>
      </c>
      <c r="U1879" s="3" t="s">
        <v>29</v>
      </c>
    </row>
    <row r="1880" spans="1:21" ht="13.2" x14ac:dyDescent="0.25">
      <c r="A1880" s="14">
        <v>12482538000169</v>
      </c>
      <c r="B1880" s="15" t="str">
        <f t="shared" si="29"/>
        <v>12.482.538/0001-69</v>
      </c>
      <c r="C1880" s="12"/>
      <c r="D1880" s="3" t="s">
        <v>7111</v>
      </c>
      <c r="E1880" s="3" t="s">
        <v>7111</v>
      </c>
      <c r="F1880" s="3" t="s">
        <v>20</v>
      </c>
      <c r="G1880" s="4">
        <v>40414</v>
      </c>
      <c r="H1880" s="3" t="s">
        <v>21</v>
      </c>
      <c r="I1880" s="3" t="s">
        <v>33</v>
      </c>
      <c r="J1880" s="5">
        <v>8129772</v>
      </c>
      <c r="K1880" s="3">
        <v>2812700</v>
      </c>
      <c r="L1880" s="3" t="s">
        <v>1534</v>
      </c>
      <c r="M1880" s="3" t="s">
        <v>7112</v>
      </c>
      <c r="N1880" s="3">
        <v>344</v>
      </c>
      <c r="P1880" s="3" t="s">
        <v>1234</v>
      </c>
      <c r="Q1880" s="3" t="s">
        <v>1235</v>
      </c>
      <c r="R1880" s="3" t="s">
        <v>28</v>
      </c>
      <c r="S1880" s="3">
        <v>13347613</v>
      </c>
      <c r="T1880" s="3">
        <v>1131959980</v>
      </c>
      <c r="U1880" s="3" t="s">
        <v>29</v>
      </c>
    </row>
    <row r="1881" spans="1:21" ht="13.2" x14ac:dyDescent="0.25">
      <c r="A1881" s="14">
        <v>61074829000123</v>
      </c>
      <c r="B1881" s="15" t="str">
        <f t="shared" si="29"/>
        <v>61.074.829/0001-23</v>
      </c>
      <c r="C1881" s="12"/>
      <c r="D1881" s="3" t="s">
        <v>7113</v>
      </c>
      <c r="E1881" s="3" t="s">
        <v>7113</v>
      </c>
      <c r="F1881" s="3" t="s">
        <v>20</v>
      </c>
      <c r="G1881" s="4">
        <v>24296</v>
      </c>
      <c r="H1881" s="3" t="s">
        <v>21</v>
      </c>
      <c r="I1881" s="3" t="s">
        <v>33</v>
      </c>
      <c r="J1881" s="5">
        <v>321795460</v>
      </c>
      <c r="K1881" s="3">
        <v>7112000</v>
      </c>
      <c r="L1881" s="3" t="s">
        <v>276</v>
      </c>
      <c r="M1881" s="3" t="s">
        <v>7114</v>
      </c>
      <c r="N1881" s="3">
        <v>3411</v>
      </c>
      <c r="O1881" s="3" t="s">
        <v>7115</v>
      </c>
      <c r="P1881" s="3" t="s">
        <v>1371</v>
      </c>
      <c r="Q1881" s="3" t="s">
        <v>357</v>
      </c>
      <c r="R1881" s="3" t="s">
        <v>28</v>
      </c>
      <c r="S1881" s="3">
        <v>7190904</v>
      </c>
      <c r="T1881" s="3">
        <v>1124648086</v>
      </c>
      <c r="U1881" s="3" t="s">
        <v>29</v>
      </c>
    </row>
    <row r="1882" spans="1:21" ht="13.2" x14ac:dyDescent="0.25">
      <c r="A1882" s="14">
        <v>44627564000124</v>
      </c>
      <c r="B1882" s="15" t="str">
        <f t="shared" si="29"/>
        <v>44.627.564/0001-24</v>
      </c>
      <c r="C1882" s="12"/>
      <c r="D1882" s="3" t="s">
        <v>7116</v>
      </c>
      <c r="E1882" s="3" t="s">
        <v>7117</v>
      </c>
      <c r="F1882" s="3" t="s">
        <v>20</v>
      </c>
      <c r="G1882" s="4">
        <v>44501</v>
      </c>
      <c r="H1882" s="3" t="s">
        <v>2489</v>
      </c>
      <c r="I1882" s="3" t="s">
        <v>33</v>
      </c>
      <c r="J1882" s="5" t="s">
        <v>7118</v>
      </c>
      <c r="K1882" s="3">
        <v>7490199</v>
      </c>
      <c r="L1882" s="3" t="s">
        <v>1091</v>
      </c>
      <c r="M1882" s="3" t="s">
        <v>591</v>
      </c>
      <c r="N1882" s="3">
        <v>100</v>
      </c>
      <c r="O1882" s="3" t="s">
        <v>7119</v>
      </c>
      <c r="P1882" s="3" t="s">
        <v>593</v>
      </c>
      <c r="Q1882" s="3" t="s">
        <v>27</v>
      </c>
      <c r="R1882" s="3" t="s">
        <v>28</v>
      </c>
      <c r="S1882" s="3">
        <v>4726170</v>
      </c>
      <c r="T1882" s="3">
        <v>1123686270</v>
      </c>
      <c r="U1882" s="3" t="s">
        <v>29</v>
      </c>
    </row>
    <row r="1883" spans="1:21" ht="13.2" x14ac:dyDescent="0.25">
      <c r="A1883" s="14">
        <v>14510712000165</v>
      </c>
      <c r="B1883" s="15" t="str">
        <f t="shared" si="29"/>
        <v>14.510.712/0001-65</v>
      </c>
      <c r="C1883" s="12" t="str">
        <f>VLOOKUP(B1883,[1]Planilha1!$A:$B,2,0)</f>
        <v>Mariane Nascimento</v>
      </c>
      <c r="D1883" s="3" t="s">
        <v>7120</v>
      </c>
      <c r="E1883" s="3" t="s">
        <v>7120</v>
      </c>
      <c r="F1883" s="3" t="s">
        <v>20</v>
      </c>
      <c r="G1883" s="4">
        <v>40840</v>
      </c>
      <c r="H1883" s="3" t="s">
        <v>2634</v>
      </c>
      <c r="I1883" s="3" t="s">
        <v>33</v>
      </c>
      <c r="J1883" s="5">
        <v>0</v>
      </c>
      <c r="K1883" s="3">
        <v>3250701</v>
      </c>
      <c r="L1883" s="3" t="s">
        <v>2195</v>
      </c>
      <c r="M1883" s="3" t="s">
        <v>7121</v>
      </c>
      <c r="N1883" s="3" t="s">
        <v>82</v>
      </c>
      <c r="R1883" s="3" t="s">
        <v>2637</v>
      </c>
      <c r="U1883" s="3" t="s">
        <v>29</v>
      </c>
    </row>
    <row r="1884" spans="1:21" ht="13.2" x14ac:dyDescent="0.25">
      <c r="A1884" s="14">
        <v>50221019000136</v>
      </c>
      <c r="B1884" s="15" t="str">
        <f t="shared" si="29"/>
        <v>50.221.019/0001-36</v>
      </c>
      <c r="C1884" s="12"/>
      <c r="D1884" s="3" t="s">
        <v>7122</v>
      </c>
      <c r="E1884" s="3" t="s">
        <v>7122</v>
      </c>
      <c r="F1884" s="3" t="s">
        <v>20</v>
      </c>
      <c r="G1884" s="4">
        <v>26269</v>
      </c>
      <c r="H1884" s="3" t="s">
        <v>21</v>
      </c>
      <c r="I1884" s="3" t="s">
        <v>33</v>
      </c>
      <c r="J1884" s="5">
        <v>5443106300</v>
      </c>
      <c r="K1884" s="3">
        <v>1113502</v>
      </c>
      <c r="L1884" s="3" t="s">
        <v>1227</v>
      </c>
      <c r="M1884" s="3" t="s">
        <v>7123</v>
      </c>
      <c r="N1884" s="3">
        <v>2222</v>
      </c>
      <c r="O1884" s="3" t="s">
        <v>7124</v>
      </c>
      <c r="P1884" s="3" t="s">
        <v>7125</v>
      </c>
      <c r="Q1884" s="3" t="s">
        <v>1312</v>
      </c>
      <c r="R1884" s="3" t="s">
        <v>28</v>
      </c>
      <c r="S1884" s="3">
        <v>13312900</v>
      </c>
      <c r="T1884" s="3">
        <v>1121189500</v>
      </c>
      <c r="U1884" s="3" t="s">
        <v>29</v>
      </c>
    </row>
    <row r="1885" spans="1:21" ht="13.2" x14ac:dyDescent="0.25">
      <c r="A1885" s="14">
        <v>67886408000183</v>
      </c>
      <c r="B1885" s="15" t="str">
        <f t="shared" si="29"/>
        <v>67.886.408/0001-83</v>
      </c>
      <c r="C1885" s="12" t="str">
        <f>VLOOKUP(B1885,[1]Planilha1!$A:$B,2,0)</f>
        <v>Malu Montesino</v>
      </c>
      <c r="D1885" s="3" t="s">
        <v>7126</v>
      </c>
      <c r="E1885" s="3" t="s">
        <v>7126</v>
      </c>
      <c r="F1885" s="3" t="s">
        <v>20</v>
      </c>
      <c r="G1885" s="4">
        <v>33729</v>
      </c>
      <c r="H1885" s="3" t="s">
        <v>21</v>
      </c>
      <c r="I1885" s="3" t="s">
        <v>33</v>
      </c>
      <c r="J1885" s="5">
        <v>250000</v>
      </c>
      <c r="K1885" s="3">
        <v>2862300</v>
      </c>
      <c r="L1885" s="3" t="s">
        <v>7127</v>
      </c>
      <c r="M1885" s="3" t="s">
        <v>1942</v>
      </c>
      <c r="N1885" s="3">
        <v>1027</v>
      </c>
      <c r="P1885" s="3" t="s">
        <v>7128</v>
      </c>
      <c r="Q1885" s="3" t="s">
        <v>1943</v>
      </c>
      <c r="R1885" s="3" t="s">
        <v>28</v>
      </c>
      <c r="S1885" s="3">
        <v>9950000</v>
      </c>
      <c r="T1885" s="3">
        <v>1143900095</v>
      </c>
      <c r="U1885" s="3" t="s">
        <v>29</v>
      </c>
    </row>
    <row r="1886" spans="1:21" ht="13.2" x14ac:dyDescent="0.25">
      <c r="A1886" s="14">
        <v>938703000165</v>
      </c>
      <c r="B1886" s="15" t="str">
        <f t="shared" si="29"/>
        <v>00.938.703/0001-65</v>
      </c>
      <c r="C1886" s="12"/>
      <c r="D1886" s="3" t="s">
        <v>7129</v>
      </c>
      <c r="E1886" s="3" t="s">
        <v>7130</v>
      </c>
      <c r="F1886" s="3" t="s">
        <v>20</v>
      </c>
      <c r="G1886" s="4">
        <v>35027</v>
      </c>
      <c r="H1886" s="3" t="s">
        <v>21</v>
      </c>
      <c r="I1886" s="3" t="s">
        <v>33</v>
      </c>
      <c r="J1886" s="5">
        <v>12481142</v>
      </c>
      <c r="K1886" s="3">
        <v>4645101</v>
      </c>
      <c r="L1886" s="3" t="s">
        <v>135</v>
      </c>
      <c r="M1886" s="3" t="s">
        <v>294</v>
      </c>
      <c r="N1886" s="3">
        <v>2477</v>
      </c>
      <c r="O1886" s="3" t="s">
        <v>6352</v>
      </c>
      <c r="P1886" s="3" t="s">
        <v>296</v>
      </c>
      <c r="Q1886" s="3" t="s">
        <v>27</v>
      </c>
      <c r="R1886" s="3" t="s">
        <v>28</v>
      </c>
      <c r="S1886" s="3">
        <v>1419907</v>
      </c>
      <c r="T1886" s="3">
        <v>1140499314</v>
      </c>
      <c r="U1886" s="3" t="s">
        <v>29</v>
      </c>
    </row>
    <row r="1887" spans="1:21" ht="13.2" x14ac:dyDescent="0.25">
      <c r="A1887" s="14">
        <v>2643405000173</v>
      </c>
      <c r="B1887" s="15" t="str">
        <f t="shared" si="29"/>
        <v>02.643.405/0001-73</v>
      </c>
      <c r="C1887" s="12"/>
      <c r="D1887" s="3" t="s">
        <v>7131</v>
      </c>
      <c r="E1887" s="3" t="s">
        <v>7132</v>
      </c>
      <c r="F1887" s="3" t="s">
        <v>20</v>
      </c>
      <c r="G1887" s="4">
        <v>35871</v>
      </c>
      <c r="H1887" s="3" t="s">
        <v>21</v>
      </c>
      <c r="I1887" s="3" t="s">
        <v>33</v>
      </c>
      <c r="J1887" s="5">
        <v>1000000</v>
      </c>
      <c r="K1887" s="3">
        <v>8712300</v>
      </c>
      <c r="L1887" s="3" t="s">
        <v>7133</v>
      </c>
      <c r="M1887" s="3" t="s">
        <v>7134</v>
      </c>
      <c r="N1887" s="3">
        <v>850</v>
      </c>
      <c r="O1887" s="3" t="s">
        <v>7135</v>
      </c>
      <c r="P1887" s="3" t="s">
        <v>7136</v>
      </c>
      <c r="Q1887" s="3" t="s">
        <v>148</v>
      </c>
      <c r="R1887" s="3" t="s">
        <v>28</v>
      </c>
      <c r="S1887" s="3">
        <v>15092601</v>
      </c>
      <c r="T1887" s="3">
        <v>1733557070</v>
      </c>
      <c r="U1887" s="3" t="s">
        <v>29</v>
      </c>
    </row>
    <row r="1888" spans="1:21" ht="13.2" x14ac:dyDescent="0.25">
      <c r="A1888" s="14">
        <v>66455593000431</v>
      </c>
      <c r="B1888" s="15" t="str">
        <f t="shared" si="29"/>
        <v>66.455.593/0004-31</v>
      </c>
      <c r="C1888" s="12"/>
      <c r="D1888" s="3" t="s">
        <v>7137</v>
      </c>
      <c r="E1888" s="3" t="s">
        <v>7137</v>
      </c>
      <c r="F1888" s="3" t="s">
        <v>45</v>
      </c>
      <c r="G1888" s="4">
        <v>39967</v>
      </c>
      <c r="H1888" s="3" t="s">
        <v>21</v>
      </c>
      <c r="I1888" s="3" t="s">
        <v>47</v>
      </c>
      <c r="J1888" s="5">
        <v>2570000</v>
      </c>
      <c r="K1888" s="3">
        <v>3101200</v>
      </c>
      <c r="L1888" s="3" t="s">
        <v>359</v>
      </c>
      <c r="M1888" s="3" t="s">
        <v>7138</v>
      </c>
      <c r="N1888" s="3">
        <v>65</v>
      </c>
      <c r="P1888" s="3" t="s">
        <v>7139</v>
      </c>
      <c r="Q1888" s="3" t="s">
        <v>476</v>
      </c>
      <c r="R1888" s="3" t="s">
        <v>100</v>
      </c>
      <c r="S1888" s="3">
        <v>31640005</v>
      </c>
      <c r="T1888" s="3">
        <v>3134531711</v>
      </c>
      <c r="U1888" s="3" t="s">
        <v>29</v>
      </c>
    </row>
    <row r="1889" spans="1:21" ht="13.2" x14ac:dyDescent="0.25">
      <c r="A1889" s="14">
        <v>1192333000122</v>
      </c>
      <c r="B1889" s="15" t="str">
        <f t="shared" si="29"/>
        <v>01.192.333/0001-22</v>
      </c>
      <c r="C1889" s="12"/>
      <c r="D1889" s="3" t="s">
        <v>7140</v>
      </c>
      <c r="E1889" s="3" t="s">
        <v>7140</v>
      </c>
      <c r="F1889" s="3" t="s">
        <v>20</v>
      </c>
      <c r="G1889" s="4">
        <v>35195</v>
      </c>
      <c r="H1889" s="3" t="s">
        <v>21</v>
      </c>
      <c r="I1889" s="3" t="s">
        <v>33</v>
      </c>
      <c r="J1889" s="5">
        <v>882786700</v>
      </c>
      <c r="K1889" s="3">
        <v>2910701</v>
      </c>
      <c r="L1889" s="3" t="s">
        <v>2241</v>
      </c>
      <c r="M1889" s="3" t="s">
        <v>490</v>
      </c>
      <c r="N1889" s="3">
        <v>777</v>
      </c>
      <c r="O1889" s="3" t="s">
        <v>7141</v>
      </c>
      <c r="P1889" s="3" t="s">
        <v>7142</v>
      </c>
      <c r="Q1889" s="3" t="s">
        <v>85</v>
      </c>
      <c r="R1889" s="3" t="s">
        <v>28</v>
      </c>
      <c r="S1889" s="3">
        <v>13181903</v>
      </c>
      <c r="T1889" s="3">
        <v>1938644400</v>
      </c>
      <c r="U1889" s="3" t="s">
        <v>29</v>
      </c>
    </row>
    <row r="1890" spans="1:21" ht="13.2" x14ac:dyDescent="0.25">
      <c r="A1890" s="14">
        <v>1421979000134</v>
      </c>
      <c r="B1890" s="15" t="str">
        <f t="shared" si="29"/>
        <v>01.421.979/0001-34</v>
      </c>
      <c r="C1890" s="12"/>
      <c r="D1890" s="3" t="s">
        <v>7143</v>
      </c>
      <c r="E1890" s="3" t="s">
        <v>7143</v>
      </c>
      <c r="F1890" s="3" t="s">
        <v>20</v>
      </c>
      <c r="G1890" s="4">
        <v>35317</v>
      </c>
      <c r="H1890" s="3" t="s">
        <v>21</v>
      </c>
      <c r="I1890" s="3" t="s">
        <v>33</v>
      </c>
      <c r="J1890" s="5">
        <v>2068461</v>
      </c>
      <c r="K1890" s="3">
        <v>4693100</v>
      </c>
      <c r="L1890" s="3" t="s">
        <v>238</v>
      </c>
      <c r="M1890" s="3" t="s">
        <v>490</v>
      </c>
      <c r="N1890" s="3">
        <v>777</v>
      </c>
      <c r="O1890" s="3" t="s">
        <v>7144</v>
      </c>
      <c r="P1890" s="3" t="s">
        <v>7142</v>
      </c>
      <c r="Q1890" s="3" t="s">
        <v>85</v>
      </c>
      <c r="R1890" s="3" t="s">
        <v>28</v>
      </c>
      <c r="S1890" s="3">
        <v>13181903</v>
      </c>
      <c r="T1890" s="3">
        <v>1938645542</v>
      </c>
      <c r="U1890" s="3" t="s">
        <v>29</v>
      </c>
    </row>
    <row r="1891" spans="1:21" ht="13.2" x14ac:dyDescent="0.25">
      <c r="A1891" s="14">
        <v>61338844000131</v>
      </c>
      <c r="B1891" s="15" t="str">
        <f t="shared" si="29"/>
        <v>61.338.844/0001-31</v>
      </c>
      <c r="C1891" s="12"/>
      <c r="D1891" s="3" t="s">
        <v>7145</v>
      </c>
      <c r="E1891" s="3" t="s">
        <v>7146</v>
      </c>
      <c r="F1891" s="3" t="s">
        <v>20</v>
      </c>
      <c r="G1891" s="4">
        <v>24314</v>
      </c>
      <c r="H1891" s="3" t="s">
        <v>21</v>
      </c>
      <c r="I1891" s="3" t="s">
        <v>33</v>
      </c>
      <c r="J1891" s="5">
        <v>1009145300</v>
      </c>
      <c r="K1891" s="3">
        <v>7112000</v>
      </c>
      <c r="L1891" s="3" t="s">
        <v>276</v>
      </c>
      <c r="M1891" s="3" t="s">
        <v>616</v>
      </c>
      <c r="N1891" s="3">
        <v>267</v>
      </c>
      <c r="O1891" s="3" t="s">
        <v>7147</v>
      </c>
      <c r="P1891" s="3" t="s">
        <v>616</v>
      </c>
      <c r="Q1891" s="3" t="s">
        <v>617</v>
      </c>
      <c r="R1891" s="3" t="s">
        <v>28</v>
      </c>
      <c r="S1891" s="3">
        <v>6460000</v>
      </c>
      <c r="T1891" s="3">
        <v>1134751900</v>
      </c>
      <c r="U1891" s="3" t="s">
        <v>29</v>
      </c>
    </row>
    <row r="1892" spans="1:21" ht="13.2" x14ac:dyDescent="0.25">
      <c r="A1892" s="14">
        <v>1759236000179</v>
      </c>
      <c r="B1892" s="15" t="str">
        <f t="shared" si="29"/>
        <v>01.759.236/0001-79</v>
      </c>
      <c r="C1892" s="12"/>
      <c r="D1892" s="3" t="s">
        <v>7148</v>
      </c>
      <c r="E1892" s="3" t="s">
        <v>7149</v>
      </c>
      <c r="F1892" s="3" t="s">
        <v>20</v>
      </c>
      <c r="G1892" s="4">
        <v>35531</v>
      </c>
      <c r="H1892" s="3" t="s">
        <v>21</v>
      </c>
      <c r="I1892" s="3" t="s">
        <v>33</v>
      </c>
      <c r="J1892" s="5">
        <v>86660490</v>
      </c>
      <c r="K1892" s="3">
        <v>3250705</v>
      </c>
      <c r="L1892" s="3" t="s">
        <v>2420</v>
      </c>
      <c r="M1892" s="3" t="s">
        <v>7150</v>
      </c>
      <c r="N1892" s="3">
        <v>645</v>
      </c>
      <c r="O1892" s="3" t="s">
        <v>7151</v>
      </c>
      <c r="P1892" s="3" t="s">
        <v>7152</v>
      </c>
      <c r="Q1892" s="3" t="s">
        <v>567</v>
      </c>
      <c r="R1892" s="3" t="s">
        <v>28</v>
      </c>
      <c r="S1892" s="3">
        <v>13212181</v>
      </c>
      <c r="T1892" s="3">
        <v>1129235400</v>
      </c>
      <c r="U1892" s="3" t="s">
        <v>29</v>
      </c>
    </row>
    <row r="1893" spans="1:21" ht="13.2" x14ac:dyDescent="0.25">
      <c r="A1893" s="14">
        <v>22552058000180</v>
      </c>
      <c r="B1893" s="15" t="str">
        <f t="shared" si="29"/>
        <v>22.552.058/0001-80</v>
      </c>
      <c r="C1893" s="12"/>
      <c r="D1893" s="3" t="s">
        <v>7153</v>
      </c>
      <c r="E1893" s="3" t="s">
        <v>7154</v>
      </c>
      <c r="F1893" s="3" t="s">
        <v>20</v>
      </c>
      <c r="G1893" s="4">
        <v>42153</v>
      </c>
      <c r="H1893" s="3" t="s">
        <v>21</v>
      </c>
      <c r="I1893" s="3" t="s">
        <v>33</v>
      </c>
      <c r="J1893" s="5">
        <v>393357220</v>
      </c>
      <c r="K1893" s="3">
        <v>2833000</v>
      </c>
      <c r="L1893" s="3" t="s">
        <v>151</v>
      </c>
      <c r="M1893" s="3" t="s">
        <v>7155</v>
      </c>
      <c r="N1893" s="3">
        <v>2020</v>
      </c>
      <c r="P1893" s="3" t="s">
        <v>2254</v>
      </c>
      <c r="Q1893" s="3" t="s">
        <v>204</v>
      </c>
      <c r="R1893" s="3" t="s">
        <v>187</v>
      </c>
      <c r="S1893" s="3">
        <v>81460070</v>
      </c>
      <c r="T1893" s="3">
        <v>4133481991</v>
      </c>
      <c r="U1893" s="3" t="s">
        <v>29</v>
      </c>
    </row>
    <row r="1894" spans="1:21" ht="13.2" x14ac:dyDescent="0.25">
      <c r="A1894" s="14">
        <v>14221585000184</v>
      </c>
      <c r="B1894" s="15" t="str">
        <f t="shared" si="29"/>
        <v>14.221.585/0001-84</v>
      </c>
      <c r="C1894" s="12"/>
      <c r="D1894" s="3" t="s">
        <v>7156</v>
      </c>
      <c r="E1894" s="3" t="s">
        <v>7157</v>
      </c>
      <c r="F1894" s="3" t="s">
        <v>20</v>
      </c>
      <c r="G1894" s="4">
        <v>40786</v>
      </c>
      <c r="H1894" s="3" t="s">
        <v>21</v>
      </c>
      <c r="I1894" s="3" t="s">
        <v>47</v>
      </c>
      <c r="J1894" s="5">
        <v>100000</v>
      </c>
      <c r="K1894" s="3">
        <v>6110803</v>
      </c>
      <c r="L1894" s="3" t="s">
        <v>339</v>
      </c>
      <c r="M1894" s="3" t="s">
        <v>7158</v>
      </c>
      <c r="N1894" s="3">
        <v>795</v>
      </c>
      <c r="P1894" s="3" t="s">
        <v>70</v>
      </c>
      <c r="Q1894" s="3" t="s">
        <v>7159</v>
      </c>
      <c r="R1894" s="3" t="s">
        <v>951</v>
      </c>
      <c r="S1894" s="3">
        <v>64340000</v>
      </c>
      <c r="T1894" s="3">
        <v>8681379405</v>
      </c>
      <c r="U1894" s="3" t="s">
        <v>29</v>
      </c>
    </row>
    <row r="1895" spans="1:21" ht="13.2" x14ac:dyDescent="0.25">
      <c r="A1895" s="14">
        <v>6081203000136</v>
      </c>
      <c r="B1895" s="15" t="str">
        <f t="shared" si="29"/>
        <v>06.081.203/0001-36</v>
      </c>
      <c r="C1895" s="12" t="str">
        <f>VLOOKUP(B1895,[1]Planilha1!$A:$B,2,0)</f>
        <v>Mariane Nascimento</v>
      </c>
      <c r="D1895" s="3" t="s">
        <v>7160</v>
      </c>
      <c r="E1895" s="3" t="s">
        <v>7161</v>
      </c>
      <c r="F1895" s="3" t="s">
        <v>20</v>
      </c>
      <c r="G1895" s="4">
        <v>37998</v>
      </c>
      <c r="H1895" s="3" t="s">
        <v>21</v>
      </c>
      <c r="I1895" s="3" t="s">
        <v>33</v>
      </c>
      <c r="J1895" s="5">
        <v>109015304</v>
      </c>
      <c r="K1895" s="3">
        <v>4644301</v>
      </c>
      <c r="L1895" s="3" t="s">
        <v>326</v>
      </c>
      <c r="M1895" s="3" t="s">
        <v>7162</v>
      </c>
      <c r="N1895" s="3" t="s">
        <v>82</v>
      </c>
      <c r="O1895" s="3" t="s">
        <v>7163</v>
      </c>
      <c r="P1895" s="3" t="s">
        <v>1456</v>
      </c>
      <c r="Q1895" s="3" t="s">
        <v>631</v>
      </c>
      <c r="R1895" s="3" t="s">
        <v>632</v>
      </c>
      <c r="S1895" s="3">
        <v>71225533</v>
      </c>
      <c r="T1895" s="3">
        <v>1121857686</v>
      </c>
      <c r="U1895" s="3" t="s">
        <v>29</v>
      </c>
    </row>
    <row r="1896" spans="1:21" ht="13.2" x14ac:dyDescent="0.25">
      <c r="A1896" s="14">
        <v>5743288000108</v>
      </c>
      <c r="B1896" s="15" t="str">
        <f t="shared" si="29"/>
        <v>05.743.288/0001-08</v>
      </c>
      <c r="C1896" s="12" t="str">
        <f>VLOOKUP(B1896,[1]Planilha1!$A:$B,2,0)</f>
        <v>Mariane Nascimento</v>
      </c>
      <c r="D1896" s="3" t="s">
        <v>7164</v>
      </c>
      <c r="E1896" s="3" t="s">
        <v>7165</v>
      </c>
      <c r="F1896" s="3" t="s">
        <v>20</v>
      </c>
      <c r="G1896" s="4">
        <v>37803</v>
      </c>
      <c r="H1896" s="3" t="s">
        <v>21</v>
      </c>
      <c r="I1896" s="3" t="s">
        <v>33</v>
      </c>
      <c r="J1896" s="5">
        <v>720000</v>
      </c>
      <c r="K1896" s="3">
        <v>4664800</v>
      </c>
      <c r="L1896" s="3" t="s">
        <v>691</v>
      </c>
      <c r="M1896" s="3">
        <v>104</v>
      </c>
      <c r="N1896" s="3">
        <v>74</v>
      </c>
      <c r="P1896" s="3" t="s">
        <v>7166</v>
      </c>
      <c r="Q1896" s="3" t="s">
        <v>273</v>
      </c>
      <c r="R1896" s="3" t="s">
        <v>274</v>
      </c>
      <c r="S1896" s="3">
        <v>74083300</v>
      </c>
      <c r="T1896" s="3">
        <v>6232415555</v>
      </c>
      <c r="U1896" s="3" t="s">
        <v>29</v>
      </c>
    </row>
    <row r="1897" spans="1:21" ht="13.2" x14ac:dyDescent="0.25">
      <c r="A1897" s="14">
        <v>9243050000174</v>
      </c>
      <c r="B1897" s="15" t="str">
        <f t="shared" si="29"/>
        <v>09.243.050/0001-74</v>
      </c>
      <c r="C1897" s="12"/>
      <c r="D1897" s="3" t="s">
        <v>7167</v>
      </c>
      <c r="E1897" s="3" t="s">
        <v>7168</v>
      </c>
      <c r="F1897" s="3" t="s">
        <v>20</v>
      </c>
      <c r="G1897" s="4">
        <v>39373</v>
      </c>
      <c r="H1897" s="3" t="s">
        <v>21</v>
      </c>
      <c r="I1897" s="3" t="s">
        <v>33</v>
      </c>
      <c r="J1897" s="5">
        <v>500000</v>
      </c>
      <c r="K1897" s="3">
        <v>8610101</v>
      </c>
      <c r="L1897" s="3" t="s">
        <v>2523</v>
      </c>
      <c r="M1897" s="3" t="s">
        <v>7169</v>
      </c>
      <c r="N1897" s="3">
        <v>10</v>
      </c>
      <c r="O1897" s="3" t="s">
        <v>7170</v>
      </c>
      <c r="P1897" s="3" t="s">
        <v>6261</v>
      </c>
      <c r="Q1897" s="3" t="s">
        <v>631</v>
      </c>
      <c r="R1897" s="3" t="s">
        <v>632</v>
      </c>
      <c r="S1897" s="3">
        <v>72125070</v>
      </c>
      <c r="T1897" s="3">
        <v>6132129644</v>
      </c>
      <c r="U1897" s="3" t="s">
        <v>29</v>
      </c>
    </row>
    <row r="1898" spans="1:21" ht="13.2" x14ac:dyDescent="0.25">
      <c r="A1898" s="14">
        <v>46854998000192</v>
      </c>
      <c r="B1898" s="15" t="str">
        <f t="shared" si="29"/>
        <v>46.854.998/0001-92</v>
      </c>
      <c r="C1898" s="12"/>
      <c r="D1898" s="3" t="s">
        <v>7171</v>
      </c>
      <c r="E1898" s="3" t="s">
        <v>7171</v>
      </c>
      <c r="F1898" s="3" t="s">
        <v>20</v>
      </c>
      <c r="G1898" s="4">
        <v>27163</v>
      </c>
      <c r="H1898" s="3" t="s">
        <v>640</v>
      </c>
      <c r="I1898" s="3" t="s">
        <v>33</v>
      </c>
      <c r="J1898" s="5">
        <v>0</v>
      </c>
      <c r="K1898" s="3">
        <v>8610102</v>
      </c>
      <c r="L1898" s="3" t="s">
        <v>7172</v>
      </c>
      <c r="M1898" s="3" t="s">
        <v>7173</v>
      </c>
      <c r="N1898" s="3">
        <v>60</v>
      </c>
      <c r="P1898" s="3" t="s">
        <v>2392</v>
      </c>
      <c r="Q1898" s="3" t="s">
        <v>27</v>
      </c>
      <c r="R1898" s="3" t="s">
        <v>28</v>
      </c>
      <c r="S1898" s="3">
        <v>1532000</v>
      </c>
      <c r="U1898" s="3" t="s">
        <v>29</v>
      </c>
    </row>
    <row r="1899" spans="1:21" ht="13.2" x14ac:dyDescent="0.25">
      <c r="A1899" s="14">
        <v>16676520000159</v>
      </c>
      <c r="B1899" s="15" t="str">
        <f t="shared" si="29"/>
        <v>16.676.520/0001-59</v>
      </c>
      <c r="C1899" s="12"/>
      <c r="D1899" s="3" t="s">
        <v>7174</v>
      </c>
      <c r="E1899" s="3" t="s">
        <v>7174</v>
      </c>
      <c r="F1899" s="3" t="s">
        <v>20</v>
      </c>
      <c r="G1899" s="4">
        <v>26952</v>
      </c>
      <c r="H1899" s="3" t="s">
        <v>377</v>
      </c>
      <c r="I1899" s="3" t="s">
        <v>33</v>
      </c>
      <c r="J1899" s="5">
        <v>1355181800</v>
      </c>
      <c r="K1899" s="3">
        <v>8610101</v>
      </c>
      <c r="L1899" s="3" t="s">
        <v>2523</v>
      </c>
      <c r="M1899" s="3" t="s">
        <v>5072</v>
      </c>
      <c r="N1899" s="3">
        <v>1100</v>
      </c>
      <c r="P1899" s="3" t="s">
        <v>924</v>
      </c>
      <c r="Q1899" s="3" t="s">
        <v>476</v>
      </c>
      <c r="R1899" s="3" t="s">
        <v>100</v>
      </c>
      <c r="S1899" s="3">
        <v>30190081</v>
      </c>
      <c r="T1899" s="3">
        <v>3133399221</v>
      </c>
      <c r="U1899" s="3" t="s">
        <v>29</v>
      </c>
    </row>
    <row r="1900" spans="1:21" ht="13.2" x14ac:dyDescent="0.25">
      <c r="A1900" s="14">
        <v>28431575000188</v>
      </c>
      <c r="B1900" s="15" t="str">
        <f t="shared" si="29"/>
        <v>28.431.575/0001-88</v>
      </c>
      <c r="C1900" s="12"/>
      <c r="D1900" s="3" t="s">
        <v>7175</v>
      </c>
      <c r="E1900" s="3" t="s">
        <v>7175</v>
      </c>
      <c r="F1900" s="3" t="s">
        <v>20</v>
      </c>
      <c r="G1900" s="4">
        <v>30596</v>
      </c>
      <c r="H1900" s="3" t="s">
        <v>21</v>
      </c>
      <c r="I1900" s="3" t="s">
        <v>22</v>
      </c>
      <c r="J1900" s="5">
        <v>1100000</v>
      </c>
      <c r="K1900" s="3">
        <v>4645101</v>
      </c>
      <c r="L1900" s="3" t="s">
        <v>135</v>
      </c>
      <c r="M1900" s="3" t="s">
        <v>7176</v>
      </c>
      <c r="N1900" s="3">
        <v>912</v>
      </c>
      <c r="P1900" s="3" t="s">
        <v>7177</v>
      </c>
      <c r="Q1900" s="3" t="s">
        <v>4528</v>
      </c>
      <c r="R1900" s="3" t="s">
        <v>765</v>
      </c>
      <c r="S1900" s="3">
        <v>29161160</v>
      </c>
      <c r="T1900" s="3">
        <v>2734214800</v>
      </c>
      <c r="U1900" s="3" t="s">
        <v>29</v>
      </c>
    </row>
    <row r="1901" spans="1:21" ht="13.2" x14ac:dyDescent="0.25">
      <c r="A1901" s="14">
        <v>3928633000152</v>
      </c>
      <c r="B1901" s="15" t="str">
        <f t="shared" si="29"/>
        <v>03.928.633/0001-52</v>
      </c>
      <c r="C1901" s="12"/>
      <c r="D1901" s="3" t="s">
        <v>7178</v>
      </c>
      <c r="E1901" s="3" t="s">
        <v>7178</v>
      </c>
      <c r="F1901" s="3" t="s">
        <v>20</v>
      </c>
      <c r="G1901" s="4">
        <v>36720</v>
      </c>
      <c r="H1901" s="3" t="s">
        <v>21</v>
      </c>
      <c r="I1901" s="3" t="s">
        <v>33</v>
      </c>
      <c r="J1901" s="5">
        <v>1100000</v>
      </c>
      <c r="K1901" s="3">
        <v>4651601</v>
      </c>
      <c r="L1901" s="3" t="s">
        <v>684</v>
      </c>
      <c r="M1901" s="3" t="s">
        <v>7179</v>
      </c>
      <c r="N1901" s="3">
        <v>189</v>
      </c>
      <c r="O1901" s="3" t="s">
        <v>828</v>
      </c>
      <c r="P1901" s="3" t="s">
        <v>7180</v>
      </c>
      <c r="Q1901" s="3" t="s">
        <v>2822</v>
      </c>
      <c r="R1901" s="3" t="s">
        <v>28</v>
      </c>
      <c r="S1901" s="3">
        <v>12231820</v>
      </c>
      <c r="T1901" s="3">
        <v>1239353600</v>
      </c>
      <c r="U1901" s="3" t="s">
        <v>29</v>
      </c>
    </row>
    <row r="1902" spans="1:21" ht="13.2" x14ac:dyDescent="0.25">
      <c r="A1902" s="14">
        <v>51958220000163</v>
      </c>
      <c r="B1902" s="15" t="str">
        <f t="shared" si="29"/>
        <v>51.958.220/0001-63</v>
      </c>
      <c r="C1902" s="12" t="str">
        <f>VLOOKUP(B1902,[1]Planilha1!$A:$B,2,0)</f>
        <v>Malu Montesino</v>
      </c>
      <c r="D1902" s="3" t="s">
        <v>7181</v>
      </c>
      <c r="E1902" s="3" t="s">
        <v>7182</v>
      </c>
      <c r="F1902" s="3" t="s">
        <v>20</v>
      </c>
      <c r="G1902" s="4">
        <v>45163</v>
      </c>
      <c r="H1902" s="3" t="s">
        <v>21</v>
      </c>
      <c r="I1902" s="3" t="s">
        <v>47</v>
      </c>
      <c r="J1902" s="5">
        <v>20000</v>
      </c>
      <c r="K1902" s="3">
        <v>161003</v>
      </c>
      <c r="L1902" s="3" t="s">
        <v>7183</v>
      </c>
      <c r="M1902" s="3" t="s">
        <v>7184</v>
      </c>
      <c r="N1902" s="3">
        <v>652</v>
      </c>
      <c r="P1902" s="3" t="s">
        <v>7185</v>
      </c>
      <c r="Q1902" s="3" t="s">
        <v>7186</v>
      </c>
      <c r="R1902" s="3" t="s">
        <v>28</v>
      </c>
      <c r="S1902" s="3">
        <v>15310000</v>
      </c>
      <c r="T1902" s="3">
        <v>1791248516</v>
      </c>
      <c r="U1902" s="3" t="s">
        <v>29</v>
      </c>
    </row>
    <row r="1903" spans="1:21" ht="13.2" x14ac:dyDescent="0.25">
      <c r="A1903" s="14">
        <v>54305743000107</v>
      </c>
      <c r="B1903" s="15" t="str">
        <f t="shared" si="29"/>
        <v>54.305.743/0001-07</v>
      </c>
      <c r="C1903" s="12"/>
      <c r="D1903" s="3" t="s">
        <v>7187</v>
      </c>
      <c r="E1903" s="3" t="s">
        <v>7188</v>
      </c>
      <c r="F1903" s="3" t="s">
        <v>20</v>
      </c>
      <c r="G1903" s="4">
        <v>31134</v>
      </c>
      <c r="H1903" s="3" t="s">
        <v>21</v>
      </c>
      <c r="I1903" s="3" t="s">
        <v>33</v>
      </c>
      <c r="J1903" s="5">
        <v>66478000</v>
      </c>
      <c r="K1903" s="3">
        <v>2910701</v>
      </c>
      <c r="L1903" s="3" t="s">
        <v>2241</v>
      </c>
      <c r="M1903" s="3" t="s">
        <v>751</v>
      </c>
      <c r="N1903" s="3">
        <v>1305</v>
      </c>
      <c r="O1903" s="3" t="s">
        <v>222</v>
      </c>
      <c r="P1903" s="3" t="s">
        <v>753</v>
      </c>
      <c r="Q1903" s="3" t="s">
        <v>27</v>
      </c>
      <c r="R1903" s="3" t="s">
        <v>28</v>
      </c>
      <c r="S1903" s="3">
        <v>5314000</v>
      </c>
      <c r="T1903" s="3">
        <v>1156942700</v>
      </c>
      <c r="U1903" s="3" t="s">
        <v>29</v>
      </c>
    </row>
    <row r="1904" spans="1:21" ht="13.2" x14ac:dyDescent="0.25">
      <c r="A1904" s="14">
        <v>54305743001170</v>
      </c>
      <c r="B1904" s="15" t="str">
        <f t="shared" si="29"/>
        <v>54.305.743/0011-70</v>
      </c>
      <c r="C1904" s="12"/>
      <c r="D1904" s="3" t="s">
        <v>7187</v>
      </c>
      <c r="E1904" s="3" t="s">
        <v>7188</v>
      </c>
      <c r="F1904" s="3" t="s">
        <v>20</v>
      </c>
      <c r="G1904" s="4">
        <v>35650</v>
      </c>
      <c r="H1904" s="3" t="s">
        <v>21</v>
      </c>
      <c r="I1904" s="3" t="s">
        <v>33</v>
      </c>
      <c r="J1904" s="5">
        <v>66478000</v>
      </c>
      <c r="K1904" s="3">
        <v>2910701</v>
      </c>
      <c r="L1904" s="3" t="s">
        <v>2241</v>
      </c>
      <c r="M1904" s="3" t="s">
        <v>7189</v>
      </c>
      <c r="N1904" s="3" t="s">
        <v>82</v>
      </c>
      <c r="P1904" s="3" t="s">
        <v>7190</v>
      </c>
      <c r="Q1904" s="3" t="s">
        <v>362</v>
      </c>
      <c r="R1904" s="3" t="s">
        <v>274</v>
      </c>
      <c r="S1904" s="3">
        <v>75709901</v>
      </c>
      <c r="T1904" s="3">
        <v>6434118500</v>
      </c>
      <c r="U1904" s="3" t="s">
        <v>29</v>
      </c>
    </row>
    <row r="1905" spans="1:21" ht="13.2" x14ac:dyDescent="0.25">
      <c r="A1905" s="14">
        <v>8620414000125</v>
      </c>
      <c r="B1905" s="15" t="str">
        <f t="shared" si="29"/>
        <v>08.620.414/0001-25</v>
      </c>
      <c r="C1905" s="12"/>
      <c r="D1905" s="3" t="s">
        <v>7191</v>
      </c>
      <c r="E1905" s="3" t="s">
        <v>7191</v>
      </c>
      <c r="F1905" s="3" t="s">
        <v>20</v>
      </c>
      <c r="G1905" s="4">
        <v>39101</v>
      </c>
      <c r="H1905" s="3" t="s">
        <v>21</v>
      </c>
      <c r="I1905" s="3" t="s">
        <v>33</v>
      </c>
      <c r="J1905" s="5">
        <v>520000</v>
      </c>
      <c r="K1905" s="3">
        <v>6209100</v>
      </c>
      <c r="L1905" s="3" t="s">
        <v>303</v>
      </c>
      <c r="M1905" s="3" t="s">
        <v>3173</v>
      </c>
      <c r="N1905" s="3">
        <v>1550</v>
      </c>
      <c r="O1905" s="3" t="s">
        <v>7192</v>
      </c>
      <c r="P1905" s="3" t="s">
        <v>2211</v>
      </c>
      <c r="Q1905" s="3" t="s">
        <v>27</v>
      </c>
      <c r="R1905" s="3" t="s">
        <v>28</v>
      </c>
      <c r="S1905" s="3">
        <v>4711130</v>
      </c>
      <c r="T1905" s="3">
        <v>1135244124</v>
      </c>
      <c r="U1905" s="3" t="s">
        <v>29</v>
      </c>
    </row>
    <row r="1906" spans="1:21" ht="13.2" x14ac:dyDescent="0.25">
      <c r="A1906" s="14">
        <v>66437831000133</v>
      </c>
      <c r="B1906" s="15" t="str">
        <f t="shared" si="29"/>
        <v>66.437.831/0001-33</v>
      </c>
      <c r="C1906" s="12"/>
      <c r="D1906" s="3" t="s">
        <v>7193</v>
      </c>
      <c r="E1906" s="3" t="s">
        <v>7194</v>
      </c>
      <c r="F1906" s="3" t="s">
        <v>20</v>
      </c>
      <c r="G1906" s="4">
        <v>33548</v>
      </c>
      <c r="H1906" s="3" t="s">
        <v>21</v>
      </c>
      <c r="I1906" s="3" t="s">
        <v>33</v>
      </c>
      <c r="J1906" s="5">
        <v>1457000</v>
      </c>
      <c r="K1906" s="3">
        <v>4645101</v>
      </c>
      <c r="L1906" s="3" t="s">
        <v>135</v>
      </c>
      <c r="M1906" s="3" t="s">
        <v>7195</v>
      </c>
      <c r="N1906" s="3">
        <v>15</v>
      </c>
      <c r="P1906" s="3" t="s">
        <v>70</v>
      </c>
      <c r="Q1906" s="3" t="s">
        <v>957</v>
      </c>
      <c r="R1906" s="3" t="s">
        <v>100</v>
      </c>
      <c r="S1906" s="3">
        <v>33230124</v>
      </c>
      <c r="T1906" s="3">
        <v>3136881911</v>
      </c>
      <c r="U1906" s="3" t="s">
        <v>29</v>
      </c>
    </row>
    <row r="1907" spans="1:21" ht="13.2" x14ac:dyDescent="0.25">
      <c r="A1907" s="14">
        <v>2975504000152</v>
      </c>
      <c r="B1907" s="15" t="str">
        <f t="shared" si="29"/>
        <v>02.975.504/0001-52</v>
      </c>
      <c r="C1907" s="12" t="str">
        <f>VLOOKUP(B1907,[1]Planilha1!$A:$B,2,0)</f>
        <v>Malu Montesino</v>
      </c>
      <c r="D1907" s="3" t="s">
        <v>7196</v>
      </c>
      <c r="E1907" s="3" t="s">
        <v>7196</v>
      </c>
      <c r="F1907" s="3" t="s">
        <v>20</v>
      </c>
      <c r="G1907" s="4">
        <v>36196</v>
      </c>
      <c r="H1907" s="3" t="s">
        <v>21</v>
      </c>
      <c r="I1907" s="3" t="s">
        <v>33</v>
      </c>
      <c r="J1907" s="5">
        <v>429370270</v>
      </c>
      <c r="K1907" s="3">
        <v>4652400</v>
      </c>
      <c r="L1907" s="3" t="s">
        <v>1031</v>
      </c>
      <c r="M1907" s="3" t="s">
        <v>7197</v>
      </c>
      <c r="N1907" s="3">
        <v>105</v>
      </c>
      <c r="O1907" s="3" t="s">
        <v>7198</v>
      </c>
      <c r="P1907" s="3" t="s">
        <v>2211</v>
      </c>
      <c r="Q1907" s="3" t="s">
        <v>27</v>
      </c>
      <c r="R1907" s="3" t="s">
        <v>28</v>
      </c>
      <c r="S1907" s="3">
        <v>4711904</v>
      </c>
      <c r="T1907" s="3">
        <v>1139308580</v>
      </c>
      <c r="U1907" s="3" t="s">
        <v>29</v>
      </c>
    </row>
    <row r="1908" spans="1:21" ht="13.2" x14ac:dyDescent="0.25">
      <c r="A1908" s="14">
        <v>10701958000163</v>
      </c>
      <c r="B1908" s="15" t="str">
        <f t="shared" si="29"/>
        <v>10.701.958/0001-63</v>
      </c>
      <c r="C1908" s="12" t="str">
        <f>VLOOKUP(B1908,[1]Planilha1!$A:$B,2,0)</f>
        <v>Malu Montesino</v>
      </c>
      <c r="D1908" s="3" t="s">
        <v>7199</v>
      </c>
      <c r="E1908" s="3" t="s">
        <v>7199</v>
      </c>
      <c r="F1908" s="3" t="s">
        <v>20</v>
      </c>
      <c r="G1908" s="4">
        <v>39881</v>
      </c>
      <c r="H1908" s="3" t="s">
        <v>21</v>
      </c>
      <c r="I1908" s="3" t="s">
        <v>33</v>
      </c>
      <c r="J1908" s="5">
        <v>600000</v>
      </c>
      <c r="K1908" s="3">
        <v>4669999</v>
      </c>
      <c r="L1908" s="3" t="s">
        <v>558</v>
      </c>
      <c r="M1908" s="3" t="s">
        <v>7200</v>
      </c>
      <c r="N1908" s="3">
        <v>1111</v>
      </c>
      <c r="O1908" s="3" t="s">
        <v>7201</v>
      </c>
      <c r="P1908" s="3" t="s">
        <v>846</v>
      </c>
      <c r="Q1908" s="3" t="s">
        <v>27</v>
      </c>
      <c r="R1908" s="3" t="s">
        <v>28</v>
      </c>
      <c r="S1908" s="3">
        <v>4617014</v>
      </c>
      <c r="T1908" s="3">
        <v>1126141609</v>
      </c>
      <c r="U1908" s="3" t="s">
        <v>29</v>
      </c>
    </row>
    <row r="1909" spans="1:21" ht="13.2" x14ac:dyDescent="0.25">
      <c r="A1909" s="14">
        <v>4098470000190</v>
      </c>
      <c r="B1909" s="15" t="str">
        <f t="shared" si="29"/>
        <v>04.098.470/0001-90</v>
      </c>
      <c r="C1909" s="12"/>
      <c r="D1909" s="3" t="s">
        <v>7202</v>
      </c>
      <c r="E1909" s="3" t="s">
        <v>7202</v>
      </c>
      <c r="F1909" s="3" t="s">
        <v>20</v>
      </c>
      <c r="G1909" s="4">
        <v>36810</v>
      </c>
      <c r="H1909" s="3" t="s">
        <v>21</v>
      </c>
      <c r="I1909" s="3" t="s">
        <v>33</v>
      </c>
      <c r="J1909" s="5">
        <v>397428380</v>
      </c>
      <c r="K1909" s="3">
        <v>2840200</v>
      </c>
      <c r="L1909" s="3" t="s">
        <v>2053</v>
      </c>
      <c r="M1909" s="3" t="s">
        <v>7203</v>
      </c>
      <c r="N1909" s="7">
        <v>2555</v>
      </c>
      <c r="P1909" s="3" t="s">
        <v>7204</v>
      </c>
      <c r="Q1909" s="3" t="s">
        <v>2406</v>
      </c>
      <c r="R1909" s="3" t="s">
        <v>28</v>
      </c>
      <c r="S1909" s="3">
        <v>13570820</v>
      </c>
      <c r="T1909" s="3">
        <v>1121335000</v>
      </c>
      <c r="U1909" s="3" t="s">
        <v>29</v>
      </c>
    </row>
    <row r="1910" spans="1:21" ht="13.2" x14ac:dyDescent="0.25">
      <c r="A1910" s="14">
        <v>44290440000104</v>
      </c>
      <c r="B1910" s="15" t="str">
        <f t="shared" si="29"/>
        <v>44.290.440/0001-04</v>
      </c>
      <c r="C1910" s="12"/>
      <c r="D1910" s="3" t="s">
        <v>7205</v>
      </c>
      <c r="E1910" s="3" t="s">
        <v>7206</v>
      </c>
      <c r="F1910" s="3" t="s">
        <v>20</v>
      </c>
      <c r="G1910" s="4">
        <v>44518</v>
      </c>
      <c r="H1910" s="3" t="s">
        <v>21</v>
      </c>
      <c r="I1910" s="3" t="s">
        <v>47</v>
      </c>
      <c r="J1910" s="5">
        <v>30000</v>
      </c>
      <c r="K1910" s="3">
        <v>4744001</v>
      </c>
      <c r="L1910" s="3" t="s">
        <v>396</v>
      </c>
      <c r="M1910" s="3" t="s">
        <v>7207</v>
      </c>
      <c r="N1910" s="3">
        <v>81</v>
      </c>
      <c r="P1910" s="3" t="s">
        <v>4700</v>
      </c>
      <c r="Q1910" s="3" t="s">
        <v>1943</v>
      </c>
      <c r="R1910" s="3" t="s">
        <v>28</v>
      </c>
      <c r="S1910" s="3">
        <v>9990000</v>
      </c>
      <c r="T1910" s="3">
        <v>1140568209</v>
      </c>
      <c r="U1910" s="3" t="s">
        <v>29</v>
      </c>
    </row>
    <row r="1911" spans="1:21" ht="13.2" x14ac:dyDescent="0.25">
      <c r="A1911" s="14">
        <v>1697279000177</v>
      </c>
      <c r="B1911" s="15" t="str">
        <f t="shared" si="29"/>
        <v>01.697.279/0001-77</v>
      </c>
      <c r="C1911" s="12"/>
      <c r="D1911" s="3" t="s">
        <v>7208</v>
      </c>
      <c r="E1911" s="3" t="s">
        <v>7208</v>
      </c>
      <c r="F1911" s="3" t="s">
        <v>20</v>
      </c>
      <c r="G1911" s="4">
        <v>35500</v>
      </c>
      <c r="H1911" s="3" t="s">
        <v>21</v>
      </c>
      <c r="I1911" s="3" t="s">
        <v>33</v>
      </c>
      <c r="J1911" s="5">
        <v>122200000</v>
      </c>
      <c r="K1911" s="3">
        <v>2815102</v>
      </c>
      <c r="L1911" s="3" t="s">
        <v>1412</v>
      </c>
      <c r="M1911" s="3" t="s">
        <v>426</v>
      </c>
      <c r="N1911" s="3">
        <v>225</v>
      </c>
      <c r="P1911" s="3" t="s">
        <v>428</v>
      </c>
      <c r="Q1911" s="3" t="s">
        <v>217</v>
      </c>
      <c r="R1911" s="3" t="s">
        <v>28</v>
      </c>
      <c r="S1911" s="3">
        <v>9852060</v>
      </c>
      <c r="T1911" s="3">
        <v>1143936600</v>
      </c>
      <c r="U1911" s="3" t="s">
        <v>29</v>
      </c>
    </row>
    <row r="1912" spans="1:21" ht="13.2" x14ac:dyDescent="0.25">
      <c r="A1912" s="14">
        <v>28818225000179</v>
      </c>
      <c r="B1912" s="15" t="str">
        <f t="shared" si="29"/>
        <v>28.818.225/0001-79</v>
      </c>
      <c r="C1912" s="12"/>
      <c r="D1912" s="3" t="s">
        <v>7209</v>
      </c>
      <c r="E1912" s="3" t="s">
        <v>7210</v>
      </c>
      <c r="F1912" s="3" t="s">
        <v>45</v>
      </c>
      <c r="G1912" s="4">
        <v>43017</v>
      </c>
      <c r="H1912" s="3" t="s">
        <v>1329</v>
      </c>
      <c r="I1912" s="3" t="s">
        <v>22</v>
      </c>
      <c r="J1912" s="5">
        <v>100000</v>
      </c>
      <c r="K1912" s="3">
        <v>4744099</v>
      </c>
      <c r="L1912" s="3" t="s">
        <v>115</v>
      </c>
      <c r="M1912" s="3" t="s">
        <v>7211</v>
      </c>
      <c r="N1912" s="3">
        <v>356</v>
      </c>
      <c r="P1912" s="3" t="s">
        <v>70</v>
      </c>
      <c r="Q1912" s="3" t="s">
        <v>7212</v>
      </c>
      <c r="R1912" s="3" t="s">
        <v>100</v>
      </c>
      <c r="S1912" s="3">
        <v>35439000</v>
      </c>
      <c r="T1912" s="3">
        <v>3138769572</v>
      </c>
      <c r="U1912" s="3" t="s">
        <v>29</v>
      </c>
    </row>
    <row r="1913" spans="1:21" ht="13.2" x14ac:dyDescent="0.25">
      <c r="A1913" s="14">
        <v>21060274000146</v>
      </c>
      <c r="B1913" s="15" t="str">
        <f t="shared" si="29"/>
        <v>21.060.274/0001-46</v>
      </c>
      <c r="C1913" s="12"/>
      <c r="D1913" s="3" t="s">
        <v>7213</v>
      </c>
      <c r="E1913" s="3" t="s">
        <v>7214</v>
      </c>
      <c r="F1913" s="3" t="s">
        <v>20</v>
      </c>
      <c r="G1913" s="4">
        <v>41900</v>
      </c>
      <c r="H1913" s="3" t="s">
        <v>21</v>
      </c>
      <c r="I1913" s="3" t="s">
        <v>47</v>
      </c>
      <c r="J1913" s="5">
        <v>500000</v>
      </c>
      <c r="K1913" s="3">
        <v>7119704</v>
      </c>
      <c r="L1913" s="3" t="s">
        <v>446</v>
      </c>
      <c r="M1913" s="3" t="s">
        <v>800</v>
      </c>
      <c r="N1913" s="3">
        <v>1168</v>
      </c>
      <c r="O1913" s="3" t="s">
        <v>7215</v>
      </c>
      <c r="P1913" s="3" t="s">
        <v>461</v>
      </c>
      <c r="Q1913" s="3" t="s">
        <v>27</v>
      </c>
      <c r="R1913" s="3" t="s">
        <v>28</v>
      </c>
      <c r="S1913" s="3">
        <v>1304001</v>
      </c>
      <c r="T1913" s="3">
        <v>1150296929</v>
      </c>
      <c r="U1913" s="3" t="s">
        <v>29</v>
      </c>
    </row>
    <row r="1914" spans="1:21" ht="13.2" x14ac:dyDescent="0.25">
      <c r="A1914" s="14">
        <v>2932074000191</v>
      </c>
      <c r="B1914" s="15" t="str">
        <f t="shared" si="29"/>
        <v>02.932.074/0001-91</v>
      </c>
      <c r="C1914" s="12"/>
      <c r="D1914" s="3" t="s">
        <v>7216</v>
      </c>
      <c r="E1914" s="3" t="s">
        <v>7217</v>
      </c>
      <c r="F1914" s="3" t="s">
        <v>20</v>
      </c>
      <c r="G1914" s="4">
        <v>36162</v>
      </c>
      <c r="H1914" s="3" t="s">
        <v>377</v>
      </c>
      <c r="I1914" s="3" t="s">
        <v>33</v>
      </c>
      <c r="J1914" s="5">
        <v>9705886000</v>
      </c>
      <c r="K1914" s="3">
        <v>4644301</v>
      </c>
      <c r="L1914" s="3" t="s">
        <v>326</v>
      </c>
      <c r="M1914" s="3" t="s">
        <v>7218</v>
      </c>
      <c r="N1914" s="3">
        <v>404</v>
      </c>
      <c r="P1914" s="3" t="s">
        <v>316</v>
      </c>
      <c r="Q1914" s="3" t="s">
        <v>27</v>
      </c>
      <c r="R1914" s="3" t="s">
        <v>28</v>
      </c>
      <c r="S1914" s="3">
        <v>4547071</v>
      </c>
      <c r="T1914" s="3">
        <v>6238788150</v>
      </c>
      <c r="U1914" s="3" t="s">
        <v>29</v>
      </c>
    </row>
    <row r="1915" spans="1:21" ht="13.2" x14ac:dyDescent="0.25">
      <c r="A1915" s="14">
        <v>57014896000185</v>
      </c>
      <c r="B1915" s="15" t="str">
        <f t="shared" si="29"/>
        <v>57.014.896/0001-85</v>
      </c>
      <c r="C1915" s="12" t="str">
        <f>VLOOKUP(B1915,[1]Planilha1!$A:$B,2,0)</f>
        <v>Malu Montesino</v>
      </c>
      <c r="D1915" s="3" t="s">
        <v>7219</v>
      </c>
      <c r="E1915" s="3" t="s">
        <v>7220</v>
      </c>
      <c r="F1915" s="3" t="s">
        <v>20</v>
      </c>
      <c r="G1915" s="4">
        <v>26924</v>
      </c>
      <c r="H1915" s="3" t="s">
        <v>21</v>
      </c>
      <c r="I1915" s="3" t="s">
        <v>33</v>
      </c>
      <c r="J1915" s="5">
        <v>202942100</v>
      </c>
      <c r="K1915" s="3">
        <v>2822402</v>
      </c>
      <c r="L1915" s="3" t="s">
        <v>4317</v>
      </c>
      <c r="M1915" s="3" t="s">
        <v>4364</v>
      </c>
      <c r="N1915" s="3" t="s">
        <v>82</v>
      </c>
      <c r="O1915" s="3" t="s">
        <v>7221</v>
      </c>
      <c r="P1915" s="3" t="s">
        <v>7222</v>
      </c>
      <c r="Q1915" s="3" t="s">
        <v>1312</v>
      </c>
      <c r="R1915" s="3" t="s">
        <v>28</v>
      </c>
      <c r="S1915" s="3">
        <v>13308700</v>
      </c>
      <c r="T1915" s="3">
        <v>1123962064</v>
      </c>
      <c r="U1915" s="3" t="s">
        <v>29</v>
      </c>
    </row>
    <row r="1916" spans="1:21" ht="13.2" x14ac:dyDescent="0.25">
      <c r="A1916" s="14">
        <v>10394422000142</v>
      </c>
      <c r="B1916" s="15" t="str">
        <f t="shared" si="29"/>
        <v>10.394.422/0001-42</v>
      </c>
      <c r="C1916" s="12" t="str">
        <f>VLOOKUP(B1916,[1]Planilha1!$A:$B,2,0)</f>
        <v>Malu Montesino</v>
      </c>
      <c r="D1916" s="3" t="s">
        <v>7223</v>
      </c>
      <c r="E1916" s="3" t="s">
        <v>7224</v>
      </c>
      <c r="F1916" s="3" t="s">
        <v>20</v>
      </c>
      <c r="G1916" s="4">
        <v>39703</v>
      </c>
      <c r="H1916" s="3" t="s">
        <v>21</v>
      </c>
      <c r="I1916" s="3" t="s">
        <v>33</v>
      </c>
      <c r="J1916" s="5">
        <v>2363797000</v>
      </c>
      <c r="K1916" s="3">
        <v>2910701</v>
      </c>
      <c r="L1916" s="3" t="s">
        <v>2241</v>
      </c>
      <c r="M1916" s="3" t="s">
        <v>7225</v>
      </c>
      <c r="N1916" s="3">
        <v>777</v>
      </c>
      <c r="P1916" s="3" t="s">
        <v>4055</v>
      </c>
      <c r="Q1916" s="3" t="s">
        <v>367</v>
      </c>
      <c r="R1916" s="3" t="s">
        <v>28</v>
      </c>
      <c r="S1916" s="3">
        <v>13413900</v>
      </c>
      <c r="T1916" s="3">
        <v>1933730000</v>
      </c>
      <c r="U1916" s="3" t="s">
        <v>29</v>
      </c>
    </row>
    <row r="1917" spans="1:21" ht="13.2" x14ac:dyDescent="0.25">
      <c r="A1917" s="14">
        <v>35075474000187</v>
      </c>
      <c r="B1917" s="15" t="str">
        <f t="shared" si="29"/>
        <v>35.075.474/0001-87</v>
      </c>
      <c r="C1917" s="12" t="str">
        <f>VLOOKUP(B1917,[1]Planilha1!$A:$B,2,0)</f>
        <v>Malu Montesino</v>
      </c>
      <c r="D1917" s="3" t="s">
        <v>7226</v>
      </c>
      <c r="E1917" s="3" t="s">
        <v>7227</v>
      </c>
      <c r="F1917" s="3" t="s">
        <v>20</v>
      </c>
      <c r="G1917" s="4">
        <v>43741</v>
      </c>
      <c r="H1917" s="3" t="s">
        <v>21</v>
      </c>
      <c r="I1917" s="3" t="s">
        <v>47</v>
      </c>
      <c r="J1917" s="5">
        <v>5000</v>
      </c>
      <c r="K1917" s="3">
        <v>8230001</v>
      </c>
      <c r="L1917" s="3" t="s">
        <v>2141</v>
      </c>
      <c r="M1917" s="3" t="s">
        <v>7228</v>
      </c>
      <c r="N1917" s="3">
        <v>511</v>
      </c>
      <c r="O1917" s="3" t="s">
        <v>2916</v>
      </c>
      <c r="P1917" s="3" t="s">
        <v>1351</v>
      </c>
      <c r="Q1917" s="3" t="s">
        <v>27</v>
      </c>
      <c r="R1917" s="3" t="s">
        <v>28</v>
      </c>
      <c r="S1917" s="3">
        <v>4729080</v>
      </c>
      <c r="T1917" s="3">
        <v>1125037677</v>
      </c>
      <c r="U1917" s="3" t="s">
        <v>29</v>
      </c>
    </row>
    <row r="1918" spans="1:21" ht="13.2" x14ac:dyDescent="0.25">
      <c r="A1918" s="14">
        <v>57607764000167</v>
      </c>
      <c r="B1918" s="15" t="str">
        <f t="shared" si="29"/>
        <v>57.607.764/0001-67</v>
      </c>
      <c r="C1918" s="12"/>
      <c r="D1918" s="3" t="s">
        <v>7229</v>
      </c>
      <c r="E1918" s="3" t="s">
        <v>7229</v>
      </c>
      <c r="F1918" s="3" t="s">
        <v>20</v>
      </c>
      <c r="G1918" s="4">
        <v>31954</v>
      </c>
      <c r="H1918" s="3" t="s">
        <v>21</v>
      </c>
      <c r="I1918" s="3" t="s">
        <v>22</v>
      </c>
      <c r="J1918" s="5">
        <v>78800</v>
      </c>
      <c r="K1918" s="3">
        <v>4742300</v>
      </c>
      <c r="L1918" s="3" t="s">
        <v>1152</v>
      </c>
      <c r="M1918" s="3" t="s">
        <v>7230</v>
      </c>
      <c r="N1918" s="3">
        <v>74</v>
      </c>
      <c r="O1918" s="3" t="s">
        <v>7231</v>
      </c>
      <c r="P1918" s="3" t="s">
        <v>7232</v>
      </c>
      <c r="Q1918" s="3" t="s">
        <v>65</v>
      </c>
      <c r="R1918" s="3" t="s">
        <v>28</v>
      </c>
      <c r="S1918" s="3">
        <v>13025270</v>
      </c>
      <c r="T1918" s="3">
        <v>1195559312</v>
      </c>
      <c r="U1918" s="3" t="s">
        <v>29</v>
      </c>
    </row>
    <row r="1919" spans="1:21" ht="13.2" x14ac:dyDescent="0.25">
      <c r="A1919" s="14">
        <v>63993315000105</v>
      </c>
      <c r="B1919" s="15" t="str">
        <f t="shared" si="29"/>
        <v>63.993.315/0001-05</v>
      </c>
      <c r="C1919" s="12" t="str">
        <f>VLOOKUP(B1919,[1]Planilha1!$A:$B,2,0)</f>
        <v>Malu Montesino</v>
      </c>
      <c r="D1919" s="3" t="s">
        <v>7233</v>
      </c>
      <c r="E1919" s="3" t="s">
        <v>7234</v>
      </c>
      <c r="F1919" s="3" t="s">
        <v>20</v>
      </c>
      <c r="G1919" s="4">
        <v>33087</v>
      </c>
      <c r="H1919" s="3" t="s">
        <v>21</v>
      </c>
      <c r="I1919" s="3" t="s">
        <v>47</v>
      </c>
      <c r="J1919" s="5">
        <v>300000</v>
      </c>
      <c r="K1919" s="3">
        <v>2833000</v>
      </c>
      <c r="L1919" s="3" t="s">
        <v>151</v>
      </c>
      <c r="M1919" s="3" t="s">
        <v>1645</v>
      </c>
      <c r="N1919" s="3">
        <v>323</v>
      </c>
      <c r="P1919" s="3" t="s">
        <v>7235</v>
      </c>
      <c r="Q1919" s="3" t="s">
        <v>524</v>
      </c>
      <c r="R1919" s="3" t="s">
        <v>28</v>
      </c>
      <c r="S1919" s="3">
        <v>14078070</v>
      </c>
      <c r="T1919" s="3">
        <v>1636264447</v>
      </c>
      <c r="U1919" s="3" t="s">
        <v>29</v>
      </c>
    </row>
    <row r="1920" spans="1:21" ht="13.2" x14ac:dyDescent="0.25">
      <c r="A1920" s="14">
        <v>67423152000178</v>
      </c>
      <c r="B1920" s="15" t="str">
        <f t="shared" si="29"/>
        <v>67.423.152/0001-78</v>
      </c>
      <c r="C1920" s="12"/>
      <c r="D1920" s="3" t="s">
        <v>7236</v>
      </c>
      <c r="E1920" s="3" t="s">
        <v>7236</v>
      </c>
      <c r="F1920" s="3" t="s">
        <v>20</v>
      </c>
      <c r="G1920" s="4">
        <v>33619</v>
      </c>
      <c r="H1920" s="3" t="s">
        <v>21</v>
      </c>
      <c r="I1920" s="3" t="s">
        <v>33</v>
      </c>
      <c r="J1920" s="5">
        <v>26778768</v>
      </c>
      <c r="K1920" s="3">
        <v>2014200</v>
      </c>
      <c r="L1920" s="3" t="s">
        <v>833</v>
      </c>
      <c r="M1920" s="3" t="s">
        <v>5402</v>
      </c>
      <c r="N1920" s="3">
        <v>150</v>
      </c>
      <c r="O1920" s="3" t="s">
        <v>7110</v>
      </c>
      <c r="P1920" s="3" t="s">
        <v>153</v>
      </c>
      <c r="Q1920" s="3" t="s">
        <v>567</v>
      </c>
      <c r="R1920" s="3" t="s">
        <v>28</v>
      </c>
      <c r="S1920" s="3">
        <v>13213009</v>
      </c>
      <c r="T1920" s="3">
        <v>1121368554</v>
      </c>
      <c r="U1920" s="3" t="s">
        <v>29</v>
      </c>
    </row>
    <row r="1921" spans="1:21" ht="13.2" x14ac:dyDescent="0.25">
      <c r="A1921" s="14">
        <v>61478467000136</v>
      </c>
      <c r="B1921" s="15" t="str">
        <f t="shared" si="29"/>
        <v>61.478.467/0001-36</v>
      </c>
      <c r="C1921" s="12"/>
      <c r="D1921" s="3" t="s">
        <v>7237</v>
      </c>
      <c r="E1921" s="3" t="s">
        <v>7237</v>
      </c>
      <c r="F1921" s="3" t="s">
        <v>20</v>
      </c>
      <c r="G1921" s="4">
        <v>25443</v>
      </c>
      <c r="H1921" s="3" t="s">
        <v>21</v>
      </c>
      <c r="I1921" s="3" t="s">
        <v>33</v>
      </c>
      <c r="J1921" s="5">
        <v>5000000</v>
      </c>
      <c r="K1921" s="3">
        <v>2229399</v>
      </c>
      <c r="L1921" s="3" t="s">
        <v>414</v>
      </c>
      <c r="M1921" s="3" t="s">
        <v>7238</v>
      </c>
      <c r="N1921" s="3">
        <v>151</v>
      </c>
      <c r="P1921" s="3" t="s">
        <v>7239</v>
      </c>
      <c r="Q1921" s="3" t="s">
        <v>4404</v>
      </c>
      <c r="R1921" s="3" t="s">
        <v>28</v>
      </c>
      <c r="S1921" s="3">
        <v>8596010</v>
      </c>
      <c r="T1921" s="3">
        <v>1125008000</v>
      </c>
      <c r="U1921" s="3" t="s">
        <v>29</v>
      </c>
    </row>
    <row r="1922" spans="1:21" ht="13.2" x14ac:dyDescent="0.25">
      <c r="A1922" s="14">
        <v>33372251000156</v>
      </c>
      <c r="B1922" s="15" t="str">
        <f t="shared" si="29"/>
        <v>33.372.251/0001-56</v>
      </c>
      <c r="C1922" s="12"/>
      <c r="D1922" s="3" t="s">
        <v>7240</v>
      </c>
      <c r="E1922" s="3" t="s">
        <v>7241</v>
      </c>
      <c r="F1922" s="3" t="s">
        <v>20</v>
      </c>
      <c r="G1922" s="4">
        <v>22067</v>
      </c>
      <c r="H1922" s="3" t="s">
        <v>21</v>
      </c>
      <c r="I1922" s="3" t="s">
        <v>33</v>
      </c>
      <c r="J1922" s="5">
        <v>828638660</v>
      </c>
      <c r="K1922" s="3">
        <v>4651601</v>
      </c>
      <c r="L1922" s="3" t="s">
        <v>684</v>
      </c>
      <c r="M1922" s="3" t="s">
        <v>7242</v>
      </c>
      <c r="N1922" s="3">
        <v>330</v>
      </c>
      <c r="O1922" s="3" t="s">
        <v>7243</v>
      </c>
      <c r="P1922" s="3" t="s">
        <v>70</v>
      </c>
      <c r="Q1922" s="3" t="s">
        <v>253</v>
      </c>
      <c r="R1922" s="3" t="s">
        <v>78</v>
      </c>
      <c r="S1922" s="3">
        <v>20031170</v>
      </c>
      <c r="T1922" s="3">
        <v>2121323053</v>
      </c>
      <c r="U1922" s="3" t="s">
        <v>29</v>
      </c>
    </row>
    <row r="1923" spans="1:21" ht="13.2" x14ac:dyDescent="0.25">
      <c r="A1923" s="14">
        <v>68347954000109</v>
      </c>
      <c r="B1923" s="15" t="str">
        <f t="shared" ref="B1923:B1986" si="30">TEXT(A1923,"00\.000\.000\/0000\-00")</f>
        <v>68.347.954/0001-09</v>
      </c>
      <c r="C1923" s="12"/>
      <c r="D1923" s="3" t="s">
        <v>7244</v>
      </c>
      <c r="E1923" s="3" t="s">
        <v>7244</v>
      </c>
      <c r="F1923" s="3" t="s">
        <v>31</v>
      </c>
      <c r="G1923" s="4">
        <v>33830</v>
      </c>
      <c r="H1923" s="3" t="s">
        <v>21</v>
      </c>
      <c r="I1923" s="3" t="s">
        <v>22</v>
      </c>
      <c r="J1923" s="5">
        <v>100000</v>
      </c>
      <c r="K1923" s="3">
        <v>2219600</v>
      </c>
      <c r="L1923" s="3" t="s">
        <v>613</v>
      </c>
      <c r="M1923" s="3" t="s">
        <v>7245</v>
      </c>
      <c r="N1923" s="3">
        <v>874</v>
      </c>
      <c r="P1923" s="3" t="s">
        <v>7246</v>
      </c>
      <c r="Q1923" s="3" t="s">
        <v>27</v>
      </c>
      <c r="R1923" s="3" t="s">
        <v>28</v>
      </c>
      <c r="S1923" s="3">
        <v>3810150</v>
      </c>
      <c r="T1923" s="3">
        <v>1125461055</v>
      </c>
      <c r="U1923" s="3" t="s">
        <v>29</v>
      </c>
    </row>
    <row r="1924" spans="1:21" ht="13.2" x14ac:dyDescent="0.25">
      <c r="A1924" s="14">
        <v>133418000177</v>
      </c>
      <c r="B1924" s="15" t="str">
        <f t="shared" si="30"/>
        <v>00.133.418/0001-77</v>
      </c>
      <c r="C1924" s="12" t="str">
        <f>VLOOKUP(B1924,[1]Planilha1!$A:$B,2,0)</f>
        <v>Malu Montesino</v>
      </c>
      <c r="D1924" s="3" t="s">
        <v>7247</v>
      </c>
      <c r="E1924" s="3" t="s">
        <v>7248</v>
      </c>
      <c r="F1924" s="3" t="s">
        <v>20</v>
      </c>
      <c r="G1924" s="4">
        <v>34530</v>
      </c>
      <c r="H1924" s="3" t="s">
        <v>21</v>
      </c>
      <c r="I1924" s="3" t="s">
        <v>33</v>
      </c>
      <c r="J1924" s="5">
        <v>11615750</v>
      </c>
      <c r="K1924" s="3">
        <v>2660400</v>
      </c>
      <c r="L1924" s="3" t="s">
        <v>953</v>
      </c>
      <c r="M1924" s="3" t="s">
        <v>7249</v>
      </c>
      <c r="N1924" s="3">
        <v>2800</v>
      </c>
      <c r="P1924" s="3" t="s">
        <v>7250</v>
      </c>
      <c r="Q1924" s="3" t="s">
        <v>7251</v>
      </c>
      <c r="R1924" s="3" t="s">
        <v>28</v>
      </c>
      <c r="S1924" s="3">
        <v>13901080</v>
      </c>
      <c r="T1924" s="3">
        <v>1938179633</v>
      </c>
      <c r="U1924" s="3" t="s">
        <v>29</v>
      </c>
    </row>
    <row r="1925" spans="1:21" ht="13.2" x14ac:dyDescent="0.25">
      <c r="A1925" s="14">
        <v>2877566000121</v>
      </c>
      <c r="B1925" s="15" t="str">
        <f t="shared" si="30"/>
        <v>02.877.566/0001-21</v>
      </c>
      <c r="C1925" s="12"/>
      <c r="D1925" s="3" t="s">
        <v>7252</v>
      </c>
      <c r="E1925" s="3" t="s">
        <v>7252</v>
      </c>
      <c r="F1925" s="3" t="s">
        <v>20</v>
      </c>
      <c r="G1925" s="4">
        <v>36130</v>
      </c>
      <c r="H1925" s="3" t="s">
        <v>21</v>
      </c>
      <c r="I1925" s="3" t="s">
        <v>33</v>
      </c>
      <c r="J1925" s="5">
        <v>560000</v>
      </c>
      <c r="K1925" s="3">
        <v>6201501</v>
      </c>
      <c r="L1925" s="3" t="s">
        <v>298</v>
      </c>
      <c r="M1925" s="3" t="s">
        <v>7253</v>
      </c>
      <c r="N1925" s="3">
        <v>475</v>
      </c>
      <c r="O1925" s="3" t="s">
        <v>7254</v>
      </c>
      <c r="P1925" s="3" t="s">
        <v>2596</v>
      </c>
      <c r="Q1925" s="3" t="s">
        <v>437</v>
      </c>
      <c r="R1925" s="3" t="s">
        <v>53</v>
      </c>
      <c r="S1925" s="3">
        <v>91340020</v>
      </c>
      <c r="T1925" s="3">
        <v>5193118367</v>
      </c>
      <c r="U1925" s="3" t="s">
        <v>29</v>
      </c>
    </row>
    <row r="1926" spans="1:21" ht="13.2" x14ac:dyDescent="0.25">
      <c r="A1926" s="14">
        <v>7766332000120</v>
      </c>
      <c r="B1926" s="15" t="str">
        <f t="shared" si="30"/>
        <v>07.766.332/0001-20</v>
      </c>
      <c r="C1926" s="12"/>
      <c r="D1926" s="3" t="s">
        <v>7255</v>
      </c>
      <c r="E1926" s="3" t="s">
        <v>7255</v>
      </c>
      <c r="F1926" s="3" t="s">
        <v>20</v>
      </c>
      <c r="G1926" s="4">
        <v>38712</v>
      </c>
      <c r="H1926" s="3" t="s">
        <v>21</v>
      </c>
      <c r="I1926" s="3" t="s">
        <v>33</v>
      </c>
      <c r="J1926" s="5">
        <v>5016815000</v>
      </c>
      <c r="K1926" s="3">
        <v>600001</v>
      </c>
      <c r="L1926" s="3" t="s">
        <v>2644</v>
      </c>
      <c r="M1926" s="3" t="s">
        <v>6879</v>
      </c>
      <c r="N1926" s="3">
        <v>200</v>
      </c>
      <c r="O1926" s="3" t="s">
        <v>7256</v>
      </c>
      <c r="P1926" s="3" t="s">
        <v>252</v>
      </c>
      <c r="Q1926" s="3" t="s">
        <v>253</v>
      </c>
      <c r="R1926" s="3" t="s">
        <v>78</v>
      </c>
      <c r="S1926" s="3">
        <v>22775056</v>
      </c>
      <c r="T1926" s="3">
        <v>2121129000</v>
      </c>
      <c r="U1926" s="3" t="s">
        <v>29</v>
      </c>
    </row>
    <row r="1927" spans="1:21" ht="13.2" x14ac:dyDescent="0.25">
      <c r="A1927" s="14">
        <v>4951747000186</v>
      </c>
      <c r="B1927" s="15" t="str">
        <f t="shared" si="30"/>
        <v>04.951.747/0001-86</v>
      </c>
      <c r="C1927" s="12"/>
      <c r="D1927" s="3" t="s">
        <v>7257</v>
      </c>
      <c r="E1927" s="3" t="s">
        <v>7258</v>
      </c>
      <c r="F1927" s="3" t="s">
        <v>20</v>
      </c>
      <c r="G1927" s="4">
        <v>37321</v>
      </c>
      <c r="H1927" s="3" t="s">
        <v>21</v>
      </c>
      <c r="I1927" s="3" t="s">
        <v>33</v>
      </c>
      <c r="J1927" s="5" t="s">
        <v>7259</v>
      </c>
      <c r="K1927" s="3">
        <v>7210000</v>
      </c>
      <c r="L1927" s="3" t="s">
        <v>4111</v>
      </c>
      <c r="M1927" s="3" t="s">
        <v>7260</v>
      </c>
      <c r="N1927" s="3">
        <v>53</v>
      </c>
      <c r="O1927" s="3" t="s">
        <v>7261</v>
      </c>
      <c r="P1927" s="3" t="s">
        <v>7262</v>
      </c>
      <c r="Q1927" s="3" t="s">
        <v>273</v>
      </c>
      <c r="R1927" s="3" t="s">
        <v>274</v>
      </c>
      <c r="S1927" s="3">
        <v>74175100</v>
      </c>
      <c r="T1927" s="3">
        <v>622418962</v>
      </c>
      <c r="U1927" s="3" t="s">
        <v>29</v>
      </c>
    </row>
    <row r="1928" spans="1:21" ht="13.2" x14ac:dyDescent="0.25">
      <c r="A1928" s="14">
        <v>5524572000193</v>
      </c>
      <c r="B1928" s="15" t="str">
        <f t="shared" si="30"/>
        <v>05.524.572/0001-93</v>
      </c>
      <c r="C1928" s="12"/>
      <c r="D1928" s="3" t="s">
        <v>7263</v>
      </c>
      <c r="E1928" s="3" t="s">
        <v>7263</v>
      </c>
      <c r="F1928" s="3" t="s">
        <v>20</v>
      </c>
      <c r="G1928" s="4">
        <v>37672</v>
      </c>
      <c r="H1928" s="3" t="s">
        <v>94</v>
      </c>
      <c r="I1928" s="3" t="s">
        <v>33</v>
      </c>
      <c r="J1928" s="5">
        <v>688336640</v>
      </c>
      <c r="K1928" s="3">
        <v>5231102</v>
      </c>
      <c r="L1928" s="3" t="s">
        <v>7264</v>
      </c>
      <c r="M1928" s="3" t="s">
        <v>2071</v>
      </c>
      <c r="N1928" s="3">
        <v>3434</v>
      </c>
      <c r="O1928" s="3" t="s">
        <v>7265</v>
      </c>
      <c r="P1928" s="3" t="s">
        <v>252</v>
      </c>
      <c r="Q1928" s="3" t="s">
        <v>253</v>
      </c>
      <c r="R1928" s="3" t="s">
        <v>78</v>
      </c>
      <c r="S1928" s="3">
        <v>22640102</v>
      </c>
      <c r="T1928" s="3">
        <v>2125105925</v>
      </c>
      <c r="U1928" s="3" t="s">
        <v>29</v>
      </c>
    </row>
    <row r="1929" spans="1:21" ht="13.2" x14ac:dyDescent="0.25">
      <c r="A1929" s="14">
        <v>8226125000146</v>
      </c>
      <c r="B1929" s="15" t="str">
        <f t="shared" si="30"/>
        <v>08.226.125/0001-46</v>
      </c>
      <c r="C1929" s="12"/>
      <c r="D1929" s="3" t="s">
        <v>7266</v>
      </c>
      <c r="E1929" s="3" t="s">
        <v>7266</v>
      </c>
      <c r="F1929" s="3" t="s">
        <v>20</v>
      </c>
      <c r="G1929" s="4">
        <v>38925</v>
      </c>
      <c r="H1929" s="3" t="s">
        <v>21</v>
      </c>
      <c r="I1929" s="3" t="s">
        <v>33</v>
      </c>
      <c r="J1929" s="5">
        <v>5000000</v>
      </c>
      <c r="K1929" s="3">
        <v>7020400</v>
      </c>
      <c r="L1929" s="3" t="s">
        <v>170</v>
      </c>
      <c r="M1929" s="3" t="s">
        <v>679</v>
      </c>
      <c r="N1929" s="3">
        <v>2104</v>
      </c>
      <c r="O1929" s="3" t="s">
        <v>7267</v>
      </c>
      <c r="P1929" s="3" t="s">
        <v>681</v>
      </c>
      <c r="Q1929" s="3" t="s">
        <v>617</v>
      </c>
      <c r="R1929" s="3" t="s">
        <v>28</v>
      </c>
      <c r="S1929" s="3">
        <v>6455000</v>
      </c>
      <c r="T1929" s="3">
        <v>1121984200</v>
      </c>
      <c r="U1929" s="3" t="s">
        <v>29</v>
      </c>
    </row>
    <row r="1930" spans="1:21" ht="13.2" x14ac:dyDescent="0.25">
      <c r="A1930" s="14">
        <v>12380716000140</v>
      </c>
      <c r="B1930" s="15" t="str">
        <f t="shared" si="30"/>
        <v>12.380.716/0001-40</v>
      </c>
      <c r="C1930" s="12"/>
      <c r="D1930" s="3" t="s">
        <v>7268</v>
      </c>
      <c r="E1930" s="3" t="s">
        <v>7269</v>
      </c>
      <c r="F1930" s="3" t="s">
        <v>20</v>
      </c>
      <c r="G1930" s="4">
        <v>40346</v>
      </c>
      <c r="H1930" s="3" t="s">
        <v>21</v>
      </c>
      <c r="I1930" s="3" t="s">
        <v>33</v>
      </c>
      <c r="J1930" s="5">
        <v>600000</v>
      </c>
      <c r="K1930" s="3">
        <v>4651601</v>
      </c>
      <c r="L1930" s="3" t="s">
        <v>684</v>
      </c>
      <c r="M1930" s="3" t="s">
        <v>7270</v>
      </c>
      <c r="N1930" s="3">
        <v>118</v>
      </c>
      <c r="P1930" s="3" t="s">
        <v>5581</v>
      </c>
      <c r="Q1930" s="3" t="s">
        <v>204</v>
      </c>
      <c r="R1930" s="3" t="s">
        <v>187</v>
      </c>
      <c r="S1930" s="3">
        <v>82120200</v>
      </c>
      <c r="T1930" s="3">
        <v>4131515353</v>
      </c>
      <c r="U1930" s="3" t="s">
        <v>29</v>
      </c>
    </row>
    <row r="1931" spans="1:21" ht="13.2" x14ac:dyDescent="0.25">
      <c r="A1931" s="14">
        <v>58110081000162</v>
      </c>
      <c r="B1931" s="15" t="str">
        <f t="shared" si="30"/>
        <v>58.110.081/0001-62</v>
      </c>
      <c r="C1931" s="12"/>
      <c r="D1931" s="3" t="s">
        <v>7271</v>
      </c>
      <c r="E1931" s="3" t="s">
        <v>7272</v>
      </c>
      <c r="F1931" s="3" t="s">
        <v>20</v>
      </c>
      <c r="G1931" s="4">
        <v>32080</v>
      </c>
      <c r="H1931" s="3" t="s">
        <v>21</v>
      </c>
      <c r="I1931" s="3" t="s">
        <v>22</v>
      </c>
      <c r="J1931" s="5">
        <v>200000</v>
      </c>
      <c r="K1931" s="3">
        <v>7020400</v>
      </c>
      <c r="L1931" s="3" t="s">
        <v>170</v>
      </c>
      <c r="M1931" s="3" t="s">
        <v>7273</v>
      </c>
      <c r="N1931" s="3">
        <v>457</v>
      </c>
      <c r="O1931" s="3" t="s">
        <v>7274</v>
      </c>
      <c r="P1931" s="3" t="s">
        <v>1740</v>
      </c>
      <c r="Q1931" s="3" t="s">
        <v>27</v>
      </c>
      <c r="R1931" s="3" t="s">
        <v>28</v>
      </c>
      <c r="S1931" s="3">
        <v>5419000</v>
      </c>
      <c r="T1931" s="3">
        <v>1130309442</v>
      </c>
      <c r="U1931" s="3" t="s">
        <v>29</v>
      </c>
    </row>
    <row r="1932" spans="1:21" ht="13.2" x14ac:dyDescent="0.25">
      <c r="A1932" s="14">
        <v>11479366000101</v>
      </c>
      <c r="B1932" s="15" t="str">
        <f t="shared" si="30"/>
        <v>11.479.366/0001-01</v>
      </c>
      <c r="C1932" s="12"/>
      <c r="D1932" s="3" t="s">
        <v>7275</v>
      </c>
      <c r="E1932" s="3" t="s">
        <v>7275</v>
      </c>
      <c r="F1932" s="3" t="s">
        <v>20</v>
      </c>
      <c r="G1932" s="4">
        <v>40199</v>
      </c>
      <c r="H1932" s="3" t="s">
        <v>21</v>
      </c>
      <c r="I1932" s="3" t="s">
        <v>47</v>
      </c>
      <c r="J1932" s="5">
        <v>118800</v>
      </c>
      <c r="K1932" s="3">
        <v>7739099</v>
      </c>
      <c r="L1932" s="3" t="s">
        <v>669</v>
      </c>
      <c r="M1932" s="3" t="s">
        <v>7276</v>
      </c>
      <c r="N1932" s="3">
        <v>25</v>
      </c>
      <c r="P1932" s="3" t="s">
        <v>7277</v>
      </c>
      <c r="Q1932" s="3" t="s">
        <v>1112</v>
      </c>
      <c r="R1932" s="3" t="s">
        <v>100</v>
      </c>
      <c r="S1932" s="3">
        <v>38040620</v>
      </c>
      <c r="T1932" s="3">
        <v>3433123484</v>
      </c>
      <c r="U1932" s="3" t="s">
        <v>29</v>
      </c>
    </row>
    <row r="1933" spans="1:21" ht="13.2" x14ac:dyDescent="0.25">
      <c r="A1933" s="14">
        <v>23000208000106</v>
      </c>
      <c r="B1933" s="15" t="str">
        <f t="shared" si="30"/>
        <v>23.000.208/0001-06</v>
      </c>
      <c r="C1933" s="12"/>
      <c r="D1933" s="3" t="s">
        <v>7278</v>
      </c>
      <c r="E1933" s="3" t="s">
        <v>7278</v>
      </c>
      <c r="F1933" s="3" t="s">
        <v>20</v>
      </c>
      <c r="G1933" s="4">
        <v>42221</v>
      </c>
      <c r="H1933" s="3" t="s">
        <v>21</v>
      </c>
      <c r="I1933" s="3" t="s">
        <v>22</v>
      </c>
      <c r="J1933" s="5">
        <v>300000</v>
      </c>
      <c r="K1933" s="3">
        <v>8211300</v>
      </c>
      <c r="L1933" s="3" t="s">
        <v>166</v>
      </c>
      <c r="M1933" s="3" t="s">
        <v>7279</v>
      </c>
      <c r="N1933" s="3">
        <v>71</v>
      </c>
      <c r="P1933" s="3" t="s">
        <v>7280</v>
      </c>
      <c r="Q1933" s="3" t="s">
        <v>27</v>
      </c>
      <c r="R1933" s="3" t="s">
        <v>28</v>
      </c>
      <c r="S1933" s="3">
        <v>2861060</v>
      </c>
      <c r="T1933" s="3">
        <v>1127136250</v>
      </c>
      <c r="U1933" s="3" t="s">
        <v>29</v>
      </c>
    </row>
    <row r="1934" spans="1:21" ht="13.2" x14ac:dyDescent="0.25">
      <c r="A1934" s="14">
        <v>3246317000109</v>
      </c>
      <c r="B1934" s="15" t="str">
        <f t="shared" si="30"/>
        <v>03.246.317/0001-09</v>
      </c>
      <c r="C1934" s="12"/>
      <c r="D1934" s="3" t="s">
        <v>7281</v>
      </c>
      <c r="E1934" s="3" t="s">
        <v>7282</v>
      </c>
      <c r="F1934" s="3" t="s">
        <v>20</v>
      </c>
      <c r="G1934" s="4">
        <v>36325</v>
      </c>
      <c r="H1934" s="3" t="s">
        <v>21</v>
      </c>
      <c r="I1934" s="3" t="s">
        <v>33</v>
      </c>
      <c r="J1934" s="5">
        <v>10000000</v>
      </c>
      <c r="K1934" s="3">
        <v>1413401</v>
      </c>
      <c r="L1934" s="3" t="s">
        <v>7283</v>
      </c>
      <c r="M1934" s="3" t="s">
        <v>7284</v>
      </c>
      <c r="N1934" s="3">
        <v>10</v>
      </c>
      <c r="P1934" s="3" t="s">
        <v>7285</v>
      </c>
      <c r="Q1934" s="3" t="s">
        <v>7232</v>
      </c>
      <c r="R1934" s="3" t="s">
        <v>100</v>
      </c>
      <c r="S1934" s="3">
        <v>37600000</v>
      </c>
      <c r="T1934" s="3">
        <v>1121880796</v>
      </c>
      <c r="U1934" s="3" t="s">
        <v>29</v>
      </c>
    </row>
    <row r="1935" spans="1:21" ht="13.2" x14ac:dyDescent="0.25">
      <c r="A1935" s="14">
        <v>2676310000156</v>
      </c>
      <c r="B1935" s="15" t="str">
        <f t="shared" si="30"/>
        <v>02.676.310/0001-56</v>
      </c>
      <c r="C1935" s="12"/>
      <c r="D1935" s="3" t="s">
        <v>7286</v>
      </c>
      <c r="E1935" s="3" t="s">
        <v>7287</v>
      </c>
      <c r="F1935" s="3" t="s">
        <v>20</v>
      </c>
      <c r="G1935" s="4">
        <v>31737</v>
      </c>
      <c r="H1935" s="3" t="s">
        <v>21</v>
      </c>
      <c r="I1935" s="3" t="s">
        <v>22</v>
      </c>
      <c r="J1935" s="5">
        <v>6600000</v>
      </c>
      <c r="K1935" s="3">
        <v>7911200</v>
      </c>
      <c r="L1935" s="3" t="s">
        <v>269</v>
      </c>
      <c r="M1935" s="3" t="s">
        <v>7288</v>
      </c>
      <c r="N1935" s="3" t="s">
        <v>111</v>
      </c>
      <c r="O1935" s="3" t="s">
        <v>7289</v>
      </c>
      <c r="P1935" s="3" t="s">
        <v>2699</v>
      </c>
      <c r="Q1935" s="3" t="s">
        <v>631</v>
      </c>
      <c r="R1935" s="3" t="s">
        <v>632</v>
      </c>
      <c r="S1935" s="3">
        <v>70610410</v>
      </c>
      <c r="T1935" s="3">
        <v>6130765005</v>
      </c>
      <c r="U1935" s="3" t="s">
        <v>29</v>
      </c>
    </row>
    <row r="1936" spans="1:21" ht="13.2" x14ac:dyDescent="0.25">
      <c r="A1936" s="14">
        <v>377455000120</v>
      </c>
      <c r="B1936" s="15" t="str">
        <f t="shared" si="30"/>
        <v>00.377.455/0001-20</v>
      </c>
      <c r="C1936" s="12"/>
      <c r="D1936" s="3" t="s">
        <v>7290</v>
      </c>
      <c r="E1936" s="3" t="s">
        <v>7290</v>
      </c>
      <c r="F1936" s="3" t="s">
        <v>20</v>
      </c>
      <c r="G1936" s="4">
        <v>34666</v>
      </c>
      <c r="H1936" s="3" t="s">
        <v>21</v>
      </c>
      <c r="I1936" s="3" t="s">
        <v>33</v>
      </c>
      <c r="J1936" s="5">
        <v>352053600</v>
      </c>
      <c r="K1936" s="3">
        <v>4693100</v>
      </c>
      <c r="L1936" s="3" t="s">
        <v>238</v>
      </c>
      <c r="M1936" s="3" t="s">
        <v>7291</v>
      </c>
      <c r="N1936" s="3">
        <v>207</v>
      </c>
      <c r="O1936" s="3" t="s">
        <v>7292</v>
      </c>
      <c r="P1936" s="3" t="s">
        <v>6347</v>
      </c>
      <c r="Q1936" s="3" t="s">
        <v>617</v>
      </c>
      <c r="R1936" s="3" t="s">
        <v>28</v>
      </c>
      <c r="S1936" s="3">
        <v>6463290</v>
      </c>
      <c r="T1936" s="3">
        <v>1130955651</v>
      </c>
      <c r="U1936" s="3" t="s">
        <v>29</v>
      </c>
    </row>
    <row r="1937" spans="1:21" ht="13.2" x14ac:dyDescent="0.25">
      <c r="A1937" s="14">
        <v>16684742000113</v>
      </c>
      <c r="B1937" s="15" t="str">
        <f t="shared" si="30"/>
        <v>16.684.742/0001-13</v>
      </c>
      <c r="C1937" s="12"/>
      <c r="D1937" s="3" t="s">
        <v>7293</v>
      </c>
      <c r="E1937" s="3" t="s">
        <v>7294</v>
      </c>
      <c r="F1937" s="3" t="s">
        <v>20</v>
      </c>
      <c r="G1937" s="4">
        <v>41134</v>
      </c>
      <c r="H1937" s="3" t="s">
        <v>21</v>
      </c>
      <c r="I1937" s="3" t="s">
        <v>22</v>
      </c>
      <c r="J1937" s="5">
        <v>100000</v>
      </c>
      <c r="K1937" s="3">
        <v>4684299</v>
      </c>
      <c r="L1937" s="3" t="s">
        <v>419</v>
      </c>
      <c r="M1937" s="3" t="s">
        <v>27</v>
      </c>
      <c r="N1937" s="3" t="s">
        <v>111</v>
      </c>
      <c r="O1937" s="3" t="s">
        <v>7295</v>
      </c>
      <c r="P1937" s="3" t="s">
        <v>572</v>
      </c>
      <c r="Q1937" s="3" t="s">
        <v>573</v>
      </c>
      <c r="R1937" s="3" t="s">
        <v>274</v>
      </c>
      <c r="S1937" s="3">
        <v>74905770</v>
      </c>
      <c r="T1937" s="3">
        <v>6232516992</v>
      </c>
      <c r="U1937" s="3" t="s">
        <v>29</v>
      </c>
    </row>
    <row r="1938" spans="1:21" ht="13.2" x14ac:dyDescent="0.25">
      <c r="A1938" s="14">
        <v>57394447000452</v>
      </c>
      <c r="B1938" s="15" t="str">
        <f t="shared" si="30"/>
        <v>57.394.447/0004-52</v>
      </c>
      <c r="C1938" s="12" t="str">
        <f>VLOOKUP(B1938,[1]Planilha1!$A:$B,2,0)</f>
        <v>Malu Montesino</v>
      </c>
      <c r="D1938" s="3" t="s">
        <v>7296</v>
      </c>
      <c r="E1938" s="3" t="s">
        <v>7297</v>
      </c>
      <c r="F1938" s="3" t="s">
        <v>20</v>
      </c>
      <c r="G1938" s="4">
        <v>41591</v>
      </c>
      <c r="H1938" s="3" t="s">
        <v>21</v>
      </c>
      <c r="I1938" s="3" t="s">
        <v>33</v>
      </c>
      <c r="J1938" s="5">
        <v>2100000</v>
      </c>
      <c r="K1938" s="3">
        <v>7112000</v>
      </c>
      <c r="L1938" s="3" t="s">
        <v>276</v>
      </c>
      <c r="M1938" s="3" t="s">
        <v>7298</v>
      </c>
      <c r="N1938" s="3">
        <v>5203</v>
      </c>
      <c r="P1938" s="3" t="s">
        <v>658</v>
      </c>
      <c r="Q1938" s="3" t="s">
        <v>27</v>
      </c>
      <c r="R1938" s="3" t="s">
        <v>28</v>
      </c>
      <c r="S1938" s="3">
        <v>5534000</v>
      </c>
      <c r="T1938" s="3">
        <v>1156431414</v>
      </c>
      <c r="U1938" s="3" t="s">
        <v>29</v>
      </c>
    </row>
    <row r="1939" spans="1:21" ht="13.2" x14ac:dyDescent="0.25">
      <c r="A1939" s="14">
        <v>8902115000183</v>
      </c>
      <c r="B1939" s="15" t="str">
        <f t="shared" si="30"/>
        <v>08.902.115/0001-83</v>
      </c>
      <c r="C1939" s="12"/>
      <c r="D1939" s="3" t="s">
        <v>7299</v>
      </c>
      <c r="E1939" s="3" t="s">
        <v>7300</v>
      </c>
      <c r="F1939" s="3" t="s">
        <v>45</v>
      </c>
      <c r="G1939" s="4">
        <v>39191</v>
      </c>
      <c r="H1939" s="3" t="s">
        <v>21</v>
      </c>
      <c r="I1939" s="3" t="s">
        <v>33</v>
      </c>
      <c r="J1939" s="5">
        <v>510284</v>
      </c>
      <c r="K1939" s="3">
        <v>8299799</v>
      </c>
      <c r="L1939" s="3" t="s">
        <v>532</v>
      </c>
      <c r="M1939" s="3" t="s">
        <v>7301</v>
      </c>
      <c r="N1939" s="3">
        <v>295</v>
      </c>
      <c r="P1939" s="3" t="s">
        <v>7302</v>
      </c>
      <c r="Q1939" s="3" t="s">
        <v>567</v>
      </c>
      <c r="R1939" s="3" t="s">
        <v>28</v>
      </c>
      <c r="S1939" s="3">
        <v>13201801</v>
      </c>
      <c r="T1939" s="3">
        <v>1136343360</v>
      </c>
      <c r="U1939" s="3" t="s">
        <v>29</v>
      </c>
    </row>
    <row r="1940" spans="1:21" ht="13.2" x14ac:dyDescent="0.25">
      <c r="A1940" s="14">
        <v>33157312000162</v>
      </c>
      <c r="B1940" s="15" t="str">
        <f t="shared" si="30"/>
        <v>33.157.312/0001-62</v>
      </c>
      <c r="C1940" s="12" t="str">
        <f>VLOOKUP(B1940,[1]Planilha1!$A:$B,2,0)</f>
        <v>Mariane Nascimento</v>
      </c>
      <c r="D1940" s="3" t="s">
        <v>7303</v>
      </c>
      <c r="E1940" s="3" t="s">
        <v>7303</v>
      </c>
      <c r="F1940" s="3" t="s">
        <v>20</v>
      </c>
      <c r="G1940" s="4">
        <v>43551</v>
      </c>
      <c r="H1940" s="3" t="s">
        <v>21</v>
      </c>
      <c r="I1940" s="3" t="s">
        <v>33</v>
      </c>
      <c r="J1940" s="5">
        <v>470351000</v>
      </c>
      <c r="K1940" s="3">
        <v>8299702</v>
      </c>
      <c r="L1940" s="3" t="s">
        <v>937</v>
      </c>
      <c r="M1940" s="3" t="s">
        <v>7304</v>
      </c>
      <c r="N1940" s="7">
        <v>1496</v>
      </c>
      <c r="O1940" s="3" t="s">
        <v>7305</v>
      </c>
      <c r="P1940" s="3" t="s">
        <v>5496</v>
      </c>
      <c r="Q1940" s="3" t="s">
        <v>262</v>
      </c>
      <c r="R1940" s="3" t="s">
        <v>28</v>
      </c>
      <c r="S1940" s="3">
        <v>6020902</v>
      </c>
      <c r="T1940" s="3">
        <v>1136343360</v>
      </c>
      <c r="U1940" s="3" t="s">
        <v>29</v>
      </c>
    </row>
    <row r="1941" spans="1:21" ht="13.2" x14ac:dyDescent="0.25">
      <c r="A1941" s="14">
        <v>8159965000133</v>
      </c>
      <c r="B1941" s="15" t="str">
        <f t="shared" si="30"/>
        <v>08.159.965/0001-33</v>
      </c>
      <c r="C1941" s="12"/>
      <c r="D1941" s="3" t="s">
        <v>7306</v>
      </c>
      <c r="E1941" s="3" t="s">
        <v>7306</v>
      </c>
      <c r="F1941" s="3" t="s">
        <v>20</v>
      </c>
      <c r="G1941" s="4">
        <v>38902</v>
      </c>
      <c r="H1941" s="3" t="s">
        <v>377</v>
      </c>
      <c r="I1941" s="3" t="s">
        <v>33</v>
      </c>
      <c r="J1941" s="5">
        <v>4685424000</v>
      </c>
      <c r="K1941" s="3">
        <v>6462000</v>
      </c>
      <c r="L1941" s="3" t="s">
        <v>250</v>
      </c>
      <c r="M1941" s="3" t="s">
        <v>4308</v>
      </c>
      <c r="N1941" s="3">
        <v>1400</v>
      </c>
      <c r="O1941" s="3" t="s">
        <v>7307</v>
      </c>
      <c r="P1941" s="3" t="s">
        <v>2596</v>
      </c>
      <c r="Q1941" s="3" t="s">
        <v>27</v>
      </c>
      <c r="R1941" s="3" t="s">
        <v>28</v>
      </c>
      <c r="S1941" s="3">
        <v>1455000</v>
      </c>
      <c r="T1941" s="3">
        <v>1135008600</v>
      </c>
      <c r="U1941" s="3" t="s">
        <v>29</v>
      </c>
    </row>
    <row r="1942" spans="1:21" ht="13.2" x14ac:dyDescent="0.25">
      <c r="A1942" s="14">
        <v>51218147000193</v>
      </c>
      <c r="B1942" s="15" t="str">
        <f t="shared" si="30"/>
        <v>51.218.147/0001-93</v>
      </c>
      <c r="C1942" s="12"/>
      <c r="D1942" s="3" t="s">
        <v>7308</v>
      </c>
      <c r="E1942" s="3" t="s">
        <v>7308</v>
      </c>
      <c r="F1942" s="3" t="s">
        <v>20</v>
      </c>
      <c r="G1942" s="4">
        <v>29013</v>
      </c>
      <c r="H1942" s="3" t="s">
        <v>377</v>
      </c>
      <c r="I1942" s="3" t="s">
        <v>33</v>
      </c>
      <c r="J1942" s="5">
        <v>3030451000</v>
      </c>
      <c r="K1942" s="3">
        <v>6822600</v>
      </c>
      <c r="L1942" s="3" t="s">
        <v>7309</v>
      </c>
      <c r="M1942" s="3" t="s">
        <v>2715</v>
      </c>
      <c r="N1942" s="3">
        <v>200</v>
      </c>
      <c r="O1942" s="3" t="s">
        <v>5368</v>
      </c>
      <c r="P1942" s="3" t="s">
        <v>2596</v>
      </c>
      <c r="Q1942" s="3" t="s">
        <v>27</v>
      </c>
      <c r="R1942" s="3" t="s">
        <v>28</v>
      </c>
      <c r="S1942" s="3">
        <v>1455070</v>
      </c>
      <c r="T1942" s="3">
        <v>1131376801</v>
      </c>
      <c r="U1942" s="3" t="s">
        <v>29</v>
      </c>
    </row>
    <row r="1943" spans="1:21" ht="13.2" x14ac:dyDescent="0.25">
      <c r="A1943" s="14">
        <v>45544574000169</v>
      </c>
      <c r="B1943" s="15" t="str">
        <f t="shared" si="30"/>
        <v>45.544.574/0001-69</v>
      </c>
      <c r="C1943" s="12"/>
      <c r="D1943" s="3" t="s">
        <v>7310</v>
      </c>
      <c r="E1943" s="3" t="s">
        <v>7310</v>
      </c>
      <c r="F1943" s="3" t="s">
        <v>20</v>
      </c>
      <c r="G1943" s="4">
        <v>27199</v>
      </c>
      <c r="H1943" s="3" t="s">
        <v>21</v>
      </c>
      <c r="I1943" s="3" t="s">
        <v>33</v>
      </c>
      <c r="J1943" s="5">
        <v>800000</v>
      </c>
      <c r="K1943" s="3">
        <v>4731800</v>
      </c>
      <c r="L1943" s="3" t="s">
        <v>1930</v>
      </c>
      <c r="M1943" s="3" t="s">
        <v>1687</v>
      </c>
      <c r="N1943" s="3">
        <v>2112</v>
      </c>
      <c r="P1943" s="3" t="s">
        <v>3668</v>
      </c>
      <c r="Q1943" s="3" t="s">
        <v>27</v>
      </c>
      <c r="R1943" s="3" t="s">
        <v>28</v>
      </c>
      <c r="S1943" s="3">
        <v>5458001</v>
      </c>
      <c r="T1943" s="3">
        <v>1133681681</v>
      </c>
      <c r="U1943" s="3" t="s">
        <v>29</v>
      </c>
    </row>
    <row r="1944" spans="1:21" ht="13.2" x14ac:dyDescent="0.25">
      <c r="A1944" s="14">
        <v>4819944000146</v>
      </c>
      <c r="B1944" s="15" t="str">
        <f t="shared" si="30"/>
        <v>04.819.944/0001-46</v>
      </c>
      <c r="C1944" s="12"/>
      <c r="D1944" s="3" t="s">
        <v>7311</v>
      </c>
      <c r="E1944" s="3" t="s">
        <v>7311</v>
      </c>
      <c r="F1944" s="3" t="s">
        <v>20</v>
      </c>
      <c r="G1944" s="4">
        <v>37239</v>
      </c>
      <c r="H1944" s="3" t="s">
        <v>21</v>
      </c>
      <c r="I1944" s="3" t="s">
        <v>33</v>
      </c>
      <c r="J1944" s="5">
        <v>4300000</v>
      </c>
      <c r="K1944" s="3">
        <v>4329104</v>
      </c>
      <c r="L1944" s="3" t="s">
        <v>7312</v>
      </c>
      <c r="M1944" s="3" t="s">
        <v>7313</v>
      </c>
      <c r="N1944" s="3">
        <v>49</v>
      </c>
      <c r="P1944" s="3" t="s">
        <v>3954</v>
      </c>
      <c r="Q1944" s="3" t="s">
        <v>617</v>
      </c>
      <c r="R1944" s="3" t="s">
        <v>28</v>
      </c>
      <c r="S1944" s="3">
        <v>6440130</v>
      </c>
      <c r="T1944" s="3">
        <v>1141953098</v>
      </c>
      <c r="U1944" s="3" t="s">
        <v>29</v>
      </c>
    </row>
    <row r="1945" spans="1:21" ht="13.2" x14ac:dyDescent="0.25">
      <c r="A1945" s="14">
        <v>4081167000185</v>
      </c>
      <c r="B1945" s="15" t="str">
        <f t="shared" si="30"/>
        <v>04.081.167/0001-85</v>
      </c>
      <c r="C1945" s="12"/>
      <c r="D1945" s="3" t="s">
        <v>7314</v>
      </c>
      <c r="E1945" s="3" t="s">
        <v>7315</v>
      </c>
      <c r="F1945" s="3" t="s">
        <v>20</v>
      </c>
      <c r="G1945" s="4">
        <v>36789</v>
      </c>
      <c r="H1945" s="3" t="s">
        <v>21</v>
      </c>
      <c r="I1945" s="3" t="s">
        <v>33</v>
      </c>
      <c r="J1945" s="5">
        <v>3000000</v>
      </c>
      <c r="K1945" s="3">
        <v>2610800</v>
      </c>
      <c r="L1945" s="3" t="s">
        <v>548</v>
      </c>
      <c r="M1945" s="3" t="s">
        <v>7316</v>
      </c>
      <c r="N1945" s="3">
        <v>230</v>
      </c>
      <c r="O1945" s="3" t="s">
        <v>7317</v>
      </c>
      <c r="P1945" s="3" t="s">
        <v>7318</v>
      </c>
      <c r="Q1945" s="3" t="s">
        <v>716</v>
      </c>
      <c r="R1945" s="3" t="s">
        <v>28</v>
      </c>
      <c r="S1945" s="3">
        <v>13612390</v>
      </c>
      <c r="T1945" s="3">
        <v>1935722299</v>
      </c>
      <c r="U1945" s="3" t="s">
        <v>29</v>
      </c>
    </row>
    <row r="1946" spans="1:21" ht="13.2" x14ac:dyDescent="0.25">
      <c r="A1946" s="14">
        <v>8274836000196</v>
      </c>
      <c r="B1946" s="15" t="str">
        <f t="shared" si="30"/>
        <v>08.274.836/0001-96</v>
      </c>
      <c r="C1946" s="12"/>
      <c r="D1946" s="3" t="s">
        <v>7319</v>
      </c>
      <c r="E1946" s="3" t="s">
        <v>7319</v>
      </c>
      <c r="F1946" s="3" t="s">
        <v>20</v>
      </c>
      <c r="G1946" s="4">
        <v>38964</v>
      </c>
      <c r="H1946" s="3" t="s">
        <v>21</v>
      </c>
      <c r="I1946" s="3" t="s">
        <v>47</v>
      </c>
      <c r="J1946" s="5">
        <v>1410000</v>
      </c>
      <c r="K1946" s="3">
        <v>4754703</v>
      </c>
      <c r="L1946" s="3" t="s">
        <v>1659</v>
      </c>
      <c r="M1946" s="3" t="s">
        <v>7176</v>
      </c>
      <c r="N1946" s="3">
        <v>1800</v>
      </c>
      <c r="O1946" s="3" t="s">
        <v>7320</v>
      </c>
      <c r="P1946" s="3" t="s">
        <v>7177</v>
      </c>
      <c r="Q1946" s="3" t="s">
        <v>4528</v>
      </c>
      <c r="R1946" s="3" t="s">
        <v>765</v>
      </c>
      <c r="S1946" s="3">
        <v>29161160</v>
      </c>
      <c r="T1946" s="3">
        <v>2733383194</v>
      </c>
      <c r="U1946" s="3" t="s">
        <v>29</v>
      </c>
    </row>
    <row r="1947" spans="1:21" ht="13.2" x14ac:dyDescent="0.25">
      <c r="A1947" s="14">
        <v>67393181000134</v>
      </c>
      <c r="B1947" s="15" t="str">
        <f t="shared" si="30"/>
        <v>67.393.181/0001-34</v>
      </c>
      <c r="C1947" s="12"/>
      <c r="D1947" s="3" t="s">
        <v>7321</v>
      </c>
      <c r="E1947" s="3" t="s">
        <v>7321</v>
      </c>
      <c r="F1947" s="3" t="s">
        <v>20</v>
      </c>
      <c r="G1947" s="4">
        <v>33589</v>
      </c>
      <c r="H1947" s="3" t="s">
        <v>21</v>
      </c>
      <c r="I1947" s="3" t="s">
        <v>33</v>
      </c>
      <c r="J1947" s="5">
        <v>5612000</v>
      </c>
      <c r="K1947" s="3">
        <v>4751201</v>
      </c>
      <c r="L1947" s="3" t="s">
        <v>23</v>
      </c>
      <c r="M1947" s="3" t="s">
        <v>2287</v>
      </c>
      <c r="N1947" s="3">
        <v>80</v>
      </c>
      <c r="O1947" s="3" t="s">
        <v>7322</v>
      </c>
      <c r="P1947" s="3" t="s">
        <v>7323</v>
      </c>
      <c r="Q1947" s="3" t="s">
        <v>2822</v>
      </c>
      <c r="R1947" s="3" t="s">
        <v>28</v>
      </c>
      <c r="S1947" s="3">
        <v>12246858</v>
      </c>
      <c r="T1947" s="3">
        <v>1296520755</v>
      </c>
      <c r="U1947" s="3" t="s">
        <v>29</v>
      </c>
    </row>
    <row r="1948" spans="1:21" ht="13.2" x14ac:dyDescent="0.25">
      <c r="A1948" s="14">
        <v>59269654000320</v>
      </c>
      <c r="B1948" s="15" t="str">
        <f t="shared" si="30"/>
        <v>59.269.654/0003-20</v>
      </c>
      <c r="C1948" s="12"/>
      <c r="D1948" s="3" t="s">
        <v>7324</v>
      </c>
      <c r="E1948" s="3" t="s">
        <v>7324</v>
      </c>
      <c r="F1948" s="3" t="s">
        <v>20</v>
      </c>
      <c r="G1948" s="4">
        <v>38653</v>
      </c>
      <c r="H1948" s="3" t="s">
        <v>21</v>
      </c>
      <c r="I1948" s="3" t="s">
        <v>33</v>
      </c>
      <c r="J1948" s="5">
        <v>7050000</v>
      </c>
      <c r="K1948" s="3">
        <v>4645101</v>
      </c>
      <c r="L1948" s="3" t="s">
        <v>135</v>
      </c>
      <c r="M1948" s="3" t="s">
        <v>2071</v>
      </c>
      <c r="N1948" s="3">
        <v>500</v>
      </c>
      <c r="O1948" s="3" t="s">
        <v>7325</v>
      </c>
      <c r="P1948" s="3" t="s">
        <v>252</v>
      </c>
      <c r="Q1948" s="3" t="s">
        <v>253</v>
      </c>
      <c r="R1948" s="3" t="s">
        <v>78</v>
      </c>
      <c r="S1948" s="3">
        <v>22640904</v>
      </c>
      <c r="T1948" s="3">
        <v>1141330053</v>
      </c>
      <c r="U1948" s="3" t="s">
        <v>29</v>
      </c>
    </row>
    <row r="1949" spans="1:21" ht="13.2" x14ac:dyDescent="0.25">
      <c r="A1949" s="14">
        <v>17906088000108</v>
      </c>
      <c r="B1949" s="15" t="str">
        <f t="shared" si="30"/>
        <v>17.906.088/0001-08</v>
      </c>
      <c r="C1949" s="12"/>
      <c r="D1949" s="3" t="s">
        <v>7326</v>
      </c>
      <c r="E1949" s="3" t="s">
        <v>7327</v>
      </c>
      <c r="F1949" s="3" t="s">
        <v>20</v>
      </c>
      <c r="G1949" s="4">
        <v>41309</v>
      </c>
      <c r="H1949" s="3" t="s">
        <v>32</v>
      </c>
      <c r="I1949" s="3" t="s">
        <v>33</v>
      </c>
      <c r="J1949" s="5">
        <v>1000</v>
      </c>
      <c r="K1949" s="3">
        <v>6622300</v>
      </c>
      <c r="L1949" s="3" t="s">
        <v>1324</v>
      </c>
      <c r="M1949" s="3" t="s">
        <v>7328</v>
      </c>
      <c r="N1949" s="3">
        <v>1675</v>
      </c>
      <c r="O1949" s="3" t="s">
        <v>7329</v>
      </c>
      <c r="P1949" s="3" t="s">
        <v>7330</v>
      </c>
      <c r="Q1949" s="3" t="s">
        <v>217</v>
      </c>
      <c r="R1949" s="3" t="s">
        <v>28</v>
      </c>
      <c r="S1949" s="3">
        <v>9895005</v>
      </c>
      <c r="T1949" s="3">
        <v>1176824314</v>
      </c>
      <c r="U1949" s="3" t="s">
        <v>29</v>
      </c>
    </row>
    <row r="1950" spans="1:21" ht="13.2" x14ac:dyDescent="0.25">
      <c r="A1950" s="14">
        <v>10821402000100</v>
      </c>
      <c r="B1950" s="15" t="str">
        <f t="shared" si="30"/>
        <v>10.821.402/0001-00</v>
      </c>
      <c r="C1950" s="12"/>
      <c r="D1950" s="3" t="s">
        <v>7331</v>
      </c>
      <c r="E1950" s="3" t="s">
        <v>7331</v>
      </c>
      <c r="F1950" s="3" t="s">
        <v>20</v>
      </c>
      <c r="G1950" s="4">
        <v>39945</v>
      </c>
      <c r="H1950" s="3" t="s">
        <v>21</v>
      </c>
      <c r="I1950" s="3" t="s">
        <v>33</v>
      </c>
      <c r="J1950" s="5">
        <v>6651600</v>
      </c>
      <c r="K1950" s="3">
        <v>4663000</v>
      </c>
      <c r="L1950" s="3" t="s">
        <v>128</v>
      </c>
      <c r="M1950" s="3" t="s">
        <v>7332</v>
      </c>
      <c r="N1950" s="3">
        <v>560</v>
      </c>
      <c r="O1950" s="3" t="s">
        <v>7333</v>
      </c>
      <c r="P1950" s="3" t="s">
        <v>616</v>
      </c>
      <c r="Q1950" s="3" t="s">
        <v>617</v>
      </c>
      <c r="R1950" s="3" t="s">
        <v>28</v>
      </c>
      <c r="S1950" s="3">
        <v>6460090</v>
      </c>
      <c r="T1950" s="3">
        <v>1155021200</v>
      </c>
      <c r="U1950" s="3" t="s">
        <v>29</v>
      </c>
    </row>
    <row r="1951" spans="1:21" ht="13.2" x14ac:dyDescent="0.25">
      <c r="A1951" s="14">
        <v>55568919000259</v>
      </c>
      <c r="B1951" s="15" t="str">
        <f t="shared" si="30"/>
        <v>55.568.919/0002-59</v>
      </c>
      <c r="C1951" s="12"/>
      <c r="D1951" s="3" t="s">
        <v>7334</v>
      </c>
      <c r="E1951" s="3" t="s">
        <v>7335</v>
      </c>
      <c r="F1951" s="3" t="s">
        <v>45</v>
      </c>
      <c r="G1951" s="4">
        <v>33669</v>
      </c>
      <c r="H1951" s="3" t="s">
        <v>21</v>
      </c>
      <c r="I1951" s="3" t="s">
        <v>33</v>
      </c>
      <c r="J1951" s="5">
        <v>460000</v>
      </c>
      <c r="K1951" s="3">
        <v>2869100</v>
      </c>
      <c r="L1951" s="3" t="s">
        <v>1416</v>
      </c>
      <c r="M1951" s="3" t="s">
        <v>7336</v>
      </c>
      <c r="N1951" s="3">
        <v>1023</v>
      </c>
      <c r="P1951" s="3" t="s">
        <v>7337</v>
      </c>
      <c r="Q1951" s="3" t="s">
        <v>27</v>
      </c>
      <c r="R1951" s="3" t="s">
        <v>28</v>
      </c>
      <c r="S1951" s="3">
        <v>2222001</v>
      </c>
      <c r="U1951" s="3" t="s">
        <v>29</v>
      </c>
    </row>
    <row r="1952" spans="1:21" ht="13.2" x14ac:dyDescent="0.25">
      <c r="A1952" s="14">
        <v>30309296000198</v>
      </c>
      <c r="B1952" s="15" t="str">
        <f t="shared" si="30"/>
        <v>30.309.296/0001-98</v>
      </c>
      <c r="C1952" s="12" t="str">
        <f>VLOOKUP(B1952,[1]Planilha1!$A:$B,2,0)</f>
        <v>Malu Montesino</v>
      </c>
      <c r="D1952" s="3" t="s">
        <v>7338</v>
      </c>
      <c r="E1952" s="3" t="s">
        <v>7339</v>
      </c>
      <c r="F1952" s="3" t="s">
        <v>20</v>
      </c>
      <c r="G1952" s="4">
        <v>43216</v>
      </c>
      <c r="H1952" s="3" t="s">
        <v>21</v>
      </c>
      <c r="I1952" s="3" t="s">
        <v>33</v>
      </c>
      <c r="J1952" s="5">
        <v>1733789</v>
      </c>
      <c r="K1952" s="3">
        <v>7020400</v>
      </c>
      <c r="L1952" s="3" t="s">
        <v>170</v>
      </c>
      <c r="M1952" s="3" t="s">
        <v>2233</v>
      </c>
      <c r="N1952" s="3">
        <v>1089</v>
      </c>
      <c r="O1952" s="3" t="s">
        <v>7340</v>
      </c>
      <c r="P1952" s="3" t="s">
        <v>2235</v>
      </c>
      <c r="Q1952" s="3" t="s">
        <v>27</v>
      </c>
      <c r="R1952" s="3" t="s">
        <v>28</v>
      </c>
      <c r="S1952" s="3">
        <v>4707000</v>
      </c>
      <c r="T1952" s="3">
        <v>1151022668</v>
      </c>
      <c r="U1952" s="3" t="s">
        <v>29</v>
      </c>
    </row>
    <row r="1953" spans="1:21" ht="13.2" x14ac:dyDescent="0.25">
      <c r="A1953" s="14">
        <v>51482776000126</v>
      </c>
      <c r="B1953" s="15" t="str">
        <f t="shared" si="30"/>
        <v>51.482.776/0001-26</v>
      </c>
      <c r="C1953" s="12" t="str">
        <f>VLOOKUP(B1953,[1]Planilha1!$A:$B,2,0)</f>
        <v>Malu Montesino</v>
      </c>
      <c r="D1953" s="3" t="s">
        <v>7341</v>
      </c>
      <c r="E1953" s="3" t="s">
        <v>7341</v>
      </c>
      <c r="F1953" s="3" t="s">
        <v>20</v>
      </c>
      <c r="G1953" s="4">
        <v>30223</v>
      </c>
      <c r="H1953" s="3" t="s">
        <v>21</v>
      </c>
      <c r="I1953" s="3" t="s">
        <v>33</v>
      </c>
      <c r="J1953" s="5">
        <v>60866296</v>
      </c>
      <c r="K1953" s="3">
        <v>2812700</v>
      </c>
      <c r="L1953" s="3" t="s">
        <v>1534</v>
      </c>
      <c r="M1953" s="3" t="s">
        <v>7342</v>
      </c>
      <c r="N1953" s="3">
        <v>690</v>
      </c>
      <c r="P1953" s="3" t="s">
        <v>7343</v>
      </c>
      <c r="Q1953" s="3" t="s">
        <v>4436</v>
      </c>
      <c r="R1953" s="3" t="s">
        <v>28</v>
      </c>
      <c r="S1953" s="3">
        <v>13971045</v>
      </c>
      <c r="T1953" s="3">
        <v>138630839</v>
      </c>
      <c r="U1953" s="3" t="s">
        <v>29</v>
      </c>
    </row>
    <row r="1954" spans="1:21" ht="13.2" x14ac:dyDescent="0.25">
      <c r="A1954" s="14">
        <v>31790710000196</v>
      </c>
      <c r="B1954" s="15" t="str">
        <f t="shared" si="30"/>
        <v>31.790.710/0001-96</v>
      </c>
      <c r="C1954" s="12"/>
      <c r="D1954" s="3" t="s">
        <v>7344</v>
      </c>
      <c r="E1954" s="3" t="s">
        <v>7344</v>
      </c>
      <c r="F1954" s="3" t="s">
        <v>20</v>
      </c>
      <c r="G1954" s="4">
        <v>32451</v>
      </c>
      <c r="H1954" s="3" t="s">
        <v>21</v>
      </c>
      <c r="I1954" s="3" t="s">
        <v>33</v>
      </c>
      <c r="J1954" s="5">
        <v>68745000</v>
      </c>
      <c r="K1954" s="3">
        <v>3314710</v>
      </c>
      <c r="L1954" s="3" t="s">
        <v>7345</v>
      </c>
      <c r="M1954" s="3" t="s">
        <v>7346</v>
      </c>
      <c r="N1954" s="3">
        <v>643</v>
      </c>
      <c r="P1954" s="3" t="s">
        <v>5986</v>
      </c>
      <c r="Q1954" s="3" t="s">
        <v>3491</v>
      </c>
      <c r="R1954" s="3" t="s">
        <v>765</v>
      </c>
      <c r="S1954" s="3">
        <v>29192243</v>
      </c>
      <c r="T1954" s="3">
        <v>2732560070</v>
      </c>
      <c r="U1954" s="3" t="s">
        <v>29</v>
      </c>
    </row>
    <row r="1955" spans="1:21" ht="13.2" x14ac:dyDescent="0.25">
      <c r="A1955" s="14">
        <v>23858664000191</v>
      </c>
      <c r="B1955" s="15" t="str">
        <f t="shared" si="30"/>
        <v>23.858.664/0001-91</v>
      </c>
      <c r="C1955" s="12"/>
      <c r="D1955" s="3" t="s">
        <v>7347</v>
      </c>
      <c r="E1955" s="3" t="s">
        <v>7347</v>
      </c>
      <c r="F1955" s="3" t="s">
        <v>20</v>
      </c>
      <c r="G1955" s="4">
        <v>42355</v>
      </c>
      <c r="H1955" s="3" t="s">
        <v>21</v>
      </c>
      <c r="I1955" s="3" t="s">
        <v>33</v>
      </c>
      <c r="J1955" s="5">
        <v>117134530</v>
      </c>
      <c r="K1955" s="3">
        <v>6462000</v>
      </c>
      <c r="L1955" s="3" t="s">
        <v>250</v>
      </c>
      <c r="M1955" s="3" t="s">
        <v>2429</v>
      </c>
      <c r="N1955" s="3">
        <v>263</v>
      </c>
      <c r="O1955" s="3" t="s">
        <v>7348</v>
      </c>
      <c r="P1955" s="3" t="s">
        <v>316</v>
      </c>
      <c r="Q1955" s="3" t="s">
        <v>27</v>
      </c>
      <c r="R1955" s="3" t="s">
        <v>28</v>
      </c>
      <c r="S1955" s="3">
        <v>4551060</v>
      </c>
      <c r="T1955" s="3">
        <v>1137555400</v>
      </c>
      <c r="U1955" s="3" t="s">
        <v>29</v>
      </c>
    </row>
    <row r="1956" spans="1:21" ht="13.2" x14ac:dyDescent="0.25">
      <c r="A1956" s="14">
        <v>32661627000180</v>
      </c>
      <c r="B1956" s="15" t="str">
        <f t="shared" si="30"/>
        <v>32.661.627/0001-80</v>
      </c>
      <c r="C1956" s="12"/>
      <c r="D1956" s="3" t="s">
        <v>7349</v>
      </c>
      <c r="E1956" s="3" t="s">
        <v>7349</v>
      </c>
      <c r="F1956" s="3" t="s">
        <v>20</v>
      </c>
      <c r="G1956" s="4">
        <v>43501</v>
      </c>
      <c r="H1956" s="3" t="s">
        <v>21</v>
      </c>
      <c r="I1956" s="3" t="s">
        <v>33</v>
      </c>
      <c r="J1956" s="5">
        <v>240181</v>
      </c>
      <c r="K1956" s="3">
        <v>7020400</v>
      </c>
      <c r="L1956" s="3" t="s">
        <v>170</v>
      </c>
      <c r="M1956" s="3" t="s">
        <v>2524</v>
      </c>
      <c r="N1956" s="3">
        <v>2504</v>
      </c>
      <c r="O1956" s="3" t="s">
        <v>2987</v>
      </c>
      <c r="P1956" s="3" t="s">
        <v>1585</v>
      </c>
      <c r="Q1956" s="3" t="s">
        <v>27</v>
      </c>
      <c r="R1956" s="3" t="s">
        <v>28</v>
      </c>
      <c r="S1956" s="3">
        <v>1402000</v>
      </c>
      <c r="T1956" s="3">
        <v>1130812135</v>
      </c>
      <c r="U1956" s="3" t="s">
        <v>29</v>
      </c>
    </row>
    <row r="1957" spans="1:21" ht="13.2" x14ac:dyDescent="0.25">
      <c r="A1957" s="14">
        <v>19881989000118</v>
      </c>
      <c r="B1957" s="15" t="str">
        <f t="shared" si="30"/>
        <v>19.881.989/0001-18</v>
      </c>
      <c r="C1957" s="12"/>
      <c r="D1957" s="3" t="s">
        <v>7350</v>
      </c>
      <c r="E1957" s="3" t="s">
        <v>7351</v>
      </c>
      <c r="F1957" s="3" t="s">
        <v>20</v>
      </c>
      <c r="G1957" s="4">
        <v>41711</v>
      </c>
      <c r="H1957" s="3" t="s">
        <v>21</v>
      </c>
      <c r="I1957" s="3" t="s">
        <v>22</v>
      </c>
      <c r="J1957" s="5">
        <v>250000</v>
      </c>
      <c r="K1957" s="3">
        <v>7112000</v>
      </c>
      <c r="L1957" s="3" t="s">
        <v>276</v>
      </c>
      <c r="M1957" s="3">
        <v>136</v>
      </c>
      <c r="N1957" s="3">
        <v>761</v>
      </c>
      <c r="O1957" s="3" t="s">
        <v>7352</v>
      </c>
      <c r="P1957" s="3" t="s">
        <v>6318</v>
      </c>
      <c r="Q1957" s="3" t="s">
        <v>273</v>
      </c>
      <c r="R1957" s="3" t="s">
        <v>274</v>
      </c>
      <c r="S1957" s="3">
        <v>74093250</v>
      </c>
      <c r="T1957" s="3">
        <v>6230976819</v>
      </c>
      <c r="U1957" s="3" t="s">
        <v>29</v>
      </c>
    </row>
    <row r="1958" spans="1:21" ht="13.2" x14ac:dyDescent="0.25">
      <c r="A1958" s="14">
        <v>91495226000166</v>
      </c>
      <c r="B1958" s="15" t="str">
        <f t="shared" si="30"/>
        <v>91.495.226/0001-66</v>
      </c>
      <c r="C1958" s="12"/>
      <c r="D1958" s="3" t="s">
        <v>7353</v>
      </c>
      <c r="E1958" s="3" t="s">
        <v>7353</v>
      </c>
      <c r="F1958" s="3" t="s">
        <v>20</v>
      </c>
      <c r="G1958" s="4">
        <v>24355</v>
      </c>
      <c r="H1958" s="3" t="s">
        <v>94</v>
      </c>
      <c r="I1958" s="3" t="s">
        <v>33</v>
      </c>
      <c r="J1958" s="5">
        <v>110000000</v>
      </c>
      <c r="K1958" s="3">
        <v>2833000</v>
      </c>
      <c r="L1958" s="3" t="s">
        <v>151</v>
      </c>
      <c r="M1958" s="3" t="s">
        <v>7354</v>
      </c>
      <c r="N1958" s="3">
        <v>1870</v>
      </c>
      <c r="P1958" s="3" t="s">
        <v>70</v>
      </c>
      <c r="Q1958" s="3" t="s">
        <v>7355</v>
      </c>
      <c r="R1958" s="3" t="s">
        <v>53</v>
      </c>
      <c r="S1958" s="3">
        <v>99470000</v>
      </c>
      <c r="T1958" s="3">
        <v>5433326500</v>
      </c>
      <c r="U1958" s="3" t="s">
        <v>29</v>
      </c>
    </row>
    <row r="1959" spans="1:21" ht="13.2" x14ac:dyDescent="0.25">
      <c r="A1959" s="14">
        <v>28333380000103</v>
      </c>
      <c r="B1959" s="15" t="str">
        <f t="shared" si="30"/>
        <v>28.333.380/0001-03</v>
      </c>
      <c r="C1959" s="12"/>
      <c r="D1959" s="3" t="s">
        <v>7356</v>
      </c>
      <c r="E1959" s="3" t="s">
        <v>7357</v>
      </c>
      <c r="F1959" s="3" t="s">
        <v>20</v>
      </c>
      <c r="G1959" s="4">
        <v>42950</v>
      </c>
      <c r="H1959" s="3" t="s">
        <v>21</v>
      </c>
      <c r="I1959" s="3" t="s">
        <v>22</v>
      </c>
      <c r="J1959" s="5">
        <v>1210000</v>
      </c>
      <c r="K1959" s="3">
        <v>4663000</v>
      </c>
      <c r="L1959" s="3" t="s">
        <v>128</v>
      </c>
      <c r="M1959" s="3" t="s">
        <v>6831</v>
      </c>
      <c r="N1959" s="3">
        <v>176</v>
      </c>
      <c r="P1959" s="3" t="s">
        <v>153</v>
      </c>
      <c r="Q1959" s="3" t="s">
        <v>1177</v>
      </c>
      <c r="R1959" s="3" t="s">
        <v>28</v>
      </c>
      <c r="S1959" s="3">
        <v>13456114</v>
      </c>
      <c r="T1959" s="3">
        <v>1934631749</v>
      </c>
      <c r="U1959" s="3" t="s">
        <v>29</v>
      </c>
    </row>
    <row r="1960" spans="1:21" ht="13.2" x14ac:dyDescent="0.25">
      <c r="A1960" s="14">
        <v>7788510000114</v>
      </c>
      <c r="B1960" s="15" t="str">
        <f t="shared" si="30"/>
        <v>07.788.510/0001-14</v>
      </c>
      <c r="C1960" s="12"/>
      <c r="D1960" s="3" t="s">
        <v>7358</v>
      </c>
      <c r="E1960" s="3" t="s">
        <v>7358</v>
      </c>
      <c r="F1960" s="3" t="s">
        <v>20</v>
      </c>
      <c r="G1960" s="4">
        <v>38733</v>
      </c>
      <c r="H1960" s="3" t="s">
        <v>21</v>
      </c>
      <c r="I1960" s="3" t="s">
        <v>33</v>
      </c>
      <c r="J1960" s="5">
        <v>1000000</v>
      </c>
      <c r="K1960" s="3">
        <v>4693100</v>
      </c>
      <c r="L1960" s="3" t="s">
        <v>238</v>
      </c>
      <c r="M1960" s="3" t="s">
        <v>7359</v>
      </c>
      <c r="N1960" s="3">
        <v>232</v>
      </c>
      <c r="P1960" s="3" t="s">
        <v>7360</v>
      </c>
      <c r="Q1960" s="3" t="s">
        <v>524</v>
      </c>
      <c r="R1960" s="3" t="s">
        <v>28</v>
      </c>
      <c r="S1960" s="3">
        <v>14026295</v>
      </c>
      <c r="T1960" s="3">
        <v>1632341290</v>
      </c>
      <c r="U1960" s="3" t="s">
        <v>29</v>
      </c>
    </row>
    <row r="1961" spans="1:21" ht="13.2" x14ac:dyDescent="0.25">
      <c r="A1961" s="14">
        <v>61136149000278</v>
      </c>
      <c r="B1961" s="15" t="str">
        <f t="shared" si="30"/>
        <v>61.136.149/0002-78</v>
      </c>
      <c r="C1961" s="12"/>
      <c r="D1961" s="3" t="s">
        <v>7361</v>
      </c>
      <c r="E1961" s="3" t="s">
        <v>7361</v>
      </c>
      <c r="F1961" s="3" t="s">
        <v>45</v>
      </c>
      <c r="G1961" s="4">
        <v>24310</v>
      </c>
      <c r="H1961" s="3" t="s">
        <v>21</v>
      </c>
      <c r="I1961" s="3" t="s">
        <v>33</v>
      </c>
      <c r="J1961" s="5">
        <v>6787200</v>
      </c>
      <c r="K1961" s="3">
        <v>2099199</v>
      </c>
      <c r="L1961" s="3" t="s">
        <v>80</v>
      </c>
      <c r="M1961" s="3" t="s">
        <v>1941</v>
      </c>
      <c r="N1961" s="3">
        <v>190</v>
      </c>
      <c r="P1961" s="3" t="s">
        <v>1942</v>
      </c>
      <c r="Q1961" s="3" t="s">
        <v>1943</v>
      </c>
      <c r="R1961" s="3" t="s">
        <v>28</v>
      </c>
      <c r="S1961" s="3">
        <v>9950907</v>
      </c>
      <c r="U1961" s="3" t="s">
        <v>29</v>
      </c>
    </row>
    <row r="1962" spans="1:21" ht="13.2" x14ac:dyDescent="0.25">
      <c r="A1962" s="14">
        <v>9054385000144</v>
      </c>
      <c r="B1962" s="15" t="str">
        <f t="shared" si="30"/>
        <v>09.054.385/0001-44</v>
      </c>
      <c r="C1962" s="12"/>
      <c r="D1962" s="3" t="s">
        <v>7362</v>
      </c>
      <c r="E1962" s="3" t="s">
        <v>7362</v>
      </c>
      <c r="F1962" s="3" t="s">
        <v>20</v>
      </c>
      <c r="G1962" s="4">
        <v>39329</v>
      </c>
      <c r="H1962" s="3" t="s">
        <v>377</v>
      </c>
      <c r="I1962" s="3" t="s">
        <v>33</v>
      </c>
      <c r="J1962" s="5">
        <v>452948500</v>
      </c>
      <c r="K1962" s="3">
        <v>4781400</v>
      </c>
      <c r="L1962" s="3" t="s">
        <v>2907</v>
      </c>
      <c r="M1962" s="3" t="s">
        <v>3076</v>
      </c>
      <c r="N1962" s="3">
        <v>215</v>
      </c>
      <c r="O1962" s="3" t="s">
        <v>7363</v>
      </c>
      <c r="P1962" s="3" t="s">
        <v>3078</v>
      </c>
      <c r="Q1962" s="3" t="s">
        <v>27</v>
      </c>
      <c r="R1962" s="3" t="s">
        <v>28</v>
      </c>
      <c r="S1962" s="3">
        <v>5804900</v>
      </c>
      <c r="T1962" s="3">
        <v>1121869000</v>
      </c>
      <c r="U1962" s="3" t="s">
        <v>29</v>
      </c>
    </row>
    <row r="1963" spans="1:21" ht="13.2" x14ac:dyDescent="0.25">
      <c r="A1963" s="14">
        <v>23560504000161</v>
      </c>
      <c r="B1963" s="15" t="str">
        <f t="shared" si="30"/>
        <v>23.560.504/0001-61</v>
      </c>
      <c r="C1963" s="12"/>
      <c r="D1963" s="3" t="s">
        <v>7364</v>
      </c>
      <c r="E1963" s="3" t="s">
        <v>7365</v>
      </c>
      <c r="F1963" s="3" t="s">
        <v>20</v>
      </c>
      <c r="G1963" s="4">
        <v>42305</v>
      </c>
      <c r="H1963" s="3" t="s">
        <v>21</v>
      </c>
      <c r="I1963" s="3" t="s">
        <v>33</v>
      </c>
      <c r="J1963" s="5">
        <v>27800000</v>
      </c>
      <c r="K1963" s="3">
        <v>1721400</v>
      </c>
      <c r="L1963" s="3" t="s">
        <v>820</v>
      </c>
      <c r="M1963" s="3" t="s">
        <v>1123</v>
      </c>
      <c r="N1963" s="3">
        <v>300</v>
      </c>
      <c r="O1963" s="3" t="s">
        <v>496</v>
      </c>
      <c r="P1963" s="3" t="s">
        <v>7366</v>
      </c>
      <c r="Q1963" s="3" t="s">
        <v>7367</v>
      </c>
      <c r="R1963" s="3" t="s">
        <v>91</v>
      </c>
      <c r="S1963" s="3">
        <v>89124000</v>
      </c>
      <c r="T1963" s="3">
        <v>4733854842</v>
      </c>
      <c r="U1963" s="3" t="s">
        <v>29</v>
      </c>
    </row>
    <row r="1964" spans="1:21" ht="13.2" x14ac:dyDescent="0.25">
      <c r="A1964" s="14">
        <v>76610062000187</v>
      </c>
      <c r="B1964" s="15" t="str">
        <f t="shared" si="30"/>
        <v>76.610.062/0001-87</v>
      </c>
      <c r="C1964" s="12"/>
      <c r="D1964" s="3" t="s">
        <v>7368</v>
      </c>
      <c r="E1964" s="3" t="s">
        <v>7368</v>
      </c>
      <c r="F1964" s="3" t="s">
        <v>20</v>
      </c>
      <c r="G1964" s="4">
        <v>25429</v>
      </c>
      <c r="H1964" s="3" t="s">
        <v>21</v>
      </c>
      <c r="I1964" s="3" t="s">
        <v>33</v>
      </c>
      <c r="J1964" s="5">
        <v>188600000</v>
      </c>
      <c r="K1964" s="3">
        <v>2342701</v>
      </c>
      <c r="L1964" s="3" t="s">
        <v>7369</v>
      </c>
      <c r="M1964" s="3" t="s">
        <v>7370</v>
      </c>
      <c r="N1964" s="3">
        <v>974</v>
      </c>
      <c r="P1964" s="3" t="s">
        <v>7371</v>
      </c>
      <c r="Q1964" s="3" t="s">
        <v>1538</v>
      </c>
      <c r="R1964" s="3" t="s">
        <v>187</v>
      </c>
      <c r="S1964" s="3">
        <v>83601630</v>
      </c>
      <c r="T1964" s="3">
        <v>4133911097</v>
      </c>
      <c r="U1964" s="3" t="s">
        <v>29</v>
      </c>
    </row>
    <row r="1965" spans="1:21" ht="13.2" x14ac:dyDescent="0.25">
      <c r="A1965" s="14">
        <v>64810955000197</v>
      </c>
      <c r="B1965" s="15" t="str">
        <f t="shared" si="30"/>
        <v>64.810.955/0001-97</v>
      </c>
      <c r="C1965" s="12" t="str">
        <f>VLOOKUP(B1965,[1]Planilha1!$A:$B,2,0)</f>
        <v>Malu Montesino</v>
      </c>
      <c r="D1965" s="3" t="s">
        <v>7372</v>
      </c>
      <c r="E1965" s="3" t="s">
        <v>7372</v>
      </c>
      <c r="F1965" s="3" t="s">
        <v>20</v>
      </c>
      <c r="G1965" s="4">
        <v>33176</v>
      </c>
      <c r="H1965" s="3" t="s">
        <v>21</v>
      </c>
      <c r="I1965" s="3" t="s">
        <v>33</v>
      </c>
      <c r="J1965" s="5">
        <v>9167662</v>
      </c>
      <c r="K1965" s="3">
        <v>2731700</v>
      </c>
      <c r="L1965" s="3" t="s">
        <v>440</v>
      </c>
      <c r="M1965" s="3" t="s">
        <v>7373</v>
      </c>
      <c r="N1965" s="3">
        <v>81</v>
      </c>
      <c r="O1965" s="3" t="s">
        <v>7374</v>
      </c>
      <c r="P1965" s="3" t="s">
        <v>7375</v>
      </c>
      <c r="Q1965" s="3" t="s">
        <v>4144</v>
      </c>
      <c r="R1965" s="3" t="s">
        <v>28</v>
      </c>
      <c r="S1965" s="3">
        <v>15406252</v>
      </c>
      <c r="T1965" s="3">
        <v>1732793744</v>
      </c>
      <c r="U1965" s="3" t="s">
        <v>29</v>
      </c>
    </row>
    <row r="1966" spans="1:21" ht="13.2" x14ac:dyDescent="0.25">
      <c r="A1966" s="14">
        <v>78534674000163</v>
      </c>
      <c r="B1966" s="15" t="str">
        <f t="shared" si="30"/>
        <v>78.534.674/0001-63</v>
      </c>
      <c r="C1966" s="12"/>
      <c r="D1966" s="3" t="s">
        <v>7376</v>
      </c>
      <c r="E1966" s="3" t="s">
        <v>7377</v>
      </c>
      <c r="F1966" s="3" t="s">
        <v>20</v>
      </c>
      <c r="G1966" s="4">
        <v>30951</v>
      </c>
      <c r="H1966" s="3" t="s">
        <v>21</v>
      </c>
      <c r="I1966" s="3" t="s">
        <v>33</v>
      </c>
      <c r="J1966" s="5">
        <v>64842470</v>
      </c>
      <c r="K1966" s="3">
        <v>1721400</v>
      </c>
      <c r="L1966" s="3" t="s">
        <v>820</v>
      </c>
      <c r="M1966" s="3" t="s">
        <v>7378</v>
      </c>
      <c r="N1966" s="3">
        <v>10101</v>
      </c>
      <c r="P1966" s="3" t="s">
        <v>347</v>
      </c>
      <c r="Q1966" s="3" t="s">
        <v>348</v>
      </c>
      <c r="R1966" s="3" t="s">
        <v>91</v>
      </c>
      <c r="S1966" s="3">
        <v>89080001</v>
      </c>
      <c r="T1966" s="3">
        <v>4733010191</v>
      </c>
      <c r="U1966" s="3" t="s">
        <v>29</v>
      </c>
    </row>
    <row r="1967" spans="1:21" ht="13.2" x14ac:dyDescent="0.25">
      <c r="A1967" s="14">
        <v>26910634000175</v>
      </c>
      <c r="B1967" s="15" t="str">
        <f t="shared" si="30"/>
        <v>26.910.634/0001-75</v>
      </c>
      <c r="C1967" s="12"/>
      <c r="D1967" s="3" t="s">
        <v>7379</v>
      </c>
      <c r="E1967" s="3" t="s">
        <v>7380</v>
      </c>
      <c r="F1967" s="3" t="s">
        <v>20</v>
      </c>
      <c r="G1967" s="4">
        <v>42754</v>
      </c>
      <c r="H1967" s="3" t="s">
        <v>21</v>
      </c>
      <c r="I1967" s="3" t="s">
        <v>33</v>
      </c>
      <c r="J1967" s="5">
        <v>11074132</v>
      </c>
      <c r="K1967" s="3">
        <v>4662100</v>
      </c>
      <c r="L1967" s="3" t="s">
        <v>2324</v>
      </c>
      <c r="M1967" s="3" t="s">
        <v>7381</v>
      </c>
      <c r="N1967" s="3">
        <v>399</v>
      </c>
      <c r="O1967" s="3" t="s">
        <v>7382</v>
      </c>
      <c r="P1967" s="3" t="s">
        <v>4951</v>
      </c>
      <c r="Q1967" s="3" t="s">
        <v>65</v>
      </c>
      <c r="R1967" s="3" t="s">
        <v>28</v>
      </c>
      <c r="S1967" s="3">
        <v>13065730</v>
      </c>
      <c r="T1967" s="3">
        <v>1932830066</v>
      </c>
      <c r="U1967" s="3" t="s">
        <v>29</v>
      </c>
    </row>
    <row r="1968" spans="1:21" ht="13.2" x14ac:dyDescent="0.25">
      <c r="A1968" s="14">
        <v>18136504000107</v>
      </c>
      <c r="B1968" s="15" t="str">
        <f t="shared" si="30"/>
        <v>18.136.504/0001-07</v>
      </c>
      <c r="C1968" s="12"/>
      <c r="D1968" s="3" t="s">
        <v>7383</v>
      </c>
      <c r="E1968" s="3" t="s">
        <v>7384</v>
      </c>
      <c r="F1968" s="3" t="s">
        <v>20</v>
      </c>
      <c r="G1968" s="4">
        <v>41411</v>
      </c>
      <c r="H1968" s="3" t="s">
        <v>21</v>
      </c>
      <c r="I1968" s="3" t="s">
        <v>22</v>
      </c>
      <c r="J1968" s="5">
        <v>3665000</v>
      </c>
      <c r="K1968" s="3">
        <v>4663000</v>
      </c>
      <c r="L1968" s="3" t="s">
        <v>128</v>
      </c>
      <c r="M1968" s="3" t="s">
        <v>7385</v>
      </c>
      <c r="N1968" s="3">
        <v>1025</v>
      </c>
      <c r="O1968" s="3" t="s">
        <v>7386</v>
      </c>
      <c r="P1968" s="3" t="s">
        <v>7387</v>
      </c>
      <c r="Q1968" s="3" t="s">
        <v>1701</v>
      </c>
      <c r="R1968" s="3" t="s">
        <v>100</v>
      </c>
      <c r="S1968" s="3">
        <v>32183680</v>
      </c>
      <c r="T1968" s="3">
        <v>3136561711</v>
      </c>
      <c r="U1968" s="3" t="s">
        <v>29</v>
      </c>
    </row>
    <row r="1969" spans="1:21" ht="13.2" x14ac:dyDescent="0.25">
      <c r="A1969" s="14">
        <v>4348248000107</v>
      </c>
      <c r="B1969" s="15" t="str">
        <f t="shared" si="30"/>
        <v>04.348.248/0001-07</v>
      </c>
      <c r="C1969" s="12"/>
      <c r="D1969" s="3" t="s">
        <v>7388</v>
      </c>
      <c r="E1969" s="3" t="s">
        <v>7388</v>
      </c>
      <c r="F1969" s="3" t="s">
        <v>20</v>
      </c>
      <c r="G1969" s="4">
        <v>36970</v>
      </c>
      <c r="H1969" s="3" t="s">
        <v>21</v>
      </c>
      <c r="I1969" s="3" t="s">
        <v>22</v>
      </c>
      <c r="J1969" s="5">
        <v>200000</v>
      </c>
      <c r="K1969" s="3">
        <v>2599399</v>
      </c>
      <c r="L1969" s="3" t="s">
        <v>1144</v>
      </c>
      <c r="M1969" s="3" t="s">
        <v>7389</v>
      </c>
      <c r="N1969" s="3">
        <v>1600</v>
      </c>
      <c r="P1969" s="3" t="s">
        <v>7390</v>
      </c>
      <c r="Q1969" s="3" t="s">
        <v>7011</v>
      </c>
      <c r="R1969" s="3" t="s">
        <v>28</v>
      </c>
      <c r="S1969" s="3">
        <v>18552100</v>
      </c>
      <c r="T1969" s="3">
        <v>1141379974</v>
      </c>
      <c r="U1969" s="3" t="s">
        <v>29</v>
      </c>
    </row>
    <row r="1970" spans="1:21" ht="13.2" x14ac:dyDescent="0.25">
      <c r="A1970" s="14">
        <v>78589504000186</v>
      </c>
      <c r="B1970" s="15" t="str">
        <f t="shared" si="30"/>
        <v>78.589.504/0001-86</v>
      </c>
      <c r="C1970" s="12"/>
      <c r="D1970" s="3" t="s">
        <v>7391</v>
      </c>
      <c r="E1970" s="3" t="s">
        <v>7391</v>
      </c>
      <c r="F1970" s="3" t="s">
        <v>20</v>
      </c>
      <c r="G1970" s="4">
        <v>24344</v>
      </c>
      <c r="H1970" s="3" t="s">
        <v>21</v>
      </c>
      <c r="I1970" s="3" t="s">
        <v>33</v>
      </c>
      <c r="J1970" s="5">
        <v>21000000</v>
      </c>
      <c r="K1970" s="3">
        <v>2823200</v>
      </c>
      <c r="L1970" s="3" t="s">
        <v>1667</v>
      </c>
      <c r="M1970" s="3" t="s">
        <v>780</v>
      </c>
      <c r="N1970" s="3">
        <v>4455</v>
      </c>
      <c r="P1970" s="3" t="s">
        <v>2720</v>
      </c>
      <c r="Q1970" s="3" t="s">
        <v>4914</v>
      </c>
      <c r="R1970" s="3" t="s">
        <v>187</v>
      </c>
      <c r="S1970" s="3">
        <v>86072360</v>
      </c>
      <c r="U1970" s="3" t="s">
        <v>29</v>
      </c>
    </row>
    <row r="1971" spans="1:21" ht="13.2" x14ac:dyDescent="0.25">
      <c r="A1971" s="14">
        <v>48063416000185</v>
      </c>
      <c r="B1971" s="15" t="str">
        <f t="shared" si="30"/>
        <v>48.063.416/0001-85</v>
      </c>
      <c r="C1971" s="12"/>
      <c r="D1971" s="3" t="s">
        <v>7392</v>
      </c>
      <c r="E1971" s="3" t="s">
        <v>7393</v>
      </c>
      <c r="F1971" s="3" t="s">
        <v>20</v>
      </c>
      <c r="G1971" s="4">
        <v>28069</v>
      </c>
      <c r="H1971" s="3" t="s">
        <v>21</v>
      </c>
      <c r="I1971" s="3" t="s">
        <v>33</v>
      </c>
      <c r="J1971" s="5">
        <v>8500000</v>
      </c>
      <c r="K1971" s="3">
        <v>2733300</v>
      </c>
      <c r="L1971" s="3" t="s">
        <v>2719</v>
      </c>
      <c r="M1971" s="3" t="s">
        <v>7393</v>
      </c>
      <c r="N1971" s="3">
        <v>300</v>
      </c>
      <c r="P1971" s="3" t="s">
        <v>7394</v>
      </c>
      <c r="Q1971" s="3" t="s">
        <v>1527</v>
      </c>
      <c r="R1971" s="3" t="s">
        <v>28</v>
      </c>
      <c r="S1971" s="3">
        <v>8559300</v>
      </c>
      <c r="T1971" s="3">
        <v>1146349000</v>
      </c>
      <c r="U1971" s="3" t="s">
        <v>29</v>
      </c>
    </row>
    <row r="1972" spans="1:21" ht="13.2" x14ac:dyDescent="0.25">
      <c r="A1972" s="14">
        <v>44734531000183</v>
      </c>
      <c r="B1972" s="15" t="str">
        <f t="shared" si="30"/>
        <v>44.734.531/0001-83</v>
      </c>
      <c r="C1972" s="12"/>
      <c r="D1972" s="3" t="s">
        <v>7395</v>
      </c>
      <c r="E1972" s="3" t="s">
        <v>7396</v>
      </c>
      <c r="F1972" s="3" t="s">
        <v>20</v>
      </c>
      <c r="G1972" s="4">
        <v>26381</v>
      </c>
      <c r="H1972" s="3" t="s">
        <v>21</v>
      </c>
      <c r="I1972" s="3" t="s">
        <v>33</v>
      </c>
      <c r="J1972" s="5">
        <v>1232500</v>
      </c>
      <c r="K1972" s="3">
        <v>2833000</v>
      </c>
      <c r="L1972" s="3" t="s">
        <v>151</v>
      </c>
      <c r="M1972" s="3" t="s">
        <v>7397</v>
      </c>
      <c r="N1972" s="3" t="s">
        <v>82</v>
      </c>
      <c r="P1972" s="3" t="s">
        <v>7398</v>
      </c>
      <c r="Q1972" s="3" t="s">
        <v>4436</v>
      </c>
      <c r="R1972" s="3" t="s">
        <v>28</v>
      </c>
      <c r="S1972" s="3">
        <v>13972012</v>
      </c>
      <c r="U1972" s="3" t="s">
        <v>29</v>
      </c>
    </row>
    <row r="1973" spans="1:21" ht="13.2" x14ac:dyDescent="0.25">
      <c r="A1973" s="14">
        <v>85462471000174</v>
      </c>
      <c r="B1973" s="15" t="str">
        <f t="shared" si="30"/>
        <v>85.462.471/0001-74</v>
      </c>
      <c r="C1973" s="12"/>
      <c r="D1973" s="3" t="s">
        <v>7399</v>
      </c>
      <c r="E1973" s="3" t="s">
        <v>7400</v>
      </c>
      <c r="F1973" s="3" t="s">
        <v>20</v>
      </c>
      <c r="G1973" s="4">
        <v>33806</v>
      </c>
      <c r="H1973" s="3" t="s">
        <v>21</v>
      </c>
      <c r="I1973" s="3" t="s">
        <v>33</v>
      </c>
      <c r="J1973" s="5">
        <v>13650000</v>
      </c>
      <c r="K1973" s="3">
        <v>2930101</v>
      </c>
      <c r="L1973" s="3" t="s">
        <v>856</v>
      </c>
      <c r="M1973" s="3" t="s">
        <v>7401</v>
      </c>
      <c r="N1973" s="3">
        <v>3195</v>
      </c>
      <c r="O1973" s="3" t="s">
        <v>7402</v>
      </c>
      <c r="P1973" s="3" t="s">
        <v>7403</v>
      </c>
      <c r="Q1973" s="3" t="s">
        <v>2423</v>
      </c>
      <c r="R1973" s="3" t="s">
        <v>187</v>
      </c>
      <c r="S1973" s="3">
        <v>86204020</v>
      </c>
      <c r="T1973" s="3">
        <v>4331785000</v>
      </c>
      <c r="U1973" s="3" t="s">
        <v>29</v>
      </c>
    </row>
    <row r="1974" spans="1:21" ht="13.2" x14ac:dyDescent="0.25">
      <c r="A1974" s="14">
        <v>48526818000179</v>
      </c>
      <c r="B1974" s="15" t="str">
        <f t="shared" si="30"/>
        <v>48.526.818/0001-79</v>
      </c>
      <c r="C1974" s="12"/>
      <c r="D1974" s="3" t="s">
        <v>7404</v>
      </c>
      <c r="E1974" s="3" t="s">
        <v>7404</v>
      </c>
      <c r="F1974" s="3" t="s">
        <v>20</v>
      </c>
      <c r="G1974" s="4">
        <v>28447</v>
      </c>
      <c r="H1974" s="3" t="s">
        <v>21</v>
      </c>
      <c r="I1974" s="3" t="s">
        <v>33</v>
      </c>
      <c r="J1974" s="5">
        <v>16000000</v>
      </c>
      <c r="K1974" s="3">
        <v>2833000</v>
      </c>
      <c r="L1974" s="3" t="s">
        <v>151</v>
      </c>
      <c r="M1974" s="3" t="s">
        <v>7405</v>
      </c>
      <c r="N1974" s="3" t="s">
        <v>82</v>
      </c>
      <c r="O1974" s="3" t="s">
        <v>7406</v>
      </c>
      <c r="P1974" s="3" t="s">
        <v>7407</v>
      </c>
      <c r="Q1974" s="3" t="s">
        <v>2406</v>
      </c>
      <c r="R1974" s="3" t="s">
        <v>28</v>
      </c>
      <c r="S1974" s="3">
        <v>13560970</v>
      </c>
      <c r="T1974" s="3">
        <v>1633639999</v>
      </c>
      <c r="U1974" s="3" t="s">
        <v>29</v>
      </c>
    </row>
    <row r="1975" spans="1:21" ht="13.2" x14ac:dyDescent="0.25">
      <c r="A1975" s="14">
        <v>92544196000101</v>
      </c>
      <c r="B1975" s="15" t="str">
        <f t="shared" si="30"/>
        <v>92.544.196/0001-01</v>
      </c>
      <c r="C1975" s="12"/>
      <c r="D1975" s="3" t="s">
        <v>7408</v>
      </c>
      <c r="E1975" s="3" t="s">
        <v>7409</v>
      </c>
      <c r="F1975" s="3" t="s">
        <v>20</v>
      </c>
      <c r="G1975" s="4">
        <v>32514</v>
      </c>
      <c r="H1975" s="3" t="s">
        <v>21</v>
      </c>
      <c r="I1975" s="3" t="s">
        <v>33</v>
      </c>
      <c r="J1975" s="5">
        <v>16000000</v>
      </c>
      <c r="K1975" s="3">
        <v>2833000</v>
      </c>
      <c r="L1975" s="3" t="s">
        <v>151</v>
      </c>
      <c r="M1975" s="3" t="s">
        <v>7410</v>
      </c>
      <c r="N1975" s="3" t="s">
        <v>82</v>
      </c>
      <c r="O1975" s="3" t="s">
        <v>7411</v>
      </c>
      <c r="P1975" s="3" t="s">
        <v>610</v>
      </c>
      <c r="Q1975" s="3" t="s">
        <v>7412</v>
      </c>
      <c r="R1975" s="3" t="s">
        <v>53</v>
      </c>
      <c r="S1975" s="3">
        <v>98200000</v>
      </c>
      <c r="T1975" s="3">
        <v>5433248000</v>
      </c>
      <c r="U1975" s="3" t="s">
        <v>29</v>
      </c>
    </row>
    <row r="1976" spans="1:21" ht="13.2" x14ac:dyDescent="0.25">
      <c r="A1976" s="14">
        <v>444232000139</v>
      </c>
      <c r="B1976" s="15" t="str">
        <f t="shared" si="30"/>
        <v>00.444.232/0001-39</v>
      </c>
      <c r="C1976" s="12"/>
      <c r="D1976" s="3" t="s">
        <v>7413</v>
      </c>
      <c r="E1976" s="3" t="s">
        <v>7414</v>
      </c>
      <c r="F1976" s="3" t="s">
        <v>20</v>
      </c>
      <c r="G1976" s="4">
        <v>27856</v>
      </c>
      <c r="H1976" s="3" t="s">
        <v>3061</v>
      </c>
      <c r="I1976" s="3" t="s">
        <v>33</v>
      </c>
      <c r="J1976" s="5">
        <v>412225000</v>
      </c>
      <c r="K1976" s="3">
        <v>8422100</v>
      </c>
      <c r="L1976" s="3" t="s">
        <v>3752</v>
      </c>
      <c r="M1976" s="3" t="s">
        <v>7415</v>
      </c>
      <c r="N1976" s="3" t="s">
        <v>82</v>
      </c>
      <c r="O1976" s="3" t="s">
        <v>7416</v>
      </c>
      <c r="P1976" s="3" t="s">
        <v>7417</v>
      </c>
      <c r="Q1976" s="3" t="s">
        <v>631</v>
      </c>
      <c r="R1976" s="3" t="s">
        <v>632</v>
      </c>
      <c r="S1976" s="3">
        <v>70630901</v>
      </c>
      <c r="T1976" s="3">
        <v>6134154018</v>
      </c>
      <c r="U1976" s="3" t="s">
        <v>29</v>
      </c>
    </row>
    <row r="1977" spans="1:21" ht="13.2" x14ac:dyDescent="0.25">
      <c r="A1977" s="14">
        <v>59134635000124</v>
      </c>
      <c r="B1977" s="15" t="str">
        <f t="shared" si="30"/>
        <v>59.134.635/0001-24</v>
      </c>
      <c r="C1977" s="12"/>
      <c r="D1977" s="3" t="s">
        <v>7418</v>
      </c>
      <c r="E1977" s="3" t="s">
        <v>7418</v>
      </c>
      <c r="F1977" s="3" t="s">
        <v>20</v>
      </c>
      <c r="G1977" s="4">
        <v>25541</v>
      </c>
      <c r="H1977" s="3" t="s">
        <v>94</v>
      </c>
      <c r="I1977" s="3" t="s">
        <v>33</v>
      </c>
      <c r="J1977" s="5">
        <v>10545196</v>
      </c>
      <c r="K1977" s="3">
        <v>2812700</v>
      </c>
      <c r="L1977" s="3" t="s">
        <v>1534</v>
      </c>
      <c r="M1977" s="3" t="s">
        <v>7419</v>
      </c>
      <c r="N1977" s="3">
        <v>2555</v>
      </c>
      <c r="P1977" s="3" t="s">
        <v>7420</v>
      </c>
      <c r="Q1977" s="3" t="s">
        <v>393</v>
      </c>
      <c r="R1977" s="3" t="s">
        <v>28</v>
      </c>
      <c r="S1977" s="3">
        <v>13295607</v>
      </c>
      <c r="T1977" s="3">
        <v>1145917100</v>
      </c>
      <c r="U1977" s="3" t="s">
        <v>29</v>
      </c>
    </row>
    <row r="1978" spans="1:21" ht="13.2" x14ac:dyDescent="0.25">
      <c r="A1978" s="14">
        <v>5908908000111</v>
      </c>
      <c r="B1978" s="15" t="str">
        <f t="shared" si="30"/>
        <v>05.908.908/0001-11</v>
      </c>
      <c r="C1978" s="12"/>
      <c r="D1978" s="3" t="s">
        <v>7421</v>
      </c>
      <c r="E1978" s="3" t="s">
        <v>7422</v>
      </c>
      <c r="F1978" s="3" t="s">
        <v>20</v>
      </c>
      <c r="G1978" s="4">
        <v>37893</v>
      </c>
      <c r="H1978" s="3" t="s">
        <v>21</v>
      </c>
      <c r="I1978" s="3" t="s">
        <v>47</v>
      </c>
      <c r="J1978" s="5">
        <v>400000</v>
      </c>
      <c r="K1978" s="3">
        <v>1121600</v>
      </c>
      <c r="L1978" s="3" t="s">
        <v>795</v>
      </c>
      <c r="M1978" s="3" t="s">
        <v>859</v>
      </c>
      <c r="N1978" s="3">
        <v>1050</v>
      </c>
      <c r="O1978" s="3" t="s">
        <v>198</v>
      </c>
      <c r="P1978" s="3" t="s">
        <v>7423</v>
      </c>
      <c r="Q1978" s="3" t="s">
        <v>7424</v>
      </c>
      <c r="R1978" s="3" t="s">
        <v>187</v>
      </c>
      <c r="S1978" s="3">
        <v>85460000</v>
      </c>
      <c r="T1978" s="3">
        <v>465321196</v>
      </c>
      <c r="U1978" s="3" t="s">
        <v>29</v>
      </c>
    </row>
    <row r="1979" spans="1:21" ht="13.2" x14ac:dyDescent="0.25">
      <c r="A1979" s="14">
        <v>1268509000182</v>
      </c>
      <c r="B1979" s="15" t="str">
        <f t="shared" si="30"/>
        <v>01.268.509/0001-82</v>
      </c>
      <c r="C1979" s="12"/>
      <c r="D1979" s="3" t="s">
        <v>7425</v>
      </c>
      <c r="E1979" s="3" t="s">
        <v>7426</v>
      </c>
      <c r="F1979" s="3" t="s">
        <v>20</v>
      </c>
      <c r="G1979" s="4">
        <v>35240</v>
      </c>
      <c r="H1979" s="3" t="s">
        <v>21</v>
      </c>
      <c r="I1979" s="3" t="s">
        <v>22</v>
      </c>
      <c r="J1979" s="5">
        <v>200000</v>
      </c>
      <c r="K1979" s="3">
        <v>1531901</v>
      </c>
      <c r="L1979" s="3" t="s">
        <v>1330</v>
      </c>
      <c r="M1979" s="3" t="s">
        <v>7427</v>
      </c>
      <c r="N1979" s="3">
        <v>1181</v>
      </c>
      <c r="P1979" s="3" t="s">
        <v>7428</v>
      </c>
      <c r="Q1979" s="3" t="s">
        <v>7429</v>
      </c>
      <c r="R1979" s="3" t="s">
        <v>91</v>
      </c>
      <c r="S1979" s="3">
        <v>89660000</v>
      </c>
      <c r="T1979" s="3">
        <v>4935520127</v>
      </c>
      <c r="U1979" s="3" t="s">
        <v>29</v>
      </c>
    </row>
    <row r="1980" spans="1:21" ht="13.2" x14ac:dyDescent="0.25">
      <c r="A1980" s="14">
        <v>72042286000189</v>
      </c>
      <c r="B1980" s="15" t="str">
        <f t="shared" si="30"/>
        <v>72.042.286/0001-89</v>
      </c>
      <c r="C1980" s="12"/>
      <c r="D1980" s="3" t="s">
        <v>7430</v>
      </c>
      <c r="E1980" s="3" t="s">
        <v>7431</v>
      </c>
      <c r="F1980" s="3" t="s">
        <v>20</v>
      </c>
      <c r="G1980" s="4">
        <v>34047</v>
      </c>
      <c r="H1980" s="3" t="s">
        <v>21</v>
      </c>
      <c r="I1980" s="3" t="s">
        <v>33</v>
      </c>
      <c r="J1980" s="5">
        <v>2000000</v>
      </c>
      <c r="K1980" s="3">
        <v>1052000</v>
      </c>
      <c r="L1980" s="3" t="s">
        <v>4589</v>
      </c>
      <c r="M1980" s="3" t="s">
        <v>7432</v>
      </c>
      <c r="N1980" s="3" t="s">
        <v>82</v>
      </c>
      <c r="P1980" s="3" t="s">
        <v>7432</v>
      </c>
      <c r="Q1980" s="3" t="s">
        <v>2502</v>
      </c>
      <c r="R1980" s="3" t="s">
        <v>187</v>
      </c>
      <c r="S1980" s="3">
        <v>85925000</v>
      </c>
      <c r="T1980" s="3">
        <v>4531256000</v>
      </c>
      <c r="U1980" s="3" t="s">
        <v>29</v>
      </c>
    </row>
    <row r="1981" spans="1:21" ht="13.2" x14ac:dyDescent="0.25">
      <c r="A1981" s="14">
        <v>5812515000100</v>
      </c>
      <c r="B1981" s="15" t="str">
        <f t="shared" si="30"/>
        <v>05.812.515/0001-00</v>
      </c>
      <c r="C1981" s="12" t="str">
        <f>VLOOKUP(B1981,[1]Planilha1!$A:$B,2,0)</f>
        <v>Malu Montesino</v>
      </c>
      <c r="D1981" s="3" t="s">
        <v>7433</v>
      </c>
      <c r="E1981" s="3" t="s">
        <v>7434</v>
      </c>
      <c r="F1981" s="3" t="s">
        <v>20</v>
      </c>
      <c r="G1981" s="4">
        <v>37848</v>
      </c>
      <c r="H1981" s="3" t="s">
        <v>21</v>
      </c>
      <c r="I1981" s="3" t="s">
        <v>22</v>
      </c>
      <c r="J1981" s="5">
        <v>104500</v>
      </c>
      <c r="K1981" s="3">
        <v>2813500</v>
      </c>
      <c r="L1981" s="3" t="s">
        <v>1383</v>
      </c>
      <c r="M1981" s="3" t="s">
        <v>7435</v>
      </c>
      <c r="N1981" s="3" t="s">
        <v>82</v>
      </c>
      <c r="P1981" s="3" t="s">
        <v>911</v>
      </c>
      <c r="Q1981" s="3" t="s">
        <v>7436</v>
      </c>
      <c r="R1981" s="3" t="s">
        <v>187</v>
      </c>
      <c r="S1981" s="3">
        <v>87900000</v>
      </c>
      <c r="T1981" s="3">
        <v>4434257300</v>
      </c>
      <c r="U1981" s="3" t="s">
        <v>29</v>
      </c>
    </row>
    <row r="1982" spans="1:21" ht="13.2" x14ac:dyDescent="0.25">
      <c r="A1982" s="14">
        <v>78599545000153</v>
      </c>
      <c r="B1982" s="15" t="str">
        <f t="shared" si="30"/>
        <v>78.599.545/0001-53</v>
      </c>
      <c r="C1982" s="12"/>
      <c r="D1982" s="3" t="s">
        <v>7437</v>
      </c>
      <c r="E1982" s="3" t="s">
        <v>7437</v>
      </c>
      <c r="F1982" s="3" t="s">
        <v>20</v>
      </c>
      <c r="G1982" s="4">
        <v>24376</v>
      </c>
      <c r="H1982" s="3" t="s">
        <v>21</v>
      </c>
      <c r="I1982" s="3" t="s">
        <v>33</v>
      </c>
      <c r="J1982" s="5">
        <v>1500000</v>
      </c>
      <c r="K1982" s="3">
        <v>2822402</v>
      </c>
      <c r="L1982" s="3" t="s">
        <v>4317</v>
      </c>
      <c r="M1982" s="3" t="s">
        <v>7438</v>
      </c>
      <c r="N1982" s="3">
        <v>151</v>
      </c>
      <c r="P1982" s="3" t="s">
        <v>7439</v>
      </c>
      <c r="Q1982" s="3" t="s">
        <v>4914</v>
      </c>
      <c r="R1982" s="3" t="s">
        <v>187</v>
      </c>
      <c r="S1982" s="3">
        <v>86030290</v>
      </c>
      <c r="T1982" s="3">
        <v>4333735600</v>
      </c>
      <c r="U1982" s="3" t="s">
        <v>29</v>
      </c>
    </row>
    <row r="1983" spans="1:21" ht="13.2" x14ac:dyDescent="0.25">
      <c r="A1983" s="14">
        <v>61353199000126</v>
      </c>
      <c r="B1983" s="15" t="str">
        <f t="shared" si="30"/>
        <v>61.353.199/0001-26</v>
      </c>
      <c r="C1983" s="12"/>
      <c r="D1983" s="3" t="s">
        <v>7440</v>
      </c>
      <c r="E1983" s="3" t="s">
        <v>7440</v>
      </c>
      <c r="F1983" s="3" t="s">
        <v>20</v>
      </c>
      <c r="G1983" s="4">
        <v>24677</v>
      </c>
      <c r="H1983" s="3" t="s">
        <v>21</v>
      </c>
      <c r="I1983" s="3" t="s">
        <v>33</v>
      </c>
      <c r="J1983" s="5">
        <v>177487310</v>
      </c>
      <c r="K1983" s="3">
        <v>1413401</v>
      </c>
      <c r="L1983" s="3" t="s">
        <v>7283</v>
      </c>
      <c r="M1983" s="3" t="s">
        <v>7441</v>
      </c>
      <c r="N1983" s="3">
        <v>101</v>
      </c>
      <c r="P1983" s="3" t="s">
        <v>7442</v>
      </c>
      <c r="Q1983" s="3" t="s">
        <v>3981</v>
      </c>
      <c r="R1983" s="3" t="s">
        <v>28</v>
      </c>
      <c r="S1983" s="3">
        <v>13230800</v>
      </c>
      <c r="T1983" s="3">
        <v>1121895300</v>
      </c>
      <c r="U1983" s="3" t="s">
        <v>29</v>
      </c>
    </row>
    <row r="1984" spans="1:21" ht="13.2" x14ac:dyDescent="0.25">
      <c r="A1984" s="14">
        <v>52770005000105</v>
      </c>
      <c r="B1984" s="15" t="str">
        <f t="shared" si="30"/>
        <v>52.770.005/0001-05</v>
      </c>
      <c r="C1984" s="12" t="str">
        <f>VLOOKUP(B1984,[1]Planilha1!$A:$B,2,0)</f>
        <v>Malu Montesino</v>
      </c>
      <c r="D1984" s="3" t="s">
        <v>7443</v>
      </c>
      <c r="E1984" s="3" t="s">
        <v>7443</v>
      </c>
      <c r="F1984" s="3" t="s">
        <v>20</v>
      </c>
      <c r="G1984" s="4">
        <v>24840</v>
      </c>
      <c r="H1984" s="3" t="s">
        <v>21</v>
      </c>
      <c r="I1984" s="3" t="s">
        <v>33</v>
      </c>
      <c r="J1984" s="5">
        <v>4090000</v>
      </c>
      <c r="K1984" s="3">
        <v>2790299</v>
      </c>
      <c r="L1984" s="3" t="s">
        <v>2875</v>
      </c>
      <c r="M1984" s="3" t="s">
        <v>7444</v>
      </c>
      <c r="N1984" s="3">
        <v>898</v>
      </c>
      <c r="O1984" s="3" t="s">
        <v>7445</v>
      </c>
      <c r="P1984" s="3" t="s">
        <v>7446</v>
      </c>
      <c r="Q1984" s="3" t="s">
        <v>2198</v>
      </c>
      <c r="R1984" s="3" t="s">
        <v>28</v>
      </c>
      <c r="S1984" s="3">
        <v>13803360</v>
      </c>
      <c r="T1984" s="3">
        <v>1938059600</v>
      </c>
      <c r="U1984" s="3" t="s">
        <v>29</v>
      </c>
    </row>
    <row r="1985" spans="1:21" ht="13.2" x14ac:dyDescent="0.25">
      <c r="A1985" s="14">
        <v>9402590000153</v>
      </c>
      <c r="B1985" s="15" t="str">
        <f t="shared" si="30"/>
        <v>09.402.590/0001-53</v>
      </c>
      <c r="C1985" s="12" t="str">
        <f>VLOOKUP(B1985,[1]Planilha1!$A:$B,2,0)</f>
        <v>Mariane Nascimento</v>
      </c>
      <c r="D1985" s="3" t="s">
        <v>7447</v>
      </c>
      <c r="E1985" s="3" t="s">
        <v>7448</v>
      </c>
      <c r="F1985" s="3" t="s">
        <v>20</v>
      </c>
      <c r="G1985" s="4">
        <v>39493</v>
      </c>
      <c r="H1985" s="3" t="s">
        <v>21</v>
      </c>
      <c r="I1985" s="3" t="s">
        <v>22</v>
      </c>
      <c r="J1985" s="5">
        <v>5000000</v>
      </c>
      <c r="K1985" s="3">
        <v>2062200</v>
      </c>
      <c r="L1985" s="3" t="s">
        <v>2500</v>
      </c>
      <c r="M1985" s="3" t="s">
        <v>7449</v>
      </c>
      <c r="N1985" s="3">
        <v>233</v>
      </c>
      <c r="O1985" s="3" t="s">
        <v>7450</v>
      </c>
      <c r="P1985" s="3" t="s">
        <v>2994</v>
      </c>
      <c r="Q1985" s="3" t="s">
        <v>7451</v>
      </c>
      <c r="R1985" s="3" t="s">
        <v>711</v>
      </c>
      <c r="S1985" s="3">
        <v>49400000</v>
      </c>
      <c r="T1985" s="3">
        <v>7936313023</v>
      </c>
      <c r="U1985" s="3" t="s">
        <v>29</v>
      </c>
    </row>
    <row r="1986" spans="1:21" ht="13.2" x14ac:dyDescent="0.25">
      <c r="A1986" s="14">
        <v>53524443000148</v>
      </c>
      <c r="B1986" s="15" t="str">
        <f t="shared" si="30"/>
        <v>53.524.443/0001-48</v>
      </c>
      <c r="C1986" s="12" t="str">
        <f>VLOOKUP(B1986,[1]Planilha1!$A:$B,2,0)</f>
        <v>Malu Montesino</v>
      </c>
      <c r="D1986" s="3" t="s">
        <v>7452</v>
      </c>
      <c r="E1986" s="3" t="s">
        <v>7452</v>
      </c>
      <c r="F1986" s="3" t="s">
        <v>20</v>
      </c>
      <c r="G1986" s="4">
        <v>30833</v>
      </c>
      <c r="H1986" s="3" t="s">
        <v>21</v>
      </c>
      <c r="I1986" s="3" t="s">
        <v>33</v>
      </c>
      <c r="J1986" s="5">
        <v>2666405</v>
      </c>
      <c r="K1986" s="3">
        <v>2930101</v>
      </c>
      <c r="L1986" s="3" t="s">
        <v>856</v>
      </c>
      <c r="M1986" s="3" t="s">
        <v>7453</v>
      </c>
      <c r="N1986" s="3">
        <v>85</v>
      </c>
      <c r="P1986" s="3" t="s">
        <v>7454</v>
      </c>
      <c r="Q1986" s="3" t="s">
        <v>27</v>
      </c>
      <c r="R1986" s="3" t="s">
        <v>28</v>
      </c>
      <c r="S1986" s="3">
        <v>3667020</v>
      </c>
      <c r="T1986" s="3">
        <v>1169573476</v>
      </c>
      <c r="U1986" s="3" t="s">
        <v>29</v>
      </c>
    </row>
    <row r="1987" spans="1:21" ht="13.2" x14ac:dyDescent="0.25">
      <c r="A1987" s="14">
        <v>13427351000125</v>
      </c>
      <c r="B1987" s="15" t="str">
        <f t="shared" ref="B1987:B2050" si="31">TEXT(A1987,"00\.000\.000\/0000\-00")</f>
        <v>13.427.351/0001-25</v>
      </c>
      <c r="C1987" s="12"/>
      <c r="D1987" s="3" t="s">
        <v>7455</v>
      </c>
      <c r="E1987" s="3" t="s">
        <v>7456</v>
      </c>
      <c r="F1987" s="3" t="s">
        <v>20</v>
      </c>
      <c r="G1987" s="4">
        <v>40627</v>
      </c>
      <c r="H1987" s="3" t="s">
        <v>21</v>
      </c>
      <c r="I1987" s="3" t="s">
        <v>33</v>
      </c>
      <c r="J1987" s="5">
        <v>2840705</v>
      </c>
      <c r="K1987" s="3">
        <v>2833000</v>
      </c>
      <c r="L1987" s="3" t="s">
        <v>151</v>
      </c>
      <c r="M1987" s="3" t="s">
        <v>7457</v>
      </c>
      <c r="N1987" s="3">
        <v>1999</v>
      </c>
      <c r="O1987" s="3" t="s">
        <v>7458</v>
      </c>
      <c r="P1987" s="3" t="s">
        <v>7459</v>
      </c>
      <c r="Q1987" s="3" t="s">
        <v>7460</v>
      </c>
      <c r="R1987" s="3" t="s">
        <v>53</v>
      </c>
      <c r="S1987" s="3">
        <v>97900000</v>
      </c>
      <c r="T1987" s="3">
        <v>5533593500</v>
      </c>
      <c r="U1987" s="3" t="s">
        <v>29</v>
      </c>
    </row>
    <row r="1988" spans="1:21" ht="13.2" x14ac:dyDescent="0.25">
      <c r="A1988" s="14">
        <v>3861512000130</v>
      </c>
      <c r="B1988" s="15" t="str">
        <f t="shared" si="31"/>
        <v>03.861.512/0001-30</v>
      </c>
      <c r="C1988" s="12" t="str">
        <f>VLOOKUP(B1988,[1]Planilha1!$A:$B,2,0)</f>
        <v>Mariane Nascimento</v>
      </c>
      <c r="D1988" s="3" t="s">
        <v>7461</v>
      </c>
      <c r="E1988" s="3" t="s">
        <v>7462</v>
      </c>
      <c r="F1988" s="3" t="s">
        <v>45</v>
      </c>
      <c r="G1988" s="4">
        <v>36683</v>
      </c>
      <c r="H1988" s="3" t="s">
        <v>21</v>
      </c>
      <c r="I1988" s="3" t="s">
        <v>33</v>
      </c>
      <c r="J1988" s="5">
        <v>569298800</v>
      </c>
      <c r="K1988" s="3">
        <v>1081302</v>
      </c>
      <c r="L1988" s="3" t="s">
        <v>7463</v>
      </c>
      <c r="M1988" s="3" t="s">
        <v>7464</v>
      </c>
      <c r="N1988" s="3" t="s">
        <v>82</v>
      </c>
      <c r="P1988" s="3" t="s">
        <v>911</v>
      </c>
      <c r="Q1988" s="3" t="s">
        <v>7465</v>
      </c>
      <c r="R1988" s="3" t="s">
        <v>711</v>
      </c>
      <c r="S1988" s="3">
        <v>49120000</v>
      </c>
      <c r="U1988" s="3" t="s">
        <v>29</v>
      </c>
    </row>
    <row r="1989" spans="1:21" ht="13.2" x14ac:dyDescent="0.25">
      <c r="A1989" s="14">
        <v>62291380000118</v>
      </c>
      <c r="B1989" s="15" t="str">
        <f t="shared" si="31"/>
        <v>62.291.380/0001-18</v>
      </c>
      <c r="C1989" s="12" t="str">
        <f>VLOOKUP(B1989,[1]Planilha1!$A:$B,2,0)</f>
        <v>Malu Montesino</v>
      </c>
      <c r="D1989" s="3" t="s">
        <v>7466</v>
      </c>
      <c r="E1989" s="3" t="s">
        <v>7467</v>
      </c>
      <c r="F1989" s="3" t="s">
        <v>20</v>
      </c>
      <c r="G1989" s="4">
        <v>25199</v>
      </c>
      <c r="H1989" s="3" t="s">
        <v>21</v>
      </c>
      <c r="I1989" s="3" t="s">
        <v>33</v>
      </c>
      <c r="J1989" s="5">
        <v>257787000</v>
      </c>
      <c r="K1989" s="3">
        <v>2949299</v>
      </c>
      <c r="L1989" s="3" t="s">
        <v>1083</v>
      </c>
      <c r="M1989" s="3" t="s">
        <v>1942</v>
      </c>
      <c r="N1989" s="3">
        <v>1221</v>
      </c>
      <c r="O1989" s="3" t="s">
        <v>7468</v>
      </c>
      <c r="P1989" s="3" t="s">
        <v>7469</v>
      </c>
      <c r="Q1989" s="3" t="s">
        <v>217</v>
      </c>
      <c r="R1989" s="3" t="s">
        <v>28</v>
      </c>
      <c r="S1989" s="3">
        <v>9891903</v>
      </c>
      <c r="T1989" s="3">
        <v>1143412731</v>
      </c>
      <c r="U1989" s="3" t="s">
        <v>29</v>
      </c>
    </row>
    <row r="1990" spans="1:21" ht="13.2" x14ac:dyDescent="0.25">
      <c r="A1990" s="14">
        <v>8018660000101</v>
      </c>
      <c r="B1990" s="15" t="str">
        <f t="shared" si="31"/>
        <v>08.018.660/0001-01</v>
      </c>
      <c r="C1990" s="12" t="str">
        <f>VLOOKUP(B1990,[1]Planilha1!$A:$B,2,0)</f>
        <v>Malu Montesino</v>
      </c>
      <c r="D1990" s="3" t="s">
        <v>7470</v>
      </c>
      <c r="E1990" s="3" t="s">
        <v>7471</v>
      </c>
      <c r="F1990" s="3" t="s">
        <v>20</v>
      </c>
      <c r="G1990" s="4">
        <v>38861</v>
      </c>
      <c r="H1990" s="3" t="s">
        <v>21</v>
      </c>
      <c r="I1990" s="3" t="s">
        <v>33</v>
      </c>
      <c r="J1990" s="5">
        <v>20317680</v>
      </c>
      <c r="K1990" s="3">
        <v>2710402</v>
      </c>
      <c r="L1990" s="3" t="s">
        <v>5194</v>
      </c>
      <c r="M1990" s="3" t="s">
        <v>7472</v>
      </c>
      <c r="N1990" s="3">
        <v>20</v>
      </c>
      <c r="O1990" s="3" t="s">
        <v>7473</v>
      </c>
      <c r="P1990" s="3" t="s">
        <v>2725</v>
      </c>
      <c r="Q1990" s="3" t="s">
        <v>2726</v>
      </c>
      <c r="R1990" s="3" t="s">
        <v>100</v>
      </c>
      <c r="S1990" s="3">
        <v>37538052</v>
      </c>
      <c r="T1990" s="3">
        <v>3534716724</v>
      </c>
      <c r="U1990" s="3" t="s">
        <v>29</v>
      </c>
    </row>
    <row r="1991" spans="1:21" ht="13.2" x14ac:dyDescent="0.25">
      <c r="A1991" s="14">
        <v>10193314000101</v>
      </c>
      <c r="B1991" s="15" t="str">
        <f t="shared" si="31"/>
        <v>10.193.314/0001-01</v>
      </c>
      <c r="C1991" s="12"/>
      <c r="D1991" s="3" t="s">
        <v>7474</v>
      </c>
      <c r="E1991" s="3" t="s">
        <v>7475</v>
      </c>
      <c r="F1991" s="3" t="s">
        <v>20</v>
      </c>
      <c r="G1991" s="4">
        <v>39645</v>
      </c>
      <c r="H1991" s="3" t="s">
        <v>21</v>
      </c>
      <c r="I1991" s="3" t="s">
        <v>33</v>
      </c>
      <c r="J1991" s="5">
        <v>400000</v>
      </c>
      <c r="K1991" s="3">
        <v>7020400</v>
      </c>
      <c r="L1991" s="3" t="s">
        <v>170</v>
      </c>
      <c r="M1991" s="3" t="s">
        <v>3337</v>
      </c>
      <c r="N1991" s="3">
        <v>37</v>
      </c>
      <c r="O1991" s="3" t="s">
        <v>7476</v>
      </c>
      <c r="P1991" s="3" t="s">
        <v>70</v>
      </c>
      <c r="Q1991" s="3" t="s">
        <v>27</v>
      </c>
      <c r="R1991" s="3" t="s">
        <v>28</v>
      </c>
      <c r="S1991" s="3">
        <v>1301000</v>
      </c>
      <c r="T1991" s="3">
        <v>1132554006</v>
      </c>
      <c r="U1991" s="3" t="s">
        <v>29</v>
      </c>
    </row>
    <row r="1992" spans="1:21" ht="13.2" x14ac:dyDescent="0.25">
      <c r="A1992" s="14">
        <v>20795155000179</v>
      </c>
      <c r="B1992" s="15" t="str">
        <f t="shared" si="31"/>
        <v>20.795.155/0001-79</v>
      </c>
      <c r="C1992" s="12"/>
      <c r="D1992" s="3" t="s">
        <v>7477</v>
      </c>
      <c r="E1992" s="3" t="s">
        <v>7477</v>
      </c>
      <c r="F1992" s="3" t="s">
        <v>20</v>
      </c>
      <c r="G1992" s="4">
        <v>41857</v>
      </c>
      <c r="H1992" s="3" t="s">
        <v>21</v>
      </c>
      <c r="I1992" s="3" t="s">
        <v>22</v>
      </c>
      <c r="J1992" s="5">
        <v>110000</v>
      </c>
      <c r="K1992" s="3">
        <v>4679699</v>
      </c>
      <c r="L1992" s="3" t="s">
        <v>40</v>
      </c>
      <c r="M1992" s="3" t="s">
        <v>7478</v>
      </c>
      <c r="N1992" s="3">
        <v>1000</v>
      </c>
      <c r="O1992" s="3" t="s">
        <v>7479</v>
      </c>
      <c r="P1992" s="3" t="s">
        <v>7480</v>
      </c>
      <c r="Q1992" s="3" t="s">
        <v>2015</v>
      </c>
      <c r="R1992" s="3" t="s">
        <v>91</v>
      </c>
      <c r="S1992" s="3">
        <v>89055200</v>
      </c>
      <c r="T1992" s="3">
        <v>4730371021</v>
      </c>
      <c r="U1992" s="3" t="s">
        <v>29</v>
      </c>
    </row>
    <row r="1993" spans="1:21" ht="13.2" x14ac:dyDescent="0.25">
      <c r="A1993" s="14">
        <v>19178794000106</v>
      </c>
      <c r="B1993" s="15" t="str">
        <f t="shared" si="31"/>
        <v>19.178.794/0001-06</v>
      </c>
      <c r="C1993" s="12"/>
      <c r="D1993" s="3" t="s">
        <v>7481</v>
      </c>
      <c r="E1993" s="3" t="s">
        <v>7482</v>
      </c>
      <c r="F1993" s="3" t="s">
        <v>20</v>
      </c>
      <c r="G1993" s="4">
        <v>41579</v>
      </c>
      <c r="H1993" s="3" t="s">
        <v>21</v>
      </c>
      <c r="I1993" s="3" t="s">
        <v>47</v>
      </c>
      <c r="J1993" s="5">
        <v>4000</v>
      </c>
      <c r="K1993" s="3">
        <v>6311900</v>
      </c>
      <c r="L1993" s="3" t="s">
        <v>3132</v>
      </c>
      <c r="M1993" s="3" t="s">
        <v>3295</v>
      </c>
      <c r="N1993" s="3">
        <v>348</v>
      </c>
      <c r="O1993" s="3" t="s">
        <v>7483</v>
      </c>
      <c r="P1993" s="3" t="s">
        <v>753</v>
      </c>
      <c r="Q1993" s="3" t="s">
        <v>27</v>
      </c>
      <c r="R1993" s="3" t="s">
        <v>28</v>
      </c>
      <c r="S1993" s="3">
        <v>5311000</v>
      </c>
      <c r="T1993" s="3">
        <v>1434111300</v>
      </c>
      <c r="U1993" s="3" t="s">
        <v>29</v>
      </c>
    </row>
    <row r="1994" spans="1:21" ht="13.2" x14ac:dyDescent="0.25">
      <c r="A1994" s="14">
        <v>32118622000105</v>
      </c>
      <c r="B1994" s="15" t="str">
        <f t="shared" si="31"/>
        <v>32.118.622/0001-05</v>
      </c>
      <c r="C1994" s="12"/>
      <c r="D1994" s="3" t="s">
        <v>7484</v>
      </c>
      <c r="E1994" s="3" t="s">
        <v>7484</v>
      </c>
      <c r="F1994" s="3" t="s">
        <v>20</v>
      </c>
      <c r="G1994" s="4">
        <v>32357</v>
      </c>
      <c r="H1994" s="3" t="s">
        <v>21</v>
      </c>
      <c r="I1994" s="3" t="s">
        <v>33</v>
      </c>
      <c r="J1994" s="5">
        <v>650000</v>
      </c>
      <c r="K1994" s="3">
        <v>6204000</v>
      </c>
      <c r="L1994" s="3" t="s">
        <v>2081</v>
      </c>
      <c r="M1994" s="3" t="s">
        <v>7485</v>
      </c>
      <c r="N1994" s="3">
        <v>3</v>
      </c>
      <c r="O1994" s="3" t="s">
        <v>7486</v>
      </c>
      <c r="P1994" s="3" t="s">
        <v>2271</v>
      </c>
      <c r="Q1994" s="3" t="s">
        <v>253</v>
      </c>
      <c r="R1994" s="3" t="s">
        <v>78</v>
      </c>
      <c r="S1994" s="3">
        <v>20081311</v>
      </c>
      <c r="T1994" s="3">
        <v>2132421988</v>
      </c>
      <c r="U1994" s="3" t="s">
        <v>29</v>
      </c>
    </row>
    <row r="1995" spans="1:21" ht="13.2" x14ac:dyDescent="0.25">
      <c r="A1995" s="14">
        <v>20148819000108</v>
      </c>
      <c r="B1995" s="15" t="str">
        <f t="shared" si="31"/>
        <v>20.148.819/0001-08</v>
      </c>
      <c r="C1995" s="12"/>
      <c r="D1995" s="3" t="s">
        <v>7487</v>
      </c>
      <c r="E1995" s="3" t="s">
        <v>7488</v>
      </c>
      <c r="F1995" s="3" t="s">
        <v>20</v>
      </c>
      <c r="G1995" s="4">
        <v>41757</v>
      </c>
      <c r="H1995" s="3" t="s">
        <v>21</v>
      </c>
      <c r="I1995" s="3" t="s">
        <v>22</v>
      </c>
      <c r="J1995" s="5">
        <v>180000</v>
      </c>
      <c r="K1995" s="3">
        <v>4744001</v>
      </c>
      <c r="L1995" s="3" t="s">
        <v>396</v>
      </c>
      <c r="M1995" s="3" t="s">
        <v>7489</v>
      </c>
      <c r="N1995" s="3">
        <v>157</v>
      </c>
      <c r="O1995" s="3" t="s">
        <v>505</v>
      </c>
      <c r="P1995" s="3" t="s">
        <v>4547</v>
      </c>
      <c r="Q1995" s="3" t="s">
        <v>27</v>
      </c>
      <c r="R1995" s="3" t="s">
        <v>28</v>
      </c>
      <c r="S1995" s="3">
        <v>2552020</v>
      </c>
      <c r="T1995" s="3">
        <v>1138051903</v>
      </c>
      <c r="U1995" s="3" t="s">
        <v>29</v>
      </c>
    </row>
    <row r="1996" spans="1:21" ht="13.2" x14ac:dyDescent="0.25">
      <c r="A1996" s="14">
        <v>13316995000146</v>
      </c>
      <c r="B1996" s="15" t="str">
        <f t="shared" si="31"/>
        <v>13.316.995/0001-46</v>
      </c>
      <c r="C1996" s="12"/>
      <c r="D1996" s="3" t="s">
        <v>7490</v>
      </c>
      <c r="E1996" s="3" t="s">
        <v>7490</v>
      </c>
      <c r="F1996" s="3" t="s">
        <v>20</v>
      </c>
      <c r="G1996" s="4">
        <v>40595</v>
      </c>
      <c r="H1996" s="3" t="s">
        <v>21</v>
      </c>
      <c r="I1996" s="3" t="s">
        <v>47</v>
      </c>
      <c r="J1996" s="5">
        <v>95400</v>
      </c>
      <c r="K1996" s="3">
        <v>4757100</v>
      </c>
      <c r="L1996" s="3" t="s">
        <v>1833</v>
      </c>
      <c r="M1996" s="3" t="s">
        <v>7491</v>
      </c>
      <c r="N1996" s="3">
        <v>217</v>
      </c>
      <c r="P1996" s="3" t="s">
        <v>3970</v>
      </c>
      <c r="Q1996" s="3" t="s">
        <v>27</v>
      </c>
      <c r="R1996" s="3" t="s">
        <v>28</v>
      </c>
      <c r="S1996" s="3">
        <v>4278020</v>
      </c>
      <c r="T1996" s="3">
        <v>1198100851</v>
      </c>
      <c r="U1996" s="3" t="s">
        <v>29</v>
      </c>
    </row>
    <row r="1997" spans="1:21" ht="13.2" x14ac:dyDescent="0.25">
      <c r="A1997" s="14">
        <v>4311533000145</v>
      </c>
      <c r="B1997" s="15" t="str">
        <f t="shared" si="31"/>
        <v>04.311.533/0001-45</v>
      </c>
      <c r="C1997" s="12"/>
      <c r="D1997" s="3" t="s">
        <v>7492</v>
      </c>
      <c r="E1997" s="3" t="s">
        <v>7492</v>
      </c>
      <c r="F1997" s="3" t="s">
        <v>20</v>
      </c>
      <c r="G1997" s="4">
        <v>36952</v>
      </c>
      <c r="H1997" s="3" t="s">
        <v>21</v>
      </c>
      <c r="I1997" s="3" t="s">
        <v>33</v>
      </c>
      <c r="J1997" s="5">
        <v>15179177</v>
      </c>
      <c r="K1997" s="3">
        <v>4530701</v>
      </c>
      <c r="L1997" s="3" t="s">
        <v>2176</v>
      </c>
      <c r="M1997" s="3" t="s">
        <v>7493</v>
      </c>
      <c r="N1997" s="3">
        <v>156</v>
      </c>
      <c r="P1997" s="3" t="s">
        <v>7494</v>
      </c>
      <c r="Q1997" s="3" t="s">
        <v>617</v>
      </c>
      <c r="R1997" s="3" t="s">
        <v>28</v>
      </c>
      <c r="S1997" s="3">
        <v>6422100</v>
      </c>
      <c r="T1997" s="3">
        <v>1141616402</v>
      </c>
      <c r="U1997" s="3" t="s">
        <v>29</v>
      </c>
    </row>
    <row r="1998" spans="1:21" ht="13.2" x14ac:dyDescent="0.25">
      <c r="A1998" s="14">
        <v>7043869000162</v>
      </c>
      <c r="B1998" s="15" t="str">
        <f t="shared" si="31"/>
        <v>07.043.869/0001-62</v>
      </c>
      <c r="C1998" s="12"/>
      <c r="D1998" s="3" t="s">
        <v>7495</v>
      </c>
      <c r="E1998" s="3" t="s">
        <v>7495</v>
      </c>
      <c r="F1998" s="3" t="s">
        <v>20</v>
      </c>
      <c r="G1998" s="4">
        <v>38233</v>
      </c>
      <c r="H1998" s="3" t="s">
        <v>21</v>
      </c>
      <c r="I1998" s="3" t="s">
        <v>47</v>
      </c>
      <c r="J1998" s="5">
        <v>80000</v>
      </c>
      <c r="K1998" s="3">
        <v>6209100</v>
      </c>
      <c r="L1998" s="3" t="s">
        <v>303</v>
      </c>
      <c r="M1998" s="3" t="s">
        <v>246</v>
      </c>
      <c r="N1998" s="3">
        <v>2421</v>
      </c>
      <c r="O1998" s="3" t="s">
        <v>7496</v>
      </c>
      <c r="P1998" s="3" t="s">
        <v>248</v>
      </c>
      <c r="Q1998" s="3" t="s">
        <v>27</v>
      </c>
      <c r="R1998" s="3" t="s">
        <v>28</v>
      </c>
      <c r="S1998" s="3">
        <v>1311300</v>
      </c>
      <c r="T1998" s="3">
        <v>1139955230</v>
      </c>
      <c r="U1998" s="3" t="s">
        <v>29</v>
      </c>
    </row>
    <row r="1999" spans="1:21" ht="13.2" x14ac:dyDescent="0.25">
      <c r="A1999" s="14">
        <v>34971870000120</v>
      </c>
      <c r="B1999" s="15" t="str">
        <f t="shared" si="31"/>
        <v>34.971.870/0001-20</v>
      </c>
      <c r="C1999" s="12" t="str">
        <f>VLOOKUP(B1999,[1]Planilha1!$A:$B,2,0)</f>
        <v>Malu Montesino</v>
      </c>
      <c r="D1999" s="3" t="s">
        <v>7497</v>
      </c>
      <c r="E1999" s="3" t="s">
        <v>7497</v>
      </c>
      <c r="F1999" s="3" t="s">
        <v>20</v>
      </c>
      <c r="G1999" s="4">
        <v>43732</v>
      </c>
      <c r="H1999" s="3" t="s">
        <v>21</v>
      </c>
      <c r="I1999" s="3" t="s">
        <v>33</v>
      </c>
      <c r="J1999" s="5">
        <v>52542070</v>
      </c>
      <c r="K1999" s="3">
        <v>4669901</v>
      </c>
      <c r="L1999" s="3" t="s">
        <v>1543</v>
      </c>
      <c r="M1999" s="3" t="s">
        <v>7498</v>
      </c>
      <c r="N1999" s="3">
        <v>311</v>
      </c>
      <c r="P1999" s="3" t="s">
        <v>616</v>
      </c>
      <c r="Q1999" s="3" t="s">
        <v>617</v>
      </c>
      <c r="R1999" s="3" t="s">
        <v>28</v>
      </c>
      <c r="S1999" s="3">
        <v>6460110</v>
      </c>
      <c r="T1999" s="3">
        <v>1121098900</v>
      </c>
      <c r="U1999" s="3" t="s">
        <v>29</v>
      </c>
    </row>
    <row r="2000" spans="1:21" ht="13.2" x14ac:dyDescent="0.25">
      <c r="A2000" s="14">
        <v>6241557000109</v>
      </c>
      <c r="B2000" s="15" t="str">
        <f t="shared" si="31"/>
        <v>06.241.557/0001-09</v>
      </c>
      <c r="C2000" s="12"/>
      <c r="D2000" s="3" t="s">
        <v>7499</v>
      </c>
      <c r="E2000" s="3" t="s">
        <v>7500</v>
      </c>
      <c r="F2000" s="3" t="s">
        <v>20</v>
      </c>
      <c r="G2000" s="4">
        <v>38062</v>
      </c>
      <c r="H2000" s="3" t="s">
        <v>21</v>
      </c>
      <c r="I2000" s="3" t="s">
        <v>33</v>
      </c>
      <c r="J2000" s="5">
        <v>67922650</v>
      </c>
      <c r="K2000" s="3">
        <v>4651601</v>
      </c>
      <c r="L2000" s="3" t="s">
        <v>684</v>
      </c>
      <c r="M2000" s="3" t="s">
        <v>2661</v>
      </c>
      <c r="N2000" s="3">
        <v>1341</v>
      </c>
      <c r="O2000" s="3" t="s">
        <v>7501</v>
      </c>
      <c r="P2000" s="3" t="s">
        <v>616</v>
      </c>
      <c r="Q2000" s="3" t="s">
        <v>617</v>
      </c>
      <c r="R2000" s="3" t="s">
        <v>28</v>
      </c>
      <c r="S2000" s="3">
        <v>6460030</v>
      </c>
      <c r="T2000" s="3">
        <v>1120784200</v>
      </c>
      <c r="U2000" s="3" t="s">
        <v>29</v>
      </c>
    </row>
    <row r="2001" spans="1:21" ht="13.2" x14ac:dyDescent="0.25">
      <c r="A2001" s="14">
        <v>2838857000100</v>
      </c>
      <c r="B2001" s="15" t="str">
        <f t="shared" si="31"/>
        <v>02.838.857/0001-00</v>
      </c>
      <c r="C2001" s="12" t="str">
        <f>VLOOKUP(B2001,[1]Planilha1!$A:$B,2,0)</f>
        <v>Malu Montesino</v>
      </c>
      <c r="D2001" s="3" t="s">
        <v>7502</v>
      </c>
      <c r="E2001" s="3" t="s">
        <v>7503</v>
      </c>
      <c r="F2001" s="3" t="s">
        <v>20</v>
      </c>
      <c r="G2001" s="4">
        <v>36109</v>
      </c>
      <c r="H2001" s="3" t="s">
        <v>21</v>
      </c>
      <c r="I2001" s="3" t="s">
        <v>22</v>
      </c>
      <c r="J2001" s="5">
        <v>150000</v>
      </c>
      <c r="K2001" s="3">
        <v>4530703</v>
      </c>
      <c r="L2001" s="3" t="s">
        <v>768</v>
      </c>
      <c r="M2001" s="3" t="s">
        <v>7504</v>
      </c>
      <c r="N2001" s="3">
        <v>883</v>
      </c>
      <c r="P2001" s="3" t="s">
        <v>7505</v>
      </c>
      <c r="Q2001" s="3" t="s">
        <v>7506</v>
      </c>
      <c r="R2001" s="3" t="s">
        <v>28</v>
      </c>
      <c r="S2001" s="3">
        <v>18803150</v>
      </c>
      <c r="T2001" s="3">
        <v>1433518070</v>
      </c>
      <c r="U2001" s="3" t="s">
        <v>29</v>
      </c>
    </row>
    <row r="2002" spans="1:21" ht="13.2" x14ac:dyDescent="0.25">
      <c r="A2002" s="14">
        <v>59309302000199</v>
      </c>
      <c r="B2002" s="15" t="str">
        <f t="shared" si="31"/>
        <v>59.309.302/0001-99</v>
      </c>
      <c r="C2002" s="12" t="str">
        <f>VLOOKUP(B2002,[1]Planilha1!$A:$B,2,0)</f>
        <v>Malu Montesino</v>
      </c>
      <c r="D2002" s="3" t="s">
        <v>7507</v>
      </c>
      <c r="E2002" s="3" t="s">
        <v>7507</v>
      </c>
      <c r="F2002" s="3" t="s">
        <v>20</v>
      </c>
      <c r="G2002" s="4">
        <v>32350</v>
      </c>
      <c r="H2002" s="3" t="s">
        <v>21</v>
      </c>
      <c r="I2002" s="3" t="s">
        <v>33</v>
      </c>
      <c r="J2002" s="5" t="s">
        <v>7508</v>
      </c>
      <c r="K2002" s="3">
        <v>3250701</v>
      </c>
      <c r="L2002" s="3" t="s">
        <v>2195</v>
      </c>
      <c r="M2002" s="3" t="s">
        <v>7509</v>
      </c>
      <c r="N2002" s="3">
        <v>160</v>
      </c>
      <c r="P2002" s="3" t="s">
        <v>610</v>
      </c>
      <c r="Q2002" s="3" t="s">
        <v>4130</v>
      </c>
      <c r="R2002" s="3" t="s">
        <v>28</v>
      </c>
      <c r="S2002" s="3">
        <v>19908170</v>
      </c>
      <c r="T2002" s="3">
        <v>1433022900</v>
      </c>
      <c r="U2002" s="3" t="s">
        <v>29</v>
      </c>
    </row>
    <row r="2003" spans="1:21" ht="13.2" x14ac:dyDescent="0.25">
      <c r="A2003" s="14">
        <v>5608739000102</v>
      </c>
      <c r="B2003" s="15" t="str">
        <f t="shared" si="31"/>
        <v>05.608.739/0001-02</v>
      </c>
      <c r="C2003" s="12"/>
      <c r="D2003" s="3" t="s">
        <v>7510</v>
      </c>
      <c r="E2003" s="3" t="s">
        <v>7511</v>
      </c>
      <c r="F2003" s="3" t="s">
        <v>20</v>
      </c>
      <c r="G2003" s="4">
        <v>37719</v>
      </c>
      <c r="H2003" s="3" t="s">
        <v>21</v>
      </c>
      <c r="I2003" s="3" t="s">
        <v>22</v>
      </c>
      <c r="J2003" s="5">
        <v>500000</v>
      </c>
      <c r="K2003" s="3">
        <v>4649408</v>
      </c>
      <c r="L2003" s="3" t="s">
        <v>464</v>
      </c>
      <c r="M2003" s="3" t="s">
        <v>7512</v>
      </c>
      <c r="N2003" s="3">
        <v>17</v>
      </c>
      <c r="O2003" s="3" t="s">
        <v>7513</v>
      </c>
      <c r="P2003" s="3" t="s">
        <v>6435</v>
      </c>
      <c r="Q2003" s="3" t="s">
        <v>448</v>
      </c>
      <c r="R2003" s="3" t="s">
        <v>449</v>
      </c>
      <c r="S2003" s="3">
        <v>69099219</v>
      </c>
      <c r="T2003" s="3">
        <v>9291229612</v>
      </c>
      <c r="U2003" s="3" t="s">
        <v>29</v>
      </c>
    </row>
    <row r="2004" spans="1:21" ht="13.2" x14ac:dyDescent="0.25">
      <c r="A2004" s="14">
        <v>35548400000110</v>
      </c>
      <c r="B2004" s="15" t="str">
        <f t="shared" si="31"/>
        <v>35.548.400/0001-10</v>
      </c>
      <c r="C2004" s="12" t="str">
        <f>VLOOKUP(B2004,[1]Planilha1!$A:$B,2,0)</f>
        <v>Malu Montesino</v>
      </c>
      <c r="D2004" s="3" t="s">
        <v>7514</v>
      </c>
      <c r="E2004" s="3" t="s">
        <v>7515</v>
      </c>
      <c r="F2004" s="3" t="s">
        <v>20</v>
      </c>
      <c r="G2004" s="4">
        <v>43788</v>
      </c>
      <c r="H2004" s="3" t="s">
        <v>21</v>
      </c>
      <c r="I2004" s="3" t="s">
        <v>47</v>
      </c>
      <c r="J2004" s="5">
        <v>100000</v>
      </c>
      <c r="K2004" s="3">
        <v>4662100</v>
      </c>
      <c r="L2004" s="3" t="s">
        <v>2324</v>
      </c>
      <c r="M2004" s="3" t="s">
        <v>7516</v>
      </c>
      <c r="N2004" s="3">
        <v>143</v>
      </c>
      <c r="O2004" s="3" t="s">
        <v>7517</v>
      </c>
      <c r="P2004" s="3" t="s">
        <v>7518</v>
      </c>
      <c r="Q2004" s="3" t="s">
        <v>27</v>
      </c>
      <c r="R2004" s="3" t="s">
        <v>28</v>
      </c>
      <c r="S2004" s="3">
        <v>2545090</v>
      </c>
      <c r="T2004" s="3">
        <v>1123873660</v>
      </c>
      <c r="U2004" s="3" t="s">
        <v>29</v>
      </c>
    </row>
    <row r="2005" spans="1:21" ht="13.2" x14ac:dyDescent="0.25">
      <c r="A2005" s="14">
        <v>24544261000130</v>
      </c>
      <c r="B2005" s="15" t="str">
        <f t="shared" si="31"/>
        <v>24.544.261/0001-30</v>
      </c>
      <c r="C2005" s="12"/>
      <c r="D2005" s="3" t="s">
        <v>7519</v>
      </c>
      <c r="E2005" s="3" t="s">
        <v>7519</v>
      </c>
      <c r="F2005" s="3" t="s">
        <v>20</v>
      </c>
      <c r="G2005" s="4">
        <v>42467</v>
      </c>
      <c r="H2005" s="3" t="s">
        <v>21</v>
      </c>
      <c r="I2005" s="3" t="s">
        <v>33</v>
      </c>
      <c r="J2005" s="5">
        <v>560000</v>
      </c>
      <c r="K2005" s="3">
        <v>2341900</v>
      </c>
      <c r="L2005" s="3" t="s">
        <v>7520</v>
      </c>
      <c r="M2005" s="3" t="s">
        <v>7521</v>
      </c>
      <c r="N2005" s="3">
        <v>30</v>
      </c>
      <c r="P2005" s="3" t="s">
        <v>7522</v>
      </c>
      <c r="Q2005" s="3" t="s">
        <v>27</v>
      </c>
      <c r="R2005" s="3" t="s">
        <v>28</v>
      </c>
      <c r="S2005" s="3">
        <v>2710100</v>
      </c>
      <c r="T2005" s="3">
        <v>1123879454</v>
      </c>
      <c r="U2005" s="3" t="s">
        <v>29</v>
      </c>
    </row>
    <row r="2006" spans="1:21" ht="13.2" x14ac:dyDescent="0.25">
      <c r="A2006" s="14">
        <v>4651548000152</v>
      </c>
      <c r="B2006" s="15" t="str">
        <f t="shared" si="31"/>
        <v>04.651.548/0001-52</v>
      </c>
      <c r="C2006" s="12"/>
      <c r="D2006" s="3" t="s">
        <v>7523</v>
      </c>
      <c r="E2006" s="3" t="s">
        <v>7523</v>
      </c>
      <c r="F2006" s="3" t="s">
        <v>20</v>
      </c>
      <c r="G2006" s="4">
        <v>37144</v>
      </c>
      <c r="H2006" s="3" t="s">
        <v>21</v>
      </c>
      <c r="I2006" s="3" t="s">
        <v>22</v>
      </c>
      <c r="J2006" s="5">
        <v>60000</v>
      </c>
      <c r="K2006" s="3">
        <v>2790202</v>
      </c>
      <c r="L2006" s="3" t="s">
        <v>1703</v>
      </c>
      <c r="M2006" s="3" t="s">
        <v>7524</v>
      </c>
      <c r="N2006" s="3">
        <v>100</v>
      </c>
      <c r="P2006" s="3" t="s">
        <v>7525</v>
      </c>
      <c r="Q2006" s="3" t="s">
        <v>7526</v>
      </c>
      <c r="R2006" s="3" t="s">
        <v>100</v>
      </c>
      <c r="S2006" s="3">
        <v>37410001</v>
      </c>
      <c r="T2006" s="3">
        <v>3532351477</v>
      </c>
      <c r="U2006" s="3" t="s">
        <v>29</v>
      </c>
    </row>
    <row r="2007" spans="1:21" ht="13.2" x14ac:dyDescent="0.25">
      <c r="A2007" s="14">
        <v>12889035000102</v>
      </c>
      <c r="B2007" s="15" t="str">
        <f t="shared" si="31"/>
        <v>12.889.035/0001-02</v>
      </c>
      <c r="C2007" s="12" t="str">
        <f>VLOOKUP(B2007,[1]Planilha1!$A:$B,2,0)</f>
        <v>Malu Montesino</v>
      </c>
      <c r="D2007" s="3" t="s">
        <v>7527</v>
      </c>
      <c r="E2007" s="3" t="s">
        <v>7527</v>
      </c>
      <c r="F2007" s="3" t="s">
        <v>20</v>
      </c>
      <c r="G2007" s="4">
        <v>40500</v>
      </c>
      <c r="H2007" s="3" t="s">
        <v>21</v>
      </c>
      <c r="I2007" s="3" t="s">
        <v>33</v>
      </c>
      <c r="J2007" s="5">
        <v>1002000</v>
      </c>
      <c r="K2007" s="3">
        <v>4644301</v>
      </c>
      <c r="L2007" s="3" t="s">
        <v>326</v>
      </c>
      <c r="M2007" s="3" t="s">
        <v>7528</v>
      </c>
      <c r="N2007" s="3">
        <v>2115</v>
      </c>
      <c r="P2007" s="3" t="s">
        <v>610</v>
      </c>
      <c r="Q2007" s="3" t="s">
        <v>3865</v>
      </c>
      <c r="R2007" s="3" t="s">
        <v>53</v>
      </c>
      <c r="S2007" s="3">
        <v>99706250</v>
      </c>
      <c r="T2007" s="3">
        <v>5421067930</v>
      </c>
      <c r="U2007" s="3" t="s">
        <v>29</v>
      </c>
    </row>
    <row r="2008" spans="1:21" ht="13.2" x14ac:dyDescent="0.25">
      <c r="A2008" s="14">
        <v>9478580000100</v>
      </c>
      <c r="B2008" s="15" t="str">
        <f t="shared" si="31"/>
        <v>09.478.580/0001-00</v>
      </c>
      <c r="C2008" s="12"/>
      <c r="D2008" s="3" t="s">
        <v>7529</v>
      </c>
      <c r="E2008" s="3" t="s">
        <v>7530</v>
      </c>
      <c r="F2008" s="3" t="s">
        <v>20</v>
      </c>
      <c r="G2008" s="4">
        <v>39538</v>
      </c>
      <c r="H2008" s="3" t="s">
        <v>21</v>
      </c>
      <c r="I2008" s="3" t="s">
        <v>22</v>
      </c>
      <c r="J2008" s="5">
        <v>500000</v>
      </c>
      <c r="K2008" s="3">
        <v>4772500</v>
      </c>
      <c r="L2008" s="3" t="s">
        <v>2639</v>
      </c>
      <c r="M2008" s="3" t="s">
        <v>7531</v>
      </c>
      <c r="N2008" s="3">
        <v>335</v>
      </c>
      <c r="P2008" s="3" t="s">
        <v>256</v>
      </c>
      <c r="Q2008" s="3" t="s">
        <v>27</v>
      </c>
      <c r="R2008" s="3" t="s">
        <v>28</v>
      </c>
      <c r="S2008" s="3">
        <v>4221040</v>
      </c>
      <c r="T2008" s="3">
        <v>1125036250</v>
      </c>
      <c r="U2008" s="3" t="s">
        <v>29</v>
      </c>
    </row>
    <row r="2009" spans="1:21" ht="13.2" x14ac:dyDescent="0.25">
      <c r="A2009" s="14">
        <v>17042473000154</v>
      </c>
      <c r="B2009" s="15" t="str">
        <f t="shared" si="31"/>
        <v>17.042.473/0001-54</v>
      </c>
      <c r="C2009" s="12"/>
      <c r="D2009" s="3" t="s">
        <v>7532</v>
      </c>
      <c r="E2009" s="3" t="s">
        <v>7533</v>
      </c>
      <c r="F2009" s="3" t="s">
        <v>20</v>
      </c>
      <c r="G2009" s="4">
        <v>41166</v>
      </c>
      <c r="H2009" s="3" t="s">
        <v>21</v>
      </c>
      <c r="I2009" s="3" t="s">
        <v>33</v>
      </c>
      <c r="J2009" s="5">
        <v>5350000</v>
      </c>
      <c r="K2009" s="3">
        <v>4399101</v>
      </c>
      <c r="L2009" s="3" t="s">
        <v>2919</v>
      </c>
      <c r="M2009" s="3" t="s">
        <v>7534</v>
      </c>
      <c r="N2009" s="3">
        <v>159</v>
      </c>
      <c r="P2009" s="3" t="s">
        <v>411</v>
      </c>
      <c r="Q2009" s="3" t="s">
        <v>294</v>
      </c>
      <c r="R2009" s="3" t="s">
        <v>28</v>
      </c>
      <c r="S2009" s="3">
        <v>11075201</v>
      </c>
      <c r="T2009" s="3">
        <v>1392069003</v>
      </c>
      <c r="U2009" s="3" t="s">
        <v>29</v>
      </c>
    </row>
    <row r="2010" spans="1:21" ht="13.2" x14ac:dyDescent="0.25">
      <c r="A2010" s="14">
        <v>12778433000151</v>
      </c>
      <c r="B2010" s="15" t="str">
        <f t="shared" si="31"/>
        <v>12.778.433/0001-51</v>
      </c>
      <c r="C2010" s="12"/>
      <c r="D2010" s="3" t="s">
        <v>7535</v>
      </c>
      <c r="E2010" s="3" t="s">
        <v>7536</v>
      </c>
      <c r="F2010" s="3" t="s">
        <v>20</v>
      </c>
      <c r="G2010" s="4">
        <v>40478</v>
      </c>
      <c r="H2010" s="3" t="s">
        <v>21</v>
      </c>
      <c r="I2010" s="3" t="s">
        <v>33</v>
      </c>
      <c r="J2010" s="5">
        <v>2780000</v>
      </c>
      <c r="K2010" s="3">
        <v>7820500</v>
      </c>
      <c r="L2010" s="3" t="s">
        <v>481</v>
      </c>
      <c r="M2010" s="3" t="s">
        <v>7537</v>
      </c>
      <c r="N2010" s="3">
        <v>249</v>
      </c>
      <c r="P2010" s="3" t="s">
        <v>7538</v>
      </c>
      <c r="Q2010" s="3" t="s">
        <v>1339</v>
      </c>
      <c r="R2010" s="3" t="s">
        <v>456</v>
      </c>
      <c r="S2010" s="3">
        <v>52050250</v>
      </c>
      <c r="T2010" s="3">
        <v>8132212997</v>
      </c>
      <c r="U2010" s="3" t="s">
        <v>29</v>
      </c>
    </row>
    <row r="2011" spans="1:21" ht="13.2" x14ac:dyDescent="0.25">
      <c r="A2011" s="14">
        <v>3202881000111</v>
      </c>
      <c r="B2011" s="15" t="str">
        <f t="shared" si="31"/>
        <v>03.202.881/0001-11</v>
      </c>
      <c r="C2011" s="12"/>
      <c r="D2011" s="3" t="s">
        <v>7539</v>
      </c>
      <c r="E2011" s="3" t="s">
        <v>7539</v>
      </c>
      <c r="F2011" s="3" t="s">
        <v>20</v>
      </c>
      <c r="G2011" s="4">
        <v>36308</v>
      </c>
      <c r="H2011" s="3" t="s">
        <v>21</v>
      </c>
      <c r="I2011" s="3" t="s">
        <v>22</v>
      </c>
      <c r="J2011" s="5">
        <v>320000</v>
      </c>
      <c r="K2011" s="3">
        <v>2660400</v>
      </c>
      <c r="L2011" s="3" t="s">
        <v>953</v>
      </c>
      <c r="M2011" s="3" t="s">
        <v>1289</v>
      </c>
      <c r="N2011" s="3">
        <v>1214</v>
      </c>
      <c r="P2011" s="3" t="s">
        <v>6013</v>
      </c>
      <c r="Q2011" s="3" t="s">
        <v>1317</v>
      </c>
      <c r="R2011" s="3" t="s">
        <v>187</v>
      </c>
      <c r="S2011" s="3">
        <v>83324442</v>
      </c>
      <c r="T2011" s="3">
        <v>4130339200</v>
      </c>
      <c r="U2011" s="3" t="s">
        <v>29</v>
      </c>
    </row>
    <row r="2012" spans="1:21" ht="13.2" x14ac:dyDescent="0.25">
      <c r="A2012" s="14">
        <v>41689993000138</v>
      </c>
      <c r="B2012" s="15" t="str">
        <f t="shared" si="31"/>
        <v>41.689.993/0001-38</v>
      </c>
      <c r="C2012" s="12"/>
      <c r="D2012" s="3" t="s">
        <v>7540</v>
      </c>
      <c r="E2012" s="3" t="s">
        <v>7541</v>
      </c>
      <c r="F2012" s="3" t="s">
        <v>20</v>
      </c>
      <c r="G2012" s="4">
        <v>33526</v>
      </c>
      <c r="H2012" s="3" t="s">
        <v>21</v>
      </c>
      <c r="I2012" s="3" t="s">
        <v>47</v>
      </c>
      <c r="J2012" s="5">
        <v>60000</v>
      </c>
      <c r="K2012" s="3">
        <v>6204000</v>
      </c>
      <c r="L2012" s="3" t="s">
        <v>2081</v>
      </c>
      <c r="M2012" s="3" t="s">
        <v>7542</v>
      </c>
      <c r="N2012" s="3">
        <v>839</v>
      </c>
      <c r="O2012" s="3" t="s">
        <v>7543</v>
      </c>
      <c r="P2012" s="3" t="s">
        <v>7544</v>
      </c>
      <c r="Q2012" s="3" t="s">
        <v>476</v>
      </c>
      <c r="R2012" s="3" t="s">
        <v>100</v>
      </c>
      <c r="S2012" s="3">
        <v>30575857</v>
      </c>
      <c r="T2012" s="3">
        <v>3199852307</v>
      </c>
      <c r="U2012" s="3" t="s">
        <v>29</v>
      </c>
    </row>
    <row r="2013" spans="1:21" ht="13.2" x14ac:dyDescent="0.25">
      <c r="A2013" s="14">
        <v>19871047000159</v>
      </c>
      <c r="B2013" s="15" t="str">
        <f t="shared" si="31"/>
        <v>19.871.047/0001-59</v>
      </c>
      <c r="C2013" s="12"/>
      <c r="D2013" s="3" t="s">
        <v>7545</v>
      </c>
      <c r="E2013" s="3" t="s">
        <v>7545</v>
      </c>
      <c r="F2013" s="3" t="s">
        <v>20</v>
      </c>
      <c r="G2013" s="4">
        <v>41711</v>
      </c>
      <c r="H2013" s="3" t="s">
        <v>21</v>
      </c>
      <c r="I2013" s="3" t="s">
        <v>47</v>
      </c>
      <c r="J2013" s="5">
        <v>740000</v>
      </c>
      <c r="K2013" s="3">
        <v>4329101</v>
      </c>
      <c r="L2013" s="3" t="s">
        <v>7546</v>
      </c>
      <c r="M2013" s="3" t="s">
        <v>5033</v>
      </c>
      <c r="N2013" s="3">
        <v>900</v>
      </c>
      <c r="O2013" s="3" t="s">
        <v>7547</v>
      </c>
      <c r="P2013" s="3" t="s">
        <v>5496</v>
      </c>
      <c r="Q2013" s="3" t="s">
        <v>262</v>
      </c>
      <c r="R2013" s="3" t="s">
        <v>28</v>
      </c>
      <c r="S2013" s="3">
        <v>6020010</v>
      </c>
      <c r="T2013" s="3">
        <v>1136854951</v>
      </c>
      <c r="U2013" s="3" t="s">
        <v>29</v>
      </c>
    </row>
    <row r="2014" spans="1:21" ht="13.2" x14ac:dyDescent="0.25">
      <c r="A2014" s="14">
        <v>19143217000189</v>
      </c>
      <c r="B2014" s="15" t="str">
        <f t="shared" si="31"/>
        <v>19.143.217/0001-89</v>
      </c>
      <c r="C2014" s="12"/>
      <c r="D2014" s="3" t="s">
        <v>7548</v>
      </c>
      <c r="E2014" s="3" t="s">
        <v>7548</v>
      </c>
      <c r="F2014" s="3" t="s">
        <v>20</v>
      </c>
      <c r="G2014" s="4">
        <v>41565</v>
      </c>
      <c r="H2014" s="3" t="s">
        <v>21</v>
      </c>
      <c r="I2014" s="3" t="s">
        <v>47</v>
      </c>
      <c r="J2014" s="5">
        <v>100000</v>
      </c>
      <c r="K2014" s="3">
        <v>8020001</v>
      </c>
      <c r="L2014" s="3" t="s">
        <v>196</v>
      </c>
      <c r="M2014" s="3" t="s">
        <v>3558</v>
      </c>
      <c r="N2014" s="3">
        <v>3004</v>
      </c>
      <c r="O2014" s="3" t="s">
        <v>7549</v>
      </c>
      <c r="P2014" s="3" t="s">
        <v>7550</v>
      </c>
      <c r="Q2014" s="3" t="s">
        <v>1289</v>
      </c>
      <c r="R2014" s="3" t="s">
        <v>187</v>
      </c>
      <c r="S2014" s="3">
        <v>87030120</v>
      </c>
      <c r="T2014" s="3">
        <v>4432658592</v>
      </c>
      <c r="U2014" s="3" t="s">
        <v>29</v>
      </c>
    </row>
    <row r="2015" spans="1:21" ht="13.2" x14ac:dyDescent="0.25">
      <c r="A2015" s="14">
        <v>68596162000178</v>
      </c>
      <c r="B2015" s="15" t="str">
        <f t="shared" si="31"/>
        <v>68.596.162/0001-78</v>
      </c>
      <c r="C2015" s="12"/>
      <c r="D2015" s="3" t="s">
        <v>7551</v>
      </c>
      <c r="E2015" s="3" t="s">
        <v>7552</v>
      </c>
      <c r="F2015" s="3" t="s">
        <v>20</v>
      </c>
      <c r="G2015" s="4">
        <v>33823</v>
      </c>
      <c r="H2015" s="3" t="s">
        <v>620</v>
      </c>
      <c r="I2015" s="3" t="s">
        <v>33</v>
      </c>
      <c r="J2015" s="5">
        <v>0</v>
      </c>
      <c r="K2015" s="3">
        <v>8411600</v>
      </c>
      <c r="L2015" s="3" t="s">
        <v>621</v>
      </c>
      <c r="M2015" s="3" t="s">
        <v>7553</v>
      </c>
      <c r="N2015" s="3">
        <v>1206</v>
      </c>
      <c r="P2015" s="3" t="s">
        <v>1767</v>
      </c>
      <c r="Q2015" s="3" t="s">
        <v>204</v>
      </c>
      <c r="R2015" s="3" t="s">
        <v>187</v>
      </c>
      <c r="S2015" s="3">
        <v>80215000</v>
      </c>
      <c r="U2015" s="3" t="s">
        <v>29</v>
      </c>
    </row>
    <row r="2016" spans="1:21" ht="13.2" x14ac:dyDescent="0.25">
      <c r="A2016" s="14">
        <v>33634254000110</v>
      </c>
      <c r="B2016" s="15" t="str">
        <f t="shared" si="31"/>
        <v>33.634.254/0001-10</v>
      </c>
      <c r="C2016" s="12"/>
      <c r="D2016" s="3" t="s">
        <v>7554</v>
      </c>
      <c r="E2016" s="3" t="s">
        <v>7555</v>
      </c>
      <c r="F2016" s="3" t="s">
        <v>20</v>
      </c>
      <c r="G2016" s="4">
        <v>26038</v>
      </c>
      <c r="H2016" s="3" t="s">
        <v>244</v>
      </c>
      <c r="I2016" s="3" t="s">
        <v>33</v>
      </c>
      <c r="J2016" s="5">
        <v>0</v>
      </c>
      <c r="K2016" s="3">
        <v>9430800</v>
      </c>
      <c r="L2016" s="3" t="s">
        <v>626</v>
      </c>
      <c r="M2016" s="3" t="s">
        <v>7556</v>
      </c>
      <c r="N2016" s="3">
        <v>52</v>
      </c>
      <c r="O2016" s="3" t="s">
        <v>7557</v>
      </c>
      <c r="P2016" s="3" t="s">
        <v>70</v>
      </c>
      <c r="Q2016" s="3" t="s">
        <v>253</v>
      </c>
      <c r="R2016" s="3" t="s">
        <v>78</v>
      </c>
      <c r="S2016" s="3">
        <v>20031918</v>
      </c>
      <c r="T2016" s="3">
        <v>2121129000</v>
      </c>
      <c r="U2016" s="3" t="s">
        <v>29</v>
      </c>
    </row>
    <row r="2017" spans="1:21" ht="13.2" x14ac:dyDescent="0.25">
      <c r="A2017" s="14">
        <v>11595331000138</v>
      </c>
      <c r="B2017" s="15" t="str">
        <f t="shared" si="31"/>
        <v>11.595.331/0001-38</v>
      </c>
      <c r="C2017" s="12"/>
      <c r="D2017" s="3" t="s">
        <v>7558</v>
      </c>
      <c r="E2017" s="3" t="s">
        <v>7559</v>
      </c>
      <c r="F2017" s="3" t="s">
        <v>20</v>
      </c>
      <c r="G2017" s="4">
        <v>40211</v>
      </c>
      <c r="H2017" s="3" t="s">
        <v>244</v>
      </c>
      <c r="I2017" s="3" t="s">
        <v>33</v>
      </c>
      <c r="J2017" s="5">
        <v>0</v>
      </c>
      <c r="K2017" s="3">
        <v>8599699</v>
      </c>
      <c r="L2017" s="3" t="s">
        <v>926</v>
      </c>
      <c r="M2017" s="3">
        <v>85</v>
      </c>
      <c r="N2017" s="3">
        <v>160</v>
      </c>
      <c r="O2017" s="3" t="s">
        <v>7560</v>
      </c>
      <c r="P2017" s="3" t="s">
        <v>6318</v>
      </c>
      <c r="Q2017" s="3" t="s">
        <v>273</v>
      </c>
      <c r="R2017" s="3" t="s">
        <v>274</v>
      </c>
      <c r="S2017" s="3">
        <v>74080010</v>
      </c>
      <c r="T2017" s="3">
        <v>6230922009</v>
      </c>
      <c r="U2017" s="3" t="s">
        <v>29</v>
      </c>
    </row>
    <row r="2018" spans="1:21" ht="13.2" x14ac:dyDescent="0.25">
      <c r="A2018" s="14">
        <v>33938861000174</v>
      </c>
      <c r="B2018" s="15" t="str">
        <f t="shared" si="31"/>
        <v>33.938.861/0001-74</v>
      </c>
      <c r="C2018" s="12"/>
      <c r="D2018" s="3" t="s">
        <v>7561</v>
      </c>
      <c r="E2018" s="3" t="s">
        <v>7561</v>
      </c>
      <c r="F2018" s="3" t="s">
        <v>20</v>
      </c>
      <c r="G2018" s="4">
        <v>26015</v>
      </c>
      <c r="H2018" s="3" t="s">
        <v>244</v>
      </c>
      <c r="I2018" s="3" t="s">
        <v>33</v>
      </c>
      <c r="J2018" s="5">
        <v>0</v>
      </c>
      <c r="K2018" s="3">
        <v>8550302</v>
      </c>
      <c r="L2018" s="3" t="s">
        <v>3379</v>
      </c>
      <c r="M2018" s="3" t="s">
        <v>7562</v>
      </c>
      <c r="N2018" s="3">
        <v>0</v>
      </c>
      <c r="O2018" s="3" t="s">
        <v>7563</v>
      </c>
      <c r="P2018" s="3" t="s">
        <v>630</v>
      </c>
      <c r="Q2018" s="3" t="s">
        <v>631</v>
      </c>
      <c r="R2018" s="3" t="s">
        <v>632</v>
      </c>
      <c r="S2018" s="3">
        <v>70040903</v>
      </c>
      <c r="T2018" s="3">
        <v>6133179404</v>
      </c>
      <c r="U2018" s="3" t="s">
        <v>29</v>
      </c>
    </row>
    <row r="2019" spans="1:21" ht="13.2" x14ac:dyDescent="0.25">
      <c r="A2019" s="14">
        <v>67983528000107</v>
      </c>
      <c r="B2019" s="15" t="str">
        <f t="shared" si="31"/>
        <v>67.983.528/0001-07</v>
      </c>
      <c r="C2019" s="12"/>
      <c r="D2019" s="3" t="s">
        <v>7564</v>
      </c>
      <c r="E2019" s="3" t="s">
        <v>7564</v>
      </c>
      <c r="F2019" s="3" t="s">
        <v>20</v>
      </c>
      <c r="G2019" s="4">
        <v>33905</v>
      </c>
      <c r="H2019" s="3" t="s">
        <v>244</v>
      </c>
      <c r="I2019" s="3" t="s">
        <v>33</v>
      </c>
      <c r="J2019" s="5">
        <v>0</v>
      </c>
      <c r="K2019" s="3">
        <v>9430800</v>
      </c>
      <c r="L2019" s="3" t="s">
        <v>626</v>
      </c>
      <c r="M2019" s="3" t="s">
        <v>7565</v>
      </c>
      <c r="N2019" s="3">
        <v>111</v>
      </c>
      <c r="O2019" s="3" t="s">
        <v>7566</v>
      </c>
      <c r="P2019" s="3" t="s">
        <v>137</v>
      </c>
      <c r="Q2019" s="3" t="s">
        <v>27</v>
      </c>
      <c r="R2019" s="3" t="s">
        <v>28</v>
      </c>
      <c r="S2019" s="3">
        <v>5036070</v>
      </c>
      <c r="T2019" s="3">
        <v>1136110833</v>
      </c>
      <c r="U2019" s="3" t="s">
        <v>29</v>
      </c>
    </row>
    <row r="2020" spans="1:21" ht="13.2" x14ac:dyDescent="0.25">
      <c r="A2020" s="14">
        <v>19378769000176</v>
      </c>
      <c r="B2020" s="15" t="str">
        <f t="shared" si="31"/>
        <v>19.378.769/0001-76</v>
      </c>
      <c r="C2020" s="12"/>
      <c r="D2020" s="3" t="s">
        <v>7567</v>
      </c>
      <c r="E2020" s="3" t="s">
        <v>7567</v>
      </c>
      <c r="F2020" s="3" t="s">
        <v>20</v>
      </c>
      <c r="G2020" s="4">
        <v>28158</v>
      </c>
      <c r="H2020" s="3" t="s">
        <v>94</v>
      </c>
      <c r="I2020" s="3" t="s">
        <v>33</v>
      </c>
      <c r="J2020" s="5">
        <v>1205033500</v>
      </c>
      <c r="K2020" s="3">
        <v>8640299</v>
      </c>
      <c r="L2020" s="3" t="s">
        <v>1789</v>
      </c>
      <c r="M2020" s="3" t="s">
        <v>5442</v>
      </c>
      <c r="N2020" s="3">
        <v>66</v>
      </c>
      <c r="P2020" s="3" t="s">
        <v>1462</v>
      </c>
      <c r="Q2020" s="3" t="s">
        <v>476</v>
      </c>
      <c r="R2020" s="3" t="s">
        <v>100</v>
      </c>
      <c r="S2020" s="3">
        <v>30140070</v>
      </c>
      <c r="T2020" s="3">
        <v>3136296200</v>
      </c>
      <c r="U2020" s="3" t="s">
        <v>29</v>
      </c>
    </row>
    <row r="2021" spans="1:21" ht="13.2" x14ac:dyDescent="0.25">
      <c r="A2021" s="14">
        <v>64923568000167</v>
      </c>
      <c r="B2021" s="15" t="str">
        <f t="shared" si="31"/>
        <v>64.923.568/0001-67</v>
      </c>
      <c r="C2021" s="12"/>
      <c r="D2021" s="3" t="s">
        <v>7568</v>
      </c>
      <c r="E2021" s="3" t="s">
        <v>7569</v>
      </c>
      <c r="F2021" s="3" t="s">
        <v>20</v>
      </c>
      <c r="G2021" s="4">
        <v>33343</v>
      </c>
      <c r="H2021" s="3" t="s">
        <v>21</v>
      </c>
      <c r="I2021" s="3" t="s">
        <v>33</v>
      </c>
      <c r="J2021" s="5">
        <v>3000000</v>
      </c>
      <c r="K2021" s="3">
        <v>8640205</v>
      </c>
      <c r="L2021" s="3" t="s">
        <v>7570</v>
      </c>
      <c r="M2021" s="3" t="s">
        <v>2426</v>
      </c>
      <c r="N2021" s="3">
        <v>600</v>
      </c>
      <c r="P2021" s="3" t="s">
        <v>70</v>
      </c>
      <c r="Q2021" s="3" t="s">
        <v>2427</v>
      </c>
      <c r="R2021" s="3" t="s">
        <v>28</v>
      </c>
      <c r="S2021" s="3">
        <v>14700420</v>
      </c>
      <c r="T2021" s="3">
        <v>1733427204</v>
      </c>
      <c r="U2021" s="3" t="s">
        <v>29</v>
      </c>
    </row>
    <row r="2022" spans="1:21" ht="13.2" x14ac:dyDescent="0.25">
      <c r="A2022" s="14">
        <v>60943974000130</v>
      </c>
      <c r="B2022" s="15" t="str">
        <f t="shared" si="31"/>
        <v>60.943.974/0001-30</v>
      </c>
      <c r="C2022" s="12"/>
      <c r="D2022" s="3" t="s">
        <v>7571</v>
      </c>
      <c r="E2022" s="3" t="s">
        <v>7571</v>
      </c>
      <c r="F2022" s="3" t="s">
        <v>20</v>
      </c>
      <c r="G2022" s="4">
        <v>24342</v>
      </c>
      <c r="H2022" s="3" t="s">
        <v>21</v>
      </c>
      <c r="I2022" s="3" t="s">
        <v>33</v>
      </c>
      <c r="J2022" s="5">
        <v>25000</v>
      </c>
      <c r="K2022" s="3">
        <v>8541400</v>
      </c>
      <c r="L2022" s="3" t="s">
        <v>2308</v>
      </c>
      <c r="M2022" s="3" t="s">
        <v>4079</v>
      </c>
      <c r="N2022" s="3">
        <v>1105</v>
      </c>
      <c r="O2022" s="3" t="s">
        <v>7572</v>
      </c>
      <c r="P2022" s="3" t="s">
        <v>142</v>
      </c>
      <c r="Q2022" s="3" t="s">
        <v>27</v>
      </c>
      <c r="R2022" s="3" t="s">
        <v>28</v>
      </c>
      <c r="S2022" s="3">
        <v>3001000</v>
      </c>
      <c r="T2022" s="3">
        <v>1123645229</v>
      </c>
      <c r="U2022" s="3" t="s">
        <v>29</v>
      </c>
    </row>
    <row r="2023" spans="1:21" ht="13.2" x14ac:dyDescent="0.25">
      <c r="A2023" s="14">
        <v>11344038000106</v>
      </c>
      <c r="B2023" s="15" t="str">
        <f t="shared" si="31"/>
        <v>11.344.038/0001-06</v>
      </c>
      <c r="C2023" s="12"/>
      <c r="D2023" s="3" t="s">
        <v>7573</v>
      </c>
      <c r="E2023" s="3" t="s">
        <v>7573</v>
      </c>
      <c r="F2023" s="3" t="s">
        <v>20</v>
      </c>
      <c r="G2023" s="4">
        <v>40122</v>
      </c>
      <c r="H2023" s="3" t="s">
        <v>244</v>
      </c>
      <c r="I2023" s="3" t="s">
        <v>33</v>
      </c>
      <c r="J2023" s="5">
        <v>0</v>
      </c>
      <c r="K2023" s="3">
        <v>8660700</v>
      </c>
      <c r="L2023" s="3" t="s">
        <v>5311</v>
      </c>
      <c r="M2023" s="3" t="s">
        <v>7574</v>
      </c>
      <c r="N2023" s="3">
        <v>1856</v>
      </c>
      <c r="O2023" s="3" t="s">
        <v>7575</v>
      </c>
      <c r="P2023" s="3" t="s">
        <v>7576</v>
      </c>
      <c r="Q2023" s="3" t="s">
        <v>280</v>
      </c>
      <c r="R2023" s="3" t="s">
        <v>281</v>
      </c>
      <c r="S2023" s="3">
        <v>41810012</v>
      </c>
      <c r="T2023" s="3">
        <v>7130181212</v>
      </c>
      <c r="U2023" s="3" t="s">
        <v>29</v>
      </c>
    </row>
    <row r="2024" spans="1:21" ht="13.2" x14ac:dyDescent="0.25">
      <c r="A2024" s="14">
        <v>17215491000190</v>
      </c>
      <c r="B2024" s="15" t="str">
        <f t="shared" si="31"/>
        <v>17.215.491/0001-90</v>
      </c>
      <c r="C2024" s="12"/>
      <c r="D2024" s="3" t="s">
        <v>7577</v>
      </c>
      <c r="E2024" s="3" t="s">
        <v>7578</v>
      </c>
      <c r="F2024" s="3" t="s">
        <v>20</v>
      </c>
      <c r="G2024" s="4">
        <v>40770</v>
      </c>
      <c r="H2024" s="3" t="s">
        <v>244</v>
      </c>
      <c r="I2024" s="3" t="s">
        <v>33</v>
      </c>
      <c r="J2024" s="5">
        <v>0</v>
      </c>
      <c r="K2024" s="3">
        <v>9430800</v>
      </c>
      <c r="L2024" s="3" t="s">
        <v>626</v>
      </c>
      <c r="M2024" s="3" t="s">
        <v>7579</v>
      </c>
      <c r="N2024" s="3">
        <v>7</v>
      </c>
      <c r="P2024" s="3" t="s">
        <v>3509</v>
      </c>
      <c r="Q2024" s="3" t="s">
        <v>2063</v>
      </c>
      <c r="R2024" s="3" t="s">
        <v>382</v>
      </c>
      <c r="S2024" s="3">
        <v>65071322</v>
      </c>
      <c r="T2024" s="3">
        <v>9833062526</v>
      </c>
      <c r="U2024" s="3" t="s">
        <v>29</v>
      </c>
    </row>
    <row r="2025" spans="1:21" ht="13.2" x14ac:dyDescent="0.25">
      <c r="A2025" s="14">
        <v>90909631000110</v>
      </c>
      <c r="B2025" s="15" t="str">
        <f t="shared" si="31"/>
        <v>90.909.631/0001-10</v>
      </c>
      <c r="C2025" s="12" t="str">
        <f>VLOOKUP(B2025,[1]Planilha1!$A:$B,2,0)</f>
        <v>Malu Montesino</v>
      </c>
      <c r="D2025" s="3" t="s">
        <v>7580</v>
      </c>
      <c r="E2025" s="3" t="s">
        <v>7580</v>
      </c>
      <c r="F2025" s="3" t="s">
        <v>20</v>
      </c>
      <c r="G2025" s="4">
        <v>29291</v>
      </c>
      <c r="H2025" s="3" t="s">
        <v>21</v>
      </c>
      <c r="I2025" s="3" t="s">
        <v>33</v>
      </c>
      <c r="J2025" s="5">
        <v>1410000</v>
      </c>
      <c r="K2025" s="3">
        <v>2660400</v>
      </c>
      <c r="L2025" s="3" t="s">
        <v>953</v>
      </c>
      <c r="M2025" s="3" t="s">
        <v>7581</v>
      </c>
      <c r="N2025" s="3">
        <v>1395</v>
      </c>
      <c r="O2025" s="3" t="s">
        <v>7582</v>
      </c>
      <c r="P2025" s="3" t="s">
        <v>7583</v>
      </c>
      <c r="Q2025" s="3" t="s">
        <v>437</v>
      </c>
      <c r="R2025" s="3" t="s">
        <v>53</v>
      </c>
      <c r="S2025" s="3">
        <v>90200310</v>
      </c>
      <c r="T2025" s="3">
        <v>5130738235</v>
      </c>
      <c r="U2025" s="3" t="s">
        <v>29</v>
      </c>
    </row>
    <row r="2026" spans="1:21" ht="13.2" x14ac:dyDescent="0.25">
      <c r="A2026" s="14">
        <v>23171902000196</v>
      </c>
      <c r="B2026" s="15" t="str">
        <f t="shared" si="31"/>
        <v>23.171.902/0001-96</v>
      </c>
      <c r="C2026" s="12"/>
      <c r="D2026" s="3" t="s">
        <v>7584</v>
      </c>
      <c r="E2026" s="3" t="s">
        <v>7585</v>
      </c>
      <c r="F2026" s="3" t="s">
        <v>20</v>
      </c>
      <c r="G2026" s="4">
        <v>42244</v>
      </c>
      <c r="H2026" s="3" t="s">
        <v>21</v>
      </c>
      <c r="I2026" s="3" t="s">
        <v>33</v>
      </c>
      <c r="J2026" s="5">
        <v>21267450</v>
      </c>
      <c r="K2026" s="3">
        <v>6202300</v>
      </c>
      <c r="L2026" s="3" t="s">
        <v>103</v>
      </c>
      <c r="M2026" s="3" t="s">
        <v>1047</v>
      </c>
      <c r="N2026" s="3">
        <v>1455</v>
      </c>
      <c r="O2026" s="3" t="s">
        <v>7586</v>
      </c>
      <c r="P2026" s="3" t="s">
        <v>1049</v>
      </c>
      <c r="Q2026" s="3" t="s">
        <v>27</v>
      </c>
      <c r="R2026" s="3" t="s">
        <v>28</v>
      </c>
      <c r="S2026" s="3">
        <v>4543011</v>
      </c>
      <c r="T2026" s="3">
        <v>1135682775</v>
      </c>
      <c r="U2026" s="3" t="s">
        <v>29</v>
      </c>
    </row>
    <row r="2027" spans="1:21" ht="13.2" x14ac:dyDescent="0.25">
      <c r="A2027" s="14">
        <v>5218394000172</v>
      </c>
      <c r="B2027" s="15" t="str">
        <f t="shared" si="31"/>
        <v>05.218.394/0001-72</v>
      </c>
      <c r="C2027" s="12"/>
      <c r="D2027" s="3" t="s">
        <v>7587</v>
      </c>
      <c r="E2027" s="3" t="s">
        <v>7588</v>
      </c>
      <c r="F2027" s="3" t="s">
        <v>20</v>
      </c>
      <c r="G2027" s="4">
        <v>37469</v>
      </c>
      <c r="H2027" s="3" t="s">
        <v>21</v>
      </c>
      <c r="I2027" s="3" t="s">
        <v>33</v>
      </c>
      <c r="J2027" s="5">
        <v>320000</v>
      </c>
      <c r="K2027" s="3">
        <v>5620101</v>
      </c>
      <c r="L2027" s="3" t="s">
        <v>1369</v>
      </c>
      <c r="M2027" s="3" t="s">
        <v>7589</v>
      </c>
      <c r="N2027" s="3">
        <v>1651</v>
      </c>
      <c r="P2027" s="3" t="s">
        <v>753</v>
      </c>
      <c r="Q2027" s="3" t="s">
        <v>27</v>
      </c>
      <c r="R2027" s="3" t="s">
        <v>28</v>
      </c>
      <c r="S2027" s="3">
        <v>5085000</v>
      </c>
      <c r="T2027" s="3">
        <v>1136601660</v>
      </c>
      <c r="U2027" s="3" t="s">
        <v>29</v>
      </c>
    </row>
    <row r="2028" spans="1:21" ht="13.2" x14ac:dyDescent="0.25">
      <c r="A2028" s="14">
        <v>4986708000114</v>
      </c>
      <c r="B2028" s="15" t="str">
        <f t="shared" si="31"/>
        <v>04.986.708/0001-14</v>
      </c>
      <c r="C2028" s="12"/>
      <c r="D2028" s="3" t="s">
        <v>7590</v>
      </c>
      <c r="E2028" s="3" t="s">
        <v>7590</v>
      </c>
      <c r="F2028" s="3" t="s">
        <v>20</v>
      </c>
      <c r="G2028" s="4">
        <v>37350</v>
      </c>
      <c r="H2028" s="3" t="s">
        <v>21</v>
      </c>
      <c r="I2028" s="3" t="s">
        <v>47</v>
      </c>
      <c r="J2028" s="5">
        <v>260000</v>
      </c>
      <c r="K2028" s="3">
        <v>4753900</v>
      </c>
      <c r="L2028" s="3" t="s">
        <v>214</v>
      </c>
      <c r="M2028" s="3" t="s">
        <v>3744</v>
      </c>
      <c r="N2028" s="3" t="s">
        <v>7591</v>
      </c>
      <c r="P2028" s="3" t="s">
        <v>7592</v>
      </c>
      <c r="Q2028" s="3" t="s">
        <v>224</v>
      </c>
      <c r="R2028" s="3" t="s">
        <v>225</v>
      </c>
      <c r="S2028" s="3">
        <v>78008100</v>
      </c>
      <c r="T2028" s="3">
        <v>1191413796</v>
      </c>
      <c r="U2028" s="3" t="s">
        <v>29</v>
      </c>
    </row>
    <row r="2029" spans="1:21" ht="13.2" x14ac:dyDescent="0.25">
      <c r="A2029" s="14">
        <v>82901000000127</v>
      </c>
      <c r="B2029" s="15" t="str">
        <f t="shared" si="31"/>
        <v>82.901.000/0001-27</v>
      </c>
      <c r="C2029" s="12" t="str">
        <f>VLOOKUP(B2029,[1]Planilha1!$A:$B,2,0)</f>
        <v>Malu Montesino</v>
      </c>
      <c r="D2029" s="3" t="s">
        <v>7593</v>
      </c>
      <c r="E2029" s="3" t="s">
        <v>7594</v>
      </c>
      <c r="F2029" s="3" t="s">
        <v>20</v>
      </c>
      <c r="G2029" s="4">
        <v>27047</v>
      </c>
      <c r="H2029" s="3" t="s">
        <v>377</v>
      </c>
      <c r="I2029" s="3" t="s">
        <v>33</v>
      </c>
      <c r="J2029" s="5">
        <v>2000000000</v>
      </c>
      <c r="K2029" s="3">
        <v>2632900</v>
      </c>
      <c r="L2029" s="3" t="s">
        <v>7595</v>
      </c>
      <c r="M2029" s="3" t="s">
        <v>7596</v>
      </c>
      <c r="N2029" s="3" t="s">
        <v>111</v>
      </c>
      <c r="P2029" s="3" t="s">
        <v>7597</v>
      </c>
      <c r="Q2029" s="3" t="s">
        <v>536</v>
      </c>
      <c r="R2029" s="3" t="s">
        <v>91</v>
      </c>
      <c r="S2029" s="3">
        <v>88104800</v>
      </c>
      <c r="T2029" s="3">
        <v>4832819523</v>
      </c>
      <c r="U2029" s="3" t="s">
        <v>29</v>
      </c>
    </row>
    <row r="2030" spans="1:21" ht="13.2" x14ac:dyDescent="0.25">
      <c r="A2030" s="14">
        <v>22828287000185</v>
      </c>
      <c r="B2030" s="15" t="str">
        <f t="shared" si="31"/>
        <v>22.828.287/0001-85</v>
      </c>
      <c r="C2030" s="12"/>
      <c r="D2030" s="3" t="s">
        <v>7598</v>
      </c>
      <c r="E2030" s="3" t="s">
        <v>7599</v>
      </c>
      <c r="F2030" s="3" t="s">
        <v>20</v>
      </c>
      <c r="G2030" s="4">
        <v>42198</v>
      </c>
      <c r="H2030" s="3" t="s">
        <v>21</v>
      </c>
      <c r="I2030" s="3" t="s">
        <v>33</v>
      </c>
      <c r="J2030" s="5">
        <v>100000</v>
      </c>
      <c r="K2030" s="3">
        <v>6311900</v>
      </c>
      <c r="L2030" s="3" t="s">
        <v>3132</v>
      </c>
      <c r="M2030" s="3" t="s">
        <v>7600</v>
      </c>
      <c r="N2030" s="3">
        <v>846</v>
      </c>
      <c r="O2030" s="3" t="s">
        <v>7601</v>
      </c>
      <c r="P2030" s="3" t="s">
        <v>7602</v>
      </c>
      <c r="Q2030" s="3" t="s">
        <v>1339</v>
      </c>
      <c r="R2030" s="3" t="s">
        <v>456</v>
      </c>
      <c r="S2030" s="3">
        <v>52070015</v>
      </c>
      <c r="T2030" s="3">
        <v>8130973038</v>
      </c>
      <c r="U2030" s="3" t="s">
        <v>29</v>
      </c>
    </row>
    <row r="2031" spans="1:21" ht="13.2" x14ac:dyDescent="0.25">
      <c r="A2031" s="14">
        <v>46754545000194</v>
      </c>
      <c r="B2031" s="15" t="str">
        <f t="shared" si="31"/>
        <v>46.754.545/0001-94</v>
      </c>
      <c r="C2031" s="12" t="str">
        <f>VLOOKUP(B2031,[1]Planilha1!$A:$B,2,0)</f>
        <v>Malu Montesino</v>
      </c>
      <c r="D2031" s="3" t="s">
        <v>7603</v>
      </c>
      <c r="E2031" s="3" t="s">
        <v>7604</v>
      </c>
      <c r="F2031" s="3" t="s">
        <v>20</v>
      </c>
      <c r="G2031" s="4">
        <v>27113</v>
      </c>
      <c r="H2031" s="3" t="s">
        <v>21</v>
      </c>
      <c r="I2031" s="3" t="s">
        <v>33</v>
      </c>
      <c r="J2031" s="5">
        <v>4453000</v>
      </c>
      <c r="K2031" s="3">
        <v>2790299</v>
      </c>
      <c r="L2031" s="3" t="s">
        <v>2875</v>
      </c>
      <c r="M2031" s="3" t="s">
        <v>7605</v>
      </c>
      <c r="N2031" s="3">
        <v>680</v>
      </c>
      <c r="P2031" s="3" t="s">
        <v>70</v>
      </c>
      <c r="Q2031" s="3" t="s">
        <v>7606</v>
      </c>
      <c r="R2031" s="3" t="s">
        <v>28</v>
      </c>
      <c r="S2031" s="3">
        <v>14620000</v>
      </c>
      <c r="T2031" s="3">
        <v>1638201500</v>
      </c>
      <c r="U2031" s="3" t="s">
        <v>29</v>
      </c>
    </row>
    <row r="2032" spans="1:21" ht="13.2" x14ac:dyDescent="0.25">
      <c r="A2032" s="14">
        <v>40064393000111</v>
      </c>
      <c r="B2032" s="15" t="str">
        <f t="shared" si="31"/>
        <v>40.064.393/0001-11</v>
      </c>
      <c r="C2032" s="12"/>
      <c r="D2032" s="3" t="s">
        <v>7607</v>
      </c>
      <c r="E2032" s="3" t="s">
        <v>7608</v>
      </c>
      <c r="F2032" s="3" t="s">
        <v>20</v>
      </c>
      <c r="G2032" s="4">
        <v>44174</v>
      </c>
      <c r="H2032" s="3" t="s">
        <v>21</v>
      </c>
      <c r="I2032" s="3" t="s">
        <v>47</v>
      </c>
      <c r="J2032" s="5">
        <v>25000</v>
      </c>
      <c r="K2032" s="3">
        <v>8020001</v>
      </c>
      <c r="L2032" s="3" t="s">
        <v>196</v>
      </c>
      <c r="M2032" s="3" t="s">
        <v>7609</v>
      </c>
      <c r="N2032" s="3">
        <v>92</v>
      </c>
      <c r="P2032" s="3" t="s">
        <v>7610</v>
      </c>
      <c r="Q2032" s="3" t="s">
        <v>667</v>
      </c>
      <c r="R2032" s="3" t="s">
        <v>301</v>
      </c>
      <c r="S2032" s="3">
        <v>60743220</v>
      </c>
      <c r="T2032" s="3">
        <v>8599777769</v>
      </c>
      <c r="U2032" s="3" t="s">
        <v>29</v>
      </c>
    </row>
    <row r="2033" spans="1:21" ht="13.2" x14ac:dyDescent="0.25">
      <c r="A2033" s="14">
        <v>65472714000148</v>
      </c>
      <c r="B2033" s="15" t="str">
        <f t="shared" si="31"/>
        <v>65.472.714/0001-48</v>
      </c>
      <c r="C2033" s="12"/>
      <c r="D2033" s="3" t="s">
        <v>7611</v>
      </c>
      <c r="E2033" s="3" t="s">
        <v>7611</v>
      </c>
      <c r="F2033" s="3" t="s">
        <v>20</v>
      </c>
      <c r="G2033" s="4">
        <v>33247</v>
      </c>
      <c r="H2033" s="3" t="s">
        <v>21</v>
      </c>
      <c r="I2033" s="3" t="s">
        <v>33</v>
      </c>
      <c r="J2033" s="5">
        <v>115474190</v>
      </c>
      <c r="K2033" s="3">
        <v>4663000</v>
      </c>
      <c r="L2033" s="3" t="s">
        <v>128</v>
      </c>
      <c r="M2033" s="3" t="s">
        <v>7612</v>
      </c>
      <c r="N2033" s="3">
        <v>108</v>
      </c>
      <c r="P2033" s="3" t="s">
        <v>70</v>
      </c>
      <c r="Q2033" s="3" t="s">
        <v>1873</v>
      </c>
      <c r="R2033" s="3" t="s">
        <v>28</v>
      </c>
      <c r="S2033" s="3">
        <v>14870010</v>
      </c>
      <c r="U2033" s="3" t="s">
        <v>29</v>
      </c>
    </row>
    <row r="2034" spans="1:21" ht="13.2" x14ac:dyDescent="0.25">
      <c r="A2034" s="14">
        <v>4008185000131</v>
      </c>
      <c r="B2034" s="15" t="str">
        <f t="shared" si="31"/>
        <v>04.008.185/0001-31</v>
      </c>
      <c r="C2034" s="12"/>
      <c r="D2034" s="3" t="s">
        <v>7613</v>
      </c>
      <c r="E2034" s="3" t="s">
        <v>7614</v>
      </c>
      <c r="F2034" s="3" t="s">
        <v>20</v>
      </c>
      <c r="G2034" s="4">
        <v>36748</v>
      </c>
      <c r="H2034" s="3" t="s">
        <v>21</v>
      </c>
      <c r="I2034" s="3" t="s">
        <v>33</v>
      </c>
      <c r="J2034" s="5">
        <v>9280808</v>
      </c>
      <c r="K2034" s="3">
        <v>8011101</v>
      </c>
      <c r="L2034" s="3" t="s">
        <v>943</v>
      </c>
      <c r="M2034" s="3" t="s">
        <v>7615</v>
      </c>
      <c r="N2034" s="3">
        <v>1712</v>
      </c>
      <c r="P2034" s="3" t="s">
        <v>7616</v>
      </c>
      <c r="Q2034" s="3" t="s">
        <v>2477</v>
      </c>
      <c r="R2034" s="3" t="s">
        <v>1725</v>
      </c>
      <c r="S2034" s="3">
        <v>59075340</v>
      </c>
      <c r="T2034" s="3">
        <v>8440069300</v>
      </c>
      <c r="U2034" s="3" t="s">
        <v>29</v>
      </c>
    </row>
    <row r="2035" spans="1:21" ht="13.2" x14ac:dyDescent="0.25">
      <c r="A2035" s="14">
        <v>3558055000100</v>
      </c>
      <c r="B2035" s="15" t="str">
        <f t="shared" si="31"/>
        <v>03.558.055/0001-00</v>
      </c>
      <c r="C2035" s="12" t="str">
        <f>VLOOKUP(B2035,[1]Planilha1!$A:$B,2,0)</f>
        <v>Malu Montesino</v>
      </c>
      <c r="D2035" s="3" t="s">
        <v>7617</v>
      </c>
      <c r="E2035" s="3" t="s">
        <v>7617</v>
      </c>
      <c r="F2035" s="3" t="s">
        <v>20</v>
      </c>
      <c r="G2035" s="4">
        <v>36503</v>
      </c>
      <c r="H2035" s="3" t="s">
        <v>94</v>
      </c>
      <c r="I2035" s="3" t="s">
        <v>33</v>
      </c>
      <c r="J2035" s="5">
        <v>33672484</v>
      </c>
      <c r="K2035" s="3">
        <v>4930202</v>
      </c>
      <c r="L2035" s="3" t="s">
        <v>2603</v>
      </c>
      <c r="M2035" s="3" t="s">
        <v>7618</v>
      </c>
      <c r="N2035" s="3">
        <v>100</v>
      </c>
      <c r="O2035" s="3" t="s">
        <v>7619</v>
      </c>
      <c r="P2035" s="3" t="s">
        <v>7620</v>
      </c>
      <c r="Q2035" s="3" t="s">
        <v>357</v>
      </c>
      <c r="R2035" s="3" t="s">
        <v>28</v>
      </c>
      <c r="S2035" s="3">
        <v>7044220</v>
      </c>
      <c r="T2035" s="3">
        <v>1126962230</v>
      </c>
      <c r="U2035" s="3" t="s">
        <v>29</v>
      </c>
    </row>
    <row r="2036" spans="1:21" ht="13.2" x14ac:dyDescent="0.25">
      <c r="A2036" s="14">
        <v>17314329000120</v>
      </c>
      <c r="B2036" s="15" t="str">
        <f t="shared" si="31"/>
        <v>17.314.329/0001-20</v>
      </c>
      <c r="C2036" s="12"/>
      <c r="D2036" s="3" t="s">
        <v>7621</v>
      </c>
      <c r="E2036" s="3" t="s">
        <v>7621</v>
      </c>
      <c r="F2036" s="3" t="s">
        <v>20</v>
      </c>
      <c r="G2036" s="4">
        <v>24863</v>
      </c>
      <c r="H2036" s="3" t="s">
        <v>377</v>
      </c>
      <c r="I2036" s="3" t="s">
        <v>33</v>
      </c>
      <c r="J2036" s="5">
        <v>1170868900</v>
      </c>
      <c r="K2036" s="3">
        <v>5611201</v>
      </c>
      <c r="L2036" s="3" t="s">
        <v>3834</v>
      </c>
      <c r="M2036" s="3" t="s">
        <v>7622</v>
      </c>
      <c r="N2036" s="3">
        <v>4777</v>
      </c>
      <c r="O2036" s="3" t="s">
        <v>7623</v>
      </c>
      <c r="P2036" s="3" t="s">
        <v>7624</v>
      </c>
      <c r="Q2036" s="3" t="s">
        <v>27</v>
      </c>
      <c r="R2036" s="3" t="s">
        <v>28</v>
      </c>
      <c r="S2036" s="3">
        <v>5477902</v>
      </c>
      <c r="T2036" s="3">
        <v>1130419500</v>
      </c>
      <c r="U2036" s="3" t="s">
        <v>29</v>
      </c>
    </row>
    <row r="2037" spans="1:21" ht="13.2" x14ac:dyDescent="0.25">
      <c r="A2037" s="14">
        <v>72949449000101</v>
      </c>
      <c r="B2037" s="15" t="str">
        <f t="shared" si="31"/>
        <v>72.949.449/0001-01</v>
      </c>
      <c r="C2037" s="12"/>
      <c r="D2037" s="3" t="s">
        <v>7625</v>
      </c>
      <c r="E2037" s="3" t="s">
        <v>7626</v>
      </c>
      <c r="F2037" s="3" t="s">
        <v>20</v>
      </c>
      <c r="G2037" s="4">
        <v>34262</v>
      </c>
      <c r="H2037" s="3" t="s">
        <v>21</v>
      </c>
      <c r="I2037" s="3" t="s">
        <v>33</v>
      </c>
      <c r="J2037" s="5">
        <v>5000000</v>
      </c>
      <c r="K2037" s="3">
        <v>3250705</v>
      </c>
      <c r="L2037" s="3" t="s">
        <v>2420</v>
      </c>
      <c r="M2037" s="3" t="s">
        <v>7627</v>
      </c>
      <c r="N2037" s="3">
        <v>20</v>
      </c>
      <c r="P2037" s="3" t="s">
        <v>874</v>
      </c>
      <c r="Q2037" s="3" t="s">
        <v>2128</v>
      </c>
      <c r="R2037" s="3" t="s">
        <v>28</v>
      </c>
      <c r="S2037" s="3">
        <v>13140677</v>
      </c>
      <c r="T2037" s="3">
        <v>1938336816</v>
      </c>
      <c r="U2037" s="3" t="s">
        <v>29</v>
      </c>
    </row>
    <row r="2038" spans="1:21" ht="13.2" x14ac:dyDescent="0.25">
      <c r="A2038" s="14">
        <v>42565697000198</v>
      </c>
      <c r="B2038" s="15" t="str">
        <f t="shared" si="31"/>
        <v>42.565.697/0001-98</v>
      </c>
      <c r="C2038" s="12"/>
      <c r="D2038" s="3" t="s">
        <v>7628</v>
      </c>
      <c r="E2038" s="3" t="s">
        <v>7628</v>
      </c>
      <c r="F2038" s="3" t="s">
        <v>20</v>
      </c>
      <c r="G2038" s="4">
        <v>27922</v>
      </c>
      <c r="H2038" s="3" t="s">
        <v>21</v>
      </c>
      <c r="I2038" s="3" t="s">
        <v>33</v>
      </c>
      <c r="J2038" s="5">
        <v>389474080</v>
      </c>
      <c r="K2038" s="3">
        <v>7120100</v>
      </c>
      <c r="L2038" s="3" t="s">
        <v>2807</v>
      </c>
      <c r="M2038" s="3" t="s">
        <v>7629</v>
      </c>
      <c r="N2038" s="3">
        <v>7</v>
      </c>
      <c r="O2038" s="3" t="s">
        <v>7630</v>
      </c>
      <c r="P2038" s="3" t="s">
        <v>7631</v>
      </c>
      <c r="Q2038" s="3" t="s">
        <v>294</v>
      </c>
      <c r="R2038" s="3" t="s">
        <v>28</v>
      </c>
      <c r="S2038" s="3">
        <v>11013100</v>
      </c>
      <c r="T2038" s="3">
        <v>1128420444</v>
      </c>
      <c r="U2038" s="3" t="s">
        <v>29</v>
      </c>
    </row>
    <row r="2039" spans="1:21" ht="13.2" x14ac:dyDescent="0.25">
      <c r="A2039" s="14">
        <v>12506008000103</v>
      </c>
      <c r="B2039" s="15" t="str">
        <f t="shared" si="31"/>
        <v>12.506.008/0001-03</v>
      </c>
      <c r="C2039" s="12"/>
      <c r="D2039" s="3" t="s">
        <v>7632</v>
      </c>
      <c r="E2039" s="3" t="s">
        <v>7632</v>
      </c>
      <c r="F2039" s="3" t="s">
        <v>20</v>
      </c>
      <c r="G2039" s="4">
        <v>40407</v>
      </c>
      <c r="H2039" s="3" t="s">
        <v>21</v>
      </c>
      <c r="I2039" s="3" t="s">
        <v>33</v>
      </c>
      <c r="J2039" s="5">
        <v>10000</v>
      </c>
      <c r="K2039" s="3">
        <v>4645101</v>
      </c>
      <c r="L2039" s="3" t="s">
        <v>135</v>
      </c>
      <c r="M2039" s="3" t="s">
        <v>7633</v>
      </c>
      <c r="N2039" s="3">
        <v>222</v>
      </c>
      <c r="O2039" s="3" t="s">
        <v>7634</v>
      </c>
      <c r="P2039" s="3" t="s">
        <v>7635</v>
      </c>
      <c r="Q2039" s="3" t="s">
        <v>617</v>
      </c>
      <c r="R2039" s="3" t="s">
        <v>28</v>
      </c>
      <c r="S2039" s="3">
        <v>6454010</v>
      </c>
      <c r="T2039" s="3">
        <v>1132182622</v>
      </c>
      <c r="U2039" s="3" t="s">
        <v>29</v>
      </c>
    </row>
    <row r="2040" spans="1:21" ht="13.2" x14ac:dyDescent="0.25">
      <c r="A2040" s="14">
        <v>35646099000188</v>
      </c>
      <c r="B2040" s="15" t="str">
        <f t="shared" si="31"/>
        <v>35.646.099/0001-88</v>
      </c>
      <c r="C2040" s="12"/>
      <c r="D2040" s="3" t="s">
        <v>7636</v>
      </c>
      <c r="E2040" s="3" t="s">
        <v>7637</v>
      </c>
      <c r="F2040" s="3" t="s">
        <v>20</v>
      </c>
      <c r="G2040" s="4">
        <v>43797</v>
      </c>
      <c r="H2040" s="3" t="s">
        <v>21</v>
      </c>
      <c r="I2040" s="3" t="s">
        <v>22</v>
      </c>
      <c r="J2040" s="5">
        <v>500000</v>
      </c>
      <c r="K2040" s="3">
        <v>6110803</v>
      </c>
      <c r="L2040" s="3" t="s">
        <v>339</v>
      </c>
      <c r="M2040" s="3" t="s">
        <v>7638</v>
      </c>
      <c r="N2040" s="3">
        <v>2005</v>
      </c>
      <c r="P2040" s="3" t="s">
        <v>7639</v>
      </c>
      <c r="Q2040" s="3" t="s">
        <v>211</v>
      </c>
      <c r="R2040" s="3" t="s">
        <v>187</v>
      </c>
      <c r="S2040" s="3">
        <v>85812499</v>
      </c>
      <c r="T2040" s="3">
        <v>4533069196</v>
      </c>
      <c r="U2040" s="3" t="s">
        <v>29</v>
      </c>
    </row>
    <row r="2041" spans="1:21" ht="13.2" x14ac:dyDescent="0.25">
      <c r="A2041" s="14">
        <v>61156113000175</v>
      </c>
      <c r="B2041" s="15" t="str">
        <f t="shared" si="31"/>
        <v>61.156.113/0001-75</v>
      </c>
      <c r="C2041" s="12"/>
      <c r="D2041" s="3" t="s">
        <v>7640</v>
      </c>
      <c r="E2041" s="3" t="s">
        <v>7640</v>
      </c>
      <c r="F2041" s="3" t="s">
        <v>20</v>
      </c>
      <c r="G2041" s="4">
        <v>25482</v>
      </c>
      <c r="H2041" s="3" t="s">
        <v>377</v>
      </c>
      <c r="I2041" s="3" t="s">
        <v>33</v>
      </c>
      <c r="J2041" s="5">
        <v>1576954200</v>
      </c>
      <c r="K2041" s="3">
        <v>2949299</v>
      </c>
      <c r="L2041" s="3" t="s">
        <v>1083</v>
      </c>
      <c r="M2041" s="3" t="s">
        <v>7641</v>
      </c>
      <c r="N2041" s="3">
        <v>83</v>
      </c>
      <c r="P2041" s="3" t="s">
        <v>7642</v>
      </c>
      <c r="Q2041" s="3" t="s">
        <v>2507</v>
      </c>
      <c r="R2041" s="3" t="s">
        <v>28</v>
      </c>
      <c r="S2041" s="3">
        <v>12730900</v>
      </c>
      <c r="T2041" s="3">
        <v>1121221014</v>
      </c>
      <c r="U2041" s="3" t="s">
        <v>29</v>
      </c>
    </row>
    <row r="2042" spans="1:21" ht="13.2" x14ac:dyDescent="0.25">
      <c r="A2042" s="14">
        <v>5825524000135</v>
      </c>
      <c r="B2042" s="15" t="str">
        <f t="shared" si="31"/>
        <v>05.825.524/0001-35</v>
      </c>
      <c r="C2042" s="12"/>
      <c r="D2042" s="3" t="s">
        <v>7643</v>
      </c>
      <c r="E2042" s="3" t="s">
        <v>7643</v>
      </c>
      <c r="F2042" s="3" t="s">
        <v>20</v>
      </c>
      <c r="G2042" s="4">
        <v>37834</v>
      </c>
      <c r="H2042" s="3" t="s">
        <v>21</v>
      </c>
      <c r="I2042" s="3" t="s">
        <v>33</v>
      </c>
      <c r="J2042" s="5">
        <v>0</v>
      </c>
      <c r="K2042" s="3">
        <v>2822402</v>
      </c>
      <c r="L2042" s="3" t="s">
        <v>4317</v>
      </c>
      <c r="M2042" s="3" t="s">
        <v>7644</v>
      </c>
      <c r="N2042" s="3">
        <v>257</v>
      </c>
      <c r="P2042" s="3" t="s">
        <v>7645</v>
      </c>
      <c r="Q2042" s="3" t="s">
        <v>7646</v>
      </c>
      <c r="R2042" s="3" t="s">
        <v>53</v>
      </c>
      <c r="S2042" s="3">
        <v>95330000</v>
      </c>
      <c r="T2042" s="3">
        <v>5434419550</v>
      </c>
      <c r="U2042" s="3" t="s">
        <v>29</v>
      </c>
    </row>
    <row r="2043" spans="1:21" ht="13.2" x14ac:dyDescent="0.25">
      <c r="A2043" s="14">
        <v>23716548000138</v>
      </c>
      <c r="B2043" s="15" t="str">
        <f t="shared" si="31"/>
        <v>23.716.548/0001-38</v>
      </c>
      <c r="C2043" s="12" t="str">
        <f>VLOOKUP(B2043,[1]Planilha1!$A:$B,2,0)</f>
        <v>Malu Montesino</v>
      </c>
      <c r="D2043" s="3" t="s">
        <v>7647</v>
      </c>
      <c r="E2043" s="3" t="s">
        <v>7648</v>
      </c>
      <c r="F2043" s="3" t="s">
        <v>31</v>
      </c>
      <c r="G2043" s="4">
        <v>42331</v>
      </c>
      <c r="H2043" s="3" t="s">
        <v>21</v>
      </c>
      <c r="I2043" s="3" t="s">
        <v>33</v>
      </c>
      <c r="J2043" s="5">
        <v>400000</v>
      </c>
      <c r="K2043" s="3">
        <v>5240199</v>
      </c>
      <c r="L2043" s="3" t="s">
        <v>7649</v>
      </c>
      <c r="M2043" s="3" t="s">
        <v>1583</v>
      </c>
      <c r="N2043" s="3">
        <v>5966</v>
      </c>
      <c r="O2043" s="3" t="s">
        <v>198</v>
      </c>
      <c r="P2043" s="3" t="s">
        <v>1585</v>
      </c>
      <c r="Q2043" s="3" t="s">
        <v>27</v>
      </c>
      <c r="R2043" s="3" t="s">
        <v>28</v>
      </c>
      <c r="S2043" s="3">
        <v>1406200</v>
      </c>
      <c r="T2043" s="3">
        <v>1130426555</v>
      </c>
      <c r="U2043" s="3" t="s">
        <v>29</v>
      </c>
    </row>
    <row r="2044" spans="1:21" ht="13.2" x14ac:dyDescent="0.25">
      <c r="A2044" s="14">
        <v>26221498000106</v>
      </c>
      <c r="B2044" s="15" t="str">
        <f t="shared" si="31"/>
        <v>26.221.498/0001-06</v>
      </c>
      <c r="C2044" s="12"/>
      <c r="D2044" s="3" t="s">
        <v>7650</v>
      </c>
      <c r="E2044" s="3" t="s">
        <v>7651</v>
      </c>
      <c r="F2044" s="3" t="s">
        <v>20</v>
      </c>
      <c r="G2044" s="4">
        <v>42635</v>
      </c>
      <c r="H2044" s="3" t="s">
        <v>21</v>
      </c>
      <c r="I2044" s="3" t="s">
        <v>22</v>
      </c>
      <c r="J2044" s="5">
        <v>88000</v>
      </c>
      <c r="K2044" s="3">
        <v>4686901</v>
      </c>
      <c r="L2044" s="3" t="s">
        <v>4868</v>
      </c>
      <c r="M2044" s="3" t="s">
        <v>7652</v>
      </c>
      <c r="N2044" s="3">
        <v>155</v>
      </c>
      <c r="O2044" s="3" t="s">
        <v>6177</v>
      </c>
      <c r="P2044" s="3" t="s">
        <v>7653</v>
      </c>
      <c r="Q2044" s="3" t="s">
        <v>631</v>
      </c>
      <c r="R2044" s="3" t="s">
        <v>632</v>
      </c>
      <c r="S2044" s="3">
        <v>70670501</v>
      </c>
      <c r="T2044" s="3">
        <v>6199374752</v>
      </c>
      <c r="U2044" s="3" t="s">
        <v>29</v>
      </c>
    </row>
    <row r="2045" spans="1:21" ht="13.2" x14ac:dyDescent="0.25">
      <c r="A2045" s="14">
        <v>7280328000158</v>
      </c>
      <c r="B2045" s="15" t="str">
        <f t="shared" si="31"/>
        <v>07.280.328/0001-58</v>
      </c>
      <c r="C2045" s="12"/>
      <c r="D2045" s="3" t="s">
        <v>7654</v>
      </c>
      <c r="E2045" s="3" t="s">
        <v>7654</v>
      </c>
      <c r="F2045" s="3" t="s">
        <v>20</v>
      </c>
      <c r="G2045" s="4">
        <v>38422</v>
      </c>
      <c r="H2045" s="3" t="s">
        <v>94</v>
      </c>
      <c r="I2045" s="3" t="s">
        <v>33</v>
      </c>
      <c r="J2045" s="5">
        <v>1141002100</v>
      </c>
      <c r="K2045" s="3">
        <v>1931400</v>
      </c>
      <c r="L2045" s="3" t="s">
        <v>7655</v>
      </c>
      <c r="M2045" s="3" t="s">
        <v>7656</v>
      </c>
      <c r="N2045" s="3" t="s">
        <v>82</v>
      </c>
      <c r="O2045" s="3" t="s">
        <v>7657</v>
      </c>
      <c r="P2045" s="3" t="s">
        <v>911</v>
      </c>
      <c r="Q2045" s="3" t="s">
        <v>7658</v>
      </c>
      <c r="R2045" s="3" t="s">
        <v>28</v>
      </c>
      <c r="S2045" s="3">
        <v>17180000</v>
      </c>
      <c r="T2045" s="3">
        <v>1936667000</v>
      </c>
      <c r="U2045" s="3" t="s">
        <v>29</v>
      </c>
    </row>
    <row r="2046" spans="1:21" ht="13.2" x14ac:dyDescent="0.25">
      <c r="A2046" s="14">
        <v>33337122000127</v>
      </c>
      <c r="B2046" s="15" t="str">
        <f t="shared" si="31"/>
        <v>33.337.122/0001-27</v>
      </c>
      <c r="C2046" s="12"/>
      <c r="D2046" s="3" t="s">
        <v>7659</v>
      </c>
      <c r="E2046" s="3" t="s">
        <v>7659</v>
      </c>
      <c r="F2046" s="3" t="s">
        <v>20</v>
      </c>
      <c r="G2046" s="4">
        <v>25913</v>
      </c>
      <c r="H2046" s="3" t="s">
        <v>94</v>
      </c>
      <c r="I2046" s="3" t="s">
        <v>33</v>
      </c>
      <c r="J2046" s="5">
        <v>4668601300</v>
      </c>
      <c r="K2046" s="3">
        <v>4681801</v>
      </c>
      <c r="L2046" s="3" t="s">
        <v>7660</v>
      </c>
      <c r="M2046" s="3" t="s">
        <v>7242</v>
      </c>
      <c r="N2046" s="3">
        <v>330</v>
      </c>
      <c r="O2046" s="3" t="s">
        <v>7661</v>
      </c>
      <c r="P2046" s="3" t="s">
        <v>70</v>
      </c>
      <c r="Q2046" s="3" t="s">
        <v>253</v>
      </c>
      <c r="R2046" s="3" t="s">
        <v>78</v>
      </c>
      <c r="S2046" s="3">
        <v>20031170</v>
      </c>
      <c r="T2046" s="3">
        <v>2125745858</v>
      </c>
      <c r="U2046" s="3" t="s">
        <v>29</v>
      </c>
    </row>
    <row r="2047" spans="1:21" ht="13.2" x14ac:dyDescent="0.25">
      <c r="A2047" s="14">
        <v>39695610000192</v>
      </c>
      <c r="B2047" s="15" t="str">
        <f t="shared" si="31"/>
        <v>39.695.610/0001-92</v>
      </c>
      <c r="C2047" s="12" t="str">
        <f>VLOOKUP(B2047,[1]Planilha1!$A:$B,2,0)</f>
        <v>Malu Montesino</v>
      </c>
      <c r="D2047" s="3" t="s">
        <v>7662</v>
      </c>
      <c r="E2047" s="3" t="s">
        <v>7663</v>
      </c>
      <c r="F2047" s="3" t="s">
        <v>20</v>
      </c>
      <c r="G2047" s="4">
        <v>44141</v>
      </c>
      <c r="H2047" s="3" t="s">
        <v>21</v>
      </c>
      <c r="I2047" s="3" t="s">
        <v>47</v>
      </c>
      <c r="J2047" s="5">
        <v>1137560</v>
      </c>
      <c r="K2047" s="3">
        <v>4661300</v>
      </c>
      <c r="L2047" s="3" t="s">
        <v>595</v>
      </c>
      <c r="M2047" s="3" t="s">
        <v>7664</v>
      </c>
      <c r="N2047" s="3">
        <v>448</v>
      </c>
      <c r="O2047" s="3" t="s">
        <v>427</v>
      </c>
      <c r="P2047" s="3" t="s">
        <v>241</v>
      </c>
      <c r="Q2047" s="3" t="s">
        <v>27</v>
      </c>
      <c r="R2047" s="3" t="s">
        <v>28</v>
      </c>
      <c r="S2047" s="3">
        <v>4755000</v>
      </c>
      <c r="T2047" s="3">
        <v>1975664130</v>
      </c>
      <c r="U2047" s="3" t="s">
        <v>29</v>
      </c>
    </row>
    <row r="2048" spans="1:21" ht="13.2" x14ac:dyDescent="0.25">
      <c r="A2048" s="14">
        <v>8979552000103</v>
      </c>
      <c r="B2048" s="15" t="str">
        <f t="shared" si="31"/>
        <v>08.979.552/0001-03</v>
      </c>
      <c r="C2048" s="12"/>
      <c r="D2048" s="3" t="s">
        <v>7665</v>
      </c>
      <c r="E2048" s="3" t="s">
        <v>7665</v>
      </c>
      <c r="F2048" s="3" t="s">
        <v>20</v>
      </c>
      <c r="G2048" s="4">
        <v>39304</v>
      </c>
      <c r="H2048" s="3" t="s">
        <v>2634</v>
      </c>
      <c r="I2048" s="3" t="s">
        <v>33</v>
      </c>
      <c r="J2048" s="5">
        <v>0</v>
      </c>
      <c r="K2048" s="3">
        <v>6462000</v>
      </c>
      <c r="L2048" s="3" t="s">
        <v>250</v>
      </c>
      <c r="M2048" s="3" t="s">
        <v>7666</v>
      </c>
      <c r="N2048" s="3" t="s">
        <v>82</v>
      </c>
      <c r="P2048" s="3" t="s">
        <v>3317</v>
      </c>
      <c r="R2048" s="3" t="s">
        <v>2637</v>
      </c>
      <c r="U2048" s="3" t="s">
        <v>29</v>
      </c>
    </row>
    <row r="2049" spans="1:21" ht="13.2" x14ac:dyDescent="0.25">
      <c r="A2049" s="14">
        <v>23412837000143</v>
      </c>
      <c r="B2049" s="15" t="str">
        <f t="shared" si="31"/>
        <v>23.412.837/0001-43</v>
      </c>
      <c r="C2049" s="12"/>
      <c r="D2049" s="3" t="s">
        <v>7667</v>
      </c>
      <c r="E2049" s="3" t="s">
        <v>7668</v>
      </c>
      <c r="F2049" s="3" t="s">
        <v>20</v>
      </c>
      <c r="G2049" s="4">
        <v>42282</v>
      </c>
      <c r="H2049" s="3" t="s">
        <v>21</v>
      </c>
      <c r="I2049" s="3" t="s">
        <v>47</v>
      </c>
      <c r="J2049" s="5">
        <v>100000</v>
      </c>
      <c r="K2049" s="3">
        <v>4530703</v>
      </c>
      <c r="L2049" s="3" t="s">
        <v>768</v>
      </c>
      <c r="M2049" s="3" t="s">
        <v>7669</v>
      </c>
      <c r="N2049" s="3">
        <v>2535</v>
      </c>
      <c r="P2049" s="3" t="s">
        <v>7670</v>
      </c>
      <c r="Q2049" s="3" t="s">
        <v>7671</v>
      </c>
      <c r="R2049" s="3" t="s">
        <v>187</v>
      </c>
      <c r="S2049" s="3">
        <v>84500000</v>
      </c>
      <c r="T2049" s="3">
        <v>4299328093</v>
      </c>
      <c r="U2049" s="3" t="s">
        <v>29</v>
      </c>
    </row>
    <row r="2050" spans="1:21" ht="13.2" x14ac:dyDescent="0.25">
      <c r="A2050" s="14">
        <v>92791243000103</v>
      </c>
      <c r="B2050" s="15" t="str">
        <f t="shared" si="31"/>
        <v>92.791.243/0001-03</v>
      </c>
      <c r="C2050" s="12"/>
      <c r="D2050" s="3" t="s">
        <v>7672</v>
      </c>
      <c r="E2050" s="3" t="s">
        <v>7673</v>
      </c>
      <c r="F2050" s="3" t="s">
        <v>20</v>
      </c>
      <c r="G2050" s="4">
        <v>25175</v>
      </c>
      <c r="H2050" s="3" t="s">
        <v>377</v>
      </c>
      <c r="I2050" s="3" t="s">
        <v>33</v>
      </c>
      <c r="J2050" s="5">
        <v>646894850</v>
      </c>
      <c r="K2050" s="3">
        <v>1721400</v>
      </c>
      <c r="L2050" s="3" t="s">
        <v>820</v>
      </c>
      <c r="M2050" s="3" t="s">
        <v>4878</v>
      </c>
      <c r="N2050" s="3">
        <v>400</v>
      </c>
      <c r="O2050" s="3" t="s">
        <v>7674</v>
      </c>
      <c r="P2050" s="3" t="s">
        <v>370</v>
      </c>
      <c r="Q2050" s="3" t="s">
        <v>437</v>
      </c>
      <c r="R2050" s="3" t="s">
        <v>53</v>
      </c>
      <c r="S2050" s="3">
        <v>90480900</v>
      </c>
      <c r="T2050" s="3">
        <v>5133033893</v>
      </c>
      <c r="U2050" s="3" t="s">
        <v>29</v>
      </c>
    </row>
    <row r="2051" spans="1:21" ht="13.2" x14ac:dyDescent="0.25">
      <c r="A2051" s="14">
        <v>26907032000169</v>
      </c>
      <c r="B2051" s="15" t="str">
        <f t="shared" ref="B2051:B2114" si="32">TEXT(A2051,"00\.000\.000\/0000\-00")</f>
        <v>26.907.032/0001-69</v>
      </c>
      <c r="C2051" s="12"/>
      <c r="D2051" s="3" t="s">
        <v>7675</v>
      </c>
      <c r="E2051" s="3" t="s">
        <v>7676</v>
      </c>
      <c r="F2051" s="3" t="s">
        <v>20</v>
      </c>
      <c r="G2051" s="4">
        <v>42754</v>
      </c>
      <c r="H2051" s="3" t="s">
        <v>21</v>
      </c>
      <c r="I2051" s="3" t="s">
        <v>47</v>
      </c>
      <c r="J2051" s="5">
        <v>350000</v>
      </c>
      <c r="K2051" s="3">
        <v>2330305</v>
      </c>
      <c r="L2051" s="3" t="s">
        <v>1344</v>
      </c>
      <c r="M2051" s="3" t="s">
        <v>7677</v>
      </c>
      <c r="N2051" s="3">
        <v>330</v>
      </c>
      <c r="P2051" s="3" t="s">
        <v>7678</v>
      </c>
      <c r="Q2051" s="3" t="s">
        <v>7679</v>
      </c>
      <c r="R2051" s="3" t="s">
        <v>281</v>
      </c>
      <c r="S2051" s="3">
        <v>44900000</v>
      </c>
      <c r="T2051" s="3">
        <v>7499913405</v>
      </c>
      <c r="U2051" s="3" t="s">
        <v>29</v>
      </c>
    </row>
    <row r="2052" spans="1:21" ht="13.2" x14ac:dyDescent="0.25">
      <c r="A2052" s="14">
        <v>2301582000171</v>
      </c>
      <c r="B2052" s="15" t="str">
        <f t="shared" si="32"/>
        <v>02.301.582/0001-71</v>
      </c>
      <c r="C2052" s="12"/>
      <c r="D2052" s="3" t="s">
        <v>7680</v>
      </c>
      <c r="E2052" s="3" t="s">
        <v>7680</v>
      </c>
      <c r="F2052" s="3" t="s">
        <v>20</v>
      </c>
      <c r="G2052" s="4">
        <v>35787</v>
      </c>
      <c r="H2052" s="3" t="s">
        <v>21</v>
      </c>
      <c r="I2052" s="3" t="s">
        <v>33</v>
      </c>
      <c r="J2052" s="5">
        <v>42427904</v>
      </c>
      <c r="K2052" s="3">
        <v>2930102</v>
      </c>
      <c r="L2052" s="3" t="s">
        <v>3053</v>
      </c>
      <c r="M2052" s="3" t="s">
        <v>7681</v>
      </c>
      <c r="N2052" s="3" t="s">
        <v>82</v>
      </c>
      <c r="O2052" s="3" t="s">
        <v>7682</v>
      </c>
      <c r="P2052" s="3" t="s">
        <v>153</v>
      </c>
      <c r="Q2052" s="3" t="s">
        <v>3056</v>
      </c>
      <c r="R2052" s="3" t="s">
        <v>28</v>
      </c>
      <c r="S2052" s="3">
        <v>18603970</v>
      </c>
      <c r="U2052" s="3" t="s">
        <v>29</v>
      </c>
    </row>
    <row r="2053" spans="1:21" ht="13.2" x14ac:dyDescent="0.25">
      <c r="A2053" s="14">
        <v>13009550000113</v>
      </c>
      <c r="B2053" s="15" t="str">
        <f t="shared" si="32"/>
        <v>13.009.550/0001-13</v>
      </c>
      <c r="C2053" s="12" t="str">
        <f>VLOOKUP(B2053,[1]Planilha1!$A:$B,2,0)</f>
        <v>Malu Montesino</v>
      </c>
      <c r="D2053" s="3" t="s">
        <v>7683</v>
      </c>
      <c r="E2053" s="3" t="s">
        <v>7683</v>
      </c>
      <c r="F2053" s="3" t="s">
        <v>20</v>
      </c>
      <c r="G2053" s="4">
        <v>24353</v>
      </c>
      <c r="H2053" s="3" t="s">
        <v>21</v>
      </c>
      <c r="I2053" s="3" t="s">
        <v>22</v>
      </c>
      <c r="J2053" s="5">
        <v>2600000</v>
      </c>
      <c r="K2053" s="3">
        <v>5231102</v>
      </c>
      <c r="L2053" s="3" t="s">
        <v>7264</v>
      </c>
      <c r="M2053" s="3" t="s">
        <v>7684</v>
      </c>
      <c r="N2053" s="3">
        <v>454</v>
      </c>
      <c r="P2053" s="3" t="s">
        <v>7685</v>
      </c>
      <c r="Q2053" s="3" t="s">
        <v>1846</v>
      </c>
      <c r="R2053" s="3" t="s">
        <v>1847</v>
      </c>
      <c r="S2053" s="3">
        <v>57022180</v>
      </c>
      <c r="T2053" s="3">
        <v>8233175951</v>
      </c>
      <c r="U2053" s="3" t="s">
        <v>29</v>
      </c>
    </row>
    <row r="2054" spans="1:21" ht="13.2" x14ac:dyDescent="0.25">
      <c r="A2054" s="14">
        <v>10834454000111</v>
      </c>
      <c r="B2054" s="15" t="str">
        <f t="shared" si="32"/>
        <v>10.834.454/0001-11</v>
      </c>
      <c r="C2054" s="12"/>
      <c r="D2054" s="3" t="s">
        <v>7686</v>
      </c>
      <c r="E2054" s="3" t="s">
        <v>7687</v>
      </c>
      <c r="F2054" s="3" t="s">
        <v>20</v>
      </c>
      <c r="G2054" s="4">
        <v>39946</v>
      </c>
      <c r="H2054" s="3" t="s">
        <v>21</v>
      </c>
      <c r="I2054" s="3" t="s">
        <v>33</v>
      </c>
      <c r="J2054" s="5">
        <v>840000</v>
      </c>
      <c r="K2054" s="3">
        <v>4669999</v>
      </c>
      <c r="L2054" s="3" t="s">
        <v>558</v>
      </c>
      <c r="M2054" s="3" t="s">
        <v>7688</v>
      </c>
      <c r="N2054" s="3">
        <v>1122</v>
      </c>
      <c r="O2054" s="3" t="s">
        <v>427</v>
      </c>
      <c r="P2054" s="3" t="s">
        <v>7689</v>
      </c>
      <c r="Q2054" s="3" t="s">
        <v>7690</v>
      </c>
      <c r="R2054" s="3" t="s">
        <v>765</v>
      </c>
      <c r="S2054" s="3">
        <v>29309712</v>
      </c>
      <c r="T2054" s="3">
        <v>2835110281</v>
      </c>
      <c r="U2054" s="3" t="s">
        <v>29</v>
      </c>
    </row>
    <row r="2055" spans="1:21" ht="13.2" x14ac:dyDescent="0.25">
      <c r="A2055" s="14">
        <v>10657159000137</v>
      </c>
      <c r="B2055" s="15" t="str">
        <f t="shared" si="32"/>
        <v>10.657.159/0001-37</v>
      </c>
      <c r="C2055" s="12" t="str">
        <f>VLOOKUP(B2055,[1]Planilha1!$A:$B,2,0)</f>
        <v>Malu Montesino</v>
      </c>
      <c r="D2055" s="3" t="s">
        <v>7691</v>
      </c>
      <c r="E2055" s="3" t="s">
        <v>7691</v>
      </c>
      <c r="F2055" s="3" t="s">
        <v>20</v>
      </c>
      <c r="G2055" s="4">
        <v>39864</v>
      </c>
      <c r="H2055" s="3" t="s">
        <v>21</v>
      </c>
      <c r="I2055" s="3" t="s">
        <v>33</v>
      </c>
      <c r="J2055" s="5">
        <v>150000</v>
      </c>
      <c r="K2055" s="3">
        <v>4511104</v>
      </c>
      <c r="L2055" s="3" t="s">
        <v>2728</v>
      </c>
      <c r="M2055" s="3" t="s">
        <v>7692</v>
      </c>
      <c r="N2055" s="3">
        <v>542</v>
      </c>
      <c r="P2055" s="3" t="s">
        <v>7693</v>
      </c>
      <c r="Q2055" s="3" t="s">
        <v>2822</v>
      </c>
      <c r="R2055" s="3" t="s">
        <v>28</v>
      </c>
      <c r="S2055" s="3">
        <v>12237824</v>
      </c>
      <c r="T2055" s="3">
        <v>1239375687</v>
      </c>
      <c r="U2055" s="3" t="s">
        <v>29</v>
      </c>
    </row>
    <row r="2056" spans="1:21" ht="13.2" x14ac:dyDescent="0.25">
      <c r="A2056" s="14">
        <v>4120966000113</v>
      </c>
      <c r="B2056" s="15" t="str">
        <f t="shared" si="32"/>
        <v>04.120.966/0001-13</v>
      </c>
      <c r="C2056" s="12"/>
      <c r="D2056" s="3" t="s">
        <v>7694</v>
      </c>
      <c r="E2056" s="3" t="s">
        <v>7694</v>
      </c>
      <c r="F2056" s="3" t="s">
        <v>20</v>
      </c>
      <c r="G2056" s="4">
        <v>36822</v>
      </c>
      <c r="H2056" s="3" t="s">
        <v>21</v>
      </c>
      <c r="I2056" s="3" t="s">
        <v>33</v>
      </c>
      <c r="J2056" s="5">
        <v>818170050</v>
      </c>
      <c r="K2056" s="3">
        <v>8299799</v>
      </c>
      <c r="L2056" s="3" t="s">
        <v>532</v>
      </c>
      <c r="M2056" s="3" t="s">
        <v>7695</v>
      </c>
      <c r="N2056" s="3">
        <v>207</v>
      </c>
      <c r="O2056" s="3" t="s">
        <v>7696</v>
      </c>
      <c r="P2056" s="3" t="s">
        <v>3402</v>
      </c>
      <c r="Q2056" s="3" t="s">
        <v>27</v>
      </c>
      <c r="R2056" s="3" t="s">
        <v>28</v>
      </c>
      <c r="S2056" s="3">
        <v>5501900</v>
      </c>
      <c r="T2056" s="3">
        <v>1137670776</v>
      </c>
      <c r="U2056" s="3" t="s">
        <v>29</v>
      </c>
    </row>
    <row r="2057" spans="1:21" ht="13.2" x14ac:dyDescent="0.25">
      <c r="A2057" s="14">
        <v>54732722000160</v>
      </c>
      <c r="B2057" s="15" t="str">
        <f t="shared" si="32"/>
        <v>54.732.722/0001-60</v>
      </c>
      <c r="C2057" s="12"/>
      <c r="D2057" s="3" t="s">
        <v>7697</v>
      </c>
      <c r="E2057" s="3" t="s">
        <v>7698</v>
      </c>
      <c r="F2057" s="3" t="s">
        <v>20</v>
      </c>
      <c r="G2057" s="4">
        <v>31315</v>
      </c>
      <c r="H2057" s="3" t="s">
        <v>21</v>
      </c>
      <c r="I2057" s="3" t="s">
        <v>33</v>
      </c>
      <c r="J2057" s="5">
        <v>868500</v>
      </c>
      <c r="K2057" s="3">
        <v>2832100</v>
      </c>
      <c r="L2057" s="3" t="s">
        <v>2184</v>
      </c>
      <c r="M2057" s="3" t="s">
        <v>7699</v>
      </c>
      <c r="N2057" s="3">
        <v>83</v>
      </c>
      <c r="P2057" s="3" t="s">
        <v>7700</v>
      </c>
      <c r="Q2057" s="3" t="s">
        <v>617</v>
      </c>
      <c r="R2057" s="3" t="s">
        <v>28</v>
      </c>
      <c r="S2057" s="3">
        <v>6440110</v>
      </c>
      <c r="T2057" s="3">
        <v>1172950933</v>
      </c>
      <c r="U2057" s="3" t="s">
        <v>29</v>
      </c>
    </row>
    <row r="2058" spans="1:21" ht="13.2" x14ac:dyDescent="0.25">
      <c r="A2058" s="14">
        <v>7706780000139</v>
      </c>
      <c r="B2058" s="15" t="str">
        <f t="shared" si="32"/>
        <v>07.706.780/0001-39</v>
      </c>
      <c r="C2058" s="12" t="str">
        <f>VLOOKUP(B2058,[1]Planilha1!$A:$B,2,0)</f>
        <v>Malu Montesino</v>
      </c>
      <c r="D2058" s="3" t="s">
        <v>7701</v>
      </c>
      <c r="E2058" s="3" t="s">
        <v>7701</v>
      </c>
      <c r="F2058" s="3" t="s">
        <v>20</v>
      </c>
      <c r="G2058" s="4">
        <v>38681</v>
      </c>
      <c r="H2058" s="3" t="s">
        <v>21</v>
      </c>
      <c r="I2058" s="3" t="s">
        <v>33</v>
      </c>
      <c r="J2058" s="5">
        <v>1410000</v>
      </c>
      <c r="K2058" s="3">
        <v>2832100</v>
      </c>
      <c r="L2058" s="3" t="s">
        <v>2184</v>
      </c>
      <c r="M2058" s="3" t="s">
        <v>7702</v>
      </c>
      <c r="N2058" s="3">
        <v>260</v>
      </c>
      <c r="P2058" s="3" t="s">
        <v>185</v>
      </c>
      <c r="Q2058" s="3" t="s">
        <v>716</v>
      </c>
      <c r="R2058" s="3" t="s">
        <v>28</v>
      </c>
      <c r="S2058" s="3">
        <v>13614330</v>
      </c>
      <c r="T2058" s="3">
        <v>1935729700</v>
      </c>
      <c r="U2058" s="3" t="s">
        <v>29</v>
      </c>
    </row>
    <row r="2059" spans="1:21" ht="13.2" x14ac:dyDescent="0.25">
      <c r="A2059" s="14">
        <v>11328018000133</v>
      </c>
      <c r="B2059" s="15" t="str">
        <f t="shared" si="32"/>
        <v>11.328.018/0001-33</v>
      </c>
      <c r="C2059" s="12" t="str">
        <f>VLOOKUP(B2059,[1]Planilha1!$A:$B,2,0)</f>
        <v>Malu Montesino</v>
      </c>
      <c r="D2059" s="3" t="s">
        <v>7703</v>
      </c>
      <c r="E2059" s="3" t="s">
        <v>7703</v>
      </c>
      <c r="F2059" s="3" t="s">
        <v>20</v>
      </c>
      <c r="G2059" s="4">
        <v>40115</v>
      </c>
      <c r="H2059" s="3" t="s">
        <v>21</v>
      </c>
      <c r="I2059" s="3" t="s">
        <v>33</v>
      </c>
      <c r="J2059" s="5">
        <v>67594500</v>
      </c>
      <c r="K2059" s="3">
        <v>2832100</v>
      </c>
      <c r="L2059" s="3" t="s">
        <v>2184</v>
      </c>
      <c r="M2059" s="3" t="s">
        <v>7704</v>
      </c>
      <c r="N2059" s="3">
        <v>289</v>
      </c>
      <c r="P2059" s="3" t="s">
        <v>6637</v>
      </c>
      <c r="Q2059" s="3" t="s">
        <v>1235</v>
      </c>
      <c r="R2059" s="3" t="s">
        <v>28</v>
      </c>
      <c r="S2059" s="3">
        <v>13347360</v>
      </c>
      <c r="T2059" s="3">
        <v>1931155521</v>
      </c>
      <c r="U2059" s="3" t="s">
        <v>29</v>
      </c>
    </row>
    <row r="2060" spans="1:21" ht="13.2" x14ac:dyDescent="0.25">
      <c r="A2060" s="14">
        <v>7103766000140</v>
      </c>
      <c r="B2060" s="15" t="str">
        <f t="shared" si="32"/>
        <v>07.103.766/0001-40</v>
      </c>
      <c r="C2060" s="12"/>
      <c r="D2060" s="3" t="s">
        <v>7705</v>
      </c>
      <c r="E2060" s="3" t="s">
        <v>7705</v>
      </c>
      <c r="F2060" s="3" t="s">
        <v>20</v>
      </c>
      <c r="G2060" s="4">
        <v>38286</v>
      </c>
      <c r="H2060" s="3" t="s">
        <v>21</v>
      </c>
      <c r="I2060" s="3" t="s">
        <v>22</v>
      </c>
      <c r="J2060" s="5">
        <v>60000</v>
      </c>
      <c r="K2060" s="3">
        <v>1742799</v>
      </c>
      <c r="L2060" s="3" t="s">
        <v>157</v>
      </c>
      <c r="M2060" s="3" t="s">
        <v>7706</v>
      </c>
      <c r="N2060" s="3">
        <v>130</v>
      </c>
      <c r="P2060" s="3" t="s">
        <v>7707</v>
      </c>
      <c r="Q2060" s="3" t="s">
        <v>262</v>
      </c>
      <c r="R2060" s="3" t="s">
        <v>28</v>
      </c>
      <c r="S2060" s="3">
        <v>6293100</v>
      </c>
      <c r="T2060" s="3">
        <v>1135996890</v>
      </c>
      <c r="U2060" s="3" t="s">
        <v>29</v>
      </c>
    </row>
    <row r="2061" spans="1:21" ht="13.2" x14ac:dyDescent="0.25">
      <c r="A2061" s="14">
        <v>10786346000110</v>
      </c>
      <c r="B2061" s="15" t="str">
        <f t="shared" si="32"/>
        <v>10.786.346/0001-10</v>
      </c>
      <c r="C2061" s="12"/>
      <c r="D2061" s="3" t="s">
        <v>7708</v>
      </c>
      <c r="E2061" s="3" t="s">
        <v>7709</v>
      </c>
      <c r="F2061" s="3" t="s">
        <v>20</v>
      </c>
      <c r="G2061" s="4">
        <v>39920</v>
      </c>
      <c r="H2061" s="3" t="s">
        <v>21</v>
      </c>
      <c r="I2061" s="3" t="s">
        <v>33</v>
      </c>
      <c r="J2061" s="5">
        <v>100000</v>
      </c>
      <c r="K2061" s="3">
        <v>7490104</v>
      </c>
      <c r="L2061" s="3" t="s">
        <v>1597</v>
      </c>
      <c r="M2061" s="3" t="s">
        <v>1891</v>
      </c>
      <c r="N2061" s="3">
        <v>1030</v>
      </c>
      <c r="O2061" s="3" t="s">
        <v>7710</v>
      </c>
      <c r="P2061" s="3" t="s">
        <v>940</v>
      </c>
      <c r="Q2061" s="3" t="s">
        <v>617</v>
      </c>
      <c r="R2061" s="3" t="s">
        <v>28</v>
      </c>
      <c r="S2061" s="3">
        <v>6454000</v>
      </c>
      <c r="T2061" s="3">
        <v>1134598177</v>
      </c>
      <c r="U2061" s="3" t="s">
        <v>29</v>
      </c>
    </row>
    <row r="2062" spans="1:21" ht="13.2" x14ac:dyDescent="0.25">
      <c r="A2062" s="14">
        <v>3516165000109</v>
      </c>
      <c r="B2062" s="15" t="str">
        <f t="shared" si="32"/>
        <v>03.516.165/0001-09</v>
      </c>
      <c r="C2062" s="12"/>
      <c r="D2062" s="3" t="s">
        <v>7711</v>
      </c>
      <c r="E2062" s="3" t="s">
        <v>7712</v>
      </c>
      <c r="F2062" s="3" t="s">
        <v>20</v>
      </c>
      <c r="G2062" s="4">
        <v>36481</v>
      </c>
      <c r="H2062" s="3" t="s">
        <v>21</v>
      </c>
      <c r="I2062" s="3" t="s">
        <v>22</v>
      </c>
      <c r="J2062" s="5">
        <v>500000</v>
      </c>
      <c r="K2062" s="3">
        <v>2093200</v>
      </c>
      <c r="L2062" s="3" t="s">
        <v>913</v>
      </c>
      <c r="M2062" s="3" t="s">
        <v>667</v>
      </c>
      <c r="N2062" s="3">
        <v>53</v>
      </c>
      <c r="P2062" s="3" t="s">
        <v>7713</v>
      </c>
      <c r="Q2062" s="3" t="s">
        <v>929</v>
      </c>
      <c r="R2062" s="3" t="s">
        <v>28</v>
      </c>
      <c r="S2062" s="3">
        <v>6529240</v>
      </c>
      <c r="T2062" s="3">
        <v>1144475155</v>
      </c>
      <c r="U2062" s="3" t="s">
        <v>29</v>
      </c>
    </row>
    <row r="2063" spans="1:21" ht="13.2" x14ac:dyDescent="0.25">
      <c r="A2063" s="14">
        <v>3024654000143</v>
      </c>
      <c r="B2063" s="15" t="str">
        <f t="shared" si="32"/>
        <v>03.024.654/0001-43</v>
      </c>
      <c r="C2063" s="12"/>
      <c r="D2063" s="3" t="s">
        <v>7714</v>
      </c>
      <c r="E2063" s="3" t="s">
        <v>7715</v>
      </c>
      <c r="F2063" s="3" t="s">
        <v>20</v>
      </c>
      <c r="G2063" s="4">
        <v>36230</v>
      </c>
      <c r="H2063" s="3" t="s">
        <v>21</v>
      </c>
      <c r="I2063" s="3" t="s">
        <v>33</v>
      </c>
      <c r="J2063" s="5">
        <v>100000</v>
      </c>
      <c r="K2063" s="3">
        <v>4742300</v>
      </c>
      <c r="L2063" s="3" t="s">
        <v>1152</v>
      </c>
      <c r="M2063" s="3" t="s">
        <v>7716</v>
      </c>
      <c r="N2063" s="3">
        <v>146</v>
      </c>
      <c r="P2063" s="3" t="s">
        <v>4302</v>
      </c>
      <c r="Q2063" s="3" t="s">
        <v>27</v>
      </c>
      <c r="R2063" s="3" t="s">
        <v>28</v>
      </c>
      <c r="S2063" s="3">
        <v>3604050</v>
      </c>
      <c r="T2063" s="3">
        <v>1154778687</v>
      </c>
      <c r="U2063" s="3" t="s">
        <v>29</v>
      </c>
    </row>
    <row r="2064" spans="1:21" ht="13.2" x14ac:dyDescent="0.25">
      <c r="A2064" s="14">
        <v>18702967000180</v>
      </c>
      <c r="B2064" s="15" t="str">
        <f t="shared" si="32"/>
        <v>18.702.967/0001-80</v>
      </c>
      <c r="C2064" s="12"/>
      <c r="D2064" s="3" t="s">
        <v>7717</v>
      </c>
      <c r="E2064" s="3" t="s">
        <v>7718</v>
      </c>
      <c r="F2064" s="3" t="s">
        <v>45</v>
      </c>
      <c r="G2064" s="4">
        <v>41505</v>
      </c>
      <c r="H2064" s="3" t="s">
        <v>21</v>
      </c>
      <c r="I2064" s="3" t="s">
        <v>33</v>
      </c>
      <c r="J2064" s="5">
        <v>3243960</v>
      </c>
      <c r="K2064" s="3">
        <v>4665600</v>
      </c>
      <c r="L2064" s="3" t="s">
        <v>4585</v>
      </c>
      <c r="M2064" s="3" t="s">
        <v>7685</v>
      </c>
      <c r="N2064" s="3" t="s">
        <v>7719</v>
      </c>
      <c r="P2064" s="3" t="s">
        <v>3838</v>
      </c>
      <c r="Q2064" s="3" t="s">
        <v>27</v>
      </c>
      <c r="R2064" s="3" t="s">
        <v>28</v>
      </c>
      <c r="S2064" s="3">
        <v>1129000</v>
      </c>
      <c r="T2064" s="3">
        <v>1133578108</v>
      </c>
      <c r="U2064" s="3" t="s">
        <v>29</v>
      </c>
    </row>
    <row r="2065" spans="1:21" ht="13.2" x14ac:dyDescent="0.25">
      <c r="A2065" s="14">
        <v>4392420000111</v>
      </c>
      <c r="B2065" s="15" t="str">
        <f t="shared" si="32"/>
        <v>04.392.420/0001-11</v>
      </c>
      <c r="C2065" s="12"/>
      <c r="D2065" s="3" t="s">
        <v>7720</v>
      </c>
      <c r="E2065" s="3" t="s">
        <v>7720</v>
      </c>
      <c r="F2065" s="3" t="s">
        <v>20</v>
      </c>
      <c r="G2065" s="4">
        <v>36991</v>
      </c>
      <c r="H2065" s="3" t="s">
        <v>21</v>
      </c>
      <c r="I2065" s="3" t="s">
        <v>33</v>
      </c>
      <c r="J2065" s="5">
        <v>18000000</v>
      </c>
      <c r="K2065" s="3">
        <v>6209100</v>
      </c>
      <c r="L2065" s="3" t="s">
        <v>303</v>
      </c>
      <c r="M2065" s="3" t="s">
        <v>2507</v>
      </c>
      <c r="N2065" s="3">
        <v>651</v>
      </c>
      <c r="P2065" s="3" t="s">
        <v>2020</v>
      </c>
      <c r="Q2065" s="3" t="s">
        <v>27</v>
      </c>
      <c r="R2065" s="3" t="s">
        <v>28</v>
      </c>
      <c r="S2065" s="3">
        <v>1137000</v>
      </c>
      <c r="T2065" s="3">
        <v>1138246800</v>
      </c>
      <c r="U2065" s="3" t="s">
        <v>29</v>
      </c>
    </row>
    <row r="2066" spans="1:21" ht="13.2" x14ac:dyDescent="0.25">
      <c r="A2066" s="14">
        <v>6972786000195</v>
      </c>
      <c r="B2066" s="15" t="str">
        <f t="shared" si="32"/>
        <v>06.972.786/0001-95</v>
      </c>
      <c r="C2066" s="12"/>
      <c r="D2066" s="3" t="s">
        <v>7721</v>
      </c>
      <c r="E2066" s="3" t="s">
        <v>7721</v>
      </c>
      <c r="F2066" s="3" t="s">
        <v>20</v>
      </c>
      <c r="G2066" s="4">
        <v>38232</v>
      </c>
      <c r="H2066" s="3" t="s">
        <v>21</v>
      </c>
      <c r="I2066" s="3" t="s">
        <v>22</v>
      </c>
      <c r="J2066" s="5">
        <v>3731000</v>
      </c>
      <c r="K2066" s="3">
        <v>7120100</v>
      </c>
      <c r="L2066" s="3" t="s">
        <v>2807</v>
      </c>
      <c r="M2066" s="3" t="s">
        <v>6116</v>
      </c>
      <c r="N2066" s="3">
        <v>233</v>
      </c>
      <c r="O2066" s="3" t="s">
        <v>7722</v>
      </c>
      <c r="P2066" s="3" t="s">
        <v>70</v>
      </c>
      <c r="Q2066" s="3" t="s">
        <v>204</v>
      </c>
      <c r="R2066" s="3" t="s">
        <v>187</v>
      </c>
      <c r="S2066" s="3">
        <v>80020000</v>
      </c>
      <c r="T2066" s="3">
        <v>4132430040</v>
      </c>
      <c r="U2066" s="3" t="s">
        <v>29</v>
      </c>
    </row>
    <row r="2067" spans="1:21" ht="13.2" x14ac:dyDescent="0.25">
      <c r="A2067" s="14">
        <v>5002342000164</v>
      </c>
      <c r="B2067" s="15" t="str">
        <f t="shared" si="32"/>
        <v>05.002.342/0001-64</v>
      </c>
      <c r="C2067" s="12"/>
      <c r="D2067" s="3" t="s">
        <v>7723</v>
      </c>
      <c r="E2067" s="3" t="s">
        <v>7724</v>
      </c>
      <c r="F2067" s="3" t="s">
        <v>20</v>
      </c>
      <c r="G2067" s="4">
        <v>37348</v>
      </c>
      <c r="H2067" s="3" t="s">
        <v>21</v>
      </c>
      <c r="I2067" s="3" t="s">
        <v>33</v>
      </c>
      <c r="J2067" s="5">
        <v>1000000</v>
      </c>
      <c r="K2067" s="3">
        <v>2229303</v>
      </c>
      <c r="L2067" s="3" t="s">
        <v>2107</v>
      </c>
      <c r="M2067" s="3" t="s">
        <v>7725</v>
      </c>
      <c r="N2067" s="3">
        <v>360</v>
      </c>
      <c r="P2067" s="3" t="s">
        <v>7726</v>
      </c>
      <c r="Q2067" s="3" t="s">
        <v>4436</v>
      </c>
      <c r="R2067" s="3" t="s">
        <v>28</v>
      </c>
      <c r="S2067" s="3">
        <v>13977001</v>
      </c>
      <c r="T2067" s="3">
        <v>1938635192</v>
      </c>
      <c r="U2067" s="3" t="s">
        <v>29</v>
      </c>
    </row>
    <row r="2068" spans="1:21" ht="13.2" x14ac:dyDescent="0.25">
      <c r="A2068" s="14">
        <v>8816067000100</v>
      </c>
      <c r="B2068" s="15" t="str">
        <f t="shared" si="32"/>
        <v>08.816.067/0001-00</v>
      </c>
      <c r="C2068" s="12"/>
      <c r="D2068" s="3" t="s">
        <v>7727</v>
      </c>
      <c r="E2068" s="3" t="s">
        <v>7727</v>
      </c>
      <c r="F2068" s="3" t="s">
        <v>20</v>
      </c>
      <c r="G2068" s="4">
        <v>39182</v>
      </c>
      <c r="H2068" s="3" t="s">
        <v>94</v>
      </c>
      <c r="I2068" s="3" t="s">
        <v>33</v>
      </c>
      <c r="J2068" s="5">
        <v>57500000</v>
      </c>
      <c r="K2068" s="3">
        <v>6512000</v>
      </c>
      <c r="L2068" s="3" t="s">
        <v>6015</v>
      </c>
      <c r="M2068" s="3" t="s">
        <v>7728</v>
      </c>
      <c r="N2068" s="3">
        <v>740</v>
      </c>
      <c r="O2068" s="3" t="s">
        <v>7729</v>
      </c>
      <c r="P2068" s="3" t="s">
        <v>1752</v>
      </c>
      <c r="Q2068" s="3" t="s">
        <v>27</v>
      </c>
      <c r="R2068" s="3" t="s">
        <v>28</v>
      </c>
      <c r="S2068" s="3">
        <v>1216012</v>
      </c>
      <c r="T2068" s="3">
        <v>1133666085</v>
      </c>
      <c r="U2068" s="3" t="s">
        <v>29</v>
      </c>
    </row>
    <row r="2069" spans="1:21" ht="13.2" x14ac:dyDescent="0.25">
      <c r="A2069" s="14">
        <v>5773057000147</v>
      </c>
      <c r="B2069" s="15" t="str">
        <f t="shared" si="32"/>
        <v>05.773.057/0001-47</v>
      </c>
      <c r="C2069" s="12" t="str">
        <f>VLOOKUP(B2069,[1]Planilha1!$A:$B,2,0)</f>
        <v>Malu Montesino</v>
      </c>
      <c r="D2069" s="3" t="s">
        <v>7730</v>
      </c>
      <c r="E2069" s="3" t="s">
        <v>7730</v>
      </c>
      <c r="F2069" s="3" t="s">
        <v>20</v>
      </c>
      <c r="G2069" s="4">
        <v>37818</v>
      </c>
      <c r="H2069" s="3" t="s">
        <v>21</v>
      </c>
      <c r="I2069" s="3" t="s">
        <v>33</v>
      </c>
      <c r="J2069" s="5">
        <v>12974366</v>
      </c>
      <c r="K2069" s="3">
        <v>2812700</v>
      </c>
      <c r="L2069" s="3" t="s">
        <v>1534</v>
      </c>
      <c r="M2069" s="3" t="s">
        <v>7731</v>
      </c>
      <c r="N2069" s="3" t="s">
        <v>7732</v>
      </c>
      <c r="P2069" s="3" t="s">
        <v>7733</v>
      </c>
      <c r="Q2069" s="3" t="s">
        <v>1312</v>
      </c>
      <c r="R2069" s="3" t="s">
        <v>28</v>
      </c>
      <c r="S2069" s="3">
        <v>13309710</v>
      </c>
      <c r="T2069" s="3">
        <v>1140131116</v>
      </c>
      <c r="U2069" s="3" t="s">
        <v>29</v>
      </c>
    </row>
    <row r="2070" spans="1:21" ht="13.2" x14ac:dyDescent="0.25">
      <c r="A2070" s="14">
        <v>18110285000189</v>
      </c>
      <c r="B2070" s="15" t="str">
        <f t="shared" si="32"/>
        <v>18.110.285/0001-89</v>
      </c>
      <c r="C2070" s="12"/>
      <c r="D2070" s="3" t="s">
        <v>7734</v>
      </c>
      <c r="E2070" s="3" t="s">
        <v>7735</v>
      </c>
      <c r="F2070" s="3" t="s">
        <v>20</v>
      </c>
      <c r="G2070" s="4">
        <v>41376</v>
      </c>
      <c r="H2070" s="3" t="s">
        <v>244</v>
      </c>
      <c r="I2070" s="3" t="s">
        <v>33</v>
      </c>
      <c r="J2070" s="5">
        <v>0</v>
      </c>
      <c r="K2070" s="3">
        <v>9499500</v>
      </c>
      <c r="L2070" s="3" t="s">
        <v>245</v>
      </c>
      <c r="M2070" s="3" t="s">
        <v>7736</v>
      </c>
      <c r="N2070" s="3">
        <v>1979</v>
      </c>
      <c r="P2070" s="3" t="s">
        <v>3970</v>
      </c>
      <c r="Q2070" s="3" t="s">
        <v>27</v>
      </c>
      <c r="R2070" s="3" t="s">
        <v>28</v>
      </c>
      <c r="S2070" s="3">
        <v>4203052</v>
      </c>
      <c r="T2070" s="3">
        <v>1140880890</v>
      </c>
      <c r="U2070" s="3" t="s">
        <v>29</v>
      </c>
    </row>
    <row r="2071" spans="1:21" ht="13.2" x14ac:dyDescent="0.25">
      <c r="A2071" s="14">
        <v>15111975000164</v>
      </c>
      <c r="B2071" s="15" t="str">
        <f t="shared" si="32"/>
        <v>15.111.975/0001-64</v>
      </c>
      <c r="C2071" s="12" t="str">
        <f>VLOOKUP(B2071,[1]Planilha1!$A:$B,2,0)</f>
        <v>Malu Montesino</v>
      </c>
      <c r="D2071" s="3" t="s">
        <v>7737</v>
      </c>
      <c r="E2071" s="3" t="s">
        <v>7738</v>
      </c>
      <c r="F2071" s="3" t="s">
        <v>20</v>
      </c>
      <c r="G2071" s="4">
        <v>40938</v>
      </c>
      <c r="H2071" s="3" t="s">
        <v>94</v>
      </c>
      <c r="I2071" s="3" t="s">
        <v>33</v>
      </c>
      <c r="J2071" s="5">
        <v>189558380</v>
      </c>
      <c r="K2071" s="3">
        <v>6203100</v>
      </c>
      <c r="L2071" s="3" t="s">
        <v>2268</v>
      </c>
      <c r="M2071" s="3" t="s">
        <v>308</v>
      </c>
      <c r="N2071" s="7">
        <v>12495</v>
      </c>
      <c r="O2071" s="3" t="s">
        <v>7739</v>
      </c>
      <c r="P2071" s="3" t="s">
        <v>1397</v>
      </c>
      <c r="Q2071" s="3" t="s">
        <v>27</v>
      </c>
      <c r="R2071" s="3" t="s">
        <v>28</v>
      </c>
      <c r="S2071" s="3">
        <v>4578000</v>
      </c>
      <c r="T2071" s="3">
        <v>1130030678</v>
      </c>
      <c r="U2071" s="3" t="s">
        <v>29</v>
      </c>
    </row>
    <row r="2072" spans="1:21" ht="13.2" x14ac:dyDescent="0.25">
      <c r="A2072" s="14">
        <v>170488000103</v>
      </c>
      <c r="B2072" s="15" t="str">
        <f t="shared" si="32"/>
        <v>00.170.488/0001-03</v>
      </c>
      <c r="C2072" s="12"/>
      <c r="D2072" s="3" t="s">
        <v>7740</v>
      </c>
      <c r="E2072" s="3" t="s">
        <v>7740</v>
      </c>
      <c r="F2072" s="3" t="s">
        <v>20</v>
      </c>
      <c r="G2072" s="4">
        <v>34570</v>
      </c>
      <c r="H2072" s="3" t="s">
        <v>21</v>
      </c>
      <c r="I2072" s="3" t="s">
        <v>22</v>
      </c>
      <c r="J2072" s="5">
        <v>500000</v>
      </c>
      <c r="K2072" s="3">
        <v>2813500</v>
      </c>
      <c r="L2072" s="3" t="s">
        <v>1383</v>
      </c>
      <c r="M2072" s="3" t="s">
        <v>7741</v>
      </c>
      <c r="N2072" s="3">
        <v>540</v>
      </c>
      <c r="O2072" s="3" t="s">
        <v>7742</v>
      </c>
      <c r="P2072" s="3" t="s">
        <v>475</v>
      </c>
      <c r="Q2072" s="3" t="s">
        <v>37</v>
      </c>
      <c r="R2072" s="3" t="s">
        <v>28</v>
      </c>
      <c r="S2072" s="3">
        <v>13477580</v>
      </c>
      <c r="T2072" s="3">
        <v>1934687928</v>
      </c>
      <c r="U2072" s="3" t="s">
        <v>29</v>
      </c>
    </row>
    <row r="2073" spans="1:21" ht="13.2" x14ac:dyDescent="0.25">
      <c r="A2073" s="14">
        <v>36519422000115</v>
      </c>
      <c r="B2073" s="15" t="str">
        <f t="shared" si="32"/>
        <v>36.519.422/0001-15</v>
      </c>
      <c r="C2073" s="12"/>
      <c r="D2073" s="3" t="s">
        <v>7743</v>
      </c>
      <c r="E2073" s="3" t="s">
        <v>7743</v>
      </c>
      <c r="F2073" s="3" t="s">
        <v>20</v>
      </c>
      <c r="G2073" s="4">
        <v>43892</v>
      </c>
      <c r="H2073" s="3" t="s">
        <v>21</v>
      </c>
      <c r="I2073" s="3" t="s">
        <v>33</v>
      </c>
      <c r="J2073" s="5">
        <v>2139329200</v>
      </c>
      <c r="K2073" s="3">
        <v>2920401</v>
      </c>
      <c r="L2073" s="3" t="s">
        <v>4553</v>
      </c>
      <c r="M2073" s="3" t="s">
        <v>7744</v>
      </c>
      <c r="N2073" s="3" t="s">
        <v>82</v>
      </c>
      <c r="O2073" s="3" t="s">
        <v>7745</v>
      </c>
      <c r="P2073" s="3" t="s">
        <v>7746</v>
      </c>
      <c r="Q2073" s="3" t="s">
        <v>7747</v>
      </c>
      <c r="R2073" s="3" t="s">
        <v>100</v>
      </c>
      <c r="S2073" s="3">
        <v>35703138</v>
      </c>
      <c r="T2073" s="3">
        <v>3140420713</v>
      </c>
      <c r="U2073" s="3" t="s">
        <v>29</v>
      </c>
    </row>
    <row r="2074" spans="1:21" ht="13.2" x14ac:dyDescent="0.25">
      <c r="A2074" s="14">
        <v>53846661000107</v>
      </c>
      <c r="B2074" s="15" t="str">
        <f t="shared" si="32"/>
        <v>53.846.661/0001-07</v>
      </c>
      <c r="C2074" s="12" t="str">
        <f>VLOOKUP(B2074,[1]Planilha1!$A:$B,2,0)</f>
        <v>Malu Montesino</v>
      </c>
      <c r="D2074" s="3" t="s">
        <v>7748</v>
      </c>
      <c r="E2074" s="3" t="s">
        <v>7748</v>
      </c>
      <c r="F2074" s="3" t="s">
        <v>20</v>
      </c>
      <c r="G2074" s="4">
        <v>45329</v>
      </c>
      <c r="H2074" s="3" t="s">
        <v>21</v>
      </c>
      <c r="I2074" s="3" t="s">
        <v>22</v>
      </c>
      <c r="J2074" s="5">
        <v>20000</v>
      </c>
      <c r="K2074" s="3">
        <v>4744002</v>
      </c>
      <c r="L2074" s="3" t="s">
        <v>7749</v>
      </c>
      <c r="M2074" s="3" t="s">
        <v>7750</v>
      </c>
      <c r="N2074" s="3">
        <v>4891</v>
      </c>
      <c r="O2074" s="3" t="s">
        <v>6790</v>
      </c>
      <c r="P2074" s="3" t="s">
        <v>7751</v>
      </c>
      <c r="Q2074" s="3" t="s">
        <v>27</v>
      </c>
      <c r="R2074" s="3" t="s">
        <v>28</v>
      </c>
      <c r="S2074" s="3">
        <v>4474340</v>
      </c>
      <c r="T2074" s="3">
        <v>1143423427</v>
      </c>
      <c r="U2074" s="3" t="s">
        <v>29</v>
      </c>
    </row>
    <row r="2075" spans="1:21" ht="13.2" x14ac:dyDescent="0.25">
      <c r="A2075" s="14">
        <v>14569387000106</v>
      </c>
      <c r="B2075" s="15" t="str">
        <f t="shared" si="32"/>
        <v>14.569.387/0001-06</v>
      </c>
      <c r="C2075" s="12"/>
      <c r="D2075" s="3" t="s">
        <v>7752</v>
      </c>
      <c r="E2075" s="3" t="s">
        <v>7753</v>
      </c>
      <c r="F2075" s="3" t="s">
        <v>20</v>
      </c>
      <c r="G2075" s="4">
        <v>40836</v>
      </c>
      <c r="H2075" s="3" t="s">
        <v>21</v>
      </c>
      <c r="I2075" s="3" t="s">
        <v>22</v>
      </c>
      <c r="J2075" s="5">
        <v>300000</v>
      </c>
      <c r="K2075" s="3">
        <v>8211300</v>
      </c>
      <c r="L2075" s="3" t="s">
        <v>166</v>
      </c>
      <c r="M2075" s="3" t="s">
        <v>7754</v>
      </c>
      <c r="N2075" s="3">
        <v>96</v>
      </c>
      <c r="P2075" s="3" t="s">
        <v>7755</v>
      </c>
      <c r="Q2075" s="3" t="s">
        <v>27</v>
      </c>
      <c r="R2075" s="3" t="s">
        <v>28</v>
      </c>
      <c r="S2075" s="3">
        <v>4843335</v>
      </c>
      <c r="T2075" s="3">
        <v>1141958076</v>
      </c>
      <c r="U2075" s="3" t="s">
        <v>29</v>
      </c>
    </row>
    <row r="2076" spans="1:21" ht="13.2" x14ac:dyDescent="0.25">
      <c r="A2076" s="14">
        <v>41851826000141</v>
      </c>
      <c r="B2076" s="15" t="str">
        <f t="shared" si="32"/>
        <v>41.851.826/0001-41</v>
      </c>
      <c r="C2076" s="12" t="str">
        <f>VLOOKUP(B2076,[1]Planilha1!$A:$B,2,0)</f>
        <v>Malu Montesino</v>
      </c>
      <c r="D2076" s="3" t="s">
        <v>7756</v>
      </c>
      <c r="E2076" s="3" t="s">
        <v>7756</v>
      </c>
      <c r="F2076" s="3" t="s">
        <v>20</v>
      </c>
      <c r="G2076" s="4">
        <v>44322</v>
      </c>
      <c r="H2076" s="3" t="s">
        <v>21</v>
      </c>
      <c r="I2076" s="3" t="s">
        <v>22</v>
      </c>
      <c r="J2076" s="5">
        <v>110000</v>
      </c>
      <c r="K2076" s="3">
        <v>2833000</v>
      </c>
      <c r="L2076" s="3" t="s">
        <v>151</v>
      </c>
      <c r="M2076" s="3" t="s">
        <v>7757</v>
      </c>
      <c r="N2076" s="3">
        <v>433</v>
      </c>
      <c r="P2076" s="3" t="s">
        <v>7235</v>
      </c>
      <c r="Q2076" s="3" t="s">
        <v>524</v>
      </c>
      <c r="R2076" s="3" t="s">
        <v>28</v>
      </c>
      <c r="S2076" s="3">
        <v>14078250</v>
      </c>
      <c r="T2076" s="3">
        <v>1636264447</v>
      </c>
      <c r="U2076" s="3" t="s">
        <v>29</v>
      </c>
    </row>
    <row r="2077" spans="1:21" ht="13.2" x14ac:dyDescent="0.25">
      <c r="A2077" s="14">
        <v>24746591000109</v>
      </c>
      <c r="B2077" s="15" t="str">
        <f t="shared" si="32"/>
        <v>24.746.591/0001-09</v>
      </c>
      <c r="C2077" s="12"/>
      <c r="D2077" s="3" t="s">
        <v>7758</v>
      </c>
      <c r="E2077" s="3" t="s">
        <v>7758</v>
      </c>
      <c r="F2077" s="3" t="s">
        <v>20</v>
      </c>
      <c r="G2077" s="4">
        <v>42495</v>
      </c>
      <c r="H2077" s="3" t="s">
        <v>21</v>
      </c>
      <c r="I2077" s="3" t="s">
        <v>33</v>
      </c>
      <c r="J2077" s="5">
        <v>1640000</v>
      </c>
      <c r="K2077" s="3">
        <v>4669901</v>
      </c>
      <c r="L2077" s="3" t="s">
        <v>1543</v>
      </c>
      <c r="M2077" s="3" t="s">
        <v>5158</v>
      </c>
      <c r="N2077" s="3">
        <v>270</v>
      </c>
      <c r="O2077" s="3" t="s">
        <v>7759</v>
      </c>
      <c r="P2077" s="3" t="s">
        <v>4008</v>
      </c>
      <c r="Q2077" s="3" t="s">
        <v>59</v>
      </c>
      <c r="R2077" s="3" t="s">
        <v>28</v>
      </c>
      <c r="S2077" s="3">
        <v>13279452</v>
      </c>
      <c r="T2077" s="3">
        <v>1180887299</v>
      </c>
      <c r="U2077" s="3" t="s">
        <v>29</v>
      </c>
    </row>
    <row r="2078" spans="1:21" ht="13.2" x14ac:dyDescent="0.25">
      <c r="A2078" s="14">
        <v>8042913000182</v>
      </c>
      <c r="B2078" s="15" t="str">
        <f t="shared" si="32"/>
        <v>08.042.913/0001-82</v>
      </c>
      <c r="C2078" s="12"/>
      <c r="D2078" s="3" t="s">
        <v>7760</v>
      </c>
      <c r="E2078" s="3" t="s">
        <v>7760</v>
      </c>
      <c r="F2078" s="3" t="s">
        <v>20</v>
      </c>
      <c r="G2078" s="4">
        <v>29865</v>
      </c>
      <c r="H2078" s="3" t="s">
        <v>21</v>
      </c>
      <c r="I2078" s="3" t="s">
        <v>33</v>
      </c>
      <c r="J2078" s="5">
        <v>500000</v>
      </c>
      <c r="K2078" s="3">
        <v>4110700</v>
      </c>
      <c r="L2078" s="3" t="s">
        <v>4133</v>
      </c>
      <c r="M2078" s="3" t="s">
        <v>7761</v>
      </c>
      <c r="N2078" s="3">
        <v>418</v>
      </c>
      <c r="O2078" s="3" t="s">
        <v>7762</v>
      </c>
      <c r="P2078" s="3" t="s">
        <v>7763</v>
      </c>
      <c r="Q2078" s="3" t="s">
        <v>1339</v>
      </c>
      <c r="R2078" s="3" t="s">
        <v>456</v>
      </c>
      <c r="S2078" s="3">
        <v>51160280</v>
      </c>
      <c r="U2078" s="3" t="s">
        <v>29</v>
      </c>
    </row>
    <row r="2079" spans="1:21" ht="13.2" x14ac:dyDescent="0.25">
      <c r="A2079" s="14">
        <v>92783380000104</v>
      </c>
      <c r="B2079" s="15" t="str">
        <f t="shared" si="32"/>
        <v>92.783.380/0001-04</v>
      </c>
      <c r="C2079" s="12"/>
      <c r="D2079" s="3" t="s">
        <v>7764</v>
      </c>
      <c r="E2079" s="3" t="s">
        <v>7764</v>
      </c>
      <c r="F2079" s="3" t="s">
        <v>20</v>
      </c>
      <c r="G2079" s="4">
        <v>24338</v>
      </c>
      <c r="H2079" s="3" t="s">
        <v>21</v>
      </c>
      <c r="I2079" s="3" t="s">
        <v>47</v>
      </c>
      <c r="J2079" s="5">
        <v>0</v>
      </c>
      <c r="K2079" s="3">
        <v>4530703</v>
      </c>
      <c r="L2079" s="3" t="s">
        <v>768</v>
      </c>
      <c r="M2079" s="3" t="s">
        <v>7765</v>
      </c>
      <c r="N2079" s="3">
        <v>1500</v>
      </c>
      <c r="O2079" s="3" t="s">
        <v>7766</v>
      </c>
      <c r="P2079" s="3" t="s">
        <v>7767</v>
      </c>
      <c r="Q2079" s="3" t="s">
        <v>437</v>
      </c>
      <c r="R2079" s="3" t="s">
        <v>53</v>
      </c>
      <c r="S2079" s="3">
        <v>91150180</v>
      </c>
      <c r="T2079" s="3">
        <v>5133403999</v>
      </c>
      <c r="U2079" s="3" t="s">
        <v>29</v>
      </c>
    </row>
    <row r="2080" spans="1:21" ht="13.2" x14ac:dyDescent="0.25">
      <c r="A2080" s="14">
        <v>72709173000194</v>
      </c>
      <c r="B2080" s="15" t="str">
        <f t="shared" si="32"/>
        <v>72.709.173/0001-94</v>
      </c>
      <c r="C2080" s="12"/>
      <c r="D2080" s="3" t="s">
        <v>7768</v>
      </c>
      <c r="E2080" s="3" t="s">
        <v>7768</v>
      </c>
      <c r="F2080" s="3" t="s">
        <v>20</v>
      </c>
      <c r="G2080" s="4">
        <v>34198</v>
      </c>
      <c r="H2080" s="3" t="s">
        <v>21</v>
      </c>
      <c r="I2080" s="3" t="s">
        <v>33</v>
      </c>
      <c r="J2080" s="5">
        <v>500000</v>
      </c>
      <c r="K2080" s="3">
        <v>4321500</v>
      </c>
      <c r="L2080" s="3" t="s">
        <v>964</v>
      </c>
      <c r="M2080" s="3" t="s">
        <v>7769</v>
      </c>
      <c r="N2080" s="3">
        <v>181</v>
      </c>
      <c r="O2080" s="3" t="s">
        <v>496</v>
      </c>
      <c r="P2080" s="3" t="s">
        <v>7770</v>
      </c>
      <c r="Q2080" s="3" t="s">
        <v>27</v>
      </c>
      <c r="R2080" s="3" t="s">
        <v>28</v>
      </c>
      <c r="S2080" s="3">
        <v>4650140</v>
      </c>
      <c r="T2080" s="3">
        <v>1181674417</v>
      </c>
      <c r="U2080" s="3" t="s">
        <v>29</v>
      </c>
    </row>
    <row r="2081" spans="1:21" ht="13.2" x14ac:dyDescent="0.25">
      <c r="A2081" s="14">
        <v>11105512000139</v>
      </c>
      <c r="B2081" s="15" t="str">
        <f t="shared" si="32"/>
        <v>11.105.512/0001-39</v>
      </c>
      <c r="C2081" s="12"/>
      <c r="D2081" s="3" t="s">
        <v>7771</v>
      </c>
      <c r="E2081" s="3" t="s">
        <v>7772</v>
      </c>
      <c r="F2081" s="3" t="s">
        <v>20</v>
      </c>
      <c r="G2081" s="4">
        <v>40039</v>
      </c>
      <c r="H2081" s="3" t="s">
        <v>21</v>
      </c>
      <c r="I2081" s="3" t="s">
        <v>47</v>
      </c>
      <c r="J2081" s="5">
        <v>90000</v>
      </c>
      <c r="K2081" s="3">
        <v>4663000</v>
      </c>
      <c r="L2081" s="3" t="s">
        <v>128</v>
      </c>
      <c r="M2081" s="3" t="s">
        <v>7773</v>
      </c>
      <c r="N2081" s="3">
        <v>135</v>
      </c>
      <c r="P2081" s="3" t="s">
        <v>7774</v>
      </c>
      <c r="Q2081" s="3" t="s">
        <v>27</v>
      </c>
      <c r="R2081" s="3" t="s">
        <v>28</v>
      </c>
      <c r="S2081" s="3">
        <v>8260280</v>
      </c>
      <c r="T2081" s="3">
        <v>1139292680</v>
      </c>
      <c r="U2081" s="3" t="s">
        <v>29</v>
      </c>
    </row>
    <row r="2082" spans="1:21" ht="13.2" x14ac:dyDescent="0.25">
      <c r="A2082" s="14">
        <v>4456591000167</v>
      </c>
      <c r="B2082" s="15" t="str">
        <f t="shared" si="32"/>
        <v>04.456.591/0001-67</v>
      </c>
      <c r="C2082" s="12"/>
      <c r="D2082" s="3" t="s">
        <v>7775</v>
      </c>
      <c r="E2082" s="3" t="s">
        <v>7775</v>
      </c>
      <c r="F2082" s="3" t="s">
        <v>20</v>
      </c>
      <c r="G2082" s="4">
        <v>37025</v>
      </c>
      <c r="H2082" s="3" t="s">
        <v>21</v>
      </c>
      <c r="I2082" s="3" t="s">
        <v>47</v>
      </c>
      <c r="J2082" s="5">
        <v>3000</v>
      </c>
      <c r="K2082" s="3">
        <v>4744001</v>
      </c>
      <c r="L2082" s="3" t="s">
        <v>396</v>
      </c>
      <c r="M2082" s="3" t="s">
        <v>7776</v>
      </c>
      <c r="N2082" s="3">
        <v>61</v>
      </c>
      <c r="P2082" s="3" t="s">
        <v>7777</v>
      </c>
      <c r="Q2082" s="3" t="s">
        <v>27</v>
      </c>
      <c r="R2082" s="3" t="s">
        <v>28</v>
      </c>
      <c r="S2082" s="3">
        <v>4880195</v>
      </c>
      <c r="T2082" s="3">
        <v>1156662975</v>
      </c>
      <c r="U2082" s="3" t="s">
        <v>29</v>
      </c>
    </row>
    <row r="2083" spans="1:21" ht="13.2" x14ac:dyDescent="0.25">
      <c r="A2083" s="14">
        <v>4380569000180</v>
      </c>
      <c r="B2083" s="15" t="str">
        <f t="shared" si="32"/>
        <v>04.380.569/0001-80</v>
      </c>
      <c r="C2083" s="12"/>
      <c r="D2083" s="3" t="s">
        <v>7778</v>
      </c>
      <c r="E2083" s="3" t="s">
        <v>7778</v>
      </c>
      <c r="F2083" s="3" t="s">
        <v>20</v>
      </c>
      <c r="G2083" s="4">
        <v>36979</v>
      </c>
      <c r="H2083" s="3" t="s">
        <v>21</v>
      </c>
      <c r="I2083" s="3" t="s">
        <v>33</v>
      </c>
      <c r="J2083" s="5">
        <v>200000</v>
      </c>
      <c r="K2083" s="3">
        <v>4644301</v>
      </c>
      <c r="L2083" s="3" t="s">
        <v>326</v>
      </c>
      <c r="M2083" s="3" t="s">
        <v>7779</v>
      </c>
      <c r="N2083" s="3">
        <v>1215</v>
      </c>
      <c r="P2083" s="3" t="s">
        <v>7780</v>
      </c>
      <c r="Q2083" s="3" t="s">
        <v>4528</v>
      </c>
      <c r="R2083" s="3" t="s">
        <v>765</v>
      </c>
      <c r="S2083" s="3">
        <v>29164020</v>
      </c>
      <c r="T2083" s="3">
        <v>2733241878</v>
      </c>
      <c r="U2083" s="3" t="s">
        <v>29</v>
      </c>
    </row>
    <row r="2084" spans="1:21" ht="13.2" x14ac:dyDescent="0.25">
      <c r="A2084" s="14">
        <v>16974841000130</v>
      </c>
      <c r="B2084" s="15" t="str">
        <f t="shared" si="32"/>
        <v>16.974.841/0001-30</v>
      </c>
      <c r="C2084" s="12" t="str">
        <f>VLOOKUP(B2084,[1]Planilha1!$A:$B,2,0)</f>
        <v>Malu Montesino</v>
      </c>
      <c r="D2084" s="3" t="s">
        <v>7781</v>
      </c>
      <c r="E2084" s="3" t="s">
        <v>7782</v>
      </c>
      <c r="F2084" s="3" t="s">
        <v>20</v>
      </c>
      <c r="G2084" s="4">
        <v>41187</v>
      </c>
      <c r="H2084" s="3" t="s">
        <v>21</v>
      </c>
      <c r="I2084" s="3" t="s">
        <v>22</v>
      </c>
      <c r="J2084" s="5">
        <v>80000</v>
      </c>
      <c r="K2084" s="3">
        <v>4930203</v>
      </c>
      <c r="L2084" s="3" t="s">
        <v>7783</v>
      </c>
      <c r="M2084" s="3" t="s">
        <v>7784</v>
      </c>
      <c r="N2084" s="3">
        <v>166</v>
      </c>
      <c r="P2084" s="3" t="s">
        <v>7785</v>
      </c>
      <c r="Q2084" s="3" t="s">
        <v>915</v>
      </c>
      <c r="R2084" s="3" t="s">
        <v>28</v>
      </c>
      <c r="S2084" s="3">
        <v>14140000</v>
      </c>
      <c r="T2084" s="3">
        <v>1639831272</v>
      </c>
      <c r="U2084" s="3" t="s">
        <v>29</v>
      </c>
    </row>
    <row r="2085" spans="1:21" ht="13.2" x14ac:dyDescent="0.25">
      <c r="A2085" s="14">
        <v>8658622000113</v>
      </c>
      <c r="B2085" s="15" t="str">
        <f t="shared" si="32"/>
        <v>08.658.622/0001-13</v>
      </c>
      <c r="C2085" s="12" t="str">
        <f>VLOOKUP(B2085,[1]Planilha1!$A:$B,2,0)</f>
        <v>Malu Montesino</v>
      </c>
      <c r="D2085" s="3" t="s">
        <v>7786</v>
      </c>
      <c r="E2085" s="3" t="s">
        <v>7787</v>
      </c>
      <c r="F2085" s="3" t="s">
        <v>20</v>
      </c>
      <c r="G2085" s="4">
        <v>39121</v>
      </c>
      <c r="H2085" s="3" t="s">
        <v>46</v>
      </c>
      <c r="I2085" s="3" t="s">
        <v>22</v>
      </c>
      <c r="J2085" s="5">
        <v>150000</v>
      </c>
      <c r="K2085" s="3">
        <v>4744099</v>
      </c>
      <c r="L2085" s="3" t="s">
        <v>115</v>
      </c>
      <c r="M2085" s="3" t="s">
        <v>7788</v>
      </c>
      <c r="N2085" s="3">
        <v>737</v>
      </c>
      <c r="O2085" s="3" t="s">
        <v>7789</v>
      </c>
      <c r="P2085" s="3" t="s">
        <v>70</v>
      </c>
      <c r="Q2085" s="3" t="s">
        <v>2110</v>
      </c>
      <c r="R2085" s="3" t="s">
        <v>53</v>
      </c>
      <c r="S2085" s="3">
        <v>98400000</v>
      </c>
      <c r="T2085" s="3">
        <v>5537441575</v>
      </c>
      <c r="U2085" s="3" t="s">
        <v>29</v>
      </c>
    </row>
    <row r="2086" spans="1:21" ht="13.2" x14ac:dyDescent="0.25">
      <c r="A2086" s="14">
        <v>80392434000113</v>
      </c>
      <c r="B2086" s="15" t="str">
        <f t="shared" si="32"/>
        <v>80.392.434/0001-13</v>
      </c>
      <c r="C2086" s="12"/>
      <c r="D2086" s="3" t="s">
        <v>7790</v>
      </c>
      <c r="E2086" s="3" t="s">
        <v>7790</v>
      </c>
      <c r="F2086" s="3" t="s">
        <v>20</v>
      </c>
      <c r="G2086" s="4">
        <v>32161</v>
      </c>
      <c r="H2086" s="3" t="s">
        <v>21</v>
      </c>
      <c r="I2086" s="3" t="s">
        <v>33</v>
      </c>
      <c r="J2086" s="5">
        <v>600000</v>
      </c>
      <c r="K2086" s="3">
        <v>2229399</v>
      </c>
      <c r="L2086" s="3" t="s">
        <v>414</v>
      </c>
      <c r="M2086" s="3" t="s">
        <v>7638</v>
      </c>
      <c r="N2086" s="3">
        <v>2414</v>
      </c>
      <c r="P2086" s="3" t="s">
        <v>7791</v>
      </c>
      <c r="Q2086" s="3" t="s">
        <v>186</v>
      </c>
      <c r="R2086" s="3" t="s">
        <v>187</v>
      </c>
      <c r="S2086" s="3">
        <v>83010620</v>
      </c>
      <c r="T2086" s="3">
        <v>413832526</v>
      </c>
      <c r="U2086" s="3" t="s">
        <v>29</v>
      </c>
    </row>
    <row r="2087" spans="1:21" ht="13.2" x14ac:dyDescent="0.25">
      <c r="A2087" s="14">
        <v>1963124000135</v>
      </c>
      <c r="B2087" s="15" t="str">
        <f t="shared" si="32"/>
        <v>01.963.124/0001-35</v>
      </c>
      <c r="C2087" s="12"/>
      <c r="D2087" s="3" t="s">
        <v>7792</v>
      </c>
      <c r="E2087" s="3" t="s">
        <v>7792</v>
      </c>
      <c r="F2087" s="3" t="s">
        <v>20</v>
      </c>
      <c r="G2087" s="4">
        <v>35622</v>
      </c>
      <c r="H2087" s="3" t="s">
        <v>21</v>
      </c>
      <c r="I2087" s="3" t="s">
        <v>33</v>
      </c>
      <c r="J2087" s="5">
        <v>8000000</v>
      </c>
      <c r="K2087" s="3">
        <v>4211101</v>
      </c>
      <c r="L2087" s="3" t="s">
        <v>313</v>
      </c>
      <c r="M2087" s="3" t="s">
        <v>7793</v>
      </c>
      <c r="N2087" s="3">
        <v>487</v>
      </c>
      <c r="O2087" s="3" t="s">
        <v>1844</v>
      </c>
      <c r="P2087" s="3" t="s">
        <v>7794</v>
      </c>
      <c r="Q2087" s="3" t="s">
        <v>3992</v>
      </c>
      <c r="R2087" s="3" t="s">
        <v>28</v>
      </c>
      <c r="S2087" s="3">
        <v>11601102</v>
      </c>
      <c r="T2087" s="3">
        <v>1238611480</v>
      </c>
      <c r="U2087" s="3" t="s">
        <v>29</v>
      </c>
    </row>
    <row r="2088" spans="1:21" ht="13.2" x14ac:dyDescent="0.25">
      <c r="A2088" s="14">
        <v>67882621000117</v>
      </c>
      <c r="B2088" s="15" t="str">
        <f t="shared" si="32"/>
        <v>67.882.621/0001-17</v>
      </c>
      <c r="C2088" s="12"/>
      <c r="D2088" s="3" t="s">
        <v>7795</v>
      </c>
      <c r="E2088" s="3" t="s">
        <v>7795</v>
      </c>
      <c r="F2088" s="3" t="s">
        <v>20</v>
      </c>
      <c r="G2088" s="4">
        <v>33744</v>
      </c>
      <c r="H2088" s="3" t="s">
        <v>21</v>
      </c>
      <c r="I2088" s="3" t="s">
        <v>33</v>
      </c>
      <c r="J2088" s="5">
        <v>1050000</v>
      </c>
      <c r="K2088" s="3">
        <v>3250701</v>
      </c>
      <c r="L2088" s="3" t="s">
        <v>2195</v>
      </c>
      <c r="M2088" s="3" t="s">
        <v>7796</v>
      </c>
      <c r="N2088" s="3">
        <v>279</v>
      </c>
      <c r="P2088" s="3" t="s">
        <v>3970</v>
      </c>
      <c r="Q2088" s="3" t="s">
        <v>27</v>
      </c>
      <c r="R2088" s="3" t="s">
        <v>28</v>
      </c>
      <c r="S2088" s="3">
        <v>4225050</v>
      </c>
      <c r="T2088" s="3">
        <v>1129149716</v>
      </c>
      <c r="U2088" s="3" t="s">
        <v>29</v>
      </c>
    </row>
    <row r="2089" spans="1:21" ht="13.2" x14ac:dyDescent="0.25">
      <c r="A2089" s="14">
        <v>8048880000188</v>
      </c>
      <c r="B2089" s="15" t="str">
        <f t="shared" si="32"/>
        <v>08.048.880/0001-88</v>
      </c>
      <c r="C2089" s="12"/>
      <c r="D2089" s="3" t="s">
        <v>7797</v>
      </c>
      <c r="E2089" s="3" t="s">
        <v>7797</v>
      </c>
      <c r="F2089" s="3" t="s">
        <v>20</v>
      </c>
      <c r="G2089" s="4">
        <v>38806</v>
      </c>
      <c r="H2089" s="3" t="s">
        <v>21</v>
      </c>
      <c r="I2089" s="3" t="s">
        <v>22</v>
      </c>
      <c r="J2089" s="5">
        <v>120000</v>
      </c>
      <c r="K2089" s="3">
        <v>1413401</v>
      </c>
      <c r="L2089" s="3" t="s">
        <v>7283</v>
      </c>
      <c r="M2089" s="3" t="s">
        <v>7798</v>
      </c>
      <c r="N2089" s="3">
        <v>753</v>
      </c>
      <c r="P2089" s="3" t="s">
        <v>6094</v>
      </c>
      <c r="Q2089" s="3" t="s">
        <v>27</v>
      </c>
      <c r="R2089" s="3" t="s">
        <v>28</v>
      </c>
      <c r="S2089" s="3">
        <v>3136040</v>
      </c>
      <c r="T2089" s="3">
        <v>1133614350</v>
      </c>
      <c r="U2089" s="3" t="s">
        <v>29</v>
      </c>
    </row>
    <row r="2090" spans="1:21" ht="13.2" x14ac:dyDescent="0.25">
      <c r="A2090" s="14">
        <v>5100354000121</v>
      </c>
      <c r="B2090" s="15" t="str">
        <f t="shared" si="32"/>
        <v>05.100.354/0001-21</v>
      </c>
      <c r="C2090" s="12"/>
      <c r="D2090" s="3" t="s">
        <v>7799</v>
      </c>
      <c r="E2090" s="3" t="s">
        <v>7799</v>
      </c>
      <c r="F2090" s="3" t="s">
        <v>20</v>
      </c>
      <c r="G2090" s="4">
        <v>37410</v>
      </c>
      <c r="H2090" s="3" t="s">
        <v>21</v>
      </c>
      <c r="I2090" s="3" t="s">
        <v>47</v>
      </c>
      <c r="J2090" s="5">
        <v>78800</v>
      </c>
      <c r="K2090" s="3">
        <v>8599604</v>
      </c>
      <c r="L2090" s="3" t="s">
        <v>55</v>
      </c>
      <c r="M2090" s="3" t="s">
        <v>7800</v>
      </c>
      <c r="N2090" s="3">
        <v>35</v>
      </c>
      <c r="O2090" s="3" t="s">
        <v>7801</v>
      </c>
      <c r="P2090" s="3" t="s">
        <v>7802</v>
      </c>
      <c r="Q2090" s="3" t="s">
        <v>27</v>
      </c>
      <c r="R2090" s="3" t="s">
        <v>28</v>
      </c>
      <c r="S2090" s="3">
        <v>5774200</v>
      </c>
      <c r="T2090" s="3">
        <v>1196169619</v>
      </c>
      <c r="U2090" s="3" t="s">
        <v>29</v>
      </c>
    </row>
    <row r="2091" spans="1:21" ht="13.2" x14ac:dyDescent="0.25">
      <c r="A2091" s="14">
        <v>2333707000145</v>
      </c>
      <c r="B2091" s="15" t="str">
        <f t="shared" si="32"/>
        <v>02.333.707/0001-45</v>
      </c>
      <c r="C2091" s="12" t="str">
        <f>VLOOKUP(B2091,[1]Planilha1!$A:$B,2,0)</f>
        <v>Mariane Nascimento</v>
      </c>
      <c r="D2091" s="3" t="s">
        <v>7803</v>
      </c>
      <c r="E2091" s="3" t="s">
        <v>7803</v>
      </c>
      <c r="F2091" s="3" t="s">
        <v>20</v>
      </c>
      <c r="G2091" s="4">
        <v>35817</v>
      </c>
      <c r="H2091" s="3" t="s">
        <v>21</v>
      </c>
      <c r="I2091" s="3" t="s">
        <v>33</v>
      </c>
      <c r="J2091" s="5">
        <v>4392538000</v>
      </c>
      <c r="K2091" s="3">
        <v>8211300</v>
      </c>
      <c r="L2091" s="3" t="s">
        <v>166</v>
      </c>
      <c r="M2091" s="3" t="s">
        <v>616</v>
      </c>
      <c r="N2091" s="3">
        <v>267</v>
      </c>
      <c r="O2091" s="3" t="s">
        <v>7804</v>
      </c>
      <c r="P2091" s="3" t="s">
        <v>616</v>
      </c>
      <c r="Q2091" s="3" t="s">
        <v>617</v>
      </c>
      <c r="R2091" s="3" t="s">
        <v>28</v>
      </c>
      <c r="S2091" s="3">
        <v>6460000</v>
      </c>
      <c r="T2091" s="3">
        <v>1145256264</v>
      </c>
      <c r="U2091" s="3" t="s">
        <v>29</v>
      </c>
    </row>
    <row r="2092" spans="1:21" ht="13.2" x14ac:dyDescent="0.25">
      <c r="A2092" s="14">
        <v>10313717000147</v>
      </c>
      <c r="B2092" s="15" t="str">
        <f t="shared" si="32"/>
        <v>10.313.717/0001-47</v>
      </c>
      <c r="C2092" s="12" t="str">
        <f>VLOOKUP(B2092,[1]Planilha1!$A:$B,2,0)</f>
        <v>Malu Montesino</v>
      </c>
      <c r="D2092" s="3" t="s">
        <v>7805</v>
      </c>
      <c r="E2092" s="3" t="s">
        <v>7806</v>
      </c>
      <c r="F2092" s="3" t="s">
        <v>20</v>
      </c>
      <c r="G2092" s="4">
        <v>39671</v>
      </c>
      <c r="H2092" s="3" t="s">
        <v>21</v>
      </c>
      <c r="I2092" s="3" t="s">
        <v>33</v>
      </c>
      <c r="J2092" s="5">
        <v>616627700</v>
      </c>
      <c r="K2092" s="3">
        <v>4511103</v>
      </c>
      <c r="L2092" s="3" t="s">
        <v>6275</v>
      </c>
      <c r="M2092" s="3" t="s">
        <v>4943</v>
      </c>
      <c r="N2092" s="3">
        <v>2332</v>
      </c>
      <c r="O2092" s="3" t="s">
        <v>2224</v>
      </c>
      <c r="P2092" s="3" t="s">
        <v>5260</v>
      </c>
      <c r="Q2092" s="3" t="s">
        <v>27</v>
      </c>
      <c r="R2092" s="3" t="s">
        <v>28</v>
      </c>
      <c r="S2092" s="3">
        <v>4028900</v>
      </c>
      <c r="T2092" s="3">
        <v>1150567000</v>
      </c>
      <c r="U2092" s="3" t="s">
        <v>29</v>
      </c>
    </row>
    <row r="2093" spans="1:21" ht="13.2" x14ac:dyDescent="0.25">
      <c r="A2093" s="14">
        <v>19804618000132</v>
      </c>
      <c r="B2093" s="15" t="str">
        <f t="shared" si="32"/>
        <v>19.804.618/0001-32</v>
      </c>
      <c r="C2093" s="12"/>
      <c r="D2093" s="3" t="s">
        <v>7807</v>
      </c>
      <c r="E2093" s="3" t="s">
        <v>7808</v>
      </c>
      <c r="F2093" s="3" t="s">
        <v>20</v>
      </c>
      <c r="G2093" s="4">
        <v>41691</v>
      </c>
      <c r="H2093" s="3" t="s">
        <v>46</v>
      </c>
      <c r="I2093" s="3" t="s">
        <v>47</v>
      </c>
      <c r="J2093" s="5">
        <v>30000</v>
      </c>
      <c r="K2093" s="3">
        <v>8219999</v>
      </c>
      <c r="L2093" s="3" t="s">
        <v>121</v>
      </c>
      <c r="M2093" s="3" t="s">
        <v>7809</v>
      </c>
      <c r="N2093" s="3">
        <v>356</v>
      </c>
      <c r="O2093" s="3" t="s">
        <v>1844</v>
      </c>
      <c r="P2093" s="3" t="s">
        <v>7810</v>
      </c>
      <c r="Q2093" s="3" t="s">
        <v>875</v>
      </c>
      <c r="R2093" s="3" t="s">
        <v>53</v>
      </c>
      <c r="S2093" s="3">
        <v>93020570</v>
      </c>
      <c r="T2093" s="3">
        <v>5192779096</v>
      </c>
      <c r="U2093" s="3" t="s">
        <v>29</v>
      </c>
    </row>
    <row r="2094" spans="1:21" ht="13.2" x14ac:dyDescent="0.25">
      <c r="A2094" s="14">
        <v>18290304000104</v>
      </c>
      <c r="B2094" s="15" t="str">
        <f t="shared" si="32"/>
        <v>18.290.304/0001-04</v>
      </c>
      <c r="C2094" s="12"/>
      <c r="D2094" s="3" t="s">
        <v>7811</v>
      </c>
      <c r="E2094" s="3" t="s">
        <v>7812</v>
      </c>
      <c r="F2094" s="3" t="s">
        <v>20</v>
      </c>
      <c r="G2094" s="4">
        <v>27302</v>
      </c>
      <c r="H2094" s="3" t="s">
        <v>21</v>
      </c>
      <c r="I2094" s="3" t="s">
        <v>33</v>
      </c>
      <c r="J2094" s="5">
        <v>515000</v>
      </c>
      <c r="K2094" s="3">
        <v>2599399</v>
      </c>
      <c r="L2094" s="3" t="s">
        <v>1144</v>
      </c>
      <c r="M2094" s="3" t="s">
        <v>7813</v>
      </c>
      <c r="N2094" s="3">
        <v>12100</v>
      </c>
      <c r="P2094" s="3" t="s">
        <v>7814</v>
      </c>
      <c r="Q2094" s="3" t="s">
        <v>363</v>
      </c>
      <c r="R2094" s="3" t="s">
        <v>100</v>
      </c>
      <c r="S2094" s="3">
        <v>35500970</v>
      </c>
      <c r="T2094" s="3">
        <v>3735123000</v>
      </c>
      <c r="U2094" s="3" t="s">
        <v>29</v>
      </c>
    </row>
    <row r="2095" spans="1:21" ht="13.2" x14ac:dyDescent="0.25">
      <c r="A2095" s="14">
        <v>2635522000195</v>
      </c>
      <c r="B2095" s="15" t="str">
        <f t="shared" si="32"/>
        <v>02.635.522/0001-95</v>
      </c>
      <c r="C2095" s="12"/>
      <c r="D2095" s="3" t="s">
        <v>7815</v>
      </c>
      <c r="E2095" s="3" t="s">
        <v>7815</v>
      </c>
      <c r="F2095" s="3" t="s">
        <v>20</v>
      </c>
      <c r="G2095" s="4">
        <v>29553</v>
      </c>
      <c r="H2095" s="3" t="s">
        <v>377</v>
      </c>
      <c r="I2095" s="3" t="s">
        <v>33</v>
      </c>
      <c r="J2095" s="5">
        <v>1079191900</v>
      </c>
      <c r="K2095" s="3">
        <v>1071600</v>
      </c>
      <c r="L2095" s="3" t="s">
        <v>7816</v>
      </c>
      <c r="M2095" s="3" t="s">
        <v>7817</v>
      </c>
      <c r="N2095" s="3" t="s">
        <v>82</v>
      </c>
      <c r="P2095" s="3" t="s">
        <v>911</v>
      </c>
      <c r="Q2095" s="3" t="s">
        <v>7818</v>
      </c>
      <c r="R2095" s="3" t="s">
        <v>274</v>
      </c>
      <c r="S2095" s="3">
        <v>76388899</v>
      </c>
      <c r="T2095" s="3">
        <v>6333899000</v>
      </c>
      <c r="U2095" s="3" t="s">
        <v>29</v>
      </c>
    </row>
    <row r="2096" spans="1:21" ht="13.2" x14ac:dyDescent="0.25">
      <c r="A2096" s="14">
        <v>38734794000190</v>
      </c>
      <c r="B2096" s="15" t="str">
        <f t="shared" si="32"/>
        <v>38.734.794/0001-90</v>
      </c>
      <c r="C2096" s="12"/>
      <c r="D2096" s="3" t="s">
        <v>7819</v>
      </c>
      <c r="E2096" s="3" t="s">
        <v>7819</v>
      </c>
      <c r="F2096" s="3" t="s">
        <v>20</v>
      </c>
      <c r="G2096" s="4">
        <v>33263</v>
      </c>
      <c r="H2096" s="3" t="s">
        <v>94</v>
      </c>
      <c r="I2096" s="3" t="s">
        <v>33</v>
      </c>
      <c r="J2096" s="5">
        <v>3200000</v>
      </c>
      <c r="K2096" s="3">
        <v>4322302</v>
      </c>
      <c r="L2096" s="3" t="s">
        <v>5651</v>
      </c>
      <c r="M2096" s="3" t="s">
        <v>5492</v>
      </c>
      <c r="N2096" s="3">
        <v>959</v>
      </c>
      <c r="O2096" s="3" t="s">
        <v>7820</v>
      </c>
      <c r="P2096" s="3" t="s">
        <v>7821</v>
      </c>
      <c r="Q2096" s="3" t="s">
        <v>476</v>
      </c>
      <c r="R2096" s="3" t="s">
        <v>100</v>
      </c>
      <c r="S2096" s="3">
        <v>30380403</v>
      </c>
      <c r="T2096" s="3">
        <v>3135282333</v>
      </c>
      <c r="U2096" s="3" t="s">
        <v>29</v>
      </c>
    </row>
    <row r="2097" spans="1:21" ht="13.2" x14ac:dyDescent="0.25">
      <c r="A2097" s="14">
        <v>6164392000100</v>
      </c>
      <c r="B2097" s="15" t="str">
        <f t="shared" si="32"/>
        <v>06.164.392/0001-00</v>
      </c>
      <c r="C2097" s="12"/>
      <c r="D2097" s="3" t="s">
        <v>7822</v>
      </c>
      <c r="E2097" s="3" t="s">
        <v>7822</v>
      </c>
      <c r="F2097" s="3" t="s">
        <v>45</v>
      </c>
      <c r="G2097" s="4">
        <v>38062</v>
      </c>
      <c r="H2097" s="3" t="s">
        <v>21</v>
      </c>
      <c r="I2097" s="3" t="s">
        <v>33</v>
      </c>
      <c r="J2097" s="5">
        <v>15918207</v>
      </c>
      <c r="K2097" s="3">
        <v>4322302</v>
      </c>
      <c r="L2097" s="3" t="s">
        <v>5651</v>
      </c>
      <c r="M2097" s="3" t="s">
        <v>5492</v>
      </c>
      <c r="N2097" s="3">
        <v>3081</v>
      </c>
      <c r="P2097" s="3" t="s">
        <v>4197</v>
      </c>
      <c r="Q2097" s="3" t="s">
        <v>476</v>
      </c>
      <c r="R2097" s="3" t="s">
        <v>100</v>
      </c>
      <c r="S2097" s="3">
        <v>30350563</v>
      </c>
      <c r="T2097" s="3">
        <v>1121978888</v>
      </c>
      <c r="U2097" s="3" t="s">
        <v>29</v>
      </c>
    </row>
    <row r="2098" spans="1:21" ht="13.2" x14ac:dyDescent="0.25">
      <c r="A2098" s="14">
        <v>24425034000196</v>
      </c>
      <c r="B2098" s="15" t="str">
        <f t="shared" si="32"/>
        <v>24.425.034/0001-96</v>
      </c>
      <c r="C2098" s="12"/>
      <c r="D2098" s="3" t="s">
        <v>7823</v>
      </c>
      <c r="E2098" s="3" t="s">
        <v>7824</v>
      </c>
      <c r="F2098" s="3" t="s">
        <v>20</v>
      </c>
      <c r="G2098" s="4">
        <v>42450</v>
      </c>
      <c r="H2098" s="3" t="s">
        <v>21</v>
      </c>
      <c r="I2098" s="3" t="s">
        <v>33</v>
      </c>
      <c r="J2098" s="5">
        <v>1000000</v>
      </c>
      <c r="K2098" s="3">
        <v>6203100</v>
      </c>
      <c r="L2098" s="3" t="s">
        <v>2268</v>
      </c>
      <c r="M2098" s="3" t="s">
        <v>7825</v>
      </c>
      <c r="N2098" s="3">
        <v>3</v>
      </c>
      <c r="O2098" s="3" t="s">
        <v>7826</v>
      </c>
      <c r="P2098" s="3" t="s">
        <v>1745</v>
      </c>
      <c r="Q2098" s="3" t="s">
        <v>631</v>
      </c>
      <c r="R2098" s="3" t="s">
        <v>632</v>
      </c>
      <c r="S2098" s="3">
        <v>70200002</v>
      </c>
      <c r="T2098" s="3">
        <v>6120170771</v>
      </c>
      <c r="U2098" s="3" t="s">
        <v>29</v>
      </c>
    </row>
    <row r="2099" spans="1:21" ht="13.2" x14ac:dyDescent="0.25">
      <c r="A2099" s="14">
        <v>51780468000187</v>
      </c>
      <c r="B2099" s="15" t="str">
        <f t="shared" si="32"/>
        <v>51.780.468/0001-87</v>
      </c>
      <c r="C2099" s="12" t="str">
        <f>VLOOKUP(B2099,[1]Planilha1!$A:$B,2,0)</f>
        <v>Malu Montesino</v>
      </c>
      <c r="D2099" s="3" t="s">
        <v>7827</v>
      </c>
      <c r="E2099" s="3" t="s">
        <v>7827</v>
      </c>
      <c r="F2099" s="3" t="s">
        <v>20</v>
      </c>
      <c r="G2099" s="4">
        <v>30242</v>
      </c>
      <c r="H2099" s="3" t="s">
        <v>21</v>
      </c>
      <c r="I2099" s="3" t="s">
        <v>33</v>
      </c>
      <c r="J2099" s="5">
        <v>318050240</v>
      </c>
      <c r="K2099" s="3">
        <v>2121101</v>
      </c>
      <c r="L2099" s="3" t="s">
        <v>233</v>
      </c>
      <c r="M2099" s="3" t="s">
        <v>1047</v>
      </c>
      <c r="N2099" s="3">
        <v>2041</v>
      </c>
      <c r="O2099" s="3" t="s">
        <v>7828</v>
      </c>
      <c r="P2099" s="3" t="s">
        <v>1049</v>
      </c>
      <c r="Q2099" s="3" t="s">
        <v>27</v>
      </c>
      <c r="R2099" s="3" t="s">
        <v>28</v>
      </c>
      <c r="S2099" s="3">
        <v>4543011</v>
      </c>
      <c r="T2099" s="3">
        <v>1239321771</v>
      </c>
      <c r="U2099" s="3" t="s">
        <v>29</v>
      </c>
    </row>
    <row r="2100" spans="1:21" ht="13.2" x14ac:dyDescent="0.25">
      <c r="A2100" s="14">
        <v>6269982000106</v>
      </c>
      <c r="B2100" s="15" t="str">
        <f t="shared" si="32"/>
        <v>06.269.982/0001-06</v>
      </c>
      <c r="C2100" s="12"/>
      <c r="D2100" s="3" t="s">
        <v>7829</v>
      </c>
      <c r="E2100" s="3" t="s">
        <v>7829</v>
      </c>
      <c r="F2100" s="3" t="s">
        <v>20</v>
      </c>
      <c r="G2100" s="4">
        <v>38106</v>
      </c>
      <c r="H2100" s="3" t="s">
        <v>21</v>
      </c>
      <c r="I2100" s="3" t="s">
        <v>22</v>
      </c>
      <c r="J2100" s="5">
        <v>0</v>
      </c>
      <c r="K2100" s="3">
        <v>7733100</v>
      </c>
      <c r="L2100" s="3" t="s">
        <v>2690</v>
      </c>
      <c r="M2100" s="3" t="s">
        <v>7830</v>
      </c>
      <c r="N2100" s="3">
        <v>1103</v>
      </c>
      <c r="P2100" s="3" t="s">
        <v>4806</v>
      </c>
      <c r="Q2100" s="3" t="s">
        <v>27</v>
      </c>
      <c r="R2100" s="3" t="s">
        <v>28</v>
      </c>
      <c r="S2100" s="3">
        <v>1536000</v>
      </c>
      <c r="T2100" s="3">
        <v>1132720002</v>
      </c>
      <c r="U2100" s="3" t="s">
        <v>29</v>
      </c>
    </row>
    <row r="2101" spans="1:21" ht="13.2" x14ac:dyDescent="0.25">
      <c r="A2101" s="14">
        <v>71522460000128</v>
      </c>
      <c r="B2101" s="15" t="str">
        <f t="shared" si="32"/>
        <v>71.522.460/0001-28</v>
      </c>
      <c r="C2101" s="12"/>
      <c r="D2101" s="3" t="s">
        <v>7831</v>
      </c>
      <c r="E2101" s="3" t="s">
        <v>7832</v>
      </c>
      <c r="F2101" s="3" t="s">
        <v>20</v>
      </c>
      <c r="G2101" s="4">
        <v>34096</v>
      </c>
      <c r="H2101" s="3" t="s">
        <v>94</v>
      </c>
      <c r="I2101" s="3" t="s">
        <v>33</v>
      </c>
      <c r="J2101" s="5">
        <v>21000000</v>
      </c>
      <c r="K2101" s="3">
        <v>2229301</v>
      </c>
      <c r="L2101" s="3" t="s">
        <v>1793</v>
      </c>
      <c r="M2101" s="3" t="s">
        <v>7833</v>
      </c>
      <c r="N2101" s="3">
        <v>370</v>
      </c>
      <c r="O2101" s="3" t="s">
        <v>7834</v>
      </c>
      <c r="P2101" s="3" t="s">
        <v>7835</v>
      </c>
      <c r="Q2101" s="3" t="s">
        <v>567</v>
      </c>
      <c r="R2101" s="3" t="s">
        <v>28</v>
      </c>
      <c r="S2101" s="3">
        <v>13212793</v>
      </c>
      <c r="T2101" s="3">
        <v>1145323333</v>
      </c>
      <c r="U2101" s="3" t="s">
        <v>29</v>
      </c>
    </row>
    <row r="2102" spans="1:21" ht="13.2" x14ac:dyDescent="0.25">
      <c r="A2102" s="14">
        <v>3846642000102</v>
      </c>
      <c r="B2102" s="15" t="str">
        <f t="shared" si="32"/>
        <v>03.846.642/0001-02</v>
      </c>
      <c r="C2102" s="12" t="str">
        <f>VLOOKUP(B2102,[1]Planilha1!$A:$B,2,0)</f>
        <v>Malu Montesino</v>
      </c>
      <c r="D2102" s="3" t="s">
        <v>7836</v>
      </c>
      <c r="E2102" s="3" t="s">
        <v>7836</v>
      </c>
      <c r="F2102" s="3" t="s">
        <v>20</v>
      </c>
      <c r="G2102" s="4">
        <v>36676</v>
      </c>
      <c r="H2102" s="3" t="s">
        <v>21</v>
      </c>
      <c r="I2102" s="3" t="s">
        <v>33</v>
      </c>
      <c r="J2102" s="5">
        <v>3000000</v>
      </c>
      <c r="K2102" s="3">
        <v>4685100</v>
      </c>
      <c r="L2102" s="3" t="s">
        <v>390</v>
      </c>
      <c r="M2102" s="3" t="s">
        <v>7837</v>
      </c>
      <c r="N2102" s="3">
        <v>363</v>
      </c>
      <c r="P2102" s="3" t="s">
        <v>3970</v>
      </c>
      <c r="Q2102" s="3" t="s">
        <v>27</v>
      </c>
      <c r="R2102" s="3" t="s">
        <v>28</v>
      </c>
      <c r="S2102" s="3">
        <v>4221060</v>
      </c>
      <c r="T2102" s="3">
        <v>1133182900</v>
      </c>
      <c r="U2102" s="3" t="s">
        <v>29</v>
      </c>
    </row>
    <row r="2103" spans="1:21" ht="13.2" x14ac:dyDescent="0.25">
      <c r="A2103" s="14">
        <v>8067602000178</v>
      </c>
      <c r="B2103" s="15" t="str">
        <f t="shared" si="32"/>
        <v>08.067.602/0001-78</v>
      </c>
      <c r="C2103" s="12"/>
      <c r="D2103" s="3" t="s">
        <v>7838</v>
      </c>
      <c r="E2103" s="3" t="s">
        <v>7838</v>
      </c>
      <c r="F2103" s="3" t="s">
        <v>20</v>
      </c>
      <c r="G2103" s="4">
        <v>38869</v>
      </c>
      <c r="H2103" s="3" t="s">
        <v>21</v>
      </c>
      <c r="I2103" s="3" t="s">
        <v>33</v>
      </c>
      <c r="J2103" s="5">
        <v>52700</v>
      </c>
      <c r="K2103" s="3">
        <v>6201501</v>
      </c>
      <c r="L2103" s="3" t="s">
        <v>298</v>
      </c>
      <c r="M2103" s="3" t="s">
        <v>4792</v>
      </c>
      <c r="N2103" s="3">
        <v>43</v>
      </c>
      <c r="O2103" s="3" t="s">
        <v>7839</v>
      </c>
      <c r="P2103" s="3" t="s">
        <v>4794</v>
      </c>
      <c r="Q2103" s="3" t="s">
        <v>253</v>
      </c>
      <c r="R2103" s="3" t="s">
        <v>78</v>
      </c>
      <c r="S2103" s="3">
        <v>20220410</v>
      </c>
      <c r="T2103" s="3">
        <v>2127193679</v>
      </c>
      <c r="U2103" s="3" t="s">
        <v>29</v>
      </c>
    </row>
    <row r="2104" spans="1:21" ht="13.2" x14ac:dyDescent="0.25">
      <c r="A2104" s="14">
        <v>15129688000181</v>
      </c>
      <c r="B2104" s="15" t="str">
        <f t="shared" si="32"/>
        <v>15.129.688/0001-81</v>
      </c>
      <c r="C2104" s="12"/>
      <c r="D2104" s="3" t="s">
        <v>7840</v>
      </c>
      <c r="E2104" s="3" t="s">
        <v>7841</v>
      </c>
      <c r="F2104" s="3" t="s">
        <v>20</v>
      </c>
      <c r="G2104" s="4">
        <v>40966</v>
      </c>
      <c r="H2104" s="3" t="s">
        <v>21</v>
      </c>
      <c r="I2104" s="3" t="s">
        <v>47</v>
      </c>
      <c r="J2104" s="5">
        <v>10000</v>
      </c>
      <c r="K2104" s="3">
        <v>6311900</v>
      </c>
      <c r="L2104" s="3" t="s">
        <v>3132</v>
      </c>
      <c r="M2104" s="3" t="s">
        <v>7842</v>
      </c>
      <c r="N2104" s="3">
        <v>21</v>
      </c>
      <c r="O2104" s="3" t="s">
        <v>7843</v>
      </c>
      <c r="P2104" s="3" t="s">
        <v>7844</v>
      </c>
      <c r="Q2104" s="3" t="s">
        <v>1339</v>
      </c>
      <c r="R2104" s="3" t="s">
        <v>456</v>
      </c>
      <c r="S2104" s="3">
        <v>50610170</v>
      </c>
      <c r="T2104" s="3">
        <v>8198126853</v>
      </c>
      <c r="U2104" s="3" t="s">
        <v>29</v>
      </c>
    </row>
    <row r="2105" spans="1:21" ht="13.2" x14ac:dyDescent="0.25">
      <c r="A2105" s="14">
        <v>8308229000108</v>
      </c>
      <c r="B2105" s="15" t="str">
        <f t="shared" si="32"/>
        <v>08.308.229/0001-08</v>
      </c>
      <c r="C2105" s="12"/>
      <c r="D2105" s="3" t="s">
        <v>7845</v>
      </c>
      <c r="E2105" s="3" t="s">
        <v>7845</v>
      </c>
      <c r="F2105" s="3" t="s">
        <v>20</v>
      </c>
      <c r="G2105" s="4">
        <v>38975</v>
      </c>
      <c r="H2105" s="3" t="s">
        <v>21</v>
      </c>
      <c r="I2105" s="3" t="s">
        <v>33</v>
      </c>
      <c r="J2105" s="5">
        <v>100000</v>
      </c>
      <c r="K2105" s="3">
        <v>4693100</v>
      </c>
      <c r="L2105" s="3" t="s">
        <v>238</v>
      </c>
      <c r="M2105" s="3" t="s">
        <v>2247</v>
      </c>
      <c r="N2105" s="3">
        <v>201</v>
      </c>
      <c r="O2105" s="3" t="s">
        <v>7846</v>
      </c>
      <c r="P2105" s="3" t="s">
        <v>834</v>
      </c>
      <c r="Q2105" s="3" t="s">
        <v>27</v>
      </c>
      <c r="R2105" s="3" t="s">
        <v>28</v>
      </c>
      <c r="S2105" s="3">
        <v>5615190</v>
      </c>
      <c r="T2105" s="3">
        <v>1121714126</v>
      </c>
      <c r="U2105" s="3" t="s">
        <v>29</v>
      </c>
    </row>
    <row r="2106" spans="1:21" ht="13.2" x14ac:dyDescent="0.25">
      <c r="A2106" s="14">
        <v>2916265014110</v>
      </c>
      <c r="B2106" s="15" t="str">
        <f t="shared" si="32"/>
        <v>02.916.265/0141-10</v>
      </c>
      <c r="C2106" s="12" t="str">
        <f>VLOOKUP(B2106,[1]Planilha1!$A:$B,2,0)</f>
        <v>Malu Montesino</v>
      </c>
      <c r="D2106" s="3" t="s">
        <v>7847</v>
      </c>
      <c r="E2106" s="3" t="s">
        <v>7848</v>
      </c>
      <c r="F2106" s="3" t="s">
        <v>20</v>
      </c>
      <c r="G2106" s="4">
        <v>40371</v>
      </c>
      <c r="H2106" s="3" t="s">
        <v>377</v>
      </c>
      <c r="I2106" s="3" t="s">
        <v>33</v>
      </c>
      <c r="J2106" s="5">
        <v>23631071000</v>
      </c>
      <c r="K2106" s="3">
        <v>1011201</v>
      </c>
      <c r="L2106" s="3" t="s">
        <v>6368</v>
      </c>
      <c r="M2106" s="3" t="s">
        <v>7849</v>
      </c>
      <c r="N2106" s="3" t="s">
        <v>82</v>
      </c>
      <c r="O2106" s="3" t="s">
        <v>7850</v>
      </c>
      <c r="P2106" s="3" t="s">
        <v>7851</v>
      </c>
      <c r="Q2106" s="3" t="s">
        <v>791</v>
      </c>
      <c r="R2106" s="3" t="s">
        <v>792</v>
      </c>
      <c r="S2106" s="3">
        <v>68504034</v>
      </c>
      <c r="T2106" s="3">
        <v>1131444000</v>
      </c>
      <c r="U2106" s="3" t="s">
        <v>29</v>
      </c>
    </row>
    <row r="2107" spans="1:21" ht="13.2" x14ac:dyDescent="0.25">
      <c r="A2107" s="14">
        <v>11247763000158</v>
      </c>
      <c r="B2107" s="15" t="str">
        <f t="shared" si="32"/>
        <v>11.247.763/0001-58</v>
      </c>
      <c r="C2107" s="12"/>
      <c r="D2107" s="3" t="s">
        <v>7852</v>
      </c>
      <c r="E2107" s="3" t="s">
        <v>7853</v>
      </c>
      <c r="F2107" s="3" t="s">
        <v>20</v>
      </c>
      <c r="G2107" s="4">
        <v>40106</v>
      </c>
      <c r="H2107" s="3" t="s">
        <v>21</v>
      </c>
      <c r="I2107" s="3" t="s">
        <v>22</v>
      </c>
      <c r="J2107" s="5">
        <v>70050000</v>
      </c>
      <c r="K2107" s="3">
        <v>2831300</v>
      </c>
      <c r="L2107" s="3" t="s">
        <v>608</v>
      </c>
      <c r="M2107" s="3" t="s">
        <v>7854</v>
      </c>
      <c r="N2107" s="3" t="s">
        <v>7855</v>
      </c>
      <c r="P2107" s="3" t="s">
        <v>7856</v>
      </c>
      <c r="Q2107" s="3" t="s">
        <v>7857</v>
      </c>
      <c r="R2107" s="3" t="s">
        <v>456</v>
      </c>
      <c r="S2107" s="3">
        <v>55099899</v>
      </c>
      <c r="T2107" s="3">
        <v>8130190699</v>
      </c>
      <c r="U2107" s="3" t="s">
        <v>29</v>
      </c>
    </row>
    <row r="2108" spans="1:21" ht="13.2" x14ac:dyDescent="0.25">
      <c r="A2108" s="14">
        <v>2833372000124</v>
      </c>
      <c r="B2108" s="15" t="str">
        <f t="shared" si="32"/>
        <v>02.833.372/0001-24</v>
      </c>
      <c r="C2108" s="12" t="str">
        <f>VLOOKUP(B2108,[1]Planilha1!$A:$B,2,0)</f>
        <v>Malu Montesino</v>
      </c>
      <c r="D2108" s="3" t="s">
        <v>7858</v>
      </c>
      <c r="E2108" s="3" t="s">
        <v>7858</v>
      </c>
      <c r="F2108" s="3" t="s">
        <v>20</v>
      </c>
      <c r="G2108" s="4">
        <v>36098</v>
      </c>
      <c r="H2108" s="3" t="s">
        <v>21</v>
      </c>
      <c r="I2108" s="3" t="s">
        <v>33</v>
      </c>
      <c r="J2108" s="5">
        <v>83512270</v>
      </c>
      <c r="K2108" s="3">
        <v>2854200</v>
      </c>
      <c r="L2108" s="3" t="s">
        <v>5124</v>
      </c>
      <c r="M2108" s="3" t="s">
        <v>7859</v>
      </c>
      <c r="N2108" s="3">
        <v>3600</v>
      </c>
      <c r="P2108" s="3" t="s">
        <v>5800</v>
      </c>
      <c r="Q2108" s="3" t="s">
        <v>231</v>
      </c>
      <c r="R2108" s="3" t="s">
        <v>28</v>
      </c>
      <c r="S2108" s="3">
        <v>18103139</v>
      </c>
      <c r="T2108" s="3">
        <v>1533300400</v>
      </c>
      <c r="U2108" s="3" t="s">
        <v>29</v>
      </c>
    </row>
    <row r="2109" spans="1:21" ht="13.2" x14ac:dyDescent="0.25">
      <c r="A2109" s="14">
        <v>11855617000105</v>
      </c>
      <c r="B2109" s="15" t="str">
        <f t="shared" si="32"/>
        <v>11.855.617/0001-05</v>
      </c>
      <c r="C2109" s="12"/>
      <c r="D2109" s="3" t="s">
        <v>7860</v>
      </c>
      <c r="E2109" s="3" t="s">
        <v>7861</v>
      </c>
      <c r="F2109" s="3" t="s">
        <v>20</v>
      </c>
      <c r="G2109" s="4">
        <v>40269</v>
      </c>
      <c r="H2109" s="3" t="s">
        <v>21</v>
      </c>
      <c r="I2109" s="3" t="s">
        <v>47</v>
      </c>
      <c r="J2109" s="5">
        <v>100000</v>
      </c>
      <c r="K2109" s="3">
        <v>4322302</v>
      </c>
      <c r="L2109" s="3" t="s">
        <v>5651</v>
      </c>
      <c r="M2109" s="3" t="s">
        <v>7862</v>
      </c>
      <c r="N2109" s="3">
        <v>190</v>
      </c>
      <c r="P2109" s="3" t="s">
        <v>7863</v>
      </c>
      <c r="Q2109" s="3" t="s">
        <v>262</v>
      </c>
      <c r="R2109" s="3" t="s">
        <v>28</v>
      </c>
      <c r="S2109" s="3">
        <v>6160090</v>
      </c>
      <c r="T2109" s="3">
        <v>1185611822</v>
      </c>
      <c r="U2109" s="3" t="s">
        <v>29</v>
      </c>
    </row>
    <row r="2110" spans="1:21" ht="13.2" x14ac:dyDescent="0.25">
      <c r="A2110" s="14">
        <v>18770486000102</v>
      </c>
      <c r="B2110" s="15" t="str">
        <f t="shared" si="32"/>
        <v>18.770.486/0001-02</v>
      </c>
      <c r="C2110" s="12"/>
      <c r="D2110" s="3" t="s">
        <v>7864</v>
      </c>
      <c r="E2110" s="3" t="s">
        <v>7865</v>
      </c>
      <c r="F2110" s="3" t="s">
        <v>20</v>
      </c>
      <c r="G2110" s="4">
        <v>41514</v>
      </c>
      <c r="H2110" s="3" t="s">
        <v>21</v>
      </c>
      <c r="I2110" s="3" t="s">
        <v>22</v>
      </c>
      <c r="J2110" s="5">
        <v>300000</v>
      </c>
      <c r="K2110" s="3">
        <v>8211300</v>
      </c>
      <c r="L2110" s="3" t="s">
        <v>166</v>
      </c>
      <c r="M2110" s="3" t="s">
        <v>7866</v>
      </c>
      <c r="N2110" s="3">
        <v>11</v>
      </c>
      <c r="O2110" s="3" t="s">
        <v>7867</v>
      </c>
      <c r="P2110" s="3" t="s">
        <v>70</v>
      </c>
      <c r="Q2110" s="3" t="s">
        <v>253</v>
      </c>
      <c r="R2110" s="3" t="s">
        <v>78</v>
      </c>
      <c r="S2110" s="3">
        <v>20011020</v>
      </c>
      <c r="T2110" s="3">
        <v>2196828471</v>
      </c>
      <c r="U2110" s="3" t="s">
        <v>29</v>
      </c>
    </row>
    <row r="2111" spans="1:21" ht="13.2" x14ac:dyDescent="0.25">
      <c r="A2111" s="14">
        <v>4360279000175</v>
      </c>
      <c r="B2111" s="15" t="str">
        <f t="shared" si="32"/>
        <v>04.360.279/0001-75</v>
      </c>
      <c r="C2111" s="12"/>
      <c r="D2111" s="3" t="s">
        <v>7868</v>
      </c>
      <c r="E2111" s="3" t="s">
        <v>7869</v>
      </c>
      <c r="F2111" s="3" t="s">
        <v>20</v>
      </c>
      <c r="G2111" s="4">
        <v>36977</v>
      </c>
      <c r="H2111" s="3" t="s">
        <v>21</v>
      </c>
      <c r="I2111" s="3" t="s">
        <v>22</v>
      </c>
      <c r="J2111" s="5">
        <v>6000</v>
      </c>
      <c r="K2111" s="3">
        <v>4751201</v>
      </c>
      <c r="L2111" s="3" t="s">
        <v>23</v>
      </c>
      <c r="M2111" s="3" t="s">
        <v>7870</v>
      </c>
      <c r="N2111" s="3">
        <v>219</v>
      </c>
      <c r="P2111" s="3" t="s">
        <v>7871</v>
      </c>
      <c r="Q2111" s="3" t="s">
        <v>27</v>
      </c>
      <c r="R2111" s="3" t="s">
        <v>28</v>
      </c>
      <c r="S2111" s="3">
        <v>4455240</v>
      </c>
      <c r="T2111" s="3">
        <v>1156320518</v>
      </c>
      <c r="U2111" s="3" t="s">
        <v>29</v>
      </c>
    </row>
    <row r="2112" spans="1:21" ht="13.2" x14ac:dyDescent="0.25">
      <c r="A2112" s="14">
        <v>86527934000100</v>
      </c>
      <c r="B2112" s="15" t="str">
        <f t="shared" si="32"/>
        <v>86.527.934/0001-00</v>
      </c>
      <c r="C2112" s="12" t="str">
        <f>VLOOKUP(B2112,[1]Planilha1!$A:$B,2,0)</f>
        <v>Malu Montesino</v>
      </c>
      <c r="D2112" s="3" t="s">
        <v>7872</v>
      </c>
      <c r="E2112" s="3" t="s">
        <v>7872</v>
      </c>
      <c r="F2112" s="3" t="s">
        <v>20</v>
      </c>
      <c r="G2112" s="4">
        <v>34530</v>
      </c>
      <c r="H2112" s="3" t="s">
        <v>21</v>
      </c>
      <c r="I2112" s="3" t="s">
        <v>33</v>
      </c>
      <c r="J2112" s="5">
        <v>0</v>
      </c>
      <c r="K2112" s="3">
        <v>2790202</v>
      </c>
      <c r="L2112" s="3" t="s">
        <v>1703</v>
      </c>
      <c r="M2112" s="3" t="s">
        <v>7873</v>
      </c>
      <c r="N2112" s="3">
        <v>471</v>
      </c>
      <c r="P2112" s="3" t="s">
        <v>7874</v>
      </c>
      <c r="Q2112" s="3" t="s">
        <v>2726</v>
      </c>
      <c r="R2112" s="3" t="s">
        <v>100</v>
      </c>
      <c r="S2112" s="3">
        <v>37538714</v>
      </c>
      <c r="T2112" s="3">
        <v>3534733550</v>
      </c>
      <c r="U2112" s="3" t="s">
        <v>29</v>
      </c>
    </row>
    <row r="2113" spans="1:21" ht="13.2" x14ac:dyDescent="0.25">
      <c r="A2113" s="14">
        <v>15838317000179</v>
      </c>
      <c r="B2113" s="15" t="str">
        <f t="shared" si="32"/>
        <v>15.838.317/0001-79</v>
      </c>
      <c r="C2113" s="12"/>
      <c r="D2113" s="3" t="s">
        <v>7875</v>
      </c>
      <c r="E2113" s="3" t="s">
        <v>7876</v>
      </c>
      <c r="F2113" s="3" t="s">
        <v>20</v>
      </c>
      <c r="G2113" s="4">
        <v>41081</v>
      </c>
      <c r="H2113" s="3" t="s">
        <v>21</v>
      </c>
      <c r="I2113" s="3" t="s">
        <v>47</v>
      </c>
      <c r="J2113" s="5">
        <v>300000</v>
      </c>
      <c r="K2113" s="3">
        <v>4322302</v>
      </c>
      <c r="L2113" s="3" t="s">
        <v>5651</v>
      </c>
      <c r="M2113" s="3" t="s">
        <v>7877</v>
      </c>
      <c r="N2113" s="3">
        <v>110</v>
      </c>
      <c r="P2113" s="3" t="s">
        <v>7878</v>
      </c>
      <c r="Q2113" s="3" t="s">
        <v>27</v>
      </c>
      <c r="R2113" s="3" t="s">
        <v>28</v>
      </c>
      <c r="S2113" s="3">
        <v>4438180</v>
      </c>
      <c r="T2113" s="3">
        <v>1123867666</v>
      </c>
      <c r="U2113" s="3" t="s">
        <v>29</v>
      </c>
    </row>
    <row r="2114" spans="1:21" ht="13.2" x14ac:dyDescent="0.25">
      <c r="A2114" s="14">
        <v>90278565000128</v>
      </c>
      <c r="B2114" s="15" t="str">
        <f t="shared" si="32"/>
        <v>90.278.565/0001-28</v>
      </c>
      <c r="C2114" s="12"/>
      <c r="D2114" s="3" t="s">
        <v>7879</v>
      </c>
      <c r="E2114" s="3" t="s">
        <v>7879</v>
      </c>
      <c r="F2114" s="3" t="s">
        <v>20</v>
      </c>
      <c r="G2114" s="4">
        <v>31125</v>
      </c>
      <c r="H2114" s="3" t="s">
        <v>21</v>
      </c>
      <c r="I2114" s="3" t="s">
        <v>33</v>
      </c>
      <c r="J2114" s="5">
        <v>30000000</v>
      </c>
      <c r="K2114" s="3">
        <v>3292202</v>
      </c>
      <c r="L2114" s="3" t="s">
        <v>1654</v>
      </c>
      <c r="M2114" s="3" t="s">
        <v>7880</v>
      </c>
      <c r="N2114" s="3">
        <v>113</v>
      </c>
      <c r="P2114" s="3" t="s">
        <v>7881</v>
      </c>
      <c r="Q2114" s="3" t="s">
        <v>2870</v>
      </c>
      <c r="R2114" s="3" t="s">
        <v>53</v>
      </c>
      <c r="S2114" s="3">
        <v>96700000</v>
      </c>
      <c r="U2114" s="3" t="s">
        <v>29</v>
      </c>
    </row>
    <row r="2115" spans="1:21" ht="13.2" x14ac:dyDescent="0.25">
      <c r="A2115" s="14">
        <v>69282879000108</v>
      </c>
      <c r="B2115" s="15" t="str">
        <f t="shared" ref="B2115:B2178" si="33">TEXT(A2115,"00\.000\.000\/0000\-00")</f>
        <v>69.282.879/0001-08</v>
      </c>
      <c r="C2115" s="12"/>
      <c r="D2115" s="3" t="s">
        <v>7882</v>
      </c>
      <c r="E2115" s="3" t="s">
        <v>7882</v>
      </c>
      <c r="F2115" s="3" t="s">
        <v>20</v>
      </c>
      <c r="G2115" s="4">
        <v>34003</v>
      </c>
      <c r="H2115" s="3" t="s">
        <v>32</v>
      </c>
      <c r="I2115" s="3" t="s">
        <v>33</v>
      </c>
      <c r="J2115" s="5">
        <v>5600000</v>
      </c>
      <c r="K2115" s="3">
        <v>7490199</v>
      </c>
      <c r="L2115" s="3" t="s">
        <v>1091</v>
      </c>
      <c r="M2115" s="3" t="s">
        <v>1932</v>
      </c>
      <c r="N2115" s="3">
        <v>615</v>
      </c>
      <c r="P2115" s="3" t="s">
        <v>7883</v>
      </c>
      <c r="Q2115" s="3" t="s">
        <v>27</v>
      </c>
      <c r="R2115" s="3" t="s">
        <v>28</v>
      </c>
      <c r="S2115" s="3">
        <v>4715003</v>
      </c>
      <c r="T2115" s="3">
        <v>1156323733</v>
      </c>
      <c r="U2115" s="3" t="s">
        <v>29</v>
      </c>
    </row>
    <row r="2116" spans="1:21" ht="13.2" x14ac:dyDescent="0.25">
      <c r="A2116" s="14">
        <v>10239505000167</v>
      </c>
      <c r="B2116" s="15" t="str">
        <f t="shared" si="33"/>
        <v>10.239.505/0001-67</v>
      </c>
      <c r="C2116" s="12"/>
      <c r="D2116" s="3" t="s">
        <v>7884</v>
      </c>
      <c r="E2116" s="3" t="s">
        <v>7885</v>
      </c>
      <c r="F2116" s="3" t="s">
        <v>20</v>
      </c>
      <c r="G2116" s="4">
        <v>39661</v>
      </c>
      <c r="H2116" s="3" t="s">
        <v>21</v>
      </c>
      <c r="I2116" s="3" t="s">
        <v>22</v>
      </c>
      <c r="J2116" s="5">
        <v>552000</v>
      </c>
      <c r="K2116" s="3">
        <v>4930202</v>
      </c>
      <c r="L2116" s="3" t="s">
        <v>2603</v>
      </c>
      <c r="M2116" s="3">
        <v>3</v>
      </c>
      <c r="N2116" s="3">
        <v>27</v>
      </c>
      <c r="P2116" s="3" t="s">
        <v>7886</v>
      </c>
      <c r="Q2116" s="3" t="s">
        <v>5695</v>
      </c>
      <c r="R2116" s="3" t="s">
        <v>28</v>
      </c>
      <c r="S2116" s="3">
        <v>11900000</v>
      </c>
      <c r="T2116" s="3">
        <v>1338211491</v>
      </c>
      <c r="U2116" s="3" t="s">
        <v>29</v>
      </c>
    </row>
    <row r="2117" spans="1:21" ht="13.2" x14ac:dyDescent="0.25">
      <c r="A2117" s="14">
        <v>73159246000184</v>
      </c>
      <c r="B2117" s="15" t="str">
        <f t="shared" si="33"/>
        <v>73.159.246/0001-84</v>
      </c>
      <c r="C2117" s="12" t="str">
        <f>VLOOKUP(B2117,[1]Planilha1!$A:$B,2,0)</f>
        <v>Malu Montesino</v>
      </c>
      <c r="D2117" s="3" t="s">
        <v>7887</v>
      </c>
      <c r="E2117" s="3" t="s">
        <v>7888</v>
      </c>
      <c r="F2117" s="3" t="s">
        <v>20</v>
      </c>
      <c r="G2117" s="4">
        <v>34403</v>
      </c>
      <c r="H2117" s="3" t="s">
        <v>21</v>
      </c>
      <c r="I2117" s="3" t="s">
        <v>22</v>
      </c>
      <c r="J2117" s="5">
        <v>100000</v>
      </c>
      <c r="K2117" s="3">
        <v>2832100</v>
      </c>
      <c r="L2117" s="3" t="s">
        <v>2184</v>
      </c>
      <c r="M2117" s="3" t="s">
        <v>7444</v>
      </c>
      <c r="N2117" s="3">
        <v>1017</v>
      </c>
      <c r="O2117" s="3" t="s">
        <v>7889</v>
      </c>
      <c r="P2117" s="3" t="s">
        <v>6764</v>
      </c>
      <c r="Q2117" s="3" t="s">
        <v>2198</v>
      </c>
      <c r="R2117" s="3" t="s">
        <v>28</v>
      </c>
      <c r="S2117" s="3">
        <v>13803360</v>
      </c>
      <c r="T2117" s="3">
        <v>1938062047</v>
      </c>
      <c r="U2117" s="3" t="s">
        <v>29</v>
      </c>
    </row>
    <row r="2118" spans="1:21" ht="13.2" x14ac:dyDescent="0.25">
      <c r="A2118" s="14">
        <v>22827746000106</v>
      </c>
      <c r="B2118" s="15" t="str">
        <f t="shared" si="33"/>
        <v>22.827.746/0001-06</v>
      </c>
      <c r="C2118" s="12"/>
      <c r="D2118" s="3" t="s">
        <v>7890</v>
      </c>
      <c r="E2118" s="3" t="s">
        <v>7891</v>
      </c>
      <c r="F2118" s="3" t="s">
        <v>20</v>
      </c>
      <c r="G2118" s="4">
        <v>42195</v>
      </c>
      <c r="H2118" s="3" t="s">
        <v>21</v>
      </c>
      <c r="I2118" s="3" t="s">
        <v>47</v>
      </c>
      <c r="J2118" s="5">
        <v>250000</v>
      </c>
      <c r="K2118" s="3">
        <v>3314710</v>
      </c>
      <c r="L2118" s="3" t="s">
        <v>7345</v>
      </c>
      <c r="M2118" s="3" t="s">
        <v>7892</v>
      </c>
      <c r="N2118" s="3">
        <v>100</v>
      </c>
      <c r="O2118" s="3" t="s">
        <v>7893</v>
      </c>
      <c r="P2118" s="3" t="s">
        <v>70</v>
      </c>
      <c r="Q2118" s="3" t="s">
        <v>7894</v>
      </c>
      <c r="R2118" s="3" t="s">
        <v>91</v>
      </c>
      <c r="S2118" s="3">
        <v>89500211</v>
      </c>
      <c r="T2118" s="3">
        <v>4935673744</v>
      </c>
      <c r="U2118" s="3" t="s">
        <v>29</v>
      </c>
    </row>
    <row r="2119" spans="1:21" ht="13.2" x14ac:dyDescent="0.25">
      <c r="A2119" s="14">
        <v>78742491000133</v>
      </c>
      <c r="B2119" s="15" t="str">
        <f t="shared" si="33"/>
        <v>78.742.491/0001-33</v>
      </c>
      <c r="C2119" s="12"/>
      <c r="D2119" s="3" t="s">
        <v>7895</v>
      </c>
      <c r="E2119" s="3" t="s">
        <v>7895</v>
      </c>
      <c r="F2119" s="3" t="s">
        <v>20</v>
      </c>
      <c r="G2119" s="4">
        <v>31154</v>
      </c>
      <c r="H2119" s="3" t="s">
        <v>94</v>
      </c>
      <c r="I2119" s="3" t="s">
        <v>33</v>
      </c>
      <c r="J2119" s="5">
        <v>900000</v>
      </c>
      <c r="K2119" s="3">
        <v>4645101</v>
      </c>
      <c r="L2119" s="3" t="s">
        <v>135</v>
      </c>
      <c r="M2119" s="3" t="s">
        <v>7896</v>
      </c>
      <c r="N2119" s="3">
        <v>406</v>
      </c>
      <c r="P2119" s="3" t="s">
        <v>7897</v>
      </c>
      <c r="Q2119" s="3" t="s">
        <v>204</v>
      </c>
      <c r="R2119" s="3" t="s">
        <v>187</v>
      </c>
      <c r="S2119" s="3">
        <v>81630280</v>
      </c>
      <c r="T2119" s="3">
        <v>4121084545</v>
      </c>
      <c r="U2119" s="3" t="s">
        <v>29</v>
      </c>
    </row>
    <row r="2120" spans="1:21" ht="13.2" x14ac:dyDescent="0.25">
      <c r="A2120" s="14">
        <v>44669141000177</v>
      </c>
      <c r="B2120" s="15" t="str">
        <f t="shared" si="33"/>
        <v>44.669.141/0001-77</v>
      </c>
      <c r="C2120" s="12"/>
      <c r="D2120" s="3" t="s">
        <v>7898</v>
      </c>
      <c r="E2120" s="3" t="s">
        <v>7898</v>
      </c>
      <c r="F2120" s="3" t="s">
        <v>20</v>
      </c>
      <c r="G2120" s="4">
        <v>26897</v>
      </c>
      <c r="H2120" s="3" t="s">
        <v>21</v>
      </c>
      <c r="I2120" s="3" t="s">
        <v>33</v>
      </c>
      <c r="J2120" s="5">
        <v>1500000</v>
      </c>
      <c r="K2120" s="3">
        <v>3292202</v>
      </c>
      <c r="L2120" s="3" t="s">
        <v>1654</v>
      </c>
      <c r="M2120" s="3" t="s">
        <v>7899</v>
      </c>
      <c r="N2120" s="3">
        <v>201</v>
      </c>
      <c r="P2120" s="3" t="s">
        <v>7900</v>
      </c>
      <c r="Q2120" s="3" t="s">
        <v>2721</v>
      </c>
      <c r="R2120" s="3" t="s">
        <v>28</v>
      </c>
      <c r="S2120" s="3">
        <v>13505810</v>
      </c>
      <c r="T2120" s="3">
        <v>1921122250</v>
      </c>
      <c r="U2120" s="3" t="s">
        <v>29</v>
      </c>
    </row>
    <row r="2121" spans="1:21" ht="13.2" x14ac:dyDescent="0.25">
      <c r="A2121" s="14">
        <v>89674782000158</v>
      </c>
      <c r="B2121" s="15" t="str">
        <f t="shared" si="33"/>
        <v>89.674.782/0001-58</v>
      </c>
      <c r="C2121" s="12" t="str">
        <f>VLOOKUP(B2121,[1]Planilha1!$A:$B,2,0)</f>
        <v>Malu Montesino</v>
      </c>
      <c r="D2121" s="3" t="s">
        <v>7901</v>
      </c>
      <c r="E2121" s="3" t="s">
        <v>7902</v>
      </c>
      <c r="F2121" s="3" t="s">
        <v>20</v>
      </c>
      <c r="G2121" s="4">
        <v>28838</v>
      </c>
      <c r="H2121" s="3" t="s">
        <v>21</v>
      </c>
      <c r="I2121" s="3" t="s">
        <v>33</v>
      </c>
      <c r="J2121" s="5">
        <v>7598970000</v>
      </c>
      <c r="K2121" s="3">
        <v>2833000</v>
      </c>
      <c r="L2121" s="3" t="s">
        <v>151</v>
      </c>
      <c r="M2121" s="3" t="s">
        <v>7903</v>
      </c>
      <c r="N2121" s="3">
        <v>600</v>
      </c>
      <c r="P2121" s="3" t="s">
        <v>153</v>
      </c>
      <c r="Q2121" s="3" t="s">
        <v>7904</v>
      </c>
      <c r="R2121" s="3" t="s">
        <v>53</v>
      </c>
      <c r="S2121" s="3">
        <v>98920000</v>
      </c>
      <c r="T2121" s="3">
        <v>1933188100</v>
      </c>
      <c r="U2121" s="3" t="s">
        <v>29</v>
      </c>
    </row>
    <row r="2122" spans="1:21" ht="13.2" x14ac:dyDescent="0.25">
      <c r="A2122" s="14">
        <v>1092686000150</v>
      </c>
      <c r="B2122" s="15" t="str">
        <f t="shared" si="33"/>
        <v>01.092.686/0001-50</v>
      </c>
      <c r="C2122" s="12" t="str">
        <f>VLOOKUP(B2122,[1]Planilha1!$A:$B,2,0)</f>
        <v>Malu Montesino</v>
      </c>
      <c r="D2122" s="3" t="s">
        <v>7905</v>
      </c>
      <c r="E2122" s="3" t="s">
        <v>7905</v>
      </c>
      <c r="F2122" s="3" t="s">
        <v>45</v>
      </c>
      <c r="G2122" s="4">
        <v>35128</v>
      </c>
      <c r="H2122" s="3" t="s">
        <v>21</v>
      </c>
      <c r="I2122" s="3" t="s">
        <v>33</v>
      </c>
      <c r="J2122" s="5">
        <v>970618940</v>
      </c>
      <c r="K2122" s="3">
        <v>4669999</v>
      </c>
      <c r="L2122" s="3" t="s">
        <v>558</v>
      </c>
      <c r="M2122" s="3" t="s">
        <v>679</v>
      </c>
      <c r="N2122" s="3">
        <v>3718</v>
      </c>
      <c r="O2122" s="3" t="s">
        <v>2676</v>
      </c>
      <c r="P2122" s="3" t="s">
        <v>681</v>
      </c>
      <c r="Q2122" s="3" t="s">
        <v>617</v>
      </c>
      <c r="R2122" s="3" t="s">
        <v>28</v>
      </c>
      <c r="S2122" s="3">
        <v>6455000</v>
      </c>
      <c r="T2122" s="3">
        <v>1121050000</v>
      </c>
      <c r="U2122" s="3" t="s">
        <v>29</v>
      </c>
    </row>
    <row r="2123" spans="1:21" ht="13.2" x14ac:dyDescent="0.25">
      <c r="A2123" s="14">
        <v>93782076000105</v>
      </c>
      <c r="B2123" s="15" t="str">
        <f t="shared" si="33"/>
        <v>93.782.076/0001-05</v>
      </c>
      <c r="C2123" s="12"/>
      <c r="D2123" s="3" t="s">
        <v>7906</v>
      </c>
      <c r="E2123" s="3" t="s">
        <v>7907</v>
      </c>
      <c r="F2123" s="3" t="s">
        <v>31</v>
      </c>
      <c r="G2123" s="4">
        <v>33261</v>
      </c>
      <c r="H2123" s="3" t="s">
        <v>46</v>
      </c>
      <c r="I2123" s="3" t="s">
        <v>47</v>
      </c>
      <c r="J2123" s="5">
        <v>0</v>
      </c>
      <c r="K2123" s="3">
        <v>4632001</v>
      </c>
      <c r="L2123" s="3" t="s">
        <v>7908</v>
      </c>
      <c r="M2123" s="3" t="s">
        <v>7909</v>
      </c>
      <c r="N2123" s="3" t="s">
        <v>111</v>
      </c>
      <c r="P2123" s="3" t="s">
        <v>7910</v>
      </c>
      <c r="Q2123" s="3" t="s">
        <v>7911</v>
      </c>
      <c r="R2123" s="3" t="s">
        <v>53</v>
      </c>
      <c r="S2123" s="3">
        <v>95500000</v>
      </c>
      <c r="U2123" s="3" t="s">
        <v>29</v>
      </c>
    </row>
    <row r="2124" spans="1:21" ht="13.2" x14ac:dyDescent="0.25">
      <c r="A2124" s="14">
        <v>12589452000130</v>
      </c>
      <c r="B2124" s="15" t="str">
        <f t="shared" si="33"/>
        <v>12.589.452/0001-30</v>
      </c>
      <c r="C2124" s="12"/>
      <c r="D2124" s="3" t="s">
        <v>7912</v>
      </c>
      <c r="E2124" s="3" t="s">
        <v>7912</v>
      </c>
      <c r="F2124" s="3" t="s">
        <v>20</v>
      </c>
      <c r="G2124" s="4">
        <v>40443</v>
      </c>
      <c r="H2124" s="3" t="s">
        <v>21</v>
      </c>
      <c r="I2124" s="3" t="s">
        <v>47</v>
      </c>
      <c r="J2124" s="5">
        <v>110000</v>
      </c>
      <c r="K2124" s="3">
        <v>4120400</v>
      </c>
      <c r="L2124" s="3" t="s">
        <v>87</v>
      </c>
      <c r="M2124" s="3" t="s">
        <v>7913</v>
      </c>
      <c r="N2124" s="3">
        <v>19</v>
      </c>
      <c r="P2124" s="3" t="s">
        <v>5035</v>
      </c>
      <c r="Q2124" s="3" t="s">
        <v>262</v>
      </c>
      <c r="R2124" s="3" t="s">
        <v>28</v>
      </c>
      <c r="S2124" s="3">
        <v>6192210</v>
      </c>
      <c r="T2124" s="3">
        <v>1140153456</v>
      </c>
      <c r="U2124" s="3" t="s">
        <v>29</v>
      </c>
    </row>
    <row r="2125" spans="1:21" ht="13.2" x14ac:dyDescent="0.25">
      <c r="A2125" s="14">
        <v>59106245000140</v>
      </c>
      <c r="B2125" s="15" t="str">
        <f t="shared" si="33"/>
        <v>59.106.245/0001-40</v>
      </c>
      <c r="C2125" s="12"/>
      <c r="D2125" s="3" t="s">
        <v>7914</v>
      </c>
      <c r="E2125" s="3" t="s">
        <v>7888</v>
      </c>
      <c r="F2125" s="3" t="s">
        <v>20</v>
      </c>
      <c r="G2125" s="4">
        <v>26816</v>
      </c>
      <c r="H2125" s="3" t="s">
        <v>21</v>
      </c>
      <c r="I2125" s="3" t="s">
        <v>33</v>
      </c>
      <c r="J2125" s="5">
        <v>369488580</v>
      </c>
      <c r="K2125" s="3">
        <v>2944100</v>
      </c>
      <c r="L2125" s="3" t="s">
        <v>521</v>
      </c>
      <c r="M2125" s="3" t="s">
        <v>7915</v>
      </c>
      <c r="N2125" s="3" t="s">
        <v>82</v>
      </c>
      <c r="O2125" s="3" t="s">
        <v>7916</v>
      </c>
      <c r="P2125" s="3" t="s">
        <v>7917</v>
      </c>
      <c r="Q2125" s="3" t="s">
        <v>567</v>
      </c>
      <c r="R2125" s="3" t="s">
        <v>28</v>
      </c>
      <c r="S2125" s="3">
        <v>13212240</v>
      </c>
      <c r="T2125" s="3">
        <v>1145853766</v>
      </c>
      <c r="U2125" s="3" t="s">
        <v>29</v>
      </c>
    </row>
    <row r="2126" spans="1:21" ht="13.2" x14ac:dyDescent="0.25">
      <c r="A2126" s="14">
        <v>4532437000127</v>
      </c>
      <c r="B2126" s="15" t="str">
        <f t="shared" si="33"/>
        <v>04.532.437/0001-27</v>
      </c>
      <c r="C2126" s="12"/>
      <c r="D2126" s="3" t="s">
        <v>7918</v>
      </c>
      <c r="E2126" s="3" t="s">
        <v>7918</v>
      </c>
      <c r="F2126" s="3" t="s">
        <v>20</v>
      </c>
      <c r="G2126" s="4">
        <v>37064</v>
      </c>
      <c r="H2126" s="3" t="s">
        <v>21</v>
      </c>
      <c r="I2126" s="3" t="s">
        <v>47</v>
      </c>
      <c r="J2126" s="5">
        <v>96000</v>
      </c>
      <c r="K2126" s="3">
        <v>4751201</v>
      </c>
      <c r="L2126" s="3" t="s">
        <v>23</v>
      </c>
      <c r="M2126" s="3" t="s">
        <v>7919</v>
      </c>
      <c r="N2126" s="3">
        <v>75</v>
      </c>
      <c r="P2126" s="3" t="s">
        <v>7920</v>
      </c>
      <c r="Q2126" s="3" t="s">
        <v>617</v>
      </c>
      <c r="R2126" s="3" t="s">
        <v>28</v>
      </c>
      <c r="S2126" s="3">
        <v>6410080</v>
      </c>
      <c r="T2126" s="3">
        <v>1141633160</v>
      </c>
      <c r="U2126" s="3" t="s">
        <v>29</v>
      </c>
    </row>
    <row r="2127" spans="1:21" ht="13.2" x14ac:dyDescent="0.25">
      <c r="A2127" s="14">
        <v>11203642000104</v>
      </c>
      <c r="B2127" s="15" t="str">
        <f t="shared" si="33"/>
        <v>11.203.642/0001-04</v>
      </c>
      <c r="C2127" s="12"/>
      <c r="D2127" s="3" t="s">
        <v>7921</v>
      </c>
      <c r="E2127" s="3" t="s">
        <v>7922</v>
      </c>
      <c r="F2127" s="3" t="s">
        <v>20</v>
      </c>
      <c r="G2127" s="4">
        <v>40087</v>
      </c>
      <c r="H2127" s="3" t="s">
        <v>21</v>
      </c>
      <c r="I2127" s="3" t="s">
        <v>22</v>
      </c>
      <c r="J2127" s="5">
        <v>490000</v>
      </c>
      <c r="K2127" s="3">
        <v>8020001</v>
      </c>
      <c r="L2127" s="3" t="s">
        <v>196</v>
      </c>
      <c r="M2127" s="3" t="s">
        <v>2742</v>
      </c>
      <c r="N2127" s="3">
        <v>680</v>
      </c>
      <c r="O2127" s="3" t="s">
        <v>7923</v>
      </c>
      <c r="P2127" s="3" t="s">
        <v>2699</v>
      </c>
      <c r="Q2127" s="3" t="s">
        <v>631</v>
      </c>
      <c r="R2127" s="3" t="s">
        <v>632</v>
      </c>
      <c r="S2127" s="3">
        <v>70632100</v>
      </c>
      <c r="T2127" s="3">
        <v>6130421718</v>
      </c>
      <c r="U2127" s="3" t="s">
        <v>29</v>
      </c>
    </row>
    <row r="2128" spans="1:21" ht="13.2" x14ac:dyDescent="0.25">
      <c r="A2128" s="14">
        <v>24277388000130</v>
      </c>
      <c r="B2128" s="15" t="str">
        <f t="shared" si="33"/>
        <v>24.277.388/0001-30</v>
      </c>
      <c r="C2128" s="12"/>
      <c r="D2128" s="3" t="s">
        <v>7924</v>
      </c>
      <c r="E2128" s="3" t="s">
        <v>7925</v>
      </c>
      <c r="F2128" s="3" t="s">
        <v>20</v>
      </c>
      <c r="G2128" s="4">
        <v>42426</v>
      </c>
      <c r="H2128" s="3" t="s">
        <v>21</v>
      </c>
      <c r="I2128" s="3" t="s">
        <v>47</v>
      </c>
      <c r="J2128" s="5">
        <v>88000</v>
      </c>
      <c r="K2128" s="3">
        <v>7112000</v>
      </c>
      <c r="L2128" s="3" t="s">
        <v>276</v>
      </c>
      <c r="M2128" s="3" t="s">
        <v>7926</v>
      </c>
      <c r="N2128" s="3">
        <v>95</v>
      </c>
      <c r="O2128" s="3" t="s">
        <v>7927</v>
      </c>
      <c r="P2128" s="3" t="s">
        <v>7928</v>
      </c>
      <c r="Q2128" s="3" t="s">
        <v>27</v>
      </c>
      <c r="R2128" s="3" t="s">
        <v>28</v>
      </c>
      <c r="S2128" s="3">
        <v>1239030</v>
      </c>
      <c r="T2128" s="3">
        <v>1149297252</v>
      </c>
      <c r="U2128" s="3" t="s">
        <v>29</v>
      </c>
    </row>
    <row r="2129" spans="1:21" ht="13.2" x14ac:dyDescent="0.25">
      <c r="A2129" s="14">
        <v>4325499000168</v>
      </c>
      <c r="B2129" s="15" t="str">
        <f t="shared" si="33"/>
        <v>04.325.499/0001-68</v>
      </c>
      <c r="C2129" s="12"/>
      <c r="D2129" s="3" t="s">
        <v>7929</v>
      </c>
      <c r="E2129" s="3" t="s">
        <v>7930</v>
      </c>
      <c r="F2129" s="3" t="s">
        <v>20</v>
      </c>
      <c r="G2129" s="4">
        <v>36909</v>
      </c>
      <c r="H2129" s="3" t="s">
        <v>32</v>
      </c>
      <c r="I2129" s="3" t="s">
        <v>33</v>
      </c>
      <c r="J2129" s="5">
        <v>250000</v>
      </c>
      <c r="K2129" s="3">
        <v>7119704</v>
      </c>
      <c r="L2129" s="3" t="s">
        <v>446</v>
      </c>
      <c r="M2129" s="3" t="s">
        <v>7931</v>
      </c>
      <c r="N2129" s="3">
        <v>1487</v>
      </c>
      <c r="O2129" s="3" t="s">
        <v>835</v>
      </c>
      <c r="P2129" s="3" t="s">
        <v>70</v>
      </c>
      <c r="Q2129" s="3" t="s">
        <v>7932</v>
      </c>
      <c r="R2129" s="3" t="s">
        <v>78</v>
      </c>
      <c r="S2129" s="3">
        <v>27910110</v>
      </c>
      <c r="T2129" s="3">
        <v>2134959867</v>
      </c>
      <c r="U2129" s="3" t="s">
        <v>29</v>
      </c>
    </row>
    <row r="2130" spans="1:21" ht="13.2" x14ac:dyDescent="0.25">
      <c r="A2130" s="14">
        <v>40829708000174</v>
      </c>
      <c r="B2130" s="15" t="str">
        <f t="shared" si="33"/>
        <v>40.829.708/0001-74</v>
      </c>
      <c r="C2130" s="12" t="str">
        <f>VLOOKUP(B2130,[1]Planilha1!$A:$B,2,0)</f>
        <v>Malu Montesino</v>
      </c>
      <c r="D2130" s="3" t="s">
        <v>7933</v>
      </c>
      <c r="E2130" s="3" t="s">
        <v>7934</v>
      </c>
      <c r="F2130" s="3" t="s">
        <v>20</v>
      </c>
      <c r="G2130" s="4">
        <v>44239</v>
      </c>
      <c r="H2130" s="3" t="s">
        <v>21</v>
      </c>
      <c r="I2130" s="3" t="s">
        <v>33</v>
      </c>
      <c r="J2130" s="5">
        <v>200000</v>
      </c>
      <c r="K2130" s="3">
        <v>4664800</v>
      </c>
      <c r="L2130" s="3" t="s">
        <v>691</v>
      </c>
      <c r="M2130" s="3" t="s">
        <v>7935</v>
      </c>
      <c r="N2130" s="3">
        <v>67</v>
      </c>
      <c r="O2130" s="3" t="s">
        <v>7936</v>
      </c>
      <c r="P2130" s="3" t="s">
        <v>3992</v>
      </c>
      <c r="Q2130" s="3" t="s">
        <v>7937</v>
      </c>
      <c r="R2130" s="3" t="s">
        <v>456</v>
      </c>
      <c r="S2130" s="3">
        <v>55660000</v>
      </c>
      <c r="T2130" s="3">
        <v>8196270417</v>
      </c>
      <c r="U2130" s="3" t="s">
        <v>29</v>
      </c>
    </row>
    <row r="2131" spans="1:21" ht="13.2" x14ac:dyDescent="0.25">
      <c r="A2131" s="14">
        <v>52548435000179</v>
      </c>
      <c r="B2131" s="15" t="str">
        <f t="shared" si="33"/>
        <v>52.548.435/0001-79</v>
      </c>
      <c r="C2131" s="12" t="str">
        <f>VLOOKUP(B2131,[1]Planilha1!$A:$B,2,0)</f>
        <v>Malu Montesino</v>
      </c>
      <c r="D2131" s="3" t="s">
        <v>7938</v>
      </c>
      <c r="E2131" s="3" t="s">
        <v>7939</v>
      </c>
      <c r="F2131" s="3" t="s">
        <v>20</v>
      </c>
      <c r="G2131" s="4">
        <v>25547</v>
      </c>
      <c r="H2131" s="3" t="s">
        <v>377</v>
      </c>
      <c r="I2131" s="3" t="s">
        <v>33</v>
      </c>
      <c r="J2131" s="5">
        <v>842781440</v>
      </c>
      <c r="K2131" s="3">
        <v>4930202</v>
      </c>
      <c r="L2131" s="3" t="s">
        <v>2603</v>
      </c>
      <c r="M2131" s="3" t="s">
        <v>7940</v>
      </c>
      <c r="N2131" s="3">
        <v>1017</v>
      </c>
      <c r="O2131" s="3" t="s">
        <v>6515</v>
      </c>
      <c r="P2131" s="3" t="s">
        <v>1230</v>
      </c>
      <c r="Q2131" s="3" t="s">
        <v>27</v>
      </c>
      <c r="R2131" s="3" t="s">
        <v>28</v>
      </c>
      <c r="S2131" s="3">
        <v>4530001</v>
      </c>
      <c r="T2131" s="3">
        <v>1123777000</v>
      </c>
      <c r="U2131" s="3" t="s">
        <v>29</v>
      </c>
    </row>
    <row r="2132" spans="1:21" ht="13.2" x14ac:dyDescent="0.25">
      <c r="A2132" s="14">
        <v>2638940000136</v>
      </c>
      <c r="B2132" s="15" t="str">
        <f t="shared" si="33"/>
        <v>02.638.940/0001-36</v>
      </c>
      <c r="C2132" s="12" t="str">
        <f>VLOOKUP(B2132,[1]Planilha1!$A:$B,2,0)</f>
        <v>Malu Montesino</v>
      </c>
      <c r="D2132" s="3" t="s">
        <v>7941</v>
      </c>
      <c r="E2132" s="3" t="s">
        <v>7941</v>
      </c>
      <c r="F2132" s="3" t="s">
        <v>20</v>
      </c>
      <c r="G2132" s="4">
        <v>35983</v>
      </c>
      <c r="H2132" s="3" t="s">
        <v>21</v>
      </c>
      <c r="I2132" s="3" t="s">
        <v>33</v>
      </c>
      <c r="J2132" s="5">
        <v>260351020</v>
      </c>
      <c r="K2132" s="3">
        <v>8211300</v>
      </c>
      <c r="L2132" s="3" t="s">
        <v>166</v>
      </c>
      <c r="M2132" s="3" t="s">
        <v>7942</v>
      </c>
      <c r="N2132" s="3">
        <v>1200</v>
      </c>
      <c r="O2132" s="3" t="s">
        <v>427</v>
      </c>
      <c r="P2132" s="3" t="s">
        <v>7943</v>
      </c>
      <c r="Q2132" s="3" t="s">
        <v>186</v>
      </c>
      <c r="R2132" s="3" t="s">
        <v>187</v>
      </c>
      <c r="S2132" s="3">
        <v>83090680</v>
      </c>
      <c r="T2132" s="3">
        <v>4121028151</v>
      </c>
      <c r="U2132" s="3" t="s">
        <v>29</v>
      </c>
    </row>
    <row r="2133" spans="1:21" ht="13.2" x14ac:dyDescent="0.25">
      <c r="A2133" s="14">
        <v>23799022000169</v>
      </c>
      <c r="B2133" s="15" t="str">
        <f t="shared" si="33"/>
        <v>23.799.022/0001-69</v>
      </c>
      <c r="C2133" s="12"/>
      <c r="D2133" s="3" t="s">
        <v>7944</v>
      </c>
      <c r="E2133" s="3" t="s">
        <v>7945</v>
      </c>
      <c r="F2133" s="3" t="s">
        <v>20</v>
      </c>
      <c r="G2133" s="4">
        <v>42345</v>
      </c>
      <c r="H2133" s="3" t="s">
        <v>46</v>
      </c>
      <c r="I2133" s="3" t="s">
        <v>47</v>
      </c>
      <c r="J2133" s="5">
        <v>50000</v>
      </c>
      <c r="K2133" s="3">
        <v>4930202</v>
      </c>
      <c r="L2133" s="3" t="s">
        <v>2603</v>
      </c>
      <c r="M2133" s="3" t="s">
        <v>7946</v>
      </c>
      <c r="N2133" s="3">
        <v>96</v>
      </c>
      <c r="P2133" s="3" t="s">
        <v>7947</v>
      </c>
      <c r="Q2133" s="3" t="s">
        <v>7948</v>
      </c>
      <c r="R2133" s="3" t="s">
        <v>28</v>
      </c>
      <c r="S2133" s="3">
        <v>11673410</v>
      </c>
      <c r="T2133" s="3">
        <v>1274059073</v>
      </c>
      <c r="U2133" s="3" t="s">
        <v>29</v>
      </c>
    </row>
    <row r="2134" spans="1:21" ht="13.2" x14ac:dyDescent="0.25">
      <c r="A2134" s="14">
        <v>44944668000162</v>
      </c>
      <c r="B2134" s="15" t="str">
        <f t="shared" si="33"/>
        <v>44.944.668/0001-62</v>
      </c>
      <c r="C2134" s="12"/>
      <c r="D2134" s="3" t="s">
        <v>7949</v>
      </c>
      <c r="E2134" s="3" t="s">
        <v>7950</v>
      </c>
      <c r="F2134" s="3" t="s">
        <v>20</v>
      </c>
      <c r="G2134" s="4">
        <v>24265</v>
      </c>
      <c r="H2134" s="3" t="s">
        <v>94</v>
      </c>
      <c r="I2134" s="3" t="s">
        <v>33</v>
      </c>
      <c r="J2134" s="5">
        <v>100000000</v>
      </c>
      <c r="K2134" s="3">
        <v>2833000</v>
      </c>
      <c r="L2134" s="3" t="s">
        <v>151</v>
      </c>
      <c r="M2134" s="3" t="s">
        <v>7951</v>
      </c>
      <c r="N2134" s="3">
        <v>1043</v>
      </c>
      <c r="P2134" s="3" t="s">
        <v>7952</v>
      </c>
      <c r="Q2134" s="3" t="s">
        <v>7953</v>
      </c>
      <c r="R2134" s="3" t="s">
        <v>28</v>
      </c>
      <c r="S2134" s="3">
        <v>14315358</v>
      </c>
      <c r="T2134" s="3">
        <v>1636601000</v>
      </c>
      <c r="U2134" s="3" t="s">
        <v>29</v>
      </c>
    </row>
    <row r="2135" spans="1:21" ht="13.2" x14ac:dyDescent="0.25">
      <c r="A2135" s="14">
        <v>8582479000123</v>
      </c>
      <c r="B2135" s="15" t="str">
        <f t="shared" si="33"/>
        <v>08.582.479/0001-23</v>
      </c>
      <c r="C2135" s="12"/>
      <c r="D2135" s="3" t="s">
        <v>7954</v>
      </c>
      <c r="E2135" s="3" t="s">
        <v>7955</v>
      </c>
      <c r="F2135" s="3" t="s">
        <v>20</v>
      </c>
      <c r="G2135" s="4">
        <v>39090</v>
      </c>
      <c r="H2135" s="3" t="s">
        <v>21</v>
      </c>
      <c r="I2135" s="3" t="s">
        <v>33</v>
      </c>
      <c r="J2135" s="5">
        <v>100000</v>
      </c>
      <c r="K2135" s="3">
        <v>4751201</v>
      </c>
      <c r="L2135" s="3" t="s">
        <v>23</v>
      </c>
      <c r="M2135" s="3" t="s">
        <v>7956</v>
      </c>
      <c r="N2135" s="3">
        <v>305</v>
      </c>
      <c r="O2135" s="3" t="s">
        <v>7957</v>
      </c>
      <c r="P2135" s="3" t="s">
        <v>70</v>
      </c>
      <c r="Q2135" s="3" t="s">
        <v>7958</v>
      </c>
      <c r="R2135" s="3" t="s">
        <v>100</v>
      </c>
      <c r="S2135" s="3">
        <v>36570087</v>
      </c>
      <c r="T2135" s="3">
        <v>3197448163</v>
      </c>
      <c r="U2135" s="3" t="s">
        <v>29</v>
      </c>
    </row>
    <row r="2136" spans="1:21" ht="13.2" x14ac:dyDescent="0.25">
      <c r="A2136" s="14">
        <v>815986000158</v>
      </c>
      <c r="B2136" s="15" t="str">
        <f t="shared" si="33"/>
        <v>00.815.986/0001-58</v>
      </c>
      <c r="C2136" s="12"/>
      <c r="D2136" s="3" t="s">
        <v>7959</v>
      </c>
      <c r="E2136" s="3" t="s">
        <v>7959</v>
      </c>
      <c r="F2136" s="3" t="s">
        <v>20</v>
      </c>
      <c r="G2136" s="4">
        <v>34957</v>
      </c>
      <c r="H2136" s="3" t="s">
        <v>21</v>
      </c>
      <c r="I2136" s="3" t="s">
        <v>47</v>
      </c>
      <c r="J2136" s="5">
        <v>10000</v>
      </c>
      <c r="K2136" s="3">
        <v>2219600</v>
      </c>
      <c r="L2136" s="3" t="s">
        <v>613</v>
      </c>
      <c r="M2136" s="3" t="s">
        <v>7960</v>
      </c>
      <c r="N2136" s="3">
        <v>52</v>
      </c>
      <c r="P2136" s="3" t="s">
        <v>7961</v>
      </c>
      <c r="Q2136" s="3" t="s">
        <v>27</v>
      </c>
      <c r="R2136" s="3" t="s">
        <v>28</v>
      </c>
      <c r="S2136" s="3">
        <v>3553070</v>
      </c>
      <c r="U2136" s="3" t="s">
        <v>29</v>
      </c>
    </row>
    <row r="2137" spans="1:21" ht="13.2" x14ac:dyDescent="0.25">
      <c r="A2137" s="14">
        <v>5793185000152</v>
      </c>
      <c r="B2137" s="15" t="str">
        <f t="shared" si="33"/>
        <v>05.793.185/0001-52</v>
      </c>
      <c r="C2137" s="12"/>
      <c r="D2137" s="3" t="s">
        <v>7962</v>
      </c>
      <c r="E2137" s="3" t="s">
        <v>7962</v>
      </c>
      <c r="F2137" s="3" t="s">
        <v>20</v>
      </c>
      <c r="G2137" s="4">
        <v>37826</v>
      </c>
      <c r="H2137" s="3" t="s">
        <v>21</v>
      </c>
      <c r="I2137" s="3" t="s">
        <v>33</v>
      </c>
      <c r="J2137" s="5">
        <v>4500000</v>
      </c>
      <c r="K2137" s="3">
        <v>4644301</v>
      </c>
      <c r="L2137" s="3" t="s">
        <v>326</v>
      </c>
      <c r="M2137" s="3" t="s">
        <v>2102</v>
      </c>
      <c r="N2137" s="3">
        <v>325</v>
      </c>
      <c r="O2137" s="3" t="s">
        <v>7963</v>
      </c>
      <c r="P2137" s="3" t="s">
        <v>2104</v>
      </c>
      <c r="Q2137" s="3" t="s">
        <v>617</v>
      </c>
      <c r="R2137" s="3" t="s">
        <v>28</v>
      </c>
      <c r="S2137" s="3">
        <v>6472001</v>
      </c>
      <c r="T2137" s="3">
        <v>1145272222</v>
      </c>
      <c r="U2137" s="3" t="s">
        <v>29</v>
      </c>
    </row>
    <row r="2138" spans="1:21" ht="13.2" x14ac:dyDescent="0.25">
      <c r="A2138" s="14">
        <v>20616170000102</v>
      </c>
      <c r="B2138" s="15" t="str">
        <f t="shared" si="33"/>
        <v>20.616.170/0001-02</v>
      </c>
      <c r="C2138" s="12"/>
      <c r="D2138" s="3" t="s">
        <v>7964</v>
      </c>
      <c r="E2138" s="3" t="s">
        <v>7965</v>
      </c>
      <c r="F2138" s="3" t="s">
        <v>20</v>
      </c>
      <c r="G2138" s="4">
        <v>41830</v>
      </c>
      <c r="H2138" s="3" t="s">
        <v>94</v>
      </c>
      <c r="I2138" s="3" t="s">
        <v>33</v>
      </c>
      <c r="J2138" s="5">
        <v>10000</v>
      </c>
      <c r="K2138" s="3">
        <v>8291100</v>
      </c>
      <c r="L2138" s="3" t="s">
        <v>1502</v>
      </c>
      <c r="M2138" s="3" t="s">
        <v>7966</v>
      </c>
      <c r="N2138" s="3">
        <v>3857</v>
      </c>
      <c r="P2138" s="3" t="s">
        <v>6940</v>
      </c>
      <c r="Q2138" s="3" t="s">
        <v>437</v>
      </c>
      <c r="R2138" s="3" t="s">
        <v>53</v>
      </c>
      <c r="S2138" s="3">
        <v>90220007</v>
      </c>
      <c r="T2138" s="3">
        <v>5192269446</v>
      </c>
      <c r="U2138" s="3" t="s">
        <v>29</v>
      </c>
    </row>
    <row r="2139" spans="1:21" ht="13.2" x14ac:dyDescent="0.25">
      <c r="A2139" s="14">
        <v>17325617000180</v>
      </c>
      <c r="B2139" s="15" t="str">
        <f t="shared" si="33"/>
        <v>17.325.617/0001-80</v>
      </c>
      <c r="C2139" s="12"/>
      <c r="D2139" s="3" t="s">
        <v>7967</v>
      </c>
      <c r="E2139" s="3" t="s">
        <v>7968</v>
      </c>
      <c r="F2139" s="3" t="s">
        <v>20</v>
      </c>
      <c r="G2139" s="4">
        <v>41261</v>
      </c>
      <c r="H2139" s="3" t="s">
        <v>94</v>
      </c>
      <c r="I2139" s="3" t="s">
        <v>33</v>
      </c>
      <c r="J2139" s="5">
        <v>2000000</v>
      </c>
      <c r="K2139" s="3">
        <v>6492100</v>
      </c>
      <c r="L2139" s="3" t="s">
        <v>4078</v>
      </c>
      <c r="M2139" s="3" t="s">
        <v>7969</v>
      </c>
      <c r="N2139" s="3" t="s">
        <v>82</v>
      </c>
      <c r="O2139" s="3" t="s">
        <v>7970</v>
      </c>
      <c r="P2139" s="3" t="s">
        <v>7971</v>
      </c>
      <c r="Q2139" s="3" t="s">
        <v>631</v>
      </c>
      <c r="R2139" s="3" t="s">
        <v>632</v>
      </c>
      <c r="S2139" s="3">
        <v>71625300</v>
      </c>
      <c r="T2139" s="3">
        <v>6132420343</v>
      </c>
      <c r="U2139" s="3" t="s">
        <v>29</v>
      </c>
    </row>
    <row r="2140" spans="1:21" ht="13.2" x14ac:dyDescent="0.25">
      <c r="A2140" s="14">
        <v>35604390000193</v>
      </c>
      <c r="B2140" s="15" t="str">
        <f t="shared" si="33"/>
        <v>35.604.390/0001-93</v>
      </c>
      <c r="C2140" s="12"/>
      <c r="D2140" s="3" t="s">
        <v>7972</v>
      </c>
      <c r="E2140" s="3" t="s">
        <v>7973</v>
      </c>
      <c r="F2140" s="3" t="s">
        <v>20</v>
      </c>
      <c r="G2140" s="4">
        <v>43794</v>
      </c>
      <c r="H2140" s="3" t="s">
        <v>94</v>
      </c>
      <c r="I2140" s="3" t="s">
        <v>33</v>
      </c>
      <c r="J2140" s="5">
        <v>1000000</v>
      </c>
      <c r="K2140" s="3">
        <v>7490104</v>
      </c>
      <c r="L2140" s="3" t="s">
        <v>1597</v>
      </c>
      <c r="M2140" s="3" t="s">
        <v>7974</v>
      </c>
      <c r="N2140" s="3">
        <v>1973</v>
      </c>
      <c r="P2140" s="3" t="s">
        <v>616</v>
      </c>
      <c r="Q2140" s="3" t="s">
        <v>929</v>
      </c>
      <c r="R2140" s="3" t="s">
        <v>28</v>
      </c>
      <c r="S2140" s="3">
        <v>6543003</v>
      </c>
      <c r="T2140" s="3">
        <v>1193512177</v>
      </c>
      <c r="U2140" s="3" t="s">
        <v>29</v>
      </c>
    </row>
    <row r="2141" spans="1:21" ht="13.2" x14ac:dyDescent="0.25">
      <c r="A2141" s="14">
        <v>44680409000171</v>
      </c>
      <c r="B2141" s="15" t="str">
        <f t="shared" si="33"/>
        <v>44.680.409/0001-71</v>
      </c>
      <c r="C2141" s="12"/>
      <c r="D2141" s="3" t="s">
        <v>7975</v>
      </c>
      <c r="E2141" s="3" t="s">
        <v>7975</v>
      </c>
      <c r="F2141" s="3" t="s">
        <v>20</v>
      </c>
      <c r="G2141" s="4">
        <v>44511</v>
      </c>
      <c r="H2141" s="3" t="s">
        <v>6433</v>
      </c>
      <c r="I2141" s="3" t="s">
        <v>33</v>
      </c>
      <c r="J2141" s="5">
        <v>0</v>
      </c>
      <c r="K2141" s="3">
        <v>6470101</v>
      </c>
      <c r="L2141" s="3" t="s">
        <v>6434</v>
      </c>
      <c r="M2141" s="3" t="s">
        <v>3697</v>
      </c>
      <c r="N2141" s="3">
        <v>228</v>
      </c>
      <c r="O2141" s="3" t="s">
        <v>7976</v>
      </c>
      <c r="P2141" s="3" t="s">
        <v>3697</v>
      </c>
      <c r="Q2141" s="3" t="s">
        <v>253</v>
      </c>
      <c r="R2141" s="3" t="s">
        <v>78</v>
      </c>
      <c r="S2141" s="3">
        <v>22250040</v>
      </c>
      <c r="T2141" s="3">
        <v>2139233000</v>
      </c>
      <c r="U2141" s="3" t="s">
        <v>29</v>
      </c>
    </row>
    <row r="2142" spans="1:21" ht="13.2" x14ac:dyDescent="0.25">
      <c r="A2142" s="14">
        <v>23569406000195</v>
      </c>
      <c r="B2142" s="15" t="str">
        <f t="shared" si="33"/>
        <v>23.569.406/0001-95</v>
      </c>
      <c r="C2142" s="12"/>
      <c r="D2142" s="3" t="s">
        <v>7977</v>
      </c>
      <c r="E2142" s="3" t="s">
        <v>7977</v>
      </c>
      <c r="F2142" s="3" t="s">
        <v>20</v>
      </c>
      <c r="G2142" s="4">
        <v>42306</v>
      </c>
      <c r="H2142" s="3" t="s">
        <v>21</v>
      </c>
      <c r="I2142" s="3" t="s">
        <v>22</v>
      </c>
      <c r="J2142" s="5">
        <v>79000</v>
      </c>
      <c r="K2142" s="3">
        <v>4753900</v>
      </c>
      <c r="L2142" s="3" t="s">
        <v>214</v>
      </c>
      <c r="M2142" s="3" t="s">
        <v>7978</v>
      </c>
      <c r="N2142" s="3">
        <v>1344</v>
      </c>
      <c r="O2142" s="3" t="s">
        <v>7979</v>
      </c>
      <c r="P2142" s="3" t="s">
        <v>1146</v>
      </c>
      <c r="Q2142" s="3" t="s">
        <v>27</v>
      </c>
      <c r="R2142" s="3" t="s">
        <v>28</v>
      </c>
      <c r="S2142" s="3">
        <v>1545001</v>
      </c>
      <c r="T2142" s="3">
        <v>1120612661</v>
      </c>
      <c r="U2142" s="3" t="s">
        <v>29</v>
      </c>
    </row>
    <row r="2143" spans="1:21" ht="13.2" x14ac:dyDescent="0.25">
      <c r="A2143" s="14">
        <v>28533244000159</v>
      </c>
      <c r="B2143" s="15" t="str">
        <f t="shared" si="33"/>
        <v>28.533.244/0001-59</v>
      </c>
      <c r="C2143" s="12"/>
      <c r="D2143" s="3" t="s">
        <v>7980</v>
      </c>
      <c r="E2143" s="3" t="s">
        <v>7981</v>
      </c>
      <c r="F2143" s="3" t="s">
        <v>20</v>
      </c>
      <c r="G2143" s="4">
        <v>42976</v>
      </c>
      <c r="H2143" s="3" t="s">
        <v>21</v>
      </c>
      <c r="I2143" s="3" t="s">
        <v>47</v>
      </c>
      <c r="J2143" s="5">
        <v>50000</v>
      </c>
      <c r="K2143" s="3">
        <v>4399103</v>
      </c>
      <c r="L2143" s="3" t="s">
        <v>7982</v>
      </c>
      <c r="M2143" s="3" t="s">
        <v>1023</v>
      </c>
      <c r="N2143" s="3">
        <v>202</v>
      </c>
      <c r="O2143" s="3" t="s">
        <v>6897</v>
      </c>
      <c r="P2143" s="3" t="s">
        <v>248</v>
      </c>
      <c r="Q2143" s="3" t="s">
        <v>27</v>
      </c>
      <c r="R2143" s="3" t="s">
        <v>28</v>
      </c>
      <c r="S2143" s="3">
        <v>1332000</v>
      </c>
      <c r="T2143" s="3">
        <v>1132847630</v>
      </c>
      <c r="U2143" s="3" t="s">
        <v>29</v>
      </c>
    </row>
    <row r="2144" spans="1:21" ht="13.2" x14ac:dyDescent="0.25">
      <c r="A2144" s="14">
        <v>72006968000136</v>
      </c>
      <c r="B2144" s="15" t="str">
        <f t="shared" si="33"/>
        <v>72.006.968/0001-36</v>
      </c>
      <c r="C2144" s="12"/>
      <c r="D2144" s="3" t="s">
        <v>7983</v>
      </c>
      <c r="E2144" s="3" t="s">
        <v>7984</v>
      </c>
      <c r="F2144" s="3" t="s">
        <v>20</v>
      </c>
      <c r="G2144" s="4">
        <v>24329</v>
      </c>
      <c r="H2144" s="3" t="s">
        <v>21</v>
      </c>
      <c r="I2144" s="3" t="s">
        <v>33</v>
      </c>
      <c r="J2144" s="5">
        <v>1160001</v>
      </c>
      <c r="K2144" s="3">
        <v>2833000</v>
      </c>
      <c r="L2144" s="3" t="s">
        <v>151</v>
      </c>
      <c r="M2144" s="3" t="s">
        <v>1871</v>
      </c>
      <c r="N2144" s="3">
        <v>2300</v>
      </c>
      <c r="O2144" s="3" t="s">
        <v>7985</v>
      </c>
      <c r="P2144" s="3" t="s">
        <v>7986</v>
      </c>
      <c r="Q2144" s="3" t="s">
        <v>1873</v>
      </c>
      <c r="R2144" s="3" t="s">
        <v>28</v>
      </c>
      <c r="S2144" s="3">
        <v>14871700</v>
      </c>
      <c r="U2144" s="3" t="s">
        <v>29</v>
      </c>
    </row>
    <row r="2145" spans="1:21" ht="13.2" x14ac:dyDescent="0.25">
      <c r="A2145" s="14">
        <v>5353957000135</v>
      </c>
      <c r="B2145" s="15" t="str">
        <f t="shared" si="33"/>
        <v>05.353.957/0001-35</v>
      </c>
      <c r="C2145" s="12"/>
      <c r="D2145" s="3" t="s">
        <v>7987</v>
      </c>
      <c r="E2145" s="3" t="s">
        <v>7988</v>
      </c>
      <c r="F2145" s="3" t="s">
        <v>20</v>
      </c>
      <c r="G2145" s="4">
        <v>37533</v>
      </c>
      <c r="H2145" s="3" t="s">
        <v>21</v>
      </c>
      <c r="I2145" s="3" t="s">
        <v>22</v>
      </c>
      <c r="J2145" s="5">
        <v>2500000</v>
      </c>
      <c r="K2145" s="3">
        <v>8122200</v>
      </c>
      <c r="L2145" s="3" t="s">
        <v>2910</v>
      </c>
      <c r="M2145" s="3" t="s">
        <v>7989</v>
      </c>
      <c r="N2145" s="3" t="s">
        <v>82</v>
      </c>
      <c r="P2145" s="3" t="s">
        <v>1545</v>
      </c>
      <c r="Q2145" s="3" t="s">
        <v>224</v>
      </c>
      <c r="R2145" s="3" t="s">
        <v>225</v>
      </c>
      <c r="S2145" s="3">
        <v>78070322</v>
      </c>
      <c r="T2145" s="3">
        <v>6530520220</v>
      </c>
      <c r="U2145" s="3" t="s">
        <v>29</v>
      </c>
    </row>
    <row r="2146" spans="1:21" ht="13.2" x14ac:dyDescent="0.25">
      <c r="A2146" s="14">
        <v>39748043000195</v>
      </c>
      <c r="B2146" s="15" t="str">
        <f t="shared" si="33"/>
        <v>39.748.043/0001-95</v>
      </c>
      <c r="C2146" s="12"/>
      <c r="D2146" s="3" t="s">
        <v>7990</v>
      </c>
      <c r="E2146" s="3" t="s">
        <v>7991</v>
      </c>
      <c r="F2146" s="3" t="s">
        <v>20</v>
      </c>
      <c r="G2146" s="4">
        <v>44146</v>
      </c>
      <c r="H2146" s="3" t="s">
        <v>21</v>
      </c>
      <c r="I2146" s="3" t="s">
        <v>47</v>
      </c>
      <c r="J2146" s="5">
        <v>30000</v>
      </c>
      <c r="K2146" s="3">
        <v>4713002</v>
      </c>
      <c r="L2146" s="3" t="s">
        <v>3153</v>
      </c>
      <c r="M2146" s="3" t="s">
        <v>7992</v>
      </c>
      <c r="N2146" s="3">
        <v>89</v>
      </c>
      <c r="P2146" s="3" t="s">
        <v>142</v>
      </c>
      <c r="Q2146" s="3" t="s">
        <v>27</v>
      </c>
      <c r="R2146" s="3" t="s">
        <v>28</v>
      </c>
      <c r="S2146" s="3">
        <v>3003020</v>
      </c>
      <c r="T2146" s="3">
        <v>1133418057</v>
      </c>
      <c r="U2146" s="3" t="s">
        <v>29</v>
      </c>
    </row>
    <row r="2147" spans="1:21" ht="13.2" x14ac:dyDescent="0.25">
      <c r="A2147" s="14">
        <v>4566319000130</v>
      </c>
      <c r="B2147" s="15" t="str">
        <f t="shared" si="33"/>
        <v>04.566.319/0001-30</v>
      </c>
      <c r="C2147" s="12"/>
      <c r="D2147" s="3" t="s">
        <v>7993</v>
      </c>
      <c r="E2147" s="3" t="s">
        <v>7993</v>
      </c>
      <c r="F2147" s="3" t="s">
        <v>20</v>
      </c>
      <c r="G2147" s="4">
        <v>37062</v>
      </c>
      <c r="H2147" s="3" t="s">
        <v>21</v>
      </c>
      <c r="I2147" s="3" t="s">
        <v>33</v>
      </c>
      <c r="J2147" s="5">
        <v>16750000</v>
      </c>
      <c r="K2147" s="3">
        <v>2869100</v>
      </c>
      <c r="L2147" s="3" t="s">
        <v>1416</v>
      </c>
      <c r="M2147" s="3" t="s">
        <v>829</v>
      </c>
      <c r="N2147" s="7">
        <v>1416</v>
      </c>
      <c r="P2147" s="3" t="s">
        <v>7994</v>
      </c>
      <c r="Q2147" s="3" t="s">
        <v>59</v>
      </c>
      <c r="R2147" s="3" t="s">
        <v>28</v>
      </c>
      <c r="S2147" s="3">
        <v>13278530</v>
      </c>
      <c r="T2147" s="3">
        <v>1938498700</v>
      </c>
      <c r="U2147" s="3" t="s">
        <v>29</v>
      </c>
    </row>
    <row r="2148" spans="1:21" ht="13.2" x14ac:dyDescent="0.25">
      <c r="A2148" s="14">
        <v>5968517000192</v>
      </c>
      <c r="B2148" s="15" t="str">
        <f t="shared" si="33"/>
        <v>05.968.517/0001-92</v>
      </c>
      <c r="C2148" s="12" t="str">
        <f>VLOOKUP(B2148,[1]Planilha1!$A:$B,2,0)</f>
        <v>Malu Montesino</v>
      </c>
      <c r="D2148" s="3" t="s">
        <v>7995</v>
      </c>
      <c r="E2148" s="3" t="s">
        <v>7996</v>
      </c>
      <c r="F2148" s="3" t="s">
        <v>20</v>
      </c>
      <c r="G2148" s="4">
        <v>37826</v>
      </c>
      <c r="H2148" s="3" t="s">
        <v>21</v>
      </c>
      <c r="I2148" s="3" t="s">
        <v>33</v>
      </c>
      <c r="J2148" s="5">
        <v>1600000</v>
      </c>
      <c r="K2148" s="3">
        <v>4661300</v>
      </c>
      <c r="L2148" s="3" t="s">
        <v>595</v>
      </c>
      <c r="M2148" s="3" t="s">
        <v>7997</v>
      </c>
      <c r="N2148" s="3">
        <v>667</v>
      </c>
      <c r="O2148" s="3" t="s">
        <v>7998</v>
      </c>
      <c r="P2148" s="3" t="s">
        <v>2254</v>
      </c>
      <c r="Q2148" s="3" t="s">
        <v>204</v>
      </c>
      <c r="R2148" s="3" t="s">
        <v>187</v>
      </c>
      <c r="S2148" s="3">
        <v>81170230</v>
      </c>
      <c r="T2148" s="3">
        <v>4133732274</v>
      </c>
      <c r="U2148" s="3" t="s">
        <v>29</v>
      </c>
    </row>
    <row r="2149" spans="1:21" ht="13.2" x14ac:dyDescent="0.25">
      <c r="A2149" s="14">
        <v>2877654000123</v>
      </c>
      <c r="B2149" s="15" t="str">
        <f t="shared" si="33"/>
        <v>02.877.654/0001-23</v>
      </c>
      <c r="C2149" s="12" t="str">
        <f>VLOOKUP(B2149,[1]Planilha1!$A:$B,2,0)</f>
        <v>Malu Montesino</v>
      </c>
      <c r="D2149" s="3" t="s">
        <v>7999</v>
      </c>
      <c r="E2149" s="3" t="s">
        <v>7999</v>
      </c>
      <c r="F2149" s="3" t="s">
        <v>20</v>
      </c>
      <c r="G2149" s="4">
        <v>36013</v>
      </c>
      <c r="H2149" s="3" t="s">
        <v>21</v>
      </c>
      <c r="I2149" s="3" t="s">
        <v>33</v>
      </c>
      <c r="J2149" s="5">
        <v>7309027</v>
      </c>
      <c r="K2149" s="3">
        <v>4663000</v>
      </c>
      <c r="L2149" s="3" t="s">
        <v>128</v>
      </c>
      <c r="M2149" s="3" t="s">
        <v>8000</v>
      </c>
      <c r="N2149" s="3">
        <v>421</v>
      </c>
      <c r="P2149" s="3" t="s">
        <v>8001</v>
      </c>
      <c r="Q2149" s="3" t="s">
        <v>27</v>
      </c>
      <c r="R2149" s="3" t="s">
        <v>28</v>
      </c>
      <c r="S2149" s="3">
        <v>4690090</v>
      </c>
      <c r="T2149" s="3">
        <v>1156333030</v>
      </c>
      <c r="U2149" s="3" t="s">
        <v>29</v>
      </c>
    </row>
    <row r="2150" spans="1:21" ht="13.2" x14ac:dyDescent="0.25">
      <c r="A2150" s="14">
        <v>12111458000105</v>
      </c>
      <c r="B2150" s="15" t="str">
        <f t="shared" si="33"/>
        <v>12.111.458/0001-05</v>
      </c>
      <c r="C2150" s="12"/>
      <c r="D2150" s="3" t="s">
        <v>8002</v>
      </c>
      <c r="E2150" s="3" t="s">
        <v>8003</v>
      </c>
      <c r="F2150" s="3" t="s">
        <v>20</v>
      </c>
      <c r="G2150" s="4">
        <v>40350</v>
      </c>
      <c r="H2150" s="3" t="s">
        <v>21</v>
      </c>
      <c r="I2150" s="3" t="s">
        <v>22</v>
      </c>
      <c r="J2150" s="5">
        <v>2250000</v>
      </c>
      <c r="K2150" s="3">
        <v>4120400</v>
      </c>
      <c r="L2150" s="3" t="s">
        <v>87</v>
      </c>
      <c r="M2150" s="3" t="s">
        <v>8004</v>
      </c>
      <c r="N2150" s="3">
        <v>10</v>
      </c>
      <c r="O2150" s="3" t="s">
        <v>496</v>
      </c>
      <c r="P2150" s="3" t="s">
        <v>8005</v>
      </c>
      <c r="Q2150" s="3" t="s">
        <v>224</v>
      </c>
      <c r="R2150" s="3" t="s">
        <v>225</v>
      </c>
      <c r="S2150" s="3">
        <v>78053204</v>
      </c>
      <c r="T2150" s="3">
        <v>6533651702</v>
      </c>
      <c r="U2150" s="3" t="s">
        <v>29</v>
      </c>
    </row>
    <row r="2151" spans="1:21" ht="13.2" x14ac:dyDescent="0.25">
      <c r="A2151" s="14">
        <v>204589000301</v>
      </c>
      <c r="B2151" s="15" t="str">
        <f t="shared" si="33"/>
        <v>00.204.589/0003-01</v>
      </c>
      <c r="C2151" s="12" t="str">
        <f>VLOOKUP(B2151,[1]Planilha1!$A:$B,2,0)</f>
        <v>Malu Montesino</v>
      </c>
      <c r="D2151" s="3" t="s">
        <v>8006</v>
      </c>
      <c r="E2151" s="3" t="s">
        <v>8006</v>
      </c>
      <c r="F2151" s="3" t="s">
        <v>20</v>
      </c>
      <c r="G2151" s="4">
        <v>44795</v>
      </c>
      <c r="H2151" s="3" t="s">
        <v>21</v>
      </c>
      <c r="I2151" s="3" t="s">
        <v>33</v>
      </c>
      <c r="J2151" s="5">
        <v>0</v>
      </c>
      <c r="K2151" s="3">
        <v>4642702</v>
      </c>
      <c r="L2151" s="3" t="s">
        <v>1139</v>
      </c>
      <c r="M2151" s="3" t="s">
        <v>5053</v>
      </c>
      <c r="N2151" s="3" t="s">
        <v>82</v>
      </c>
      <c r="O2151" s="3" t="s">
        <v>8007</v>
      </c>
      <c r="P2151" s="3" t="s">
        <v>8008</v>
      </c>
      <c r="Q2151" s="3" t="s">
        <v>8009</v>
      </c>
      <c r="R2151" s="3" t="s">
        <v>100</v>
      </c>
      <c r="S2151" s="3">
        <v>37646907</v>
      </c>
      <c r="T2151" s="3">
        <v>1139592866</v>
      </c>
      <c r="U2151" s="3" t="s">
        <v>29</v>
      </c>
    </row>
    <row r="2152" spans="1:21" ht="13.2" x14ac:dyDescent="0.25">
      <c r="A2152" s="14">
        <v>43283811000150</v>
      </c>
      <c r="B2152" s="15" t="str">
        <f t="shared" si="33"/>
        <v>43.283.811/0001-50</v>
      </c>
      <c r="C2152" s="12"/>
      <c r="D2152" s="3" t="s">
        <v>8010</v>
      </c>
      <c r="E2152" s="3" t="s">
        <v>8010</v>
      </c>
      <c r="F2152" s="3" t="s">
        <v>20</v>
      </c>
      <c r="G2152" s="4">
        <v>26397</v>
      </c>
      <c r="H2152" s="3" t="s">
        <v>377</v>
      </c>
      <c r="I2152" s="3" t="s">
        <v>33</v>
      </c>
      <c r="J2152" s="5">
        <v>56127256</v>
      </c>
      <c r="K2152" s="3">
        <v>4761003</v>
      </c>
      <c r="L2152" s="3" t="s">
        <v>2086</v>
      </c>
      <c r="M2152" s="3" t="s">
        <v>8011</v>
      </c>
      <c r="N2152" s="3">
        <v>766</v>
      </c>
      <c r="O2152" s="3" t="s">
        <v>8012</v>
      </c>
      <c r="P2152" s="3" t="s">
        <v>336</v>
      </c>
      <c r="Q2152" s="3" t="s">
        <v>27</v>
      </c>
      <c r="R2152" s="3" t="s">
        <v>28</v>
      </c>
      <c r="S2152" s="3">
        <v>3104010</v>
      </c>
      <c r="T2152" s="3">
        <v>1133469600</v>
      </c>
      <c r="U2152" s="3" t="s">
        <v>29</v>
      </c>
    </row>
    <row r="2153" spans="1:21" ht="13.2" x14ac:dyDescent="0.25">
      <c r="A2153" s="14">
        <v>19687958000120</v>
      </c>
      <c r="B2153" s="15" t="str">
        <f t="shared" si="33"/>
        <v>19.687.958/0001-20</v>
      </c>
      <c r="C2153" s="12"/>
      <c r="D2153" s="3" t="s">
        <v>8013</v>
      </c>
      <c r="E2153" s="3" t="s">
        <v>8014</v>
      </c>
      <c r="F2153" s="3" t="s">
        <v>20</v>
      </c>
      <c r="G2153" s="4">
        <v>41680</v>
      </c>
      <c r="H2153" s="3" t="s">
        <v>21</v>
      </c>
      <c r="I2153" s="3" t="s">
        <v>33</v>
      </c>
      <c r="J2153" s="5">
        <v>150000</v>
      </c>
      <c r="K2153" s="3">
        <v>1095300</v>
      </c>
      <c r="L2153" s="3" t="s">
        <v>8015</v>
      </c>
      <c r="M2153" s="3" t="s">
        <v>8016</v>
      </c>
      <c r="N2153" s="3">
        <v>4</v>
      </c>
      <c r="P2153" s="3" t="s">
        <v>8017</v>
      </c>
      <c r="Q2153" s="3" t="s">
        <v>27</v>
      </c>
      <c r="R2153" s="3" t="s">
        <v>28</v>
      </c>
      <c r="S2153" s="3">
        <v>3810010</v>
      </c>
      <c r="T2153" s="3">
        <v>1123724992</v>
      </c>
      <c r="U2153" s="3" t="s">
        <v>29</v>
      </c>
    </row>
    <row r="2154" spans="1:21" ht="13.2" x14ac:dyDescent="0.25">
      <c r="A2154" s="14">
        <v>1536768000147</v>
      </c>
      <c r="B2154" s="15" t="str">
        <f t="shared" si="33"/>
        <v>01.536.768/0001-47</v>
      </c>
      <c r="C2154" s="12"/>
      <c r="D2154" s="3" t="s">
        <v>8018</v>
      </c>
      <c r="E2154" s="3" t="s">
        <v>8019</v>
      </c>
      <c r="F2154" s="3" t="s">
        <v>20</v>
      </c>
      <c r="G2154" s="4">
        <v>35383</v>
      </c>
      <c r="H2154" s="3" t="s">
        <v>21</v>
      </c>
      <c r="I2154" s="3" t="s">
        <v>33</v>
      </c>
      <c r="J2154" s="5">
        <v>300000</v>
      </c>
      <c r="K2154" s="3">
        <v>3314713</v>
      </c>
      <c r="L2154" s="3" t="s">
        <v>8020</v>
      </c>
      <c r="M2154" s="3" t="s">
        <v>3498</v>
      </c>
      <c r="N2154" s="3">
        <v>2600</v>
      </c>
      <c r="P2154" s="3" t="s">
        <v>8021</v>
      </c>
      <c r="Q2154" s="3" t="s">
        <v>99</v>
      </c>
      <c r="R2154" s="3" t="s">
        <v>100</v>
      </c>
      <c r="S2154" s="3">
        <v>34004214</v>
      </c>
      <c r="T2154" s="3">
        <v>3133610183</v>
      </c>
      <c r="U2154" s="3" t="s">
        <v>29</v>
      </c>
    </row>
    <row r="2155" spans="1:21" ht="13.2" x14ac:dyDescent="0.25">
      <c r="A2155" s="14">
        <v>24514350000134</v>
      </c>
      <c r="B2155" s="15" t="str">
        <f t="shared" si="33"/>
        <v>24.514.350/0001-34</v>
      </c>
      <c r="C2155" s="12"/>
      <c r="D2155" s="3" t="s">
        <v>8022</v>
      </c>
      <c r="E2155" s="3" t="s">
        <v>8023</v>
      </c>
      <c r="F2155" s="3" t="s">
        <v>20</v>
      </c>
      <c r="G2155" s="4">
        <v>42464</v>
      </c>
      <c r="H2155" s="3" t="s">
        <v>21</v>
      </c>
      <c r="I2155" s="3" t="s">
        <v>22</v>
      </c>
      <c r="J2155" s="5">
        <v>700000</v>
      </c>
      <c r="K2155" s="3">
        <v>8121400</v>
      </c>
      <c r="L2155" s="3" t="s">
        <v>494</v>
      </c>
      <c r="M2155" s="3" t="s">
        <v>8024</v>
      </c>
      <c r="N2155" s="3">
        <v>373</v>
      </c>
      <c r="P2155" s="3" t="s">
        <v>8025</v>
      </c>
      <c r="Q2155" s="3" t="s">
        <v>2556</v>
      </c>
      <c r="R2155" s="3" t="s">
        <v>28</v>
      </c>
      <c r="S2155" s="3">
        <v>12060801</v>
      </c>
      <c r="T2155" s="3">
        <v>1938943742</v>
      </c>
      <c r="U2155" s="3" t="s">
        <v>29</v>
      </c>
    </row>
    <row r="2156" spans="1:21" ht="13.2" x14ac:dyDescent="0.25">
      <c r="A2156" s="14">
        <v>26092860000196</v>
      </c>
      <c r="B2156" s="15" t="str">
        <f t="shared" si="33"/>
        <v>26.092.860/0001-96</v>
      </c>
      <c r="C2156" s="12" t="str">
        <f>VLOOKUP(B2156,[1]Planilha1!$A:$B,2,0)</f>
        <v>Malu Montesino</v>
      </c>
      <c r="D2156" s="3" t="s">
        <v>8026</v>
      </c>
      <c r="E2156" s="3" t="s">
        <v>8026</v>
      </c>
      <c r="F2156" s="3" t="s">
        <v>20</v>
      </c>
      <c r="G2156" s="4">
        <v>42615</v>
      </c>
      <c r="H2156" s="3" t="s">
        <v>21</v>
      </c>
      <c r="I2156" s="3" t="s">
        <v>33</v>
      </c>
      <c r="J2156" s="5">
        <v>29775974</v>
      </c>
      <c r="K2156" s="3">
        <v>2221800</v>
      </c>
      <c r="L2156" s="3" t="s">
        <v>2033</v>
      </c>
      <c r="M2156" s="3" t="s">
        <v>8027</v>
      </c>
      <c r="N2156" s="3">
        <v>272</v>
      </c>
      <c r="P2156" s="3" t="s">
        <v>8028</v>
      </c>
      <c r="Q2156" s="3" t="s">
        <v>1878</v>
      </c>
      <c r="R2156" s="3" t="s">
        <v>28</v>
      </c>
      <c r="S2156" s="3">
        <v>6833300</v>
      </c>
      <c r="T2156" s="3">
        <v>1146155752</v>
      </c>
      <c r="U2156" s="3" t="s">
        <v>29</v>
      </c>
    </row>
    <row r="2157" spans="1:21" ht="13.2" x14ac:dyDescent="0.25">
      <c r="A2157" s="14">
        <v>10264142000110</v>
      </c>
      <c r="B2157" s="15" t="str">
        <f t="shared" si="33"/>
        <v>10.264.142/0001-10</v>
      </c>
      <c r="C2157" s="12"/>
      <c r="D2157" s="3" t="s">
        <v>8029</v>
      </c>
      <c r="E2157" s="3" t="s">
        <v>8030</v>
      </c>
      <c r="F2157" s="3" t="s">
        <v>20</v>
      </c>
      <c r="G2157" s="4">
        <v>39665</v>
      </c>
      <c r="H2157" s="3" t="s">
        <v>21</v>
      </c>
      <c r="I2157" s="3" t="s">
        <v>47</v>
      </c>
      <c r="J2157" s="5">
        <v>40000</v>
      </c>
      <c r="K2157" s="3">
        <v>8599604</v>
      </c>
      <c r="L2157" s="3" t="s">
        <v>55</v>
      </c>
      <c r="M2157" s="3" t="s">
        <v>8031</v>
      </c>
      <c r="N2157" s="3">
        <v>327</v>
      </c>
      <c r="O2157" s="3" t="s">
        <v>8032</v>
      </c>
      <c r="P2157" s="3" t="s">
        <v>3565</v>
      </c>
      <c r="Q2157" s="3" t="s">
        <v>27</v>
      </c>
      <c r="R2157" s="3" t="s">
        <v>28</v>
      </c>
      <c r="S2157" s="3">
        <v>4004050</v>
      </c>
      <c r="T2157" s="3">
        <v>1138045975</v>
      </c>
      <c r="U2157" s="3" t="s">
        <v>29</v>
      </c>
    </row>
    <row r="2158" spans="1:21" ht="13.2" x14ac:dyDescent="0.25">
      <c r="A2158" s="14">
        <v>47110960000178</v>
      </c>
      <c r="B2158" s="15" t="str">
        <f t="shared" si="33"/>
        <v>47.110.960/0001-78</v>
      </c>
      <c r="C2158" s="12"/>
      <c r="D2158" s="3" t="s">
        <v>8033</v>
      </c>
      <c r="E2158" s="3" t="s">
        <v>8033</v>
      </c>
      <c r="F2158" s="3" t="s">
        <v>20</v>
      </c>
      <c r="G2158" s="4">
        <v>27520</v>
      </c>
      <c r="H2158" s="3" t="s">
        <v>21</v>
      </c>
      <c r="I2158" s="3" t="s">
        <v>33</v>
      </c>
      <c r="J2158" s="5">
        <v>247789440</v>
      </c>
      <c r="K2158" s="3">
        <v>2829199</v>
      </c>
      <c r="L2158" s="3" t="s">
        <v>1514</v>
      </c>
      <c r="M2158" s="3" t="s">
        <v>8034</v>
      </c>
      <c r="N2158" s="3">
        <v>600</v>
      </c>
      <c r="P2158" s="3" t="s">
        <v>153</v>
      </c>
      <c r="Q2158" s="3" t="s">
        <v>488</v>
      </c>
      <c r="R2158" s="3" t="s">
        <v>28</v>
      </c>
      <c r="S2158" s="3">
        <v>13288003</v>
      </c>
      <c r="T2158" s="3">
        <v>1938849100</v>
      </c>
      <c r="U2158" s="3" t="s">
        <v>29</v>
      </c>
    </row>
    <row r="2159" spans="1:21" ht="13.2" x14ac:dyDescent="0.25">
      <c r="A2159" s="14">
        <v>10836991000109</v>
      </c>
      <c r="B2159" s="15" t="str">
        <f t="shared" si="33"/>
        <v>10.836.991/0001-09</v>
      </c>
      <c r="C2159" s="12"/>
      <c r="D2159" s="3" t="s">
        <v>8035</v>
      </c>
      <c r="E2159" s="3" t="s">
        <v>8036</v>
      </c>
      <c r="F2159" s="3" t="s">
        <v>20</v>
      </c>
      <c r="G2159" s="4">
        <v>39916</v>
      </c>
      <c r="H2159" s="3" t="s">
        <v>21</v>
      </c>
      <c r="I2159" s="3" t="s">
        <v>33</v>
      </c>
      <c r="J2159" s="5">
        <v>30713452</v>
      </c>
      <c r="K2159" s="3">
        <v>4645101</v>
      </c>
      <c r="L2159" s="3" t="s">
        <v>135</v>
      </c>
      <c r="M2159" s="3" t="s">
        <v>3173</v>
      </c>
      <c r="N2159" s="3">
        <v>1240</v>
      </c>
      <c r="O2159" s="3" t="s">
        <v>8037</v>
      </c>
      <c r="P2159" s="3" t="s">
        <v>2211</v>
      </c>
      <c r="Q2159" s="3" t="s">
        <v>27</v>
      </c>
      <c r="R2159" s="3" t="s">
        <v>28</v>
      </c>
      <c r="S2159" s="3">
        <v>4711130</v>
      </c>
      <c r="T2159" s="3">
        <v>1138970300</v>
      </c>
      <c r="U2159" s="3" t="s">
        <v>29</v>
      </c>
    </row>
    <row r="2160" spans="1:21" ht="13.2" x14ac:dyDescent="0.25">
      <c r="A2160" s="14">
        <v>13677684000102</v>
      </c>
      <c r="B2160" s="15" t="str">
        <f t="shared" si="33"/>
        <v>13.677.684/0001-02</v>
      </c>
      <c r="C2160" s="12"/>
      <c r="D2160" s="3" t="s">
        <v>8038</v>
      </c>
      <c r="E2160" s="3" t="s">
        <v>8039</v>
      </c>
      <c r="F2160" s="3" t="s">
        <v>20</v>
      </c>
      <c r="G2160" s="4">
        <v>40676</v>
      </c>
      <c r="H2160" s="3" t="s">
        <v>21</v>
      </c>
      <c r="I2160" s="3" t="s">
        <v>47</v>
      </c>
      <c r="J2160" s="5">
        <v>40000</v>
      </c>
      <c r="K2160" s="3">
        <v>5223100</v>
      </c>
      <c r="L2160" s="3" t="s">
        <v>1046</v>
      </c>
      <c r="M2160" s="3" t="s">
        <v>8040</v>
      </c>
      <c r="N2160" s="3">
        <v>169</v>
      </c>
      <c r="O2160" s="3" t="s">
        <v>8041</v>
      </c>
      <c r="P2160" s="3" t="s">
        <v>8042</v>
      </c>
      <c r="Q2160" s="3" t="s">
        <v>27</v>
      </c>
      <c r="R2160" s="3" t="s">
        <v>28</v>
      </c>
      <c r="S2160" s="3">
        <v>4402110</v>
      </c>
      <c r="T2160" s="3">
        <v>1130323842</v>
      </c>
      <c r="U2160" s="3" t="s">
        <v>29</v>
      </c>
    </row>
    <row r="2161" spans="1:21" ht="13.2" x14ac:dyDescent="0.25">
      <c r="A2161" s="14">
        <v>71437917000104</v>
      </c>
      <c r="B2161" s="15" t="str">
        <f t="shared" si="33"/>
        <v>71.437.917/0001-04</v>
      </c>
      <c r="C2161" s="12"/>
      <c r="D2161" s="3" t="s">
        <v>8043</v>
      </c>
      <c r="E2161" s="3" t="s">
        <v>8043</v>
      </c>
      <c r="F2161" s="3" t="s">
        <v>20</v>
      </c>
      <c r="G2161" s="4">
        <v>34338</v>
      </c>
      <c r="H2161" s="3" t="s">
        <v>21</v>
      </c>
      <c r="I2161" s="3" t="s">
        <v>33</v>
      </c>
      <c r="J2161" s="5">
        <v>12832319</v>
      </c>
      <c r="K2161" s="3">
        <v>2099199</v>
      </c>
      <c r="L2161" s="3" t="s">
        <v>80</v>
      </c>
      <c r="M2161" s="3" t="s">
        <v>8044</v>
      </c>
      <c r="N2161" s="3">
        <v>1160</v>
      </c>
      <c r="P2161" s="3" t="s">
        <v>1648</v>
      </c>
      <c r="Q2161" s="3" t="s">
        <v>476</v>
      </c>
      <c r="R2161" s="3" t="s">
        <v>100</v>
      </c>
      <c r="S2161" s="3">
        <v>31255100</v>
      </c>
      <c r="T2161" s="3">
        <v>3133113665</v>
      </c>
      <c r="U2161" s="3" t="s">
        <v>29</v>
      </c>
    </row>
    <row r="2162" spans="1:21" ht="13.2" x14ac:dyDescent="0.25">
      <c r="A2162" s="14">
        <v>42495521000107</v>
      </c>
      <c r="B2162" s="15" t="str">
        <f t="shared" si="33"/>
        <v>42.495.521/0001-07</v>
      </c>
      <c r="C2162" s="12"/>
      <c r="D2162" s="3" t="s">
        <v>8045</v>
      </c>
      <c r="E2162" s="3" t="s">
        <v>8046</v>
      </c>
      <c r="F2162" s="3" t="s">
        <v>20</v>
      </c>
      <c r="G2162" s="4">
        <v>44372</v>
      </c>
      <c r="H2162" s="3" t="s">
        <v>21</v>
      </c>
      <c r="I2162" s="3" t="s">
        <v>22</v>
      </c>
      <c r="J2162" s="5">
        <v>10000</v>
      </c>
      <c r="K2162" s="3">
        <v>4744099</v>
      </c>
      <c r="L2162" s="3" t="s">
        <v>115</v>
      </c>
      <c r="M2162" s="3">
        <v>14</v>
      </c>
      <c r="N2162" s="3">
        <v>1111</v>
      </c>
      <c r="P2162" s="3" t="s">
        <v>8047</v>
      </c>
      <c r="Q2162" s="3" t="s">
        <v>2721</v>
      </c>
      <c r="R2162" s="3" t="s">
        <v>28</v>
      </c>
      <c r="S2162" s="3">
        <v>13500270</v>
      </c>
      <c r="T2162" s="3">
        <v>1930238026</v>
      </c>
      <c r="U2162" s="3" t="s">
        <v>29</v>
      </c>
    </row>
    <row r="2163" spans="1:21" ht="13.2" x14ac:dyDescent="0.25">
      <c r="A2163" s="14">
        <v>9137895000185</v>
      </c>
      <c r="B2163" s="15" t="str">
        <f t="shared" si="33"/>
        <v>09.137.895/0001-85</v>
      </c>
      <c r="C2163" s="12" t="str">
        <f>VLOOKUP(B2163,[1]Planilha1!$A:$B,2,0)</f>
        <v>Malu Montesino</v>
      </c>
      <c r="D2163" s="3" t="s">
        <v>8048</v>
      </c>
      <c r="E2163" s="3" t="s">
        <v>8048</v>
      </c>
      <c r="F2163" s="3" t="s">
        <v>20</v>
      </c>
      <c r="G2163" s="4">
        <v>39373</v>
      </c>
      <c r="H2163" s="3" t="s">
        <v>21</v>
      </c>
      <c r="I2163" s="3" t="s">
        <v>33</v>
      </c>
      <c r="J2163" s="5">
        <v>55179720</v>
      </c>
      <c r="K2163" s="3">
        <v>3091101</v>
      </c>
      <c r="L2163" s="3" t="s">
        <v>6446</v>
      </c>
      <c r="M2163" s="3" t="s">
        <v>8049</v>
      </c>
      <c r="N2163" s="3">
        <v>286</v>
      </c>
      <c r="O2163" s="3" t="s">
        <v>8050</v>
      </c>
      <c r="P2163" s="3" t="s">
        <v>8051</v>
      </c>
      <c r="Q2163" s="3" t="s">
        <v>448</v>
      </c>
      <c r="R2163" s="3" t="s">
        <v>449</v>
      </c>
      <c r="S2163" s="3">
        <v>69008448</v>
      </c>
      <c r="T2163" s="3">
        <v>9233055827</v>
      </c>
      <c r="U2163" s="3" t="s">
        <v>29</v>
      </c>
    </row>
    <row r="2164" spans="1:21" ht="13.2" x14ac:dyDescent="0.25">
      <c r="A2164" s="14">
        <v>15567891000130</v>
      </c>
      <c r="B2164" s="15" t="str">
        <f t="shared" si="33"/>
        <v>15.567.891/0001-30</v>
      </c>
      <c r="C2164" s="12"/>
      <c r="D2164" s="3" t="s">
        <v>8052</v>
      </c>
      <c r="E2164" s="3" t="s">
        <v>8053</v>
      </c>
      <c r="F2164" s="3" t="s">
        <v>31</v>
      </c>
      <c r="G2164" s="4">
        <v>41047</v>
      </c>
      <c r="H2164" s="3" t="s">
        <v>21</v>
      </c>
      <c r="I2164" s="3" t="s">
        <v>22</v>
      </c>
      <c r="J2164" s="5">
        <v>95400</v>
      </c>
      <c r="K2164" s="3">
        <v>4663000</v>
      </c>
      <c r="L2164" s="3" t="s">
        <v>128</v>
      </c>
      <c r="M2164" s="3" t="s">
        <v>2477</v>
      </c>
      <c r="N2164" s="3">
        <v>77</v>
      </c>
      <c r="P2164" s="3" t="s">
        <v>248</v>
      </c>
      <c r="Q2164" s="3" t="s">
        <v>536</v>
      </c>
      <c r="R2164" s="3" t="s">
        <v>91</v>
      </c>
      <c r="S2164" s="3">
        <v>88110425</v>
      </c>
      <c r="T2164" s="3">
        <v>4832046821</v>
      </c>
      <c r="U2164" s="3" t="s">
        <v>29</v>
      </c>
    </row>
    <row r="2165" spans="1:21" ht="13.2" x14ac:dyDescent="0.25">
      <c r="A2165" s="14">
        <v>31694545000179</v>
      </c>
      <c r="B2165" s="15" t="str">
        <f t="shared" si="33"/>
        <v>31.694.545/0001-79</v>
      </c>
      <c r="C2165" s="12" t="str">
        <f>VLOOKUP(B2165,[1]Planilha1!$A:$B,2,0)</f>
        <v>Malu Montesino</v>
      </c>
      <c r="D2165" s="3" t="s">
        <v>8054</v>
      </c>
      <c r="E2165" s="3" t="s">
        <v>8055</v>
      </c>
      <c r="F2165" s="3" t="s">
        <v>20</v>
      </c>
      <c r="G2165" s="4">
        <v>43378</v>
      </c>
      <c r="H2165" s="3" t="s">
        <v>21</v>
      </c>
      <c r="I2165" s="3" t="s">
        <v>22</v>
      </c>
      <c r="J2165" s="5">
        <v>500000</v>
      </c>
      <c r="K2165" s="3">
        <v>4773300</v>
      </c>
      <c r="L2165" s="3" t="s">
        <v>706</v>
      </c>
      <c r="M2165" s="3" t="s">
        <v>5569</v>
      </c>
      <c r="N2165" s="3">
        <v>417</v>
      </c>
      <c r="P2165" s="3" t="s">
        <v>2181</v>
      </c>
      <c r="Q2165" s="3" t="s">
        <v>27</v>
      </c>
      <c r="R2165" s="3" t="s">
        <v>28</v>
      </c>
      <c r="S2165" s="3">
        <v>5075000</v>
      </c>
      <c r="T2165" s="3">
        <v>1137715757</v>
      </c>
      <c r="U2165" s="3" t="s">
        <v>29</v>
      </c>
    </row>
    <row r="2166" spans="1:21" ht="13.2" x14ac:dyDescent="0.25">
      <c r="A2166" s="14">
        <v>24517378000125</v>
      </c>
      <c r="B2166" s="15" t="str">
        <f t="shared" si="33"/>
        <v>24.517.378/0001-25</v>
      </c>
      <c r="C2166" s="12" t="str">
        <f>VLOOKUP(B2166,[1]Planilha1!$A:$B,2,0)</f>
        <v>Malu Montesino</v>
      </c>
      <c r="D2166" s="3" t="s">
        <v>8056</v>
      </c>
      <c r="E2166" s="3" t="s">
        <v>8056</v>
      </c>
      <c r="F2166" s="3" t="s">
        <v>20</v>
      </c>
      <c r="G2166" s="4">
        <v>42464</v>
      </c>
      <c r="H2166" s="3" t="s">
        <v>21</v>
      </c>
      <c r="I2166" s="3" t="s">
        <v>33</v>
      </c>
      <c r="J2166" s="5">
        <v>1000000</v>
      </c>
      <c r="K2166" s="3">
        <v>2825900</v>
      </c>
      <c r="L2166" s="3" t="s">
        <v>345</v>
      </c>
      <c r="M2166" s="3" t="s">
        <v>8057</v>
      </c>
      <c r="N2166" s="3">
        <v>254</v>
      </c>
      <c r="O2166" s="3" t="s">
        <v>8058</v>
      </c>
      <c r="P2166" s="3" t="s">
        <v>8059</v>
      </c>
      <c r="Q2166" s="3" t="s">
        <v>343</v>
      </c>
      <c r="R2166" s="3" t="s">
        <v>91</v>
      </c>
      <c r="S2166" s="3">
        <v>89809438</v>
      </c>
      <c r="T2166" s="3">
        <v>4930257401</v>
      </c>
      <c r="U2166" s="3" t="s">
        <v>29</v>
      </c>
    </row>
    <row r="2167" spans="1:21" ht="13.2" x14ac:dyDescent="0.25">
      <c r="A2167" s="14">
        <v>3944724000181</v>
      </c>
      <c r="B2167" s="15" t="str">
        <f t="shared" si="33"/>
        <v>03.944.724/0001-81</v>
      </c>
      <c r="C2167" s="12" t="str">
        <f>VLOOKUP(B2167,[1]Planilha1!$A:$B,2,0)</f>
        <v>Malu Montesino</v>
      </c>
      <c r="D2167" s="3" t="s">
        <v>8060</v>
      </c>
      <c r="E2167" s="3" t="s">
        <v>8061</v>
      </c>
      <c r="F2167" s="3" t="s">
        <v>20</v>
      </c>
      <c r="G2167" s="4">
        <v>36728</v>
      </c>
      <c r="H2167" s="3" t="s">
        <v>21</v>
      </c>
      <c r="I2167" s="3" t="s">
        <v>33</v>
      </c>
      <c r="J2167" s="5">
        <v>616161400</v>
      </c>
      <c r="K2167" s="3">
        <v>2029100</v>
      </c>
      <c r="L2167" s="3" t="s">
        <v>3615</v>
      </c>
      <c r="M2167" s="3" t="s">
        <v>8062</v>
      </c>
      <c r="N2167" s="3">
        <v>198</v>
      </c>
      <c r="O2167" s="3" t="s">
        <v>2676</v>
      </c>
      <c r="P2167" s="3" t="s">
        <v>1019</v>
      </c>
      <c r="Q2167" s="3" t="s">
        <v>27</v>
      </c>
      <c r="R2167" s="3" t="s">
        <v>28</v>
      </c>
      <c r="S2167" s="3">
        <v>4563060</v>
      </c>
      <c r="T2167" s="3">
        <v>1121894922</v>
      </c>
      <c r="U2167" s="3" t="s">
        <v>29</v>
      </c>
    </row>
    <row r="2168" spans="1:21" ht="13.2" x14ac:dyDescent="0.25">
      <c r="A2168" s="14">
        <v>59748988000114</v>
      </c>
      <c r="B2168" s="15" t="str">
        <f t="shared" si="33"/>
        <v>59.748.988/0001-14</v>
      </c>
      <c r="C2168" s="12"/>
      <c r="D2168" s="3" t="s">
        <v>8063</v>
      </c>
      <c r="E2168" s="3" t="s">
        <v>8063</v>
      </c>
      <c r="F2168" s="3" t="s">
        <v>20</v>
      </c>
      <c r="G2168" s="4">
        <v>32472</v>
      </c>
      <c r="H2168" s="3" t="s">
        <v>21</v>
      </c>
      <c r="I2168" s="3" t="s">
        <v>33</v>
      </c>
      <c r="J2168" s="5">
        <v>1338167400</v>
      </c>
      <c r="K2168" s="3">
        <v>2063100</v>
      </c>
      <c r="L2168" s="3" t="s">
        <v>4390</v>
      </c>
      <c r="M2168" s="3" t="s">
        <v>354</v>
      </c>
      <c r="N2168" s="3" t="s">
        <v>82</v>
      </c>
      <c r="O2168" s="3" t="s">
        <v>8064</v>
      </c>
      <c r="P2168" s="3" t="s">
        <v>5656</v>
      </c>
      <c r="Q2168" s="3" t="s">
        <v>2822</v>
      </c>
      <c r="R2168" s="3" t="s">
        <v>28</v>
      </c>
      <c r="S2168" s="3">
        <v>12240907</v>
      </c>
      <c r="T2168" s="3">
        <v>1151165500</v>
      </c>
      <c r="U2168" s="3" t="s">
        <v>29</v>
      </c>
    </row>
    <row r="2169" spans="1:21" ht="13.2" x14ac:dyDescent="0.25">
      <c r="A2169" s="14">
        <v>12936659000133</v>
      </c>
      <c r="B2169" s="15" t="str">
        <f t="shared" si="33"/>
        <v>12.936.659/0001-33</v>
      </c>
      <c r="C2169" s="12"/>
      <c r="D2169" s="3" t="s">
        <v>8065</v>
      </c>
      <c r="E2169" s="3" t="s">
        <v>8066</v>
      </c>
      <c r="F2169" s="3" t="s">
        <v>20</v>
      </c>
      <c r="G2169" s="4">
        <v>40508</v>
      </c>
      <c r="H2169" s="3" t="s">
        <v>21</v>
      </c>
      <c r="I2169" s="3" t="s">
        <v>33</v>
      </c>
      <c r="J2169" s="5">
        <v>25304194</v>
      </c>
      <c r="K2169" s="3">
        <v>4645101</v>
      </c>
      <c r="L2169" s="3" t="s">
        <v>135</v>
      </c>
      <c r="M2169" s="3" t="s">
        <v>8067</v>
      </c>
      <c r="N2169" s="3">
        <v>1001</v>
      </c>
      <c r="O2169" s="3" t="s">
        <v>8068</v>
      </c>
      <c r="P2169" s="3" t="s">
        <v>5326</v>
      </c>
      <c r="Q2169" s="3" t="s">
        <v>2287</v>
      </c>
      <c r="R2169" s="3" t="s">
        <v>91</v>
      </c>
      <c r="S2169" s="3">
        <v>88316001</v>
      </c>
      <c r="T2169" s="3">
        <v>4733496168</v>
      </c>
      <c r="U2169" s="3" t="s">
        <v>29</v>
      </c>
    </row>
    <row r="2170" spans="1:21" ht="13.2" x14ac:dyDescent="0.25">
      <c r="A2170" s="14">
        <v>19651511000100</v>
      </c>
      <c r="B2170" s="15" t="str">
        <f t="shared" si="33"/>
        <v>19.651.511/0001-00</v>
      </c>
      <c r="C2170" s="12" t="str">
        <f>VLOOKUP(B2170,[1]Planilha1!$A:$B,2,0)</f>
        <v>Malu Montesino</v>
      </c>
      <c r="D2170" s="3" t="s">
        <v>8069</v>
      </c>
      <c r="E2170" s="3" t="s">
        <v>8070</v>
      </c>
      <c r="F2170" s="3" t="s">
        <v>20</v>
      </c>
      <c r="G2170" s="4">
        <v>41674</v>
      </c>
      <c r="H2170" s="3" t="s">
        <v>21</v>
      </c>
      <c r="I2170" s="3" t="s">
        <v>33</v>
      </c>
      <c r="J2170" s="5">
        <v>7517574</v>
      </c>
      <c r="K2170" s="3">
        <v>4669999</v>
      </c>
      <c r="L2170" s="3" t="s">
        <v>558</v>
      </c>
      <c r="M2170" s="3" t="s">
        <v>8071</v>
      </c>
      <c r="N2170" s="3">
        <v>939</v>
      </c>
      <c r="O2170" s="3" t="s">
        <v>8072</v>
      </c>
      <c r="P2170" s="3" t="s">
        <v>616</v>
      </c>
      <c r="Q2170" s="3" t="s">
        <v>617</v>
      </c>
      <c r="R2170" s="3" t="s">
        <v>28</v>
      </c>
      <c r="S2170" s="3">
        <v>6460040</v>
      </c>
      <c r="T2170" s="3">
        <v>1142099800</v>
      </c>
      <c r="U2170" s="3" t="s">
        <v>29</v>
      </c>
    </row>
    <row r="2171" spans="1:21" ht="13.2" x14ac:dyDescent="0.25">
      <c r="A2171" s="14">
        <v>2382585000187</v>
      </c>
      <c r="B2171" s="15" t="str">
        <f t="shared" si="33"/>
        <v>02.382.585/0001-87</v>
      </c>
      <c r="C2171" s="12"/>
      <c r="D2171" s="3" t="s">
        <v>8073</v>
      </c>
      <c r="E2171" s="3" t="s">
        <v>8073</v>
      </c>
      <c r="F2171" s="3" t="s">
        <v>20</v>
      </c>
      <c r="G2171" s="4">
        <v>35724</v>
      </c>
      <c r="H2171" s="3" t="s">
        <v>32</v>
      </c>
      <c r="I2171" s="3" t="s">
        <v>33</v>
      </c>
      <c r="J2171" s="5">
        <v>1000</v>
      </c>
      <c r="K2171" s="3">
        <v>4619200</v>
      </c>
      <c r="L2171" s="3" t="s">
        <v>3484</v>
      </c>
      <c r="M2171" s="3" t="s">
        <v>8074</v>
      </c>
      <c r="N2171" s="3">
        <v>190</v>
      </c>
      <c r="O2171" s="3" t="s">
        <v>8075</v>
      </c>
      <c r="P2171" s="3" t="s">
        <v>885</v>
      </c>
      <c r="Q2171" s="3" t="s">
        <v>27</v>
      </c>
      <c r="R2171" s="3" t="s">
        <v>28</v>
      </c>
      <c r="S2171" s="3">
        <v>3181100</v>
      </c>
      <c r="T2171" s="3">
        <v>1120654412</v>
      </c>
      <c r="U2171" s="3" t="s">
        <v>29</v>
      </c>
    </row>
    <row r="2172" spans="1:21" ht="13.2" x14ac:dyDescent="0.25">
      <c r="A2172" s="14">
        <v>78323094000127</v>
      </c>
      <c r="B2172" s="15" t="str">
        <f t="shared" si="33"/>
        <v>78.323.094/0001-27</v>
      </c>
      <c r="C2172" s="12" t="str">
        <f>VLOOKUP(B2172,[1]Planilha1!$A:$B,2,0)</f>
        <v>Malu Montesino</v>
      </c>
      <c r="D2172" s="3" t="s">
        <v>8076</v>
      </c>
      <c r="E2172" s="3" t="s">
        <v>8077</v>
      </c>
      <c r="F2172" s="3" t="s">
        <v>20</v>
      </c>
      <c r="G2172" s="4">
        <v>30847</v>
      </c>
      <c r="H2172" s="3" t="s">
        <v>21</v>
      </c>
      <c r="I2172" s="3" t="s">
        <v>33</v>
      </c>
      <c r="J2172" s="5">
        <v>500000</v>
      </c>
      <c r="K2172" s="3">
        <v>4753900</v>
      </c>
      <c r="L2172" s="3" t="s">
        <v>214</v>
      </c>
      <c r="M2172" s="3" t="s">
        <v>8078</v>
      </c>
      <c r="N2172" s="3">
        <v>988</v>
      </c>
      <c r="P2172" s="3" t="s">
        <v>8079</v>
      </c>
      <c r="Q2172" s="3" t="s">
        <v>107</v>
      </c>
      <c r="R2172" s="3" t="s">
        <v>91</v>
      </c>
      <c r="S2172" s="3">
        <v>88075000</v>
      </c>
      <c r="T2172" s="3">
        <v>4833819999</v>
      </c>
      <c r="U2172" s="3" t="s">
        <v>29</v>
      </c>
    </row>
    <row r="2173" spans="1:21" ht="13.2" x14ac:dyDescent="0.25">
      <c r="A2173" s="14">
        <v>29251414000175</v>
      </c>
      <c r="B2173" s="15" t="str">
        <f t="shared" si="33"/>
        <v>29.251.414/0001-75</v>
      </c>
      <c r="C2173" s="12"/>
      <c r="D2173" s="3" t="s">
        <v>8080</v>
      </c>
      <c r="E2173" s="3" t="s">
        <v>8080</v>
      </c>
      <c r="F2173" s="3" t="s">
        <v>45</v>
      </c>
      <c r="G2173" s="4">
        <v>43081</v>
      </c>
      <c r="H2173" s="3" t="s">
        <v>1329</v>
      </c>
      <c r="I2173" s="3" t="s">
        <v>47</v>
      </c>
      <c r="J2173" s="5">
        <v>100000</v>
      </c>
      <c r="K2173" s="3">
        <v>4633801</v>
      </c>
      <c r="L2173" s="3" t="s">
        <v>750</v>
      </c>
      <c r="M2173" s="3" t="s">
        <v>8081</v>
      </c>
      <c r="N2173" s="3">
        <v>10</v>
      </c>
      <c r="O2173" s="3" t="s">
        <v>8082</v>
      </c>
      <c r="P2173" s="3" t="s">
        <v>8083</v>
      </c>
      <c r="Q2173" s="3" t="s">
        <v>617</v>
      </c>
      <c r="R2173" s="3" t="s">
        <v>28</v>
      </c>
      <c r="S2173" s="3">
        <v>6415100</v>
      </c>
      <c r="T2173" s="3">
        <v>1147873487</v>
      </c>
      <c r="U2173" s="3" t="s">
        <v>29</v>
      </c>
    </row>
    <row r="2174" spans="1:21" ht="13.2" x14ac:dyDescent="0.25">
      <c r="A2174" s="14">
        <v>2890979000146</v>
      </c>
      <c r="B2174" s="15" t="str">
        <f t="shared" si="33"/>
        <v>02.890.979/0001-46</v>
      </c>
      <c r="C2174" s="12"/>
      <c r="D2174" s="3" t="s">
        <v>8084</v>
      </c>
      <c r="E2174" s="3" t="s">
        <v>8084</v>
      </c>
      <c r="F2174" s="3" t="s">
        <v>20</v>
      </c>
      <c r="G2174" s="4">
        <v>36116</v>
      </c>
      <c r="H2174" s="3" t="s">
        <v>21</v>
      </c>
      <c r="I2174" s="3" t="s">
        <v>33</v>
      </c>
      <c r="J2174" s="5">
        <v>109776300</v>
      </c>
      <c r="K2174" s="3">
        <v>4693100</v>
      </c>
      <c r="L2174" s="3" t="s">
        <v>238</v>
      </c>
      <c r="M2174" s="3" t="s">
        <v>8085</v>
      </c>
      <c r="N2174" s="3">
        <v>2573</v>
      </c>
      <c r="P2174" s="3" t="s">
        <v>4097</v>
      </c>
      <c r="Q2174" s="3" t="s">
        <v>7002</v>
      </c>
      <c r="R2174" s="3" t="s">
        <v>78</v>
      </c>
      <c r="S2174" s="3">
        <v>24474005</v>
      </c>
      <c r="T2174" s="3">
        <v>2127024500</v>
      </c>
      <c r="U2174" s="3" t="s">
        <v>29</v>
      </c>
    </row>
    <row r="2175" spans="1:21" ht="13.2" x14ac:dyDescent="0.25">
      <c r="A2175" s="14">
        <v>37282473000139</v>
      </c>
      <c r="B2175" s="15" t="str">
        <f t="shared" si="33"/>
        <v>37.282.473/0001-39</v>
      </c>
      <c r="C2175" s="12"/>
      <c r="D2175" s="3" t="s">
        <v>8086</v>
      </c>
      <c r="E2175" s="3" t="s">
        <v>8087</v>
      </c>
      <c r="F2175" s="3" t="s">
        <v>20</v>
      </c>
      <c r="G2175" s="4">
        <v>43983</v>
      </c>
      <c r="H2175" s="3" t="s">
        <v>21</v>
      </c>
      <c r="I2175" s="3" t="s">
        <v>22</v>
      </c>
      <c r="J2175" s="5">
        <v>50000</v>
      </c>
      <c r="K2175" s="3">
        <v>8211300</v>
      </c>
      <c r="L2175" s="3" t="s">
        <v>166</v>
      </c>
      <c r="M2175" s="3" t="s">
        <v>8088</v>
      </c>
      <c r="N2175" s="3">
        <v>326</v>
      </c>
      <c r="O2175" s="3" t="s">
        <v>8089</v>
      </c>
      <c r="P2175" s="3" t="s">
        <v>2056</v>
      </c>
      <c r="Q2175" s="3" t="s">
        <v>217</v>
      </c>
      <c r="R2175" s="3" t="s">
        <v>28</v>
      </c>
      <c r="S2175" s="3">
        <v>9620030</v>
      </c>
      <c r="T2175" s="3">
        <v>1133260026</v>
      </c>
      <c r="U2175" s="3" t="s">
        <v>29</v>
      </c>
    </row>
    <row r="2176" spans="1:21" ht="13.2" x14ac:dyDescent="0.25">
      <c r="A2176" s="14">
        <v>7549052000160</v>
      </c>
      <c r="B2176" s="15" t="str">
        <f t="shared" si="33"/>
        <v>07.549.052/0001-60</v>
      </c>
      <c r="C2176" s="12"/>
      <c r="D2176" s="3" t="s">
        <v>8090</v>
      </c>
      <c r="E2176" s="3" t="s">
        <v>8091</v>
      </c>
      <c r="F2176" s="3" t="s">
        <v>20</v>
      </c>
      <c r="G2176" s="4">
        <v>38582</v>
      </c>
      <c r="H2176" s="3" t="s">
        <v>21</v>
      </c>
      <c r="I2176" s="3" t="s">
        <v>47</v>
      </c>
      <c r="J2176" s="5">
        <v>2000</v>
      </c>
      <c r="K2176" s="3">
        <v>4930201</v>
      </c>
      <c r="L2176" s="3" t="s">
        <v>3161</v>
      </c>
      <c r="M2176" s="3" t="s">
        <v>2999</v>
      </c>
      <c r="N2176" s="3">
        <v>254</v>
      </c>
      <c r="P2176" s="3" t="s">
        <v>70</v>
      </c>
      <c r="Q2176" s="3" t="s">
        <v>8092</v>
      </c>
      <c r="R2176" s="3" t="s">
        <v>28</v>
      </c>
      <c r="S2176" s="3">
        <v>14340000</v>
      </c>
      <c r="T2176" s="3">
        <v>1640094800</v>
      </c>
      <c r="U2176" s="3" t="s">
        <v>29</v>
      </c>
    </row>
    <row r="2177" spans="1:21" ht="13.2" x14ac:dyDescent="0.25">
      <c r="A2177" s="14">
        <v>2290277000121</v>
      </c>
      <c r="B2177" s="15" t="str">
        <f t="shared" si="33"/>
        <v>02.290.277/0001-21</v>
      </c>
      <c r="C2177" s="12"/>
      <c r="D2177" s="3" t="s">
        <v>8093</v>
      </c>
      <c r="E2177" s="3" t="s">
        <v>8093</v>
      </c>
      <c r="F2177" s="3" t="s">
        <v>20</v>
      </c>
      <c r="G2177" s="4">
        <v>35765</v>
      </c>
      <c r="H2177" s="3" t="s">
        <v>21</v>
      </c>
      <c r="I2177" s="3" t="s">
        <v>33</v>
      </c>
      <c r="J2177" s="5">
        <v>266913860</v>
      </c>
      <c r="K2177" s="3">
        <v>1742799</v>
      </c>
      <c r="L2177" s="3" t="s">
        <v>157</v>
      </c>
      <c r="M2177" s="3" t="s">
        <v>5333</v>
      </c>
      <c r="N2177" s="3">
        <v>105</v>
      </c>
      <c r="O2177" s="3" t="s">
        <v>8094</v>
      </c>
      <c r="P2177" s="3" t="s">
        <v>1019</v>
      </c>
      <c r="Q2177" s="3" t="s">
        <v>27</v>
      </c>
      <c r="R2177" s="3" t="s">
        <v>28</v>
      </c>
      <c r="S2177" s="3">
        <v>4571010</v>
      </c>
      <c r="T2177" s="3">
        <v>1145034500</v>
      </c>
      <c r="U2177" s="3" t="s">
        <v>29</v>
      </c>
    </row>
    <row r="2178" spans="1:21" ht="13.2" x14ac:dyDescent="0.25">
      <c r="A2178" s="14">
        <v>56573967000117</v>
      </c>
      <c r="B2178" s="15" t="str">
        <f t="shared" si="33"/>
        <v>56.573.967/0001-17</v>
      </c>
      <c r="C2178" s="12"/>
      <c r="D2178" s="3" t="s">
        <v>8095</v>
      </c>
      <c r="E2178" s="3" t="s">
        <v>8095</v>
      </c>
      <c r="F2178" s="3" t="s">
        <v>20</v>
      </c>
      <c r="G2178" s="4">
        <v>31712</v>
      </c>
      <c r="H2178" s="3" t="s">
        <v>21</v>
      </c>
      <c r="I2178" s="3" t="s">
        <v>22</v>
      </c>
      <c r="J2178" s="5">
        <v>700000</v>
      </c>
      <c r="K2178" s="3">
        <v>4761003</v>
      </c>
      <c r="L2178" s="3" t="s">
        <v>2086</v>
      </c>
      <c r="M2178" s="3" t="s">
        <v>8096</v>
      </c>
      <c r="N2178" s="3">
        <v>330</v>
      </c>
      <c r="P2178" s="3" t="s">
        <v>8097</v>
      </c>
      <c r="Q2178" s="3" t="s">
        <v>3193</v>
      </c>
      <c r="R2178" s="3" t="s">
        <v>28</v>
      </c>
      <c r="S2178" s="3">
        <v>8780690</v>
      </c>
      <c r="T2178" s="3">
        <v>1146928777</v>
      </c>
      <c r="U2178" s="3" t="s">
        <v>29</v>
      </c>
    </row>
    <row r="2179" spans="1:21" ht="13.2" x14ac:dyDescent="0.25">
      <c r="A2179" s="14">
        <v>89637490000145</v>
      </c>
      <c r="B2179" s="15" t="str">
        <f t="shared" ref="B2179:B2242" si="34">TEXT(A2179,"00\.000\.000\/0000\-00")</f>
        <v>89.637.490/0001-45</v>
      </c>
      <c r="C2179" s="12" t="str">
        <f>VLOOKUP(B2179,[1]Planilha1!$A:$B,2,0)</f>
        <v>Malu Montesino</v>
      </c>
      <c r="D2179" s="3" t="s">
        <v>8098</v>
      </c>
      <c r="E2179" s="3" t="s">
        <v>8098</v>
      </c>
      <c r="F2179" s="3" t="s">
        <v>20</v>
      </c>
      <c r="G2179" s="4">
        <v>28830</v>
      </c>
      <c r="H2179" s="3" t="s">
        <v>377</v>
      </c>
      <c r="I2179" s="3" t="s">
        <v>33</v>
      </c>
      <c r="J2179" s="5">
        <v>6075625000</v>
      </c>
      <c r="K2179" s="3">
        <v>1710900</v>
      </c>
      <c r="L2179" s="3" t="s">
        <v>2683</v>
      </c>
      <c r="M2179" s="3" t="s">
        <v>2340</v>
      </c>
      <c r="N2179" s="3">
        <v>949</v>
      </c>
      <c r="O2179" s="3" t="s">
        <v>8099</v>
      </c>
      <c r="P2179" s="3" t="s">
        <v>1740</v>
      </c>
      <c r="Q2179" s="3" t="s">
        <v>27</v>
      </c>
      <c r="R2179" s="3" t="s">
        <v>28</v>
      </c>
      <c r="S2179" s="3">
        <v>5426100</v>
      </c>
      <c r="T2179" s="3">
        <v>1130469918</v>
      </c>
      <c r="U2179" s="3" t="s">
        <v>29</v>
      </c>
    </row>
    <row r="2180" spans="1:21" ht="13.2" x14ac:dyDescent="0.25">
      <c r="A2180" s="14">
        <v>8614766000178</v>
      </c>
      <c r="B2180" s="15" t="str">
        <f t="shared" si="34"/>
        <v>08.614.766/0001-78</v>
      </c>
      <c r="C2180" s="12"/>
      <c r="D2180" s="3" t="s">
        <v>8100</v>
      </c>
      <c r="E2180" s="3" t="s">
        <v>8101</v>
      </c>
      <c r="F2180" s="3" t="s">
        <v>20</v>
      </c>
      <c r="G2180" s="4">
        <v>39058</v>
      </c>
      <c r="H2180" s="3" t="s">
        <v>46</v>
      </c>
      <c r="I2180" s="3" t="s">
        <v>47</v>
      </c>
      <c r="J2180" s="5">
        <v>1000</v>
      </c>
      <c r="K2180" s="3">
        <v>3314710</v>
      </c>
      <c r="L2180" s="3" t="s">
        <v>7345</v>
      </c>
      <c r="M2180" s="3" t="s">
        <v>8102</v>
      </c>
      <c r="N2180" s="3">
        <v>90</v>
      </c>
      <c r="P2180" s="3" t="s">
        <v>8103</v>
      </c>
      <c r="Q2180" s="3" t="s">
        <v>1177</v>
      </c>
      <c r="R2180" s="3" t="s">
        <v>28</v>
      </c>
      <c r="S2180" s="3">
        <v>13450489</v>
      </c>
      <c r="T2180" s="3">
        <v>1991331966</v>
      </c>
      <c r="U2180" s="3" t="s">
        <v>29</v>
      </c>
    </row>
    <row r="2181" spans="1:21" ht="13.2" x14ac:dyDescent="0.25">
      <c r="A2181" s="14">
        <v>19524713000182</v>
      </c>
      <c r="B2181" s="15" t="str">
        <f t="shared" si="34"/>
        <v>19.524.713/0001-82</v>
      </c>
      <c r="C2181" s="12"/>
      <c r="D2181" s="3" t="s">
        <v>8104</v>
      </c>
      <c r="E2181" s="3" t="s">
        <v>8105</v>
      </c>
      <c r="F2181" s="3" t="s">
        <v>20</v>
      </c>
      <c r="G2181" s="4">
        <v>41654</v>
      </c>
      <c r="H2181" s="3" t="s">
        <v>21</v>
      </c>
      <c r="I2181" s="3" t="s">
        <v>33</v>
      </c>
      <c r="J2181" s="5">
        <v>65813</v>
      </c>
      <c r="K2181" s="3">
        <v>4618402</v>
      </c>
      <c r="L2181" s="3" t="s">
        <v>3114</v>
      </c>
      <c r="M2181" s="3" t="s">
        <v>8106</v>
      </c>
      <c r="N2181" s="3">
        <v>691</v>
      </c>
      <c r="O2181" s="3" t="s">
        <v>8107</v>
      </c>
      <c r="P2181" s="3" t="s">
        <v>1230</v>
      </c>
      <c r="Q2181" s="3" t="s">
        <v>27</v>
      </c>
      <c r="R2181" s="3" t="s">
        <v>28</v>
      </c>
      <c r="S2181" s="3">
        <v>4531011</v>
      </c>
      <c r="T2181" s="3">
        <v>1136623884</v>
      </c>
      <c r="U2181" s="3" t="s">
        <v>29</v>
      </c>
    </row>
    <row r="2182" spans="1:21" ht="13.2" x14ac:dyDescent="0.25">
      <c r="A2182" s="14">
        <v>5003729000135</v>
      </c>
      <c r="B2182" s="15" t="str">
        <f t="shared" si="34"/>
        <v>05.003.729/0001-35</v>
      </c>
      <c r="C2182" s="12" t="str">
        <f>VLOOKUP(B2182,[1]Planilha1!$A:$B,2,0)</f>
        <v>Malu Montesino</v>
      </c>
      <c r="D2182" s="3" t="s">
        <v>8108</v>
      </c>
      <c r="E2182" s="3" t="s">
        <v>8109</v>
      </c>
      <c r="F2182" s="3" t="s">
        <v>20</v>
      </c>
      <c r="G2182" s="4">
        <v>37361</v>
      </c>
      <c r="H2182" s="3" t="s">
        <v>21</v>
      </c>
      <c r="I2182" s="3" t="s">
        <v>33</v>
      </c>
      <c r="J2182" s="5">
        <v>61361770</v>
      </c>
      <c r="K2182" s="3">
        <v>4663000</v>
      </c>
      <c r="L2182" s="3" t="s">
        <v>128</v>
      </c>
      <c r="M2182" s="3" t="s">
        <v>8110</v>
      </c>
      <c r="N2182" s="3">
        <v>1001</v>
      </c>
      <c r="O2182" s="3" t="s">
        <v>8111</v>
      </c>
      <c r="P2182" s="3" t="s">
        <v>5326</v>
      </c>
      <c r="Q2182" s="3" t="s">
        <v>2287</v>
      </c>
      <c r="R2182" s="3" t="s">
        <v>91</v>
      </c>
      <c r="S2182" s="3">
        <v>88316001</v>
      </c>
      <c r="T2182" s="3">
        <v>4733496204</v>
      </c>
      <c r="U2182" s="3" t="s">
        <v>29</v>
      </c>
    </row>
    <row r="2183" spans="1:21" ht="13.2" x14ac:dyDescent="0.25">
      <c r="A2183" s="14">
        <v>416170000151</v>
      </c>
      <c r="B2183" s="15" t="str">
        <f t="shared" si="34"/>
        <v>00.416.170/0001-51</v>
      </c>
      <c r="C2183" s="12" t="str">
        <f>VLOOKUP(B2183,[1]Planilha1!$A:$B,2,0)</f>
        <v>Malu Montesino</v>
      </c>
      <c r="D2183" s="3" t="s">
        <v>8112</v>
      </c>
      <c r="E2183" s="3" t="s">
        <v>8112</v>
      </c>
      <c r="F2183" s="3" t="s">
        <v>20</v>
      </c>
      <c r="G2183" s="4">
        <v>34710</v>
      </c>
      <c r="H2183" s="3" t="s">
        <v>21</v>
      </c>
      <c r="I2183" s="3" t="s">
        <v>33</v>
      </c>
      <c r="J2183" s="5">
        <v>17035984</v>
      </c>
      <c r="K2183" s="3">
        <v>2943300</v>
      </c>
      <c r="L2183" s="3" t="s">
        <v>1913</v>
      </c>
      <c r="M2183" s="3" t="s">
        <v>8113</v>
      </c>
      <c r="N2183" s="3">
        <v>1519</v>
      </c>
      <c r="O2183" s="3" t="s">
        <v>7063</v>
      </c>
      <c r="P2183" s="3" t="s">
        <v>8114</v>
      </c>
      <c r="Q2183" s="3" t="s">
        <v>393</v>
      </c>
      <c r="R2183" s="3" t="s">
        <v>28</v>
      </c>
      <c r="S2183" s="3">
        <v>13295970</v>
      </c>
      <c r="T2183" s="3">
        <v>1145934001</v>
      </c>
      <c r="U2183" s="3" t="s">
        <v>29</v>
      </c>
    </row>
    <row r="2184" spans="1:21" ht="13.2" x14ac:dyDescent="0.25">
      <c r="A2184" s="14">
        <v>264588000190</v>
      </c>
      <c r="B2184" s="15" t="str">
        <f t="shared" si="34"/>
        <v>00.264.588/0001-90</v>
      </c>
      <c r="C2184" s="12"/>
      <c r="D2184" s="3" t="s">
        <v>8115</v>
      </c>
      <c r="E2184" s="3" t="s">
        <v>8115</v>
      </c>
      <c r="F2184" s="3" t="s">
        <v>20</v>
      </c>
      <c r="G2184" s="4">
        <v>34631</v>
      </c>
      <c r="H2184" s="3" t="s">
        <v>21</v>
      </c>
      <c r="I2184" s="3" t="s">
        <v>33</v>
      </c>
      <c r="J2184" s="5">
        <v>2200000</v>
      </c>
      <c r="K2184" s="3">
        <v>3032600</v>
      </c>
      <c r="L2184" s="3" t="s">
        <v>8116</v>
      </c>
      <c r="M2184" s="3" t="s">
        <v>8113</v>
      </c>
      <c r="N2184" s="3">
        <v>1519</v>
      </c>
      <c r="O2184" s="3" t="s">
        <v>8117</v>
      </c>
      <c r="P2184" s="3" t="s">
        <v>8114</v>
      </c>
      <c r="Q2184" s="3" t="s">
        <v>393</v>
      </c>
      <c r="R2184" s="3" t="s">
        <v>28</v>
      </c>
      <c r="S2184" s="3">
        <v>13295970</v>
      </c>
      <c r="T2184" s="3">
        <v>1145934001</v>
      </c>
      <c r="U2184" s="3" t="s">
        <v>29</v>
      </c>
    </row>
    <row r="2185" spans="1:21" ht="13.2" x14ac:dyDescent="0.25">
      <c r="A2185" s="14">
        <v>91741900000145</v>
      </c>
      <c r="B2185" s="15" t="str">
        <f t="shared" si="34"/>
        <v>91.741.900/0001-45</v>
      </c>
      <c r="C2185" s="12"/>
      <c r="D2185" s="3" t="s">
        <v>8118</v>
      </c>
      <c r="E2185" s="3" t="s">
        <v>8119</v>
      </c>
      <c r="F2185" s="3" t="s">
        <v>20</v>
      </c>
      <c r="G2185" s="4">
        <v>32084</v>
      </c>
      <c r="H2185" s="3" t="s">
        <v>21</v>
      </c>
      <c r="I2185" s="3" t="s">
        <v>33</v>
      </c>
      <c r="J2185" s="5">
        <v>115000</v>
      </c>
      <c r="K2185" s="3">
        <v>3292202</v>
      </c>
      <c r="L2185" s="3" t="s">
        <v>1654</v>
      </c>
      <c r="M2185" s="3" t="s">
        <v>8120</v>
      </c>
      <c r="N2185" s="3">
        <v>571</v>
      </c>
      <c r="P2185" s="3" t="s">
        <v>8121</v>
      </c>
      <c r="Q2185" s="3" t="s">
        <v>3112</v>
      </c>
      <c r="R2185" s="3" t="s">
        <v>53</v>
      </c>
      <c r="S2185" s="3">
        <v>93600010</v>
      </c>
      <c r="T2185" s="3">
        <v>5135612731</v>
      </c>
      <c r="U2185" s="3" t="s">
        <v>29</v>
      </c>
    </row>
    <row r="2186" spans="1:21" ht="13.2" x14ac:dyDescent="0.25">
      <c r="A2186" s="14">
        <v>6116194000171</v>
      </c>
      <c r="B2186" s="15" t="str">
        <f t="shared" si="34"/>
        <v>06.116.194/0001-71</v>
      </c>
      <c r="C2186" s="12" t="str">
        <f>VLOOKUP(B2186,[1]Planilha1!$A:$B,2,0)</f>
        <v>Malu Montesino</v>
      </c>
      <c r="D2186" s="3" t="s">
        <v>8122</v>
      </c>
      <c r="E2186" s="3" t="s">
        <v>8122</v>
      </c>
      <c r="F2186" s="3" t="s">
        <v>20</v>
      </c>
      <c r="G2186" s="4">
        <v>38037</v>
      </c>
      <c r="H2186" s="3" t="s">
        <v>21</v>
      </c>
      <c r="I2186" s="3" t="s">
        <v>22</v>
      </c>
      <c r="J2186" s="5">
        <v>150000</v>
      </c>
      <c r="K2186" s="3">
        <v>2862300</v>
      </c>
      <c r="L2186" s="3" t="s">
        <v>7127</v>
      </c>
      <c r="M2186" s="3" t="s">
        <v>8123</v>
      </c>
      <c r="N2186" s="3">
        <v>5320</v>
      </c>
      <c r="P2186" s="3" t="s">
        <v>8124</v>
      </c>
      <c r="Q2186" s="3" t="s">
        <v>90</v>
      </c>
      <c r="R2186" s="3" t="s">
        <v>91</v>
      </c>
      <c r="S2186" s="3">
        <v>89260800</v>
      </c>
      <c r="T2186" s="3">
        <v>4733732357</v>
      </c>
      <c r="U2186" s="3" t="s">
        <v>29</v>
      </c>
    </row>
    <row r="2187" spans="1:21" ht="13.2" x14ac:dyDescent="0.25">
      <c r="A2187" s="14">
        <v>59231530000193</v>
      </c>
      <c r="B2187" s="15" t="str">
        <f t="shared" si="34"/>
        <v>59.231.530/0001-93</v>
      </c>
      <c r="C2187" s="12" t="str">
        <f>VLOOKUP(B2187,[1]Planilha1!$A:$B,2,0)</f>
        <v>Malu Montesino</v>
      </c>
      <c r="D2187" s="3" t="s">
        <v>8125</v>
      </c>
      <c r="E2187" s="3" t="s">
        <v>8126</v>
      </c>
      <c r="F2187" s="3" t="s">
        <v>20</v>
      </c>
      <c r="G2187" s="4">
        <v>32378</v>
      </c>
      <c r="H2187" s="3" t="s">
        <v>21</v>
      </c>
      <c r="I2187" s="3" t="s">
        <v>33</v>
      </c>
      <c r="J2187" s="5">
        <v>43177076</v>
      </c>
      <c r="K2187" s="3">
        <v>3250705</v>
      </c>
      <c r="L2187" s="3" t="s">
        <v>2420</v>
      </c>
      <c r="M2187" s="3" t="s">
        <v>8127</v>
      </c>
      <c r="N2187" s="3">
        <v>418</v>
      </c>
      <c r="P2187" s="3" t="s">
        <v>8128</v>
      </c>
      <c r="Q2187" s="3" t="s">
        <v>393</v>
      </c>
      <c r="R2187" s="3" t="s">
        <v>28</v>
      </c>
      <c r="S2187" s="3">
        <v>13299364</v>
      </c>
      <c r="T2187" s="3">
        <v>1149610900</v>
      </c>
      <c r="U2187" s="3" t="s">
        <v>29</v>
      </c>
    </row>
    <row r="2188" spans="1:21" ht="13.2" x14ac:dyDescent="0.25">
      <c r="A2188" s="14">
        <v>44410199000100</v>
      </c>
      <c r="B2188" s="15" t="str">
        <f t="shared" si="34"/>
        <v>44.410.199/0001-00</v>
      </c>
      <c r="C2188" s="12"/>
      <c r="D2188" s="3" t="s">
        <v>8129</v>
      </c>
      <c r="E2188" s="3" t="s">
        <v>8130</v>
      </c>
      <c r="F2188" s="3" t="s">
        <v>20</v>
      </c>
      <c r="G2188" s="4">
        <v>26695</v>
      </c>
      <c r="H2188" s="3" t="s">
        <v>21</v>
      </c>
      <c r="I2188" s="3" t="s">
        <v>33</v>
      </c>
      <c r="J2188" s="5">
        <v>148311260</v>
      </c>
      <c r="K2188" s="3">
        <v>2853400</v>
      </c>
      <c r="L2188" s="3" t="s">
        <v>3249</v>
      </c>
      <c r="M2188" s="3" t="s">
        <v>2201</v>
      </c>
      <c r="N2188" s="3">
        <v>2000</v>
      </c>
      <c r="O2188" s="3" t="s">
        <v>8131</v>
      </c>
      <c r="P2188" s="3" t="s">
        <v>2202</v>
      </c>
      <c r="Q2188" s="3" t="s">
        <v>2203</v>
      </c>
      <c r="R2188" s="3" t="s">
        <v>28</v>
      </c>
      <c r="S2188" s="3">
        <v>8655000</v>
      </c>
      <c r="T2188" s="3">
        <v>1147457194</v>
      </c>
      <c r="U2188" s="3" t="s">
        <v>29</v>
      </c>
    </row>
    <row r="2189" spans="1:21" ht="13.2" x14ac:dyDescent="0.25">
      <c r="A2189" s="14">
        <v>71256283000185</v>
      </c>
      <c r="B2189" s="15" t="str">
        <f t="shared" si="34"/>
        <v>71.256.283/0001-85</v>
      </c>
      <c r="C2189" s="12" t="str">
        <f>VLOOKUP(B2189,[1]Planilha1!$A:$B,2,0)</f>
        <v>Malu Montesino</v>
      </c>
      <c r="D2189" s="3" t="s">
        <v>8132</v>
      </c>
      <c r="E2189" s="3" t="s">
        <v>8132</v>
      </c>
      <c r="F2189" s="3" t="s">
        <v>20</v>
      </c>
      <c r="G2189" s="4">
        <v>34158</v>
      </c>
      <c r="H2189" s="3" t="s">
        <v>21</v>
      </c>
      <c r="I2189" s="3" t="s">
        <v>33</v>
      </c>
      <c r="J2189" s="5">
        <v>50547736</v>
      </c>
      <c r="K2189" s="3">
        <v>2660400</v>
      </c>
      <c r="L2189" s="3" t="s">
        <v>953</v>
      </c>
      <c r="M2189" s="3" t="s">
        <v>8133</v>
      </c>
      <c r="N2189" s="3">
        <v>420</v>
      </c>
      <c r="P2189" s="3" t="s">
        <v>8134</v>
      </c>
      <c r="Q2189" s="3" t="s">
        <v>99</v>
      </c>
      <c r="R2189" s="3" t="s">
        <v>100</v>
      </c>
      <c r="S2189" s="3">
        <v>34007666</v>
      </c>
      <c r="T2189" s="3">
        <v>3131174400</v>
      </c>
      <c r="U2189" s="3" t="s">
        <v>29</v>
      </c>
    </row>
    <row r="2190" spans="1:21" ht="13.2" x14ac:dyDescent="0.25">
      <c r="A2190" s="14">
        <v>13270520000166</v>
      </c>
      <c r="B2190" s="15" t="str">
        <f t="shared" si="34"/>
        <v>13.270.520/0001-66</v>
      </c>
      <c r="C2190" s="12"/>
      <c r="D2190" s="3" t="s">
        <v>8135</v>
      </c>
      <c r="E2190" s="3" t="s">
        <v>8135</v>
      </c>
      <c r="F2190" s="3" t="s">
        <v>20</v>
      </c>
      <c r="G2190" s="4">
        <v>40582</v>
      </c>
      <c r="H2190" s="3" t="s">
        <v>377</v>
      </c>
      <c r="I2190" s="3" t="s">
        <v>33</v>
      </c>
      <c r="J2190" s="5">
        <v>345603330</v>
      </c>
      <c r="K2190" s="3">
        <v>6462000</v>
      </c>
      <c r="L2190" s="3" t="s">
        <v>250</v>
      </c>
      <c r="M2190" s="3" t="s">
        <v>8136</v>
      </c>
      <c r="N2190" s="3">
        <v>207</v>
      </c>
      <c r="P2190" s="3" t="s">
        <v>8137</v>
      </c>
      <c r="Q2190" s="3" t="s">
        <v>1253</v>
      </c>
      <c r="R2190" s="3" t="s">
        <v>765</v>
      </c>
      <c r="S2190" s="3">
        <v>29056055</v>
      </c>
      <c r="T2190" s="3">
        <v>2733463734</v>
      </c>
      <c r="U2190" s="3" t="s">
        <v>29</v>
      </c>
    </row>
    <row r="2191" spans="1:21" ht="13.2" x14ac:dyDescent="0.25">
      <c r="A2191" s="14">
        <v>1708167000174</v>
      </c>
      <c r="B2191" s="15" t="str">
        <f t="shared" si="34"/>
        <v>01.708.167/0001-74</v>
      </c>
      <c r="C2191" s="12"/>
      <c r="D2191" s="3" t="s">
        <v>8138</v>
      </c>
      <c r="E2191" s="3" t="s">
        <v>8138</v>
      </c>
      <c r="F2191" s="3" t="s">
        <v>20</v>
      </c>
      <c r="G2191" s="4">
        <v>35458</v>
      </c>
      <c r="H2191" s="3" t="s">
        <v>32</v>
      </c>
      <c r="I2191" s="3" t="s">
        <v>33</v>
      </c>
      <c r="J2191" s="5">
        <v>27407924</v>
      </c>
      <c r="K2191" s="3">
        <v>7020400</v>
      </c>
      <c r="L2191" s="3" t="s">
        <v>170</v>
      </c>
      <c r="M2191" s="3" t="s">
        <v>2872</v>
      </c>
      <c r="N2191" s="3">
        <v>1400</v>
      </c>
      <c r="O2191" s="3" t="s">
        <v>8139</v>
      </c>
      <c r="P2191" s="3" t="s">
        <v>306</v>
      </c>
      <c r="Q2191" s="3" t="s">
        <v>27</v>
      </c>
      <c r="R2191" s="3" t="s">
        <v>28</v>
      </c>
      <c r="S2191" s="3">
        <v>4719911</v>
      </c>
      <c r="T2191" s="3">
        <v>1139401500</v>
      </c>
      <c r="U2191" s="3" t="s">
        <v>29</v>
      </c>
    </row>
    <row r="2192" spans="1:21" ht="13.2" x14ac:dyDescent="0.25">
      <c r="A2192" s="14">
        <v>53446009000197</v>
      </c>
      <c r="B2192" s="15" t="str">
        <f t="shared" si="34"/>
        <v>53.446.009/0001-97</v>
      </c>
      <c r="C2192" s="12"/>
      <c r="D2192" s="3" t="s">
        <v>8140</v>
      </c>
      <c r="E2192" s="3" t="s">
        <v>8140</v>
      </c>
      <c r="F2192" s="3" t="s">
        <v>20</v>
      </c>
      <c r="G2192" s="4">
        <v>45301</v>
      </c>
      <c r="H2192" s="3" t="s">
        <v>21</v>
      </c>
      <c r="I2192" s="3" t="s">
        <v>22</v>
      </c>
      <c r="J2192" s="5">
        <v>100000</v>
      </c>
      <c r="K2192" s="3">
        <v>4744003</v>
      </c>
      <c r="L2192" s="3" t="s">
        <v>6548</v>
      </c>
      <c r="M2192" s="3" t="s">
        <v>8141</v>
      </c>
      <c r="N2192" s="3">
        <v>381</v>
      </c>
      <c r="P2192" s="3" t="s">
        <v>8142</v>
      </c>
      <c r="Q2192" s="3" t="s">
        <v>37</v>
      </c>
      <c r="R2192" s="3" t="s">
        <v>28</v>
      </c>
      <c r="S2192" s="3">
        <v>13478743</v>
      </c>
      <c r="T2192" s="3">
        <v>1993530388</v>
      </c>
      <c r="U2192" s="3" t="s">
        <v>29</v>
      </c>
    </row>
    <row r="2193" spans="1:21" ht="13.2" x14ac:dyDescent="0.25">
      <c r="A2193" s="14">
        <v>9628460000133</v>
      </c>
      <c r="B2193" s="15" t="str">
        <f t="shared" si="34"/>
        <v>09.628.460/0001-33</v>
      </c>
      <c r="C2193" s="12"/>
      <c r="D2193" s="3" t="s">
        <v>8143</v>
      </c>
      <c r="E2193" s="3" t="s">
        <v>8143</v>
      </c>
      <c r="F2193" s="3" t="s">
        <v>20</v>
      </c>
      <c r="G2193" s="4">
        <v>39604</v>
      </c>
      <c r="H2193" s="3" t="s">
        <v>21</v>
      </c>
      <c r="I2193" s="3" t="s">
        <v>33</v>
      </c>
      <c r="J2193" s="5">
        <v>18218744</v>
      </c>
      <c r="K2193" s="3">
        <v>7020400</v>
      </c>
      <c r="L2193" s="3" t="s">
        <v>170</v>
      </c>
      <c r="M2193" s="3" t="s">
        <v>4607</v>
      </c>
      <c r="N2193" s="3">
        <v>85</v>
      </c>
      <c r="O2193" s="3" t="s">
        <v>8144</v>
      </c>
      <c r="P2193" s="3" t="s">
        <v>1019</v>
      </c>
      <c r="Q2193" s="3" t="s">
        <v>27</v>
      </c>
      <c r="R2193" s="3" t="s">
        <v>28</v>
      </c>
      <c r="S2193" s="3">
        <v>4576010</v>
      </c>
      <c r="T2193" s="3">
        <v>1148901921</v>
      </c>
      <c r="U2193" s="3" t="s">
        <v>29</v>
      </c>
    </row>
    <row r="2194" spans="1:21" ht="13.2" x14ac:dyDescent="0.25">
      <c r="A2194" s="14">
        <v>3574096000190</v>
      </c>
      <c r="B2194" s="15" t="str">
        <f t="shared" si="34"/>
        <v>03.574.096/0001-90</v>
      </c>
      <c r="C2194" s="12"/>
      <c r="D2194" s="3" t="s">
        <v>8145</v>
      </c>
      <c r="E2194" s="3" t="s">
        <v>8145</v>
      </c>
      <c r="F2194" s="3" t="s">
        <v>20</v>
      </c>
      <c r="G2194" s="4">
        <v>36522</v>
      </c>
      <c r="H2194" s="3" t="s">
        <v>21</v>
      </c>
      <c r="I2194" s="3" t="s">
        <v>33</v>
      </c>
      <c r="J2194" s="5">
        <v>94611390</v>
      </c>
      <c r="K2194" s="3">
        <v>2945000</v>
      </c>
      <c r="L2194" s="3" t="s">
        <v>5905</v>
      </c>
      <c r="M2194" s="3" t="s">
        <v>8146</v>
      </c>
      <c r="N2194" s="3">
        <v>200</v>
      </c>
      <c r="P2194" s="3" t="s">
        <v>8147</v>
      </c>
      <c r="Q2194" s="3" t="s">
        <v>2614</v>
      </c>
      <c r="R2194" s="3" t="s">
        <v>28</v>
      </c>
      <c r="S2194" s="3">
        <v>13255743</v>
      </c>
      <c r="T2194" s="3">
        <v>1145249000</v>
      </c>
      <c r="U2194" s="3" t="s">
        <v>29</v>
      </c>
    </row>
    <row r="2195" spans="1:21" ht="13.2" x14ac:dyDescent="0.25">
      <c r="A2195" s="14">
        <v>1606452000184</v>
      </c>
      <c r="B2195" s="15" t="str">
        <f t="shared" si="34"/>
        <v>01.606.452/0001-84</v>
      </c>
      <c r="C2195" s="12"/>
      <c r="D2195" s="3" t="s">
        <v>8148</v>
      </c>
      <c r="E2195" s="3" t="s">
        <v>8148</v>
      </c>
      <c r="F2195" s="3" t="s">
        <v>20</v>
      </c>
      <c r="G2195" s="4">
        <v>35426</v>
      </c>
      <c r="H2195" s="3" t="s">
        <v>21</v>
      </c>
      <c r="I2195" s="3" t="s">
        <v>33</v>
      </c>
      <c r="J2195" s="5">
        <v>13000000</v>
      </c>
      <c r="K2195" s="3">
        <v>2431800</v>
      </c>
      <c r="L2195" s="3" t="s">
        <v>1170</v>
      </c>
      <c r="M2195" s="3" t="s">
        <v>5213</v>
      </c>
      <c r="N2195" s="3">
        <v>10243</v>
      </c>
      <c r="O2195" s="3" t="s">
        <v>2998</v>
      </c>
      <c r="P2195" s="3" t="s">
        <v>5215</v>
      </c>
      <c r="Q2195" s="3" t="s">
        <v>617</v>
      </c>
      <c r="R2195" s="3" t="s">
        <v>28</v>
      </c>
      <c r="S2195" s="3">
        <v>6422120</v>
      </c>
      <c r="T2195" s="3">
        <v>1120508900</v>
      </c>
      <c r="U2195" s="3" t="s">
        <v>29</v>
      </c>
    </row>
    <row r="2196" spans="1:21" ht="13.2" x14ac:dyDescent="0.25">
      <c r="A2196" s="14">
        <v>145602000137</v>
      </c>
      <c r="B2196" s="15" t="str">
        <f t="shared" si="34"/>
        <v>00.145.602/0001-37</v>
      </c>
      <c r="C2196" s="12" t="str">
        <f>VLOOKUP(B2196,[1]Planilha1!$A:$B,2,0)</f>
        <v>Malu Montesino</v>
      </c>
      <c r="D2196" s="3" t="s">
        <v>8149</v>
      </c>
      <c r="E2196" s="3" t="s">
        <v>8149</v>
      </c>
      <c r="F2196" s="3" t="s">
        <v>20</v>
      </c>
      <c r="G2196" s="4">
        <v>34561</v>
      </c>
      <c r="H2196" s="3" t="s">
        <v>21</v>
      </c>
      <c r="I2196" s="3" t="s">
        <v>33</v>
      </c>
      <c r="J2196" s="5">
        <v>120000000</v>
      </c>
      <c r="K2196" s="3">
        <v>2223400</v>
      </c>
      <c r="L2196" s="3" t="s">
        <v>868</v>
      </c>
      <c r="M2196" s="3" t="s">
        <v>8150</v>
      </c>
      <c r="N2196" s="3">
        <v>715</v>
      </c>
      <c r="P2196" s="3" t="s">
        <v>3858</v>
      </c>
      <c r="Q2196" s="3" t="s">
        <v>423</v>
      </c>
      <c r="R2196" s="3" t="s">
        <v>91</v>
      </c>
      <c r="S2196" s="3">
        <v>89237310</v>
      </c>
      <c r="T2196" s="3">
        <v>4734317800</v>
      </c>
      <c r="U2196" s="3" t="s">
        <v>29</v>
      </c>
    </row>
    <row r="2197" spans="1:21" ht="13.2" x14ac:dyDescent="0.25">
      <c r="A2197" s="14">
        <v>49418150000109</v>
      </c>
      <c r="B2197" s="15" t="str">
        <f t="shared" si="34"/>
        <v>49.418.150/0001-09</v>
      </c>
      <c r="C2197" s="12" t="str">
        <f>VLOOKUP(B2197,[1]Planilha1!$A:$B,2,0)</f>
        <v>Malu Montesino</v>
      </c>
      <c r="D2197" s="3" t="s">
        <v>8151</v>
      </c>
      <c r="E2197" s="3" t="s">
        <v>8152</v>
      </c>
      <c r="F2197" s="3" t="s">
        <v>20</v>
      </c>
      <c r="G2197" s="4">
        <v>44958</v>
      </c>
      <c r="H2197" s="3" t="s">
        <v>21</v>
      </c>
      <c r="I2197" s="3" t="s">
        <v>33</v>
      </c>
      <c r="J2197" s="5">
        <v>1000000</v>
      </c>
      <c r="K2197" s="3">
        <v>2825900</v>
      </c>
      <c r="L2197" s="3" t="s">
        <v>345</v>
      </c>
      <c r="M2197" s="3" t="s">
        <v>8153</v>
      </c>
      <c r="N2197" s="3">
        <v>100</v>
      </c>
      <c r="O2197" s="3" t="s">
        <v>8154</v>
      </c>
      <c r="P2197" s="3" t="s">
        <v>8155</v>
      </c>
      <c r="Q2197" s="3" t="s">
        <v>37</v>
      </c>
      <c r="R2197" s="3" t="s">
        <v>28</v>
      </c>
      <c r="S2197" s="3">
        <v>13477250</v>
      </c>
      <c r="T2197" s="3">
        <v>1934507396</v>
      </c>
      <c r="U2197" s="3" t="s">
        <v>29</v>
      </c>
    </row>
    <row r="2198" spans="1:21" ht="13.2" x14ac:dyDescent="0.25">
      <c r="A2198" s="14">
        <v>60680873000114</v>
      </c>
      <c r="B2198" s="15" t="str">
        <f t="shared" si="34"/>
        <v>60.680.873/0001-14</v>
      </c>
      <c r="C2198" s="12" t="str">
        <f>VLOOKUP(B2198,[1]Planilha1!$A:$B,2,0)</f>
        <v>Malu Montesino</v>
      </c>
      <c r="D2198" s="3" t="s">
        <v>8156</v>
      </c>
      <c r="E2198" s="3" t="s">
        <v>8157</v>
      </c>
      <c r="F2198" s="3" t="s">
        <v>20</v>
      </c>
      <c r="G2198" s="4">
        <v>24328</v>
      </c>
      <c r="H2198" s="3" t="s">
        <v>21</v>
      </c>
      <c r="I2198" s="3" t="s">
        <v>33</v>
      </c>
      <c r="J2198" s="5">
        <v>72396420</v>
      </c>
      <c r="K2198" s="3">
        <v>2812700</v>
      </c>
      <c r="L2198" s="3" t="s">
        <v>1534</v>
      </c>
      <c r="M2198" s="3" t="s">
        <v>8158</v>
      </c>
      <c r="N2198" s="3">
        <v>638</v>
      </c>
      <c r="P2198" s="3" t="s">
        <v>8159</v>
      </c>
      <c r="Q2198" s="3" t="s">
        <v>1915</v>
      </c>
      <c r="R2198" s="3" t="s">
        <v>28</v>
      </c>
      <c r="S2198" s="3">
        <v>13220540</v>
      </c>
      <c r="T2198" s="3">
        <v>1145968573</v>
      </c>
      <c r="U2198" s="3" t="s">
        <v>29</v>
      </c>
    </row>
    <row r="2199" spans="1:21" ht="13.2" x14ac:dyDescent="0.25">
      <c r="A2199" s="14">
        <v>79805263000128</v>
      </c>
      <c r="B2199" s="15" t="str">
        <f t="shared" si="34"/>
        <v>79.805.263/0001-28</v>
      </c>
      <c r="C2199" s="12" t="str">
        <f>VLOOKUP(B2199,[1]Planilha1!$A:$B,2,0)</f>
        <v>Malu Montesino</v>
      </c>
      <c r="D2199" s="3" t="s">
        <v>8160</v>
      </c>
      <c r="E2199" s="3" t="s">
        <v>8160</v>
      </c>
      <c r="F2199" s="3" t="s">
        <v>20</v>
      </c>
      <c r="G2199" s="4">
        <v>31819</v>
      </c>
      <c r="H2199" s="3" t="s">
        <v>21</v>
      </c>
      <c r="I2199" s="3" t="s">
        <v>33</v>
      </c>
      <c r="J2199" s="5">
        <v>2206140</v>
      </c>
      <c r="K2199" s="3">
        <v>3250702</v>
      </c>
      <c r="L2199" s="3" t="s">
        <v>2159</v>
      </c>
      <c r="M2199" s="3" t="s">
        <v>2506</v>
      </c>
      <c r="N2199" s="3">
        <v>29</v>
      </c>
      <c r="P2199" s="3" t="s">
        <v>2507</v>
      </c>
      <c r="Q2199" s="3" t="s">
        <v>186</v>
      </c>
      <c r="R2199" s="3" t="s">
        <v>187</v>
      </c>
      <c r="S2199" s="3">
        <v>83010080</v>
      </c>
      <c r="T2199" s="3">
        <v>4133822066</v>
      </c>
      <c r="U2199" s="3" t="s">
        <v>29</v>
      </c>
    </row>
    <row r="2200" spans="1:21" ht="13.2" x14ac:dyDescent="0.25">
      <c r="A2200" s="14">
        <v>35510121000168</v>
      </c>
      <c r="B2200" s="15" t="str">
        <f t="shared" si="34"/>
        <v>35.510.121/0001-68</v>
      </c>
      <c r="C2200" s="12"/>
      <c r="D2200" s="3" t="s">
        <v>8161</v>
      </c>
      <c r="E2200" s="3" t="s">
        <v>8162</v>
      </c>
      <c r="F2200" s="3" t="s">
        <v>20</v>
      </c>
      <c r="G2200" s="4">
        <v>43782</v>
      </c>
      <c r="H2200" s="3" t="s">
        <v>21</v>
      </c>
      <c r="I2200" s="3" t="s">
        <v>33</v>
      </c>
      <c r="J2200" s="5">
        <v>7840275</v>
      </c>
      <c r="K2200" s="3">
        <v>4642702</v>
      </c>
      <c r="L2200" s="3" t="s">
        <v>1139</v>
      </c>
      <c r="M2200" s="3" t="s">
        <v>8163</v>
      </c>
      <c r="N2200" s="3">
        <v>168</v>
      </c>
      <c r="P2200" s="3" t="s">
        <v>8164</v>
      </c>
      <c r="Q2200" s="3" t="s">
        <v>27</v>
      </c>
      <c r="R2200" s="3" t="s">
        <v>28</v>
      </c>
      <c r="S2200" s="3">
        <v>5030000</v>
      </c>
      <c r="T2200" s="3">
        <v>1133840011</v>
      </c>
      <c r="U2200" s="3" t="s">
        <v>29</v>
      </c>
    </row>
    <row r="2201" spans="1:21" ht="13.2" x14ac:dyDescent="0.25">
      <c r="A2201" s="14">
        <v>9273196000162</v>
      </c>
      <c r="B2201" s="15" t="str">
        <f t="shared" si="34"/>
        <v>09.273.196/0001-62</v>
      </c>
      <c r="C2201" s="12" t="str">
        <f>VLOOKUP(B2201,[1]Planilha1!$A:$B,2,0)</f>
        <v>Malu Montesino</v>
      </c>
      <c r="D2201" s="3" t="s">
        <v>8165</v>
      </c>
      <c r="E2201" s="3" t="s">
        <v>8165</v>
      </c>
      <c r="F2201" s="3" t="s">
        <v>20</v>
      </c>
      <c r="G2201" s="4">
        <v>39371</v>
      </c>
      <c r="H2201" s="3" t="s">
        <v>21</v>
      </c>
      <c r="I2201" s="3" t="s">
        <v>33</v>
      </c>
      <c r="J2201" s="5">
        <v>100000</v>
      </c>
      <c r="K2201" s="3">
        <v>3292202</v>
      </c>
      <c r="L2201" s="3" t="s">
        <v>1654</v>
      </c>
      <c r="M2201" s="3" t="s">
        <v>8166</v>
      </c>
      <c r="N2201" s="3">
        <v>1207</v>
      </c>
      <c r="P2201" s="3" t="s">
        <v>8167</v>
      </c>
      <c r="Q2201" s="3" t="s">
        <v>854</v>
      </c>
      <c r="R2201" s="3" t="s">
        <v>28</v>
      </c>
      <c r="S2201" s="3">
        <v>13487160</v>
      </c>
      <c r="T2201" s="3">
        <v>1934444679</v>
      </c>
      <c r="U2201" s="3" t="s">
        <v>29</v>
      </c>
    </row>
    <row r="2202" spans="1:21" ht="13.2" x14ac:dyDescent="0.25">
      <c r="A2202" s="14">
        <v>61489381000109</v>
      </c>
      <c r="B2202" s="15" t="str">
        <f t="shared" si="34"/>
        <v>61.489.381/0001-09</v>
      </c>
      <c r="C2202" s="12" t="str">
        <f>VLOOKUP(B2202,[1]Planilha1!$A:$B,2,0)</f>
        <v>Malu Montesino</v>
      </c>
      <c r="D2202" s="3" t="s">
        <v>8168</v>
      </c>
      <c r="E2202" s="3" t="s">
        <v>8168</v>
      </c>
      <c r="F2202" s="3" t="s">
        <v>20</v>
      </c>
      <c r="G2202" s="4">
        <v>24315</v>
      </c>
      <c r="H2202" s="3" t="s">
        <v>21</v>
      </c>
      <c r="I2202" s="3" t="s">
        <v>33</v>
      </c>
      <c r="J2202" s="5">
        <v>4974300</v>
      </c>
      <c r="K2202" s="3">
        <v>2660400</v>
      </c>
      <c r="L2202" s="3" t="s">
        <v>953</v>
      </c>
      <c r="M2202" s="3" t="s">
        <v>8169</v>
      </c>
      <c r="N2202" s="3">
        <v>39</v>
      </c>
      <c r="P2202" s="3" t="s">
        <v>8170</v>
      </c>
      <c r="Q2202" s="3" t="s">
        <v>27</v>
      </c>
      <c r="R2202" s="3" t="s">
        <v>28</v>
      </c>
      <c r="S2202" s="3">
        <v>4257100</v>
      </c>
      <c r="T2202" s="3">
        <v>1129485930</v>
      </c>
      <c r="U2202" s="3" t="s">
        <v>29</v>
      </c>
    </row>
    <row r="2203" spans="1:21" ht="13.2" x14ac:dyDescent="0.25">
      <c r="A2203" s="14">
        <v>1186305000100</v>
      </c>
      <c r="B2203" s="15" t="str">
        <f t="shared" si="34"/>
        <v>01.186.305/0001-00</v>
      </c>
      <c r="C2203" s="12"/>
      <c r="D2203" s="3" t="s">
        <v>8171</v>
      </c>
      <c r="E2203" s="3" t="s">
        <v>8172</v>
      </c>
      <c r="F2203" s="3" t="s">
        <v>20</v>
      </c>
      <c r="G2203" s="4">
        <v>35194</v>
      </c>
      <c r="H2203" s="3" t="s">
        <v>94</v>
      </c>
      <c r="I2203" s="3" t="s">
        <v>33</v>
      </c>
      <c r="J2203" s="5">
        <v>340000000</v>
      </c>
      <c r="K2203" s="3">
        <v>2833000</v>
      </c>
      <c r="L2203" s="3" t="s">
        <v>151</v>
      </c>
      <c r="M2203" s="3" t="s">
        <v>8173</v>
      </c>
      <c r="N2203" s="3">
        <v>3400</v>
      </c>
      <c r="P2203" s="3" t="s">
        <v>4015</v>
      </c>
      <c r="Q2203" s="3" t="s">
        <v>186</v>
      </c>
      <c r="R2203" s="3" t="s">
        <v>187</v>
      </c>
      <c r="S2203" s="3">
        <v>83025320</v>
      </c>
      <c r="T2203" s="3">
        <v>4121020215</v>
      </c>
      <c r="U2203" s="3" t="s">
        <v>29</v>
      </c>
    </row>
    <row r="2204" spans="1:21" ht="13.2" x14ac:dyDescent="0.25">
      <c r="A2204" s="14">
        <v>27481817000185</v>
      </c>
      <c r="B2204" s="15" t="str">
        <f t="shared" si="34"/>
        <v>27.481.817/0001-85</v>
      </c>
      <c r="C2204" s="12"/>
      <c r="D2204" s="3" t="s">
        <v>8174</v>
      </c>
      <c r="E2204" s="3" t="s">
        <v>8175</v>
      </c>
      <c r="F2204" s="3" t="s">
        <v>20</v>
      </c>
      <c r="G2204" s="4">
        <v>42831</v>
      </c>
      <c r="H2204" s="3" t="s">
        <v>21</v>
      </c>
      <c r="I2204" s="3" t="s">
        <v>47</v>
      </c>
      <c r="J2204" s="5">
        <v>750000</v>
      </c>
      <c r="K2204" s="3">
        <v>4649408</v>
      </c>
      <c r="L2204" s="3" t="s">
        <v>464</v>
      </c>
      <c r="M2204" s="3" t="s">
        <v>8176</v>
      </c>
      <c r="N2204" s="3">
        <v>150</v>
      </c>
      <c r="O2204" s="3" t="s">
        <v>8177</v>
      </c>
      <c r="P2204" s="3" t="s">
        <v>3871</v>
      </c>
      <c r="Q2204" s="3" t="s">
        <v>437</v>
      </c>
      <c r="R2204" s="3" t="s">
        <v>53</v>
      </c>
      <c r="S2204" s="3">
        <v>90470320</v>
      </c>
      <c r="T2204" s="3">
        <v>5132256363</v>
      </c>
      <c r="U2204" s="3" t="s">
        <v>29</v>
      </c>
    </row>
    <row r="2205" spans="1:21" ht="13.2" x14ac:dyDescent="0.25">
      <c r="A2205" s="14">
        <v>7293786000121</v>
      </c>
      <c r="B2205" s="15" t="str">
        <f t="shared" si="34"/>
        <v>07.293.786/0001-21</v>
      </c>
      <c r="C2205" s="12"/>
      <c r="D2205" s="3" t="s">
        <v>8178</v>
      </c>
      <c r="E2205" s="3" t="s">
        <v>8179</v>
      </c>
      <c r="F2205" s="3" t="s">
        <v>20</v>
      </c>
      <c r="G2205" s="4">
        <v>38432</v>
      </c>
      <c r="H2205" s="3" t="s">
        <v>21</v>
      </c>
      <c r="I2205" s="3" t="s">
        <v>33</v>
      </c>
      <c r="J2205" s="5">
        <v>500000</v>
      </c>
      <c r="K2205" s="3">
        <v>4645101</v>
      </c>
      <c r="L2205" s="3" t="s">
        <v>135</v>
      </c>
      <c r="M2205" s="3" t="s">
        <v>3041</v>
      </c>
      <c r="N2205" s="3">
        <v>201</v>
      </c>
      <c r="P2205" s="3" t="s">
        <v>3394</v>
      </c>
      <c r="Q2205" s="3" t="s">
        <v>3558</v>
      </c>
      <c r="R2205" s="3" t="s">
        <v>187</v>
      </c>
      <c r="S2205" s="3">
        <v>83405110</v>
      </c>
      <c r="T2205" s="3">
        <v>4136660234</v>
      </c>
      <c r="U2205" s="3" t="s">
        <v>29</v>
      </c>
    </row>
    <row r="2206" spans="1:21" ht="13.2" x14ac:dyDescent="0.25">
      <c r="A2206" s="14">
        <v>18092799000159</v>
      </c>
      <c r="B2206" s="15" t="str">
        <f t="shared" si="34"/>
        <v>18.092.799/0001-59</v>
      </c>
      <c r="C2206" s="12"/>
      <c r="D2206" s="3" t="s">
        <v>8180</v>
      </c>
      <c r="E2206" s="3" t="s">
        <v>8181</v>
      </c>
      <c r="F2206" s="3" t="s">
        <v>20</v>
      </c>
      <c r="G2206" s="4">
        <v>41404</v>
      </c>
      <c r="H2206" s="3" t="s">
        <v>21</v>
      </c>
      <c r="I2206" s="3" t="s">
        <v>47</v>
      </c>
      <c r="J2206" s="5">
        <v>20000</v>
      </c>
      <c r="K2206" s="3">
        <v>4930202</v>
      </c>
      <c r="L2206" s="3" t="s">
        <v>2603</v>
      </c>
      <c r="M2206" s="3" t="s">
        <v>8182</v>
      </c>
      <c r="N2206" s="3" t="s">
        <v>82</v>
      </c>
      <c r="P2206" s="3" t="s">
        <v>8183</v>
      </c>
      <c r="Q2206" s="3" t="s">
        <v>854</v>
      </c>
      <c r="R2206" s="3" t="s">
        <v>28</v>
      </c>
      <c r="S2206" s="3">
        <v>13480001</v>
      </c>
      <c r="T2206" s="3">
        <v>1934543232</v>
      </c>
      <c r="U2206" s="3" t="s">
        <v>29</v>
      </c>
    </row>
    <row r="2207" spans="1:21" ht="13.2" x14ac:dyDescent="0.25">
      <c r="A2207" s="14">
        <v>95363503000138</v>
      </c>
      <c r="B2207" s="15" t="str">
        <f t="shared" si="34"/>
        <v>95.363.503/0001-38</v>
      </c>
      <c r="C2207" s="12"/>
      <c r="D2207" s="3" t="s">
        <v>8184</v>
      </c>
      <c r="E2207" s="3" t="s">
        <v>8184</v>
      </c>
      <c r="F2207" s="3" t="s">
        <v>20</v>
      </c>
      <c r="G2207" s="4">
        <v>33905</v>
      </c>
      <c r="H2207" s="3" t="s">
        <v>21</v>
      </c>
      <c r="I2207" s="3" t="s">
        <v>33</v>
      </c>
      <c r="J2207" s="5">
        <v>13000000</v>
      </c>
      <c r="K2207" s="3">
        <v>4222701</v>
      </c>
      <c r="L2207" s="3" t="s">
        <v>1909</v>
      </c>
      <c r="M2207" s="3" t="s">
        <v>6555</v>
      </c>
      <c r="N2207" s="3">
        <v>337</v>
      </c>
      <c r="O2207" s="3" t="s">
        <v>8185</v>
      </c>
      <c r="P2207" s="3" t="s">
        <v>5585</v>
      </c>
      <c r="Q2207" s="3" t="s">
        <v>204</v>
      </c>
      <c r="R2207" s="3" t="s">
        <v>187</v>
      </c>
      <c r="S2207" s="3">
        <v>80035130</v>
      </c>
      <c r="T2207" s="3">
        <v>4130995959</v>
      </c>
      <c r="U2207" s="3" t="s">
        <v>29</v>
      </c>
    </row>
    <row r="2208" spans="1:21" ht="13.2" x14ac:dyDescent="0.25">
      <c r="A2208" s="14">
        <v>70315650000101</v>
      </c>
      <c r="B2208" s="15" t="str">
        <f t="shared" si="34"/>
        <v>70.315.650/0001-01</v>
      </c>
      <c r="C2208" s="12"/>
      <c r="D2208" s="3" t="s">
        <v>8186</v>
      </c>
      <c r="E2208" s="3" t="s">
        <v>8187</v>
      </c>
      <c r="F2208" s="3" t="s">
        <v>20</v>
      </c>
      <c r="G2208" s="4">
        <v>34675</v>
      </c>
      <c r="H2208" s="3" t="s">
        <v>21</v>
      </c>
      <c r="I2208" s="3" t="s">
        <v>33</v>
      </c>
      <c r="J2208" s="5">
        <v>1000000</v>
      </c>
      <c r="K2208" s="3">
        <v>4321500</v>
      </c>
      <c r="L2208" s="3" t="s">
        <v>964</v>
      </c>
      <c r="M2208" s="3" t="s">
        <v>8188</v>
      </c>
      <c r="N2208" s="3">
        <v>282</v>
      </c>
      <c r="P2208" s="3" t="s">
        <v>8189</v>
      </c>
      <c r="Q2208" s="3" t="s">
        <v>4274</v>
      </c>
      <c r="R2208" s="3" t="s">
        <v>1725</v>
      </c>
      <c r="S2208" s="3">
        <v>59152780</v>
      </c>
      <c r="T2208" s="3">
        <v>8432192905</v>
      </c>
      <c r="U2208" s="3" t="s">
        <v>29</v>
      </c>
    </row>
    <row r="2209" spans="1:21" ht="13.2" x14ac:dyDescent="0.25">
      <c r="A2209" s="14">
        <v>320017000479</v>
      </c>
      <c r="B2209" s="15" t="str">
        <f t="shared" si="34"/>
        <v>00.320.017/0004-79</v>
      </c>
      <c r="C2209" s="12"/>
      <c r="D2209" s="3" t="s">
        <v>8190</v>
      </c>
      <c r="E2209" s="3" t="s">
        <v>8190</v>
      </c>
      <c r="F2209" s="3" t="s">
        <v>20</v>
      </c>
      <c r="G2209" s="4">
        <v>40518</v>
      </c>
      <c r="H2209" s="3" t="s">
        <v>21</v>
      </c>
      <c r="I2209" s="3" t="s">
        <v>33</v>
      </c>
      <c r="J2209" s="5">
        <v>3830842</v>
      </c>
      <c r="K2209" s="3">
        <v>1096100</v>
      </c>
      <c r="L2209" s="3" t="s">
        <v>8191</v>
      </c>
      <c r="M2209" s="3" t="s">
        <v>8192</v>
      </c>
      <c r="N2209" s="3">
        <v>57</v>
      </c>
      <c r="O2209" s="3" t="s">
        <v>8193</v>
      </c>
      <c r="P2209" s="3" t="s">
        <v>8194</v>
      </c>
      <c r="Q2209" s="3" t="s">
        <v>1246</v>
      </c>
      <c r="R2209" s="3" t="s">
        <v>765</v>
      </c>
      <c r="S2209" s="3">
        <v>29155863</v>
      </c>
      <c r="T2209" s="3">
        <v>2733311119</v>
      </c>
      <c r="U2209" s="3" t="s">
        <v>29</v>
      </c>
    </row>
    <row r="2210" spans="1:21" ht="13.2" x14ac:dyDescent="0.25">
      <c r="A2210" s="14">
        <v>31062256000157</v>
      </c>
      <c r="B2210" s="15" t="str">
        <f t="shared" si="34"/>
        <v>31.062.256/0001-57</v>
      </c>
      <c r="C2210" s="12"/>
      <c r="D2210" s="3" t="s">
        <v>8195</v>
      </c>
      <c r="E2210" s="3" t="s">
        <v>8195</v>
      </c>
      <c r="F2210" s="3" t="s">
        <v>20</v>
      </c>
      <c r="G2210" s="4">
        <v>43265</v>
      </c>
      <c r="H2210" s="3" t="s">
        <v>1550</v>
      </c>
      <c r="I2210" s="3" t="s">
        <v>33</v>
      </c>
      <c r="J2210" s="5">
        <v>30000</v>
      </c>
      <c r="K2210" s="3">
        <v>6911701</v>
      </c>
      <c r="L2210" s="3" t="s">
        <v>1551</v>
      </c>
      <c r="M2210" s="3" t="s">
        <v>8196</v>
      </c>
      <c r="N2210" s="3">
        <v>37</v>
      </c>
      <c r="O2210" s="3" t="s">
        <v>8197</v>
      </c>
      <c r="P2210" s="3" t="s">
        <v>1983</v>
      </c>
      <c r="Q2210" s="3" t="s">
        <v>204</v>
      </c>
      <c r="R2210" s="3" t="s">
        <v>187</v>
      </c>
      <c r="S2210" s="3">
        <v>80240100</v>
      </c>
      <c r="T2210" s="3">
        <v>4132435831</v>
      </c>
      <c r="U2210" s="3" t="s">
        <v>29</v>
      </c>
    </row>
    <row r="2211" spans="1:21" ht="13.2" x14ac:dyDescent="0.25">
      <c r="A2211" s="14">
        <v>22966860000117</v>
      </c>
      <c r="B2211" s="15" t="str">
        <f t="shared" si="34"/>
        <v>22.966.860/0001-17</v>
      </c>
      <c r="C2211" s="12"/>
      <c r="D2211" s="3" t="s">
        <v>8198</v>
      </c>
      <c r="E2211" s="3" t="s">
        <v>8198</v>
      </c>
      <c r="F2211" s="3" t="s">
        <v>20</v>
      </c>
      <c r="G2211" s="4">
        <v>42215</v>
      </c>
      <c r="H2211" s="3" t="s">
        <v>21</v>
      </c>
      <c r="I2211" s="3" t="s">
        <v>22</v>
      </c>
      <c r="J2211" s="5">
        <v>15000</v>
      </c>
      <c r="K2211" s="3">
        <v>4642702</v>
      </c>
      <c r="L2211" s="3" t="s">
        <v>1139</v>
      </c>
      <c r="M2211" s="3" t="s">
        <v>8199</v>
      </c>
      <c r="N2211" s="3">
        <v>273</v>
      </c>
      <c r="P2211" s="3" t="s">
        <v>8200</v>
      </c>
      <c r="Q2211" s="3" t="s">
        <v>8201</v>
      </c>
      <c r="R2211" s="3" t="s">
        <v>28</v>
      </c>
      <c r="S2211" s="3">
        <v>17232248</v>
      </c>
      <c r="T2211" s="3">
        <v>1436643083</v>
      </c>
      <c r="U2211" s="3" t="s">
        <v>29</v>
      </c>
    </row>
    <row r="2212" spans="1:21" ht="13.2" x14ac:dyDescent="0.25">
      <c r="A2212" s="14">
        <v>7944657000156</v>
      </c>
      <c r="B2212" s="15" t="str">
        <f t="shared" si="34"/>
        <v>07.944.657/0001-56</v>
      </c>
      <c r="C2212" s="12"/>
      <c r="D2212" s="3" t="s">
        <v>8202</v>
      </c>
      <c r="E2212" s="3" t="s">
        <v>8202</v>
      </c>
      <c r="F2212" s="3" t="s">
        <v>20</v>
      </c>
      <c r="G2212" s="4">
        <v>38817</v>
      </c>
      <c r="H2212" s="3" t="s">
        <v>21</v>
      </c>
      <c r="I2212" s="3" t="s">
        <v>22</v>
      </c>
      <c r="J2212" s="5">
        <v>482762</v>
      </c>
      <c r="K2212" s="3">
        <v>4639701</v>
      </c>
      <c r="L2212" s="3" t="s">
        <v>3611</v>
      </c>
      <c r="M2212" s="3" t="s">
        <v>8203</v>
      </c>
      <c r="N2212" s="3" t="s">
        <v>111</v>
      </c>
      <c r="O2212" s="3" t="s">
        <v>8204</v>
      </c>
      <c r="P2212" s="3" t="s">
        <v>8205</v>
      </c>
      <c r="Q2212" s="3" t="s">
        <v>3461</v>
      </c>
      <c r="R2212" s="3" t="s">
        <v>765</v>
      </c>
      <c r="S2212" s="3">
        <v>29107165</v>
      </c>
      <c r="T2212" s="3">
        <v>2733112550</v>
      </c>
      <c r="U2212" s="3" t="s">
        <v>29</v>
      </c>
    </row>
    <row r="2213" spans="1:21" ht="13.2" x14ac:dyDescent="0.25">
      <c r="A2213" s="14">
        <v>73008682000152</v>
      </c>
      <c r="B2213" s="15" t="str">
        <f t="shared" si="34"/>
        <v>73.008.682/0001-52</v>
      </c>
      <c r="C2213" s="12"/>
      <c r="D2213" s="3" t="s">
        <v>8206</v>
      </c>
      <c r="E2213" s="3" t="s">
        <v>8206</v>
      </c>
      <c r="F2213" s="3" t="s">
        <v>20</v>
      </c>
      <c r="G2213" s="4">
        <v>34268</v>
      </c>
      <c r="H2213" s="3" t="s">
        <v>21</v>
      </c>
      <c r="I2213" s="3" t="s">
        <v>33</v>
      </c>
      <c r="J2213" s="5">
        <v>8500000</v>
      </c>
      <c r="K2213" s="3">
        <v>4645101</v>
      </c>
      <c r="L2213" s="3" t="s">
        <v>135</v>
      </c>
      <c r="M2213" s="3" t="s">
        <v>239</v>
      </c>
      <c r="N2213" s="7">
        <v>1935</v>
      </c>
      <c r="O2213" s="3" t="s">
        <v>8207</v>
      </c>
      <c r="P2213" s="3" t="s">
        <v>6265</v>
      </c>
      <c r="Q2213" s="3" t="s">
        <v>27</v>
      </c>
      <c r="R2213" s="3" t="s">
        <v>28</v>
      </c>
      <c r="S2213" s="3">
        <v>5802140</v>
      </c>
      <c r="T2213" s="3">
        <v>1121620351</v>
      </c>
      <c r="U2213" s="3" t="s">
        <v>29</v>
      </c>
    </row>
    <row r="2214" spans="1:21" ht="13.2" x14ac:dyDescent="0.25">
      <c r="A2214" s="14">
        <v>3033345000130</v>
      </c>
      <c r="B2214" s="15" t="str">
        <f t="shared" si="34"/>
        <v>03.033.345/0001-30</v>
      </c>
      <c r="C2214" s="12" t="str">
        <f>VLOOKUP(B2214,[1]Planilha1!$A:$B,2,0)</f>
        <v>Mariane Nascimento</v>
      </c>
      <c r="D2214" s="3" t="s">
        <v>8208</v>
      </c>
      <c r="E2214" s="3" t="s">
        <v>8209</v>
      </c>
      <c r="F2214" s="3" t="s">
        <v>20</v>
      </c>
      <c r="G2214" s="4">
        <v>36175</v>
      </c>
      <c r="H2214" s="3" t="s">
        <v>21</v>
      </c>
      <c r="I2214" s="3" t="s">
        <v>33</v>
      </c>
      <c r="J2214" s="5">
        <v>1500000</v>
      </c>
      <c r="K2214" s="3">
        <v>4644301</v>
      </c>
      <c r="L2214" s="3" t="s">
        <v>326</v>
      </c>
      <c r="M2214" s="3" t="s">
        <v>8210</v>
      </c>
      <c r="N2214" s="3">
        <v>423</v>
      </c>
      <c r="P2214" s="3" t="s">
        <v>8211</v>
      </c>
      <c r="Q2214" s="3" t="s">
        <v>645</v>
      </c>
      <c r="R2214" s="3" t="s">
        <v>4725</v>
      </c>
      <c r="S2214" s="3">
        <v>69900830</v>
      </c>
      <c r="T2214" s="3">
        <v>6832236547</v>
      </c>
      <c r="U2214" s="3" t="s">
        <v>29</v>
      </c>
    </row>
    <row r="2215" spans="1:21" ht="13.2" x14ac:dyDescent="0.25">
      <c r="A2215" s="14">
        <v>31038414000133</v>
      </c>
      <c r="B2215" s="15" t="str">
        <f t="shared" si="34"/>
        <v>31.038.414/0001-33</v>
      </c>
      <c r="C2215" s="12"/>
      <c r="D2215" s="3" t="s">
        <v>8212</v>
      </c>
      <c r="E2215" s="3" t="s">
        <v>8212</v>
      </c>
      <c r="F2215" s="3" t="s">
        <v>20</v>
      </c>
      <c r="G2215" s="4">
        <v>43307</v>
      </c>
      <c r="H2215" s="3" t="s">
        <v>21</v>
      </c>
      <c r="I2215" s="3" t="s">
        <v>47</v>
      </c>
      <c r="J2215" s="5">
        <v>20000</v>
      </c>
      <c r="K2215" s="3">
        <v>8640202</v>
      </c>
      <c r="L2215" s="3" t="s">
        <v>6209</v>
      </c>
      <c r="M2215" s="3" t="s">
        <v>8213</v>
      </c>
      <c r="N2215" s="3">
        <v>407</v>
      </c>
      <c r="O2215" s="3" t="s">
        <v>8214</v>
      </c>
      <c r="P2215" s="3" t="s">
        <v>2392</v>
      </c>
      <c r="Q2215" s="3" t="s">
        <v>27</v>
      </c>
      <c r="R2215" s="3" t="s">
        <v>28</v>
      </c>
      <c r="S2215" s="3">
        <v>1323000</v>
      </c>
      <c r="T2215" s="3">
        <v>1123092901</v>
      </c>
      <c r="U2215" s="3" t="s">
        <v>29</v>
      </c>
    </row>
    <row r="2216" spans="1:21" ht="13.2" x14ac:dyDescent="0.25">
      <c r="A2216" s="14">
        <v>1005728000179</v>
      </c>
      <c r="B2216" s="15" t="str">
        <f t="shared" si="34"/>
        <v>01.005.728/0001-79</v>
      </c>
      <c r="C2216" s="12"/>
      <c r="D2216" s="3" t="s">
        <v>8215</v>
      </c>
      <c r="E2216" s="3" t="s">
        <v>8216</v>
      </c>
      <c r="F2216" s="3" t="s">
        <v>20</v>
      </c>
      <c r="G2216" s="4">
        <v>35076</v>
      </c>
      <c r="H2216" s="3" t="s">
        <v>21</v>
      </c>
      <c r="I2216" s="3" t="s">
        <v>33</v>
      </c>
      <c r="J2216" s="5">
        <v>586270700</v>
      </c>
      <c r="K2216" s="3">
        <v>4645101</v>
      </c>
      <c r="L2216" s="3" t="s">
        <v>135</v>
      </c>
      <c r="M2216" s="3" t="s">
        <v>8217</v>
      </c>
      <c r="N2216" s="3">
        <v>140</v>
      </c>
      <c r="O2216" s="3" t="s">
        <v>8218</v>
      </c>
      <c r="P2216" s="3" t="s">
        <v>70</v>
      </c>
      <c r="Q2216" s="3" t="s">
        <v>262</v>
      </c>
      <c r="R2216" s="3" t="s">
        <v>28</v>
      </c>
      <c r="S2216" s="3">
        <v>6018180</v>
      </c>
      <c r="T2216" s="3">
        <v>1136522525</v>
      </c>
      <c r="U2216" s="3" t="s">
        <v>29</v>
      </c>
    </row>
    <row r="2217" spans="1:21" ht="13.2" x14ac:dyDescent="0.25">
      <c r="A2217" s="14">
        <v>59855742000141</v>
      </c>
      <c r="B2217" s="15" t="str">
        <f t="shared" si="34"/>
        <v>59.855.742/0001-41</v>
      </c>
      <c r="C2217" s="12"/>
      <c r="D2217" s="3" t="s">
        <v>8219</v>
      </c>
      <c r="E2217" s="3" t="s">
        <v>8220</v>
      </c>
      <c r="F2217" s="3" t="s">
        <v>20</v>
      </c>
      <c r="G2217" s="4">
        <v>32981</v>
      </c>
      <c r="H2217" s="3" t="s">
        <v>21</v>
      </c>
      <c r="I2217" s="3" t="s">
        <v>33</v>
      </c>
      <c r="J2217" s="5">
        <v>398000</v>
      </c>
      <c r="K2217" s="3">
        <v>8640202</v>
      </c>
      <c r="L2217" s="3" t="s">
        <v>6209</v>
      </c>
      <c r="M2217" s="3" t="s">
        <v>27</v>
      </c>
      <c r="N2217" s="7">
        <v>3267</v>
      </c>
      <c r="P2217" s="3" t="s">
        <v>8221</v>
      </c>
      <c r="Q2217" s="3" t="s">
        <v>8222</v>
      </c>
      <c r="R2217" s="3" t="s">
        <v>28</v>
      </c>
      <c r="S2217" s="3">
        <v>15500010</v>
      </c>
      <c r="T2217" s="3">
        <v>1734268585</v>
      </c>
      <c r="U2217" s="3" t="s">
        <v>29</v>
      </c>
    </row>
    <row r="2218" spans="1:21" ht="13.2" x14ac:dyDescent="0.25">
      <c r="A2218" s="14">
        <v>84684620000187</v>
      </c>
      <c r="B2218" s="15" t="str">
        <f t="shared" si="34"/>
        <v>84.684.620/0001-87</v>
      </c>
      <c r="C2218" s="12"/>
      <c r="D2218" s="3" t="s">
        <v>8223</v>
      </c>
      <c r="E2218" s="3" t="s">
        <v>8223</v>
      </c>
      <c r="F2218" s="3" t="s">
        <v>20</v>
      </c>
      <c r="G2218" s="4">
        <v>24336</v>
      </c>
      <c r="H2218" s="3" t="s">
        <v>21</v>
      </c>
      <c r="I2218" s="3" t="s">
        <v>33</v>
      </c>
      <c r="J2218" s="5">
        <v>16500000</v>
      </c>
      <c r="K2218" s="3">
        <v>2121101</v>
      </c>
      <c r="L2218" s="3" t="s">
        <v>233</v>
      </c>
      <c r="M2218" s="3" t="s">
        <v>8224</v>
      </c>
      <c r="N2218" s="3">
        <v>1053</v>
      </c>
      <c r="P2218" s="3" t="s">
        <v>8225</v>
      </c>
      <c r="Q2218" s="3" t="s">
        <v>423</v>
      </c>
      <c r="R2218" s="3" t="s">
        <v>91</v>
      </c>
      <c r="S2218" s="3">
        <v>89204001</v>
      </c>
      <c r="U2218" s="3" t="s">
        <v>29</v>
      </c>
    </row>
    <row r="2219" spans="1:21" ht="13.2" x14ac:dyDescent="0.25">
      <c r="A2219" s="14">
        <v>1588888000198</v>
      </c>
      <c r="B2219" s="15" t="str">
        <f t="shared" si="34"/>
        <v>01.588.888/0001-98</v>
      </c>
      <c r="C2219" s="12"/>
      <c r="D2219" s="3" t="s">
        <v>8226</v>
      </c>
      <c r="E2219" s="3" t="s">
        <v>8227</v>
      </c>
      <c r="F2219" s="3" t="s">
        <v>20</v>
      </c>
      <c r="G2219" s="4">
        <v>24967</v>
      </c>
      <c r="H2219" s="3" t="s">
        <v>94</v>
      </c>
      <c r="I2219" s="3" t="s">
        <v>33</v>
      </c>
      <c r="J2219" s="5">
        <v>25400000</v>
      </c>
      <c r="K2219" s="3">
        <v>8640202</v>
      </c>
      <c r="L2219" s="3" t="s">
        <v>6209</v>
      </c>
      <c r="M2219" s="3">
        <v>83</v>
      </c>
      <c r="N2219" s="3">
        <v>444</v>
      </c>
      <c r="O2219" s="3" t="s">
        <v>8228</v>
      </c>
      <c r="P2219" s="3" t="s">
        <v>7166</v>
      </c>
      <c r="Q2219" s="3" t="s">
        <v>273</v>
      </c>
      <c r="R2219" s="3" t="s">
        <v>274</v>
      </c>
      <c r="S2219" s="3">
        <v>74083020</v>
      </c>
      <c r="T2219" s="3">
        <v>625219191</v>
      </c>
      <c r="U2219" s="3" t="s">
        <v>29</v>
      </c>
    </row>
    <row r="2220" spans="1:21" ht="13.2" x14ac:dyDescent="0.25">
      <c r="A2220" s="14">
        <v>718528000109</v>
      </c>
      <c r="B2220" s="15" t="str">
        <f t="shared" si="34"/>
        <v>00.718.528/0001-09</v>
      </c>
      <c r="C2220" s="12"/>
      <c r="D2220" s="3" t="s">
        <v>8229</v>
      </c>
      <c r="E2220" s="3" t="s">
        <v>8230</v>
      </c>
      <c r="F2220" s="3" t="s">
        <v>20</v>
      </c>
      <c r="G2220" s="4">
        <v>30811</v>
      </c>
      <c r="H2220" s="3" t="s">
        <v>94</v>
      </c>
      <c r="I2220" s="3" t="s">
        <v>33</v>
      </c>
      <c r="J2220" s="5">
        <v>74669440</v>
      </c>
      <c r="K2220" s="3">
        <v>8640202</v>
      </c>
      <c r="L2220" s="3" t="s">
        <v>6209</v>
      </c>
      <c r="M2220" s="3" t="s">
        <v>8231</v>
      </c>
      <c r="N2220" s="3">
        <v>165</v>
      </c>
      <c r="P2220" s="3" t="s">
        <v>2699</v>
      </c>
      <c r="Q2220" s="3" t="s">
        <v>631</v>
      </c>
      <c r="R2220" s="3" t="s">
        <v>632</v>
      </c>
      <c r="S2220" s="3">
        <v>70632300</v>
      </c>
      <c r="T2220" s="3">
        <v>6133298000</v>
      </c>
      <c r="U2220" s="3" t="s">
        <v>29</v>
      </c>
    </row>
    <row r="2221" spans="1:21" ht="13.2" x14ac:dyDescent="0.25">
      <c r="A2221" s="14">
        <v>31673254000951</v>
      </c>
      <c r="B2221" s="15" t="str">
        <f t="shared" si="34"/>
        <v>31.673.254/0009-51</v>
      </c>
      <c r="C2221" s="12"/>
      <c r="D2221" s="3" t="s">
        <v>8232</v>
      </c>
      <c r="E2221" s="3" t="s">
        <v>8233</v>
      </c>
      <c r="F2221" s="3" t="s">
        <v>45</v>
      </c>
      <c r="G2221" s="4">
        <v>41304</v>
      </c>
      <c r="H2221" s="3" t="s">
        <v>94</v>
      </c>
      <c r="I2221" s="3" t="s">
        <v>33</v>
      </c>
      <c r="J2221" s="5">
        <v>778669400</v>
      </c>
      <c r="K2221" s="3">
        <v>4644301</v>
      </c>
      <c r="L2221" s="3" t="s">
        <v>326</v>
      </c>
      <c r="M2221" s="3" t="s">
        <v>8234</v>
      </c>
      <c r="N2221" s="3">
        <v>255</v>
      </c>
      <c r="O2221" s="3" t="s">
        <v>8235</v>
      </c>
      <c r="P2221" s="3" t="s">
        <v>153</v>
      </c>
      <c r="Q2221" s="3" t="s">
        <v>488</v>
      </c>
      <c r="R2221" s="3" t="s">
        <v>28</v>
      </c>
      <c r="S2221" s="3">
        <v>13280001</v>
      </c>
      <c r="T2221" s="3">
        <v>2126023324</v>
      </c>
      <c r="U2221" s="3" t="s">
        <v>29</v>
      </c>
    </row>
    <row r="2222" spans="1:21" ht="13.2" x14ac:dyDescent="0.25">
      <c r="A2222" s="14">
        <v>74232034000148</v>
      </c>
      <c r="B2222" s="15" t="str">
        <f t="shared" si="34"/>
        <v>74.232.034/0001-48</v>
      </c>
      <c r="C2222" s="12"/>
      <c r="D2222" s="3" t="s">
        <v>8236</v>
      </c>
      <c r="E2222" s="3" t="s">
        <v>8236</v>
      </c>
      <c r="F2222" s="3" t="s">
        <v>20</v>
      </c>
      <c r="G2222" s="4">
        <v>34332</v>
      </c>
      <c r="H2222" s="3" t="s">
        <v>21</v>
      </c>
      <c r="I2222" s="3" t="s">
        <v>33</v>
      </c>
      <c r="J2222" s="5">
        <v>863739</v>
      </c>
      <c r="K2222" s="3">
        <v>4644301</v>
      </c>
      <c r="L2222" s="3" t="s">
        <v>326</v>
      </c>
      <c r="M2222" s="3" t="s">
        <v>5333</v>
      </c>
      <c r="N2222" s="3">
        <v>105</v>
      </c>
      <c r="O2222" s="3" t="s">
        <v>8237</v>
      </c>
      <c r="P2222" s="3" t="s">
        <v>1019</v>
      </c>
      <c r="Q2222" s="3" t="s">
        <v>27</v>
      </c>
      <c r="R2222" s="3" t="s">
        <v>28</v>
      </c>
      <c r="S2222" s="3">
        <v>4571900</v>
      </c>
      <c r="T2222" s="3">
        <v>1130247521</v>
      </c>
      <c r="U2222" s="3" t="s">
        <v>29</v>
      </c>
    </row>
    <row r="2223" spans="1:21" ht="13.2" x14ac:dyDescent="0.25">
      <c r="A2223" s="14">
        <v>42374207000176</v>
      </c>
      <c r="B2223" s="15" t="str">
        <f t="shared" si="34"/>
        <v>42.374.207/0001-76</v>
      </c>
      <c r="C2223" s="12"/>
      <c r="D2223" s="3" t="s">
        <v>8238</v>
      </c>
      <c r="E2223" s="3" t="s">
        <v>8238</v>
      </c>
      <c r="F2223" s="3" t="s">
        <v>20</v>
      </c>
      <c r="G2223" s="4">
        <v>27255</v>
      </c>
      <c r="H2223" s="3" t="s">
        <v>21</v>
      </c>
      <c r="I2223" s="3" t="s">
        <v>33</v>
      </c>
      <c r="J2223" s="5">
        <v>139663300</v>
      </c>
      <c r="K2223" s="3">
        <v>2121101</v>
      </c>
      <c r="L2223" s="3" t="s">
        <v>233</v>
      </c>
      <c r="M2223" s="3" t="s">
        <v>4680</v>
      </c>
      <c r="N2223" s="3">
        <v>4211</v>
      </c>
      <c r="P2223" s="3" t="s">
        <v>8239</v>
      </c>
      <c r="Q2223" s="3" t="s">
        <v>253</v>
      </c>
      <c r="R2223" s="3" t="s">
        <v>78</v>
      </c>
      <c r="S2223" s="3">
        <v>22775113</v>
      </c>
      <c r="T2223" s="3">
        <v>2131881414</v>
      </c>
      <c r="U2223" s="3" t="s">
        <v>29</v>
      </c>
    </row>
    <row r="2224" spans="1:21" ht="13.2" x14ac:dyDescent="0.25">
      <c r="A2224" s="14">
        <v>43887033000108</v>
      </c>
      <c r="B2224" s="15" t="str">
        <f t="shared" si="34"/>
        <v>43.887.033/0001-08</v>
      </c>
      <c r="C2224" s="12" t="str">
        <f>VLOOKUP(B2224,[1]Planilha1!$A:$B,2,0)</f>
        <v>Malu Montesino</v>
      </c>
      <c r="D2224" s="3" t="s">
        <v>8240</v>
      </c>
      <c r="E2224" s="3" t="s">
        <v>8240</v>
      </c>
      <c r="F2224" s="3" t="s">
        <v>20</v>
      </c>
      <c r="G2224" s="4">
        <v>27075</v>
      </c>
      <c r="H2224" s="3" t="s">
        <v>21</v>
      </c>
      <c r="I2224" s="3" t="s">
        <v>33</v>
      </c>
      <c r="J2224" s="5">
        <v>500000</v>
      </c>
      <c r="K2224" s="3">
        <v>3250701</v>
      </c>
      <c r="L2224" s="3" t="s">
        <v>2195</v>
      </c>
      <c r="M2224" s="3" t="s">
        <v>8241</v>
      </c>
      <c r="N2224" s="3">
        <v>191</v>
      </c>
      <c r="O2224" s="3" t="s">
        <v>8242</v>
      </c>
      <c r="P2224" s="3" t="s">
        <v>4421</v>
      </c>
      <c r="Q2224" s="3" t="s">
        <v>27</v>
      </c>
      <c r="R2224" s="3" t="s">
        <v>28</v>
      </c>
      <c r="S2224" s="3">
        <v>3054020</v>
      </c>
      <c r="T2224" s="3">
        <v>1122924222</v>
      </c>
      <c r="U2224" s="3" t="s">
        <v>29</v>
      </c>
    </row>
    <row r="2225" spans="1:21" ht="13.2" x14ac:dyDescent="0.25">
      <c r="A2225" s="14">
        <v>4013726000110</v>
      </c>
      <c r="B2225" s="15" t="str">
        <f t="shared" si="34"/>
        <v>04.013.726/0001-10</v>
      </c>
      <c r="C2225" s="12"/>
      <c r="D2225" s="3" t="s">
        <v>8243</v>
      </c>
      <c r="E2225" s="3" t="s">
        <v>8243</v>
      </c>
      <c r="F2225" s="3" t="s">
        <v>20</v>
      </c>
      <c r="G2225" s="4">
        <v>36755</v>
      </c>
      <c r="H2225" s="3" t="s">
        <v>21</v>
      </c>
      <c r="I2225" s="3" t="s">
        <v>33</v>
      </c>
      <c r="J2225" s="5">
        <v>3600000</v>
      </c>
      <c r="K2225" s="3">
        <v>4773300</v>
      </c>
      <c r="L2225" s="3" t="s">
        <v>706</v>
      </c>
      <c r="M2225" s="3" t="s">
        <v>8244</v>
      </c>
      <c r="N2225" s="3">
        <v>77</v>
      </c>
      <c r="P2225" s="3" t="s">
        <v>8245</v>
      </c>
      <c r="Q2225" s="3" t="s">
        <v>186</v>
      </c>
      <c r="R2225" s="3" t="s">
        <v>187</v>
      </c>
      <c r="S2225" s="3">
        <v>83040420</v>
      </c>
      <c r="T2225" s="3">
        <v>1639959401</v>
      </c>
      <c r="U2225" s="3" t="s">
        <v>29</v>
      </c>
    </row>
    <row r="2226" spans="1:21" ht="13.2" x14ac:dyDescent="0.25">
      <c r="A2226" s="14">
        <v>51462471000152</v>
      </c>
      <c r="B2226" s="15" t="str">
        <f t="shared" si="34"/>
        <v>51.462.471/0001-52</v>
      </c>
      <c r="C2226" s="12"/>
      <c r="D2226" s="3" t="s">
        <v>8246</v>
      </c>
      <c r="E2226" s="3" t="s">
        <v>8246</v>
      </c>
      <c r="F2226" s="3" t="s">
        <v>20</v>
      </c>
      <c r="G2226" s="4">
        <v>30218</v>
      </c>
      <c r="H2226" s="3" t="s">
        <v>21</v>
      </c>
      <c r="I2226" s="3" t="s">
        <v>33</v>
      </c>
      <c r="J2226" s="5">
        <v>1990000</v>
      </c>
      <c r="K2226" s="3">
        <v>2099199</v>
      </c>
      <c r="L2226" s="3" t="s">
        <v>80</v>
      </c>
      <c r="M2226" s="3" t="s">
        <v>8247</v>
      </c>
      <c r="N2226" s="3">
        <v>3857</v>
      </c>
      <c r="P2226" s="3" t="s">
        <v>7128</v>
      </c>
      <c r="Q2226" s="3" t="s">
        <v>1943</v>
      </c>
      <c r="R2226" s="3" t="s">
        <v>28</v>
      </c>
      <c r="S2226" s="3">
        <v>9990080</v>
      </c>
      <c r="T2226" s="3">
        <v>1121001233</v>
      </c>
      <c r="U2226" s="3" t="s">
        <v>29</v>
      </c>
    </row>
    <row r="2227" spans="1:21" ht="13.2" x14ac:dyDescent="0.25">
      <c r="A2227" s="14">
        <v>22965625000120</v>
      </c>
      <c r="B2227" s="15" t="str">
        <f t="shared" si="34"/>
        <v>22.965.625/0001-20</v>
      </c>
      <c r="C2227" s="12"/>
      <c r="D2227" s="3" t="s">
        <v>8248</v>
      </c>
      <c r="E2227" s="3" t="s">
        <v>8249</v>
      </c>
      <c r="F2227" s="3" t="s">
        <v>20</v>
      </c>
      <c r="G2227" s="4">
        <v>42215</v>
      </c>
      <c r="H2227" s="3" t="s">
        <v>21</v>
      </c>
      <c r="I2227" s="3" t="s">
        <v>22</v>
      </c>
      <c r="J2227" s="5">
        <v>104500</v>
      </c>
      <c r="K2227" s="3">
        <v>4647801</v>
      </c>
      <c r="L2227" s="3" t="s">
        <v>4947</v>
      </c>
      <c r="M2227" s="3" t="s">
        <v>8250</v>
      </c>
      <c r="N2227" s="3">
        <v>47</v>
      </c>
      <c r="O2227" s="3" t="s">
        <v>8251</v>
      </c>
      <c r="P2227" s="3" t="s">
        <v>8252</v>
      </c>
      <c r="Q2227" s="3" t="s">
        <v>253</v>
      </c>
      <c r="R2227" s="3" t="s">
        <v>78</v>
      </c>
      <c r="S2227" s="3">
        <v>21755050</v>
      </c>
      <c r="T2227" s="3">
        <v>2135552334</v>
      </c>
      <c r="U2227" s="3" t="s">
        <v>29</v>
      </c>
    </row>
    <row r="2228" spans="1:21" ht="13.2" x14ac:dyDescent="0.25">
      <c r="A2228" s="14">
        <v>13011238000164</v>
      </c>
      <c r="B2228" s="15" t="str">
        <f t="shared" si="34"/>
        <v>13.011.238/0001-64</v>
      </c>
      <c r="C2228" s="12"/>
      <c r="D2228" s="3" t="s">
        <v>8253</v>
      </c>
      <c r="E2228" s="3" t="s">
        <v>8253</v>
      </c>
      <c r="F2228" s="3" t="s">
        <v>20</v>
      </c>
      <c r="G2228" s="4">
        <v>40515</v>
      </c>
      <c r="H2228" s="3" t="s">
        <v>21</v>
      </c>
      <c r="I2228" s="3" t="s">
        <v>33</v>
      </c>
      <c r="J2228" s="5">
        <v>6153755</v>
      </c>
      <c r="K2228" s="3">
        <v>6204000</v>
      </c>
      <c r="L2228" s="3" t="s">
        <v>2081</v>
      </c>
      <c r="M2228" s="3" t="s">
        <v>8254</v>
      </c>
      <c r="N2228" s="3">
        <v>93</v>
      </c>
      <c r="O2228" s="3" t="s">
        <v>2221</v>
      </c>
      <c r="P2228" s="3" t="s">
        <v>1230</v>
      </c>
      <c r="Q2228" s="3" t="s">
        <v>27</v>
      </c>
      <c r="R2228" s="3" t="s">
        <v>28</v>
      </c>
      <c r="S2228" s="3">
        <v>4545100</v>
      </c>
      <c r="T2228" s="3">
        <v>1129316969</v>
      </c>
      <c r="U2228" s="3" t="s">
        <v>29</v>
      </c>
    </row>
    <row r="2229" spans="1:21" ht="13.2" x14ac:dyDescent="0.25">
      <c r="A2229" s="14">
        <v>2699847000131</v>
      </c>
      <c r="B2229" s="15" t="str">
        <f t="shared" si="34"/>
        <v>02.699.847/0001-31</v>
      </c>
      <c r="C2229" s="12" t="str">
        <f>VLOOKUP(B2229,[1]Planilha1!$A:$B,2,0)</f>
        <v>Malu Montesino</v>
      </c>
      <c r="D2229" s="3" t="s">
        <v>8255</v>
      </c>
      <c r="E2229" s="3" t="s">
        <v>8255</v>
      </c>
      <c r="F2229" s="3" t="s">
        <v>20</v>
      </c>
      <c r="G2229" s="4">
        <v>36020</v>
      </c>
      <c r="H2229" s="3" t="s">
        <v>21</v>
      </c>
      <c r="I2229" s="3" t="s">
        <v>33</v>
      </c>
      <c r="J2229" s="5">
        <v>300000</v>
      </c>
      <c r="K2229" s="3">
        <v>2710402</v>
      </c>
      <c r="L2229" s="3" t="s">
        <v>5194</v>
      </c>
      <c r="M2229" s="3" t="s">
        <v>8256</v>
      </c>
      <c r="N2229" s="3">
        <v>609</v>
      </c>
      <c r="O2229" s="3" t="s">
        <v>8257</v>
      </c>
      <c r="P2229" s="3" t="s">
        <v>1942</v>
      </c>
      <c r="Q2229" s="3" t="s">
        <v>1943</v>
      </c>
      <c r="R2229" s="3" t="s">
        <v>28</v>
      </c>
      <c r="S2229" s="3">
        <v>9951270</v>
      </c>
      <c r="T2229" s="3">
        <v>1123765446</v>
      </c>
      <c r="U2229" s="3" t="s">
        <v>29</v>
      </c>
    </row>
    <row r="2230" spans="1:21" ht="13.2" x14ac:dyDescent="0.25">
      <c r="A2230" s="14">
        <v>11180512000101</v>
      </c>
      <c r="B2230" s="15" t="str">
        <f t="shared" si="34"/>
        <v>11.180.512/0001-01</v>
      </c>
      <c r="C2230" s="12"/>
      <c r="D2230" s="3" t="s">
        <v>8258</v>
      </c>
      <c r="E2230" s="3" t="s">
        <v>8258</v>
      </c>
      <c r="F2230" s="3" t="s">
        <v>20</v>
      </c>
      <c r="G2230" s="4">
        <v>40080</v>
      </c>
      <c r="H2230" s="3" t="s">
        <v>21</v>
      </c>
      <c r="I2230" s="3" t="s">
        <v>33</v>
      </c>
      <c r="J2230" s="5">
        <v>3500000</v>
      </c>
      <c r="K2230" s="3">
        <v>7112000</v>
      </c>
      <c r="L2230" s="3" t="s">
        <v>276</v>
      </c>
      <c r="M2230" s="3" t="s">
        <v>8259</v>
      </c>
      <c r="N2230" s="3">
        <v>58</v>
      </c>
      <c r="O2230" s="3" t="s">
        <v>835</v>
      </c>
      <c r="P2230" s="3" t="s">
        <v>8260</v>
      </c>
      <c r="Q2230" s="3" t="s">
        <v>27</v>
      </c>
      <c r="R2230" s="3" t="s">
        <v>28</v>
      </c>
      <c r="S2230" s="3">
        <v>5366130</v>
      </c>
      <c r="T2230" s="3">
        <v>1135390699</v>
      </c>
      <c r="U2230" s="3" t="s">
        <v>29</v>
      </c>
    </row>
    <row r="2231" spans="1:21" ht="13.2" x14ac:dyDescent="0.25">
      <c r="A2231" s="14">
        <v>14477127000100</v>
      </c>
      <c r="B2231" s="15" t="str">
        <f t="shared" si="34"/>
        <v>14.477.127/0001-00</v>
      </c>
      <c r="C2231" s="12"/>
      <c r="D2231" s="3" t="s">
        <v>8261</v>
      </c>
      <c r="E2231" s="3" t="s">
        <v>8261</v>
      </c>
      <c r="F2231" s="3" t="s">
        <v>20</v>
      </c>
      <c r="G2231" s="4">
        <v>40815</v>
      </c>
      <c r="H2231" s="3" t="s">
        <v>21</v>
      </c>
      <c r="I2231" s="3" t="s">
        <v>22</v>
      </c>
      <c r="J2231" s="5">
        <v>378800</v>
      </c>
      <c r="K2231" s="3">
        <v>4664800</v>
      </c>
      <c r="L2231" s="3" t="s">
        <v>691</v>
      </c>
      <c r="M2231" s="3" t="s">
        <v>8262</v>
      </c>
      <c r="N2231" s="3">
        <v>71</v>
      </c>
      <c r="O2231" s="3" t="s">
        <v>8263</v>
      </c>
      <c r="P2231" s="3" t="s">
        <v>8264</v>
      </c>
      <c r="Q2231" s="3" t="s">
        <v>294</v>
      </c>
      <c r="R2231" s="3" t="s">
        <v>28</v>
      </c>
      <c r="S2231" s="3">
        <v>11040111</v>
      </c>
      <c r="T2231" s="3">
        <v>1155946908</v>
      </c>
      <c r="U2231" s="3" t="s">
        <v>29</v>
      </c>
    </row>
    <row r="2232" spans="1:21" ht="13.2" x14ac:dyDescent="0.25">
      <c r="A2232" s="14">
        <v>26124320000147</v>
      </c>
      <c r="B2232" s="15" t="str">
        <f t="shared" si="34"/>
        <v>26.124.320/0001-47</v>
      </c>
      <c r="C2232" s="12"/>
      <c r="D2232" s="3" t="s">
        <v>8265</v>
      </c>
      <c r="E2232" s="3" t="s">
        <v>8265</v>
      </c>
      <c r="F2232" s="3" t="s">
        <v>20</v>
      </c>
      <c r="G2232" s="4">
        <v>42621</v>
      </c>
      <c r="H2232" s="3" t="s">
        <v>21</v>
      </c>
      <c r="I2232" s="3" t="s">
        <v>33</v>
      </c>
      <c r="J2232" s="5">
        <v>1000000</v>
      </c>
      <c r="K2232" s="3">
        <v>4642702</v>
      </c>
      <c r="L2232" s="3" t="s">
        <v>1139</v>
      </c>
      <c r="M2232" s="3" t="s">
        <v>7638</v>
      </c>
      <c r="N2232" s="3">
        <v>2561</v>
      </c>
      <c r="O2232" s="3" t="s">
        <v>8266</v>
      </c>
      <c r="P2232" s="3" t="s">
        <v>8267</v>
      </c>
      <c r="Q2232" s="3" t="s">
        <v>186</v>
      </c>
      <c r="R2232" s="3" t="s">
        <v>187</v>
      </c>
      <c r="S2232" s="3">
        <v>83010620</v>
      </c>
      <c r="T2232" s="3">
        <v>4133641602</v>
      </c>
      <c r="U2232" s="3" t="s">
        <v>29</v>
      </c>
    </row>
    <row r="2233" spans="1:21" ht="13.2" x14ac:dyDescent="0.25">
      <c r="A2233" s="14">
        <v>13196330000146</v>
      </c>
      <c r="B2233" s="15" t="str">
        <f t="shared" si="34"/>
        <v>13.196.330/0001-46</v>
      </c>
      <c r="C2233" s="12"/>
      <c r="D2233" s="3" t="s">
        <v>8268</v>
      </c>
      <c r="E2233" s="3" t="s">
        <v>8268</v>
      </c>
      <c r="F2233" s="3" t="s">
        <v>20</v>
      </c>
      <c r="G2233" s="4">
        <v>40527</v>
      </c>
      <c r="H2233" s="3" t="s">
        <v>21</v>
      </c>
      <c r="I2233" s="3" t="s">
        <v>33</v>
      </c>
      <c r="J2233" s="5">
        <v>20074198</v>
      </c>
      <c r="K2233" s="3">
        <v>2229302</v>
      </c>
      <c r="L2233" s="3" t="s">
        <v>576</v>
      </c>
      <c r="M2233" s="3" t="s">
        <v>8269</v>
      </c>
      <c r="N2233" s="3">
        <v>896</v>
      </c>
      <c r="O2233" s="3" t="s">
        <v>8270</v>
      </c>
      <c r="P2233" s="3" t="s">
        <v>6013</v>
      </c>
      <c r="Q2233" s="3" t="s">
        <v>1317</v>
      </c>
      <c r="R2233" s="3" t="s">
        <v>187</v>
      </c>
      <c r="S2233" s="3">
        <v>83324450</v>
      </c>
      <c r="T2233" s="3">
        <v>4130333777</v>
      </c>
      <c r="U2233" s="3" t="s">
        <v>29</v>
      </c>
    </row>
    <row r="2234" spans="1:21" ht="13.2" x14ac:dyDescent="0.25">
      <c r="A2234" s="14">
        <v>28388243000168</v>
      </c>
      <c r="B2234" s="15" t="str">
        <f t="shared" si="34"/>
        <v>28.388.243/0001-68</v>
      </c>
      <c r="C2234" s="12"/>
      <c r="D2234" s="3" t="s">
        <v>8271</v>
      </c>
      <c r="E2234" s="3" t="s">
        <v>8272</v>
      </c>
      <c r="F2234" s="3" t="s">
        <v>20</v>
      </c>
      <c r="G2234" s="4">
        <v>42957</v>
      </c>
      <c r="H2234" s="3" t="s">
        <v>21</v>
      </c>
      <c r="I2234" s="3" t="s">
        <v>47</v>
      </c>
      <c r="J2234" s="5">
        <v>100000</v>
      </c>
      <c r="K2234" s="3">
        <v>5232000</v>
      </c>
      <c r="L2234" s="3" t="s">
        <v>700</v>
      </c>
      <c r="M2234" s="3" t="s">
        <v>1606</v>
      </c>
      <c r="N2234" s="3">
        <v>1500</v>
      </c>
      <c r="O2234" s="3" t="s">
        <v>8273</v>
      </c>
      <c r="P2234" s="3" t="s">
        <v>2757</v>
      </c>
      <c r="Q2234" s="3" t="s">
        <v>437</v>
      </c>
      <c r="R2234" s="3" t="s">
        <v>53</v>
      </c>
      <c r="S2234" s="3">
        <v>90230240</v>
      </c>
      <c r="T2234" s="3">
        <v>5135574427</v>
      </c>
      <c r="U2234" s="3" t="s">
        <v>29</v>
      </c>
    </row>
    <row r="2235" spans="1:21" ht="13.2" x14ac:dyDescent="0.25">
      <c r="A2235" s="14">
        <v>595037000100</v>
      </c>
      <c r="B2235" s="15" t="str">
        <f t="shared" si="34"/>
        <v>00.595.037/0001-00</v>
      </c>
      <c r="C2235" s="12"/>
      <c r="D2235" s="3" t="s">
        <v>8274</v>
      </c>
      <c r="E2235" s="3" t="s">
        <v>8274</v>
      </c>
      <c r="F2235" s="3" t="s">
        <v>20</v>
      </c>
      <c r="G2235" s="4">
        <v>34822</v>
      </c>
      <c r="H2235" s="3" t="s">
        <v>21</v>
      </c>
      <c r="I2235" s="3" t="s">
        <v>33</v>
      </c>
      <c r="J2235" s="5">
        <v>300000</v>
      </c>
      <c r="K2235" s="3">
        <v>3250702</v>
      </c>
      <c r="L2235" s="3" t="s">
        <v>2159</v>
      </c>
      <c r="M2235" s="3" t="s">
        <v>8275</v>
      </c>
      <c r="N2235" s="3" t="s">
        <v>1802</v>
      </c>
      <c r="O2235" s="3" t="s">
        <v>361</v>
      </c>
      <c r="P2235" s="3" t="s">
        <v>4977</v>
      </c>
      <c r="Q2235" s="3" t="s">
        <v>7011</v>
      </c>
      <c r="R2235" s="3" t="s">
        <v>28</v>
      </c>
      <c r="S2235" s="3">
        <v>18555225</v>
      </c>
      <c r="T2235" s="3">
        <v>1533639234</v>
      </c>
      <c r="U2235" s="3" t="s">
        <v>29</v>
      </c>
    </row>
    <row r="2236" spans="1:21" ht="13.2" x14ac:dyDescent="0.25">
      <c r="A2236" s="14">
        <v>19810527000100</v>
      </c>
      <c r="B2236" s="15" t="str">
        <f t="shared" si="34"/>
        <v>19.810.527/0001-00</v>
      </c>
      <c r="C2236" s="12"/>
      <c r="D2236" s="3" t="s">
        <v>8276</v>
      </c>
      <c r="E2236" s="3" t="s">
        <v>8277</v>
      </c>
      <c r="F2236" s="3" t="s">
        <v>20</v>
      </c>
      <c r="G2236" s="4">
        <v>41698</v>
      </c>
      <c r="H2236" s="3" t="s">
        <v>21</v>
      </c>
      <c r="I2236" s="3" t="s">
        <v>33</v>
      </c>
      <c r="J2236" s="5">
        <v>75000000</v>
      </c>
      <c r="K2236" s="3">
        <v>2831300</v>
      </c>
      <c r="L2236" s="3" t="s">
        <v>608</v>
      </c>
      <c r="M2236" s="3" t="s">
        <v>8278</v>
      </c>
      <c r="N2236" s="3">
        <v>515</v>
      </c>
      <c r="O2236" s="3" t="s">
        <v>8279</v>
      </c>
      <c r="P2236" s="3" t="s">
        <v>8280</v>
      </c>
      <c r="Q2236" s="3" t="s">
        <v>1701</v>
      </c>
      <c r="R2236" s="3" t="s">
        <v>100</v>
      </c>
      <c r="S2236" s="3">
        <v>32241390</v>
      </c>
      <c r="T2236" s="3">
        <v>3135654994</v>
      </c>
      <c r="U2236" s="3" t="s">
        <v>29</v>
      </c>
    </row>
    <row r="2237" spans="1:21" ht="13.2" x14ac:dyDescent="0.25">
      <c r="A2237" s="14">
        <v>13385482000197</v>
      </c>
      <c r="B2237" s="15" t="str">
        <f t="shared" si="34"/>
        <v>13.385.482/0001-97</v>
      </c>
      <c r="C2237" s="12" t="str">
        <f>VLOOKUP(B2237,[1]Planilha1!$A:$B,2,0)</f>
        <v>Malu Montesino</v>
      </c>
      <c r="D2237" s="3" t="s">
        <v>8281</v>
      </c>
      <c r="E2237" s="3" t="s">
        <v>8281</v>
      </c>
      <c r="F2237" s="3" t="s">
        <v>20</v>
      </c>
      <c r="G2237" s="4">
        <v>40606</v>
      </c>
      <c r="H2237" s="3" t="s">
        <v>21</v>
      </c>
      <c r="I2237" s="3" t="s">
        <v>33</v>
      </c>
      <c r="J2237" s="5">
        <v>408288</v>
      </c>
      <c r="K2237" s="3">
        <v>4672900</v>
      </c>
      <c r="L2237" s="3" t="s">
        <v>1389</v>
      </c>
      <c r="M2237" s="3" t="s">
        <v>3748</v>
      </c>
      <c r="N2237" s="3">
        <v>1450</v>
      </c>
      <c r="P2237" s="3" t="s">
        <v>137</v>
      </c>
      <c r="Q2237" s="3" t="s">
        <v>8282</v>
      </c>
      <c r="R2237" s="3" t="s">
        <v>91</v>
      </c>
      <c r="S2237" s="3">
        <v>89240000</v>
      </c>
      <c r="T2237" s="3">
        <v>4734440640</v>
      </c>
      <c r="U2237" s="3" t="s">
        <v>29</v>
      </c>
    </row>
    <row r="2238" spans="1:21" ht="13.2" x14ac:dyDescent="0.25">
      <c r="A2238" s="14">
        <v>22076385000103</v>
      </c>
      <c r="B2238" s="15" t="str">
        <f t="shared" si="34"/>
        <v>22.076.385/0001-03</v>
      </c>
      <c r="C2238" s="12"/>
      <c r="D2238" s="3" t="s">
        <v>8283</v>
      </c>
      <c r="E2238" s="3" t="s">
        <v>8284</v>
      </c>
      <c r="F2238" s="3" t="s">
        <v>20</v>
      </c>
      <c r="G2238" s="4">
        <v>42081</v>
      </c>
      <c r="H2238" s="3" t="s">
        <v>21</v>
      </c>
      <c r="I2238" s="3" t="s">
        <v>22</v>
      </c>
      <c r="J2238" s="5">
        <v>150000</v>
      </c>
      <c r="K2238" s="3">
        <v>7112000</v>
      </c>
      <c r="L2238" s="3" t="s">
        <v>276</v>
      </c>
      <c r="M2238" s="3" t="s">
        <v>8285</v>
      </c>
      <c r="N2238" s="3">
        <v>63</v>
      </c>
      <c r="O2238" s="3" t="s">
        <v>8286</v>
      </c>
      <c r="P2238" s="3" t="s">
        <v>3599</v>
      </c>
      <c r="Q2238" s="3" t="s">
        <v>476</v>
      </c>
      <c r="R2238" s="3" t="s">
        <v>100</v>
      </c>
      <c r="S2238" s="3">
        <v>30130130</v>
      </c>
      <c r="T2238" s="3">
        <v>3121181888</v>
      </c>
      <c r="U2238" s="3" t="s">
        <v>29</v>
      </c>
    </row>
    <row r="2239" spans="1:21" ht="13.2" x14ac:dyDescent="0.25">
      <c r="A2239" s="14">
        <v>41587502000148</v>
      </c>
      <c r="B2239" s="15" t="str">
        <f t="shared" si="34"/>
        <v>41.587.502/0001-48</v>
      </c>
      <c r="C2239" s="12"/>
      <c r="D2239" s="3" t="s">
        <v>8287</v>
      </c>
      <c r="E2239" s="3" t="s">
        <v>8287</v>
      </c>
      <c r="F2239" s="3" t="s">
        <v>20</v>
      </c>
      <c r="G2239" s="4">
        <v>33855</v>
      </c>
      <c r="H2239" s="3" t="s">
        <v>21</v>
      </c>
      <c r="I2239" s="3" t="s">
        <v>33</v>
      </c>
      <c r="J2239" s="5">
        <v>1312759</v>
      </c>
      <c r="K2239" s="3">
        <v>6204000</v>
      </c>
      <c r="L2239" s="3" t="s">
        <v>2081</v>
      </c>
      <c r="M2239" s="3" t="s">
        <v>8288</v>
      </c>
      <c r="N2239" s="3">
        <v>90</v>
      </c>
      <c r="O2239" s="3" t="s">
        <v>8289</v>
      </c>
      <c r="P2239" s="3" t="s">
        <v>70</v>
      </c>
      <c r="Q2239" s="3" t="s">
        <v>667</v>
      </c>
      <c r="R2239" s="3" t="s">
        <v>301</v>
      </c>
      <c r="S2239" s="3">
        <v>60060190</v>
      </c>
      <c r="T2239" s="3">
        <v>8534668000</v>
      </c>
      <c r="U2239" s="3" t="s">
        <v>29</v>
      </c>
    </row>
    <row r="2240" spans="1:21" ht="13.2" x14ac:dyDescent="0.25">
      <c r="A2240" s="14">
        <v>946219000188</v>
      </c>
      <c r="B2240" s="15" t="str">
        <f t="shared" si="34"/>
        <v>00.946.219/0001-88</v>
      </c>
      <c r="C2240" s="12" t="str">
        <f>VLOOKUP(B2240,[1]Planilha1!$A:$B,2,0)</f>
        <v>Malu Montesino</v>
      </c>
      <c r="D2240" s="3" t="s">
        <v>8290</v>
      </c>
      <c r="E2240" s="3" t="s">
        <v>8290</v>
      </c>
      <c r="F2240" s="3" t="s">
        <v>20</v>
      </c>
      <c r="G2240" s="4">
        <v>35031</v>
      </c>
      <c r="H2240" s="3" t="s">
        <v>21</v>
      </c>
      <c r="I2240" s="3" t="s">
        <v>33</v>
      </c>
      <c r="J2240" s="5">
        <v>49974560</v>
      </c>
      <c r="K2240" s="3">
        <v>2651500</v>
      </c>
      <c r="L2240" s="3" t="s">
        <v>600</v>
      </c>
      <c r="M2240" s="3" t="s">
        <v>8291</v>
      </c>
      <c r="N2240" s="3">
        <v>1003</v>
      </c>
      <c r="P2240" s="3" t="s">
        <v>8292</v>
      </c>
      <c r="Q2240" s="3" t="s">
        <v>262</v>
      </c>
      <c r="R2240" s="3" t="s">
        <v>28</v>
      </c>
      <c r="S2240" s="3">
        <v>6278010</v>
      </c>
      <c r="T2240" s="3">
        <v>1136585244</v>
      </c>
      <c r="U2240" s="3" t="s">
        <v>29</v>
      </c>
    </row>
    <row r="2241" spans="1:21" ht="13.2" x14ac:dyDescent="0.25">
      <c r="A2241" s="14">
        <v>54985932000160</v>
      </c>
      <c r="B2241" s="15" t="str">
        <f t="shared" si="34"/>
        <v>54.985.932/0001-60</v>
      </c>
      <c r="C2241" s="12"/>
      <c r="D2241" s="3" t="s">
        <v>8293</v>
      </c>
      <c r="E2241" s="3" t="s">
        <v>8293</v>
      </c>
      <c r="F2241" s="3" t="s">
        <v>20</v>
      </c>
      <c r="G2241" s="4">
        <v>31318</v>
      </c>
      <c r="H2241" s="3" t="s">
        <v>21</v>
      </c>
      <c r="I2241" s="3" t="s">
        <v>33</v>
      </c>
      <c r="J2241" s="5">
        <v>2000000</v>
      </c>
      <c r="K2241" s="3">
        <v>4761003</v>
      </c>
      <c r="L2241" s="3" t="s">
        <v>2086</v>
      </c>
      <c r="M2241" s="3" t="s">
        <v>8294</v>
      </c>
      <c r="N2241" s="3">
        <v>12</v>
      </c>
      <c r="O2241" s="3" t="s">
        <v>8295</v>
      </c>
      <c r="P2241" s="3" t="s">
        <v>2181</v>
      </c>
      <c r="Q2241" s="3" t="s">
        <v>27</v>
      </c>
      <c r="R2241" s="3" t="s">
        <v>28</v>
      </c>
      <c r="S2241" s="3">
        <v>5050020</v>
      </c>
      <c r="U2241" s="3" t="s">
        <v>29</v>
      </c>
    </row>
    <row r="2242" spans="1:21" ht="13.2" x14ac:dyDescent="0.25">
      <c r="A2242" s="14">
        <v>3860740000196</v>
      </c>
      <c r="B2242" s="15" t="str">
        <f t="shared" si="34"/>
        <v>03.860.740/0001-96</v>
      </c>
      <c r="C2242" s="12"/>
      <c r="D2242" s="3" t="s">
        <v>8296</v>
      </c>
      <c r="E2242" s="3" t="s">
        <v>8296</v>
      </c>
      <c r="F2242" s="3" t="s">
        <v>20</v>
      </c>
      <c r="G2242" s="4">
        <v>36684</v>
      </c>
      <c r="H2242" s="3" t="s">
        <v>21</v>
      </c>
      <c r="I2242" s="3" t="s">
        <v>22</v>
      </c>
      <c r="J2242" s="5">
        <v>700000</v>
      </c>
      <c r="K2242" s="3">
        <v>3250705</v>
      </c>
      <c r="L2242" s="3" t="s">
        <v>2420</v>
      </c>
      <c r="M2242" s="3" t="s">
        <v>8297</v>
      </c>
      <c r="N2242" s="3">
        <v>62</v>
      </c>
      <c r="O2242" s="3" t="s">
        <v>198</v>
      </c>
      <c r="P2242" s="3" t="s">
        <v>8298</v>
      </c>
      <c r="Q2242" s="3" t="s">
        <v>3579</v>
      </c>
      <c r="R2242" s="3" t="s">
        <v>187</v>
      </c>
      <c r="S2242" s="3">
        <v>86709227</v>
      </c>
      <c r="T2242" s="3">
        <v>4333562008</v>
      </c>
      <c r="U2242" s="3" t="s">
        <v>29</v>
      </c>
    </row>
    <row r="2243" spans="1:21" ht="13.2" x14ac:dyDescent="0.25">
      <c r="A2243" s="14">
        <v>16549335000101</v>
      </c>
      <c r="B2243" s="15" t="str">
        <f t="shared" ref="B2243:B2306" si="35">TEXT(A2243,"00\.000\.000\/0000\-00")</f>
        <v>16.549.335/0001-01</v>
      </c>
      <c r="C2243" s="12" t="str">
        <f>VLOOKUP(B2243,[1]Planilha1!$A:$B,2,0)</f>
        <v>Malu Montesino</v>
      </c>
      <c r="D2243" s="3" t="s">
        <v>8299</v>
      </c>
      <c r="E2243" s="3" t="s">
        <v>8299</v>
      </c>
      <c r="F2243" s="3" t="s">
        <v>20</v>
      </c>
      <c r="G2243" s="4">
        <v>41108</v>
      </c>
      <c r="H2243" s="3" t="s">
        <v>21</v>
      </c>
      <c r="I2243" s="3" t="s">
        <v>33</v>
      </c>
      <c r="J2243" s="5">
        <v>350000</v>
      </c>
      <c r="K2243" s="3">
        <v>4663000</v>
      </c>
      <c r="L2243" s="3" t="s">
        <v>128</v>
      </c>
      <c r="M2243" s="3" t="s">
        <v>8300</v>
      </c>
      <c r="N2243" s="3">
        <v>101</v>
      </c>
      <c r="P2243" s="3" t="s">
        <v>153</v>
      </c>
      <c r="Q2243" s="3" t="s">
        <v>8301</v>
      </c>
      <c r="R2243" s="3" t="s">
        <v>28</v>
      </c>
      <c r="S2243" s="3">
        <v>18530000</v>
      </c>
      <c r="T2243" s="3">
        <v>1532825109</v>
      </c>
      <c r="U2243" s="3" t="s">
        <v>29</v>
      </c>
    </row>
    <row r="2244" spans="1:21" ht="13.2" x14ac:dyDescent="0.25">
      <c r="A2244" s="14">
        <v>19933186000160</v>
      </c>
      <c r="B2244" s="15" t="str">
        <f t="shared" si="35"/>
        <v>19.933.186/0001-60</v>
      </c>
      <c r="C2244" s="12"/>
      <c r="D2244" s="3" t="s">
        <v>8302</v>
      </c>
      <c r="E2244" s="3" t="s">
        <v>8303</v>
      </c>
      <c r="F2244" s="3" t="s">
        <v>20</v>
      </c>
      <c r="G2244" s="4">
        <v>41722</v>
      </c>
      <c r="H2244" s="3" t="s">
        <v>21</v>
      </c>
      <c r="I2244" s="3" t="s">
        <v>22</v>
      </c>
      <c r="J2244" s="5">
        <v>30000</v>
      </c>
      <c r="K2244" s="3">
        <v>3314713</v>
      </c>
      <c r="L2244" s="3" t="s">
        <v>8020</v>
      </c>
      <c r="M2244" s="3" t="s">
        <v>504</v>
      </c>
      <c r="N2244" s="7">
        <v>1321</v>
      </c>
      <c r="O2244" s="3" t="s">
        <v>8304</v>
      </c>
      <c r="P2244" s="3" t="s">
        <v>506</v>
      </c>
      <c r="Q2244" s="3" t="s">
        <v>262</v>
      </c>
      <c r="R2244" s="3" t="s">
        <v>28</v>
      </c>
      <c r="S2244" s="3">
        <v>6122160</v>
      </c>
      <c r="T2244" s="3">
        <v>1137633110</v>
      </c>
      <c r="U2244" s="3" t="s">
        <v>29</v>
      </c>
    </row>
    <row r="2245" spans="1:21" ht="13.2" x14ac:dyDescent="0.25">
      <c r="A2245" s="14">
        <v>54237805000182</v>
      </c>
      <c r="B2245" s="15" t="str">
        <f t="shared" si="35"/>
        <v>54.237.805/0001-82</v>
      </c>
      <c r="C2245" s="12"/>
      <c r="D2245" s="3" t="s">
        <v>8305</v>
      </c>
      <c r="E2245" s="3" t="s">
        <v>8305</v>
      </c>
      <c r="F2245" s="3" t="s">
        <v>45</v>
      </c>
      <c r="G2245" s="4">
        <v>31126</v>
      </c>
      <c r="H2245" s="3" t="s">
        <v>21</v>
      </c>
      <c r="I2245" s="3" t="s">
        <v>33</v>
      </c>
      <c r="J2245" s="5">
        <v>0</v>
      </c>
      <c r="K2245" s="3">
        <v>8888888</v>
      </c>
      <c r="L2245" s="3" t="s">
        <v>8306</v>
      </c>
      <c r="M2245" s="3" t="s">
        <v>8307</v>
      </c>
      <c r="N2245" s="3">
        <v>149</v>
      </c>
      <c r="P2245" s="3" t="s">
        <v>8308</v>
      </c>
      <c r="Q2245" s="3" t="s">
        <v>1312</v>
      </c>
      <c r="R2245" s="3" t="s">
        <v>28</v>
      </c>
      <c r="S2245" s="3">
        <v>13301331</v>
      </c>
      <c r="U2245" s="3" t="s">
        <v>29</v>
      </c>
    </row>
    <row r="2246" spans="1:21" ht="13.2" x14ac:dyDescent="0.25">
      <c r="A2246" s="14">
        <v>43987615000166</v>
      </c>
      <c r="B2246" s="15" t="str">
        <f t="shared" si="35"/>
        <v>43.987.615/0001-66</v>
      </c>
      <c r="C2246" s="12"/>
      <c r="D2246" s="3" t="s">
        <v>8309</v>
      </c>
      <c r="E2246" s="3" t="s">
        <v>8310</v>
      </c>
      <c r="F2246" s="3" t="s">
        <v>20</v>
      </c>
      <c r="G2246" s="4">
        <v>44489</v>
      </c>
      <c r="H2246" s="3" t="s">
        <v>1550</v>
      </c>
      <c r="I2246" s="3" t="s">
        <v>33</v>
      </c>
      <c r="J2246" s="5">
        <v>100000</v>
      </c>
      <c r="K2246" s="3">
        <v>6911701</v>
      </c>
      <c r="L2246" s="3" t="s">
        <v>1551</v>
      </c>
      <c r="M2246" s="3" t="s">
        <v>8311</v>
      </c>
      <c r="N2246" s="3">
        <v>1225</v>
      </c>
      <c r="O2246" s="3" t="s">
        <v>1844</v>
      </c>
      <c r="P2246" s="3" t="s">
        <v>7232</v>
      </c>
      <c r="Q2246" s="3" t="s">
        <v>65</v>
      </c>
      <c r="R2246" s="3" t="s">
        <v>28</v>
      </c>
      <c r="S2246" s="3">
        <v>13025002</v>
      </c>
      <c r="T2246" s="3">
        <v>4196869828</v>
      </c>
      <c r="U2246" s="3" t="s">
        <v>29</v>
      </c>
    </row>
    <row r="2247" spans="1:21" ht="13.2" x14ac:dyDescent="0.25">
      <c r="A2247" s="14">
        <v>60691250000147</v>
      </c>
      <c r="B2247" s="15" t="str">
        <f t="shared" si="35"/>
        <v>60.691.250/0001-47</v>
      </c>
      <c r="C2247" s="12"/>
      <c r="D2247" s="3" t="s">
        <v>8312</v>
      </c>
      <c r="E2247" s="3" t="s">
        <v>8313</v>
      </c>
      <c r="F2247" s="3" t="s">
        <v>20</v>
      </c>
      <c r="G2247" s="4">
        <v>32680</v>
      </c>
      <c r="H2247" s="3" t="s">
        <v>21</v>
      </c>
      <c r="I2247" s="3" t="s">
        <v>33</v>
      </c>
      <c r="J2247" s="5">
        <v>1404966900</v>
      </c>
      <c r="K2247" s="3">
        <v>5620101</v>
      </c>
      <c r="L2247" s="3" t="s">
        <v>1369</v>
      </c>
      <c r="M2247" s="3" t="s">
        <v>6784</v>
      </c>
      <c r="N2247" s="7">
        <v>1205</v>
      </c>
      <c r="O2247" s="3" t="s">
        <v>198</v>
      </c>
      <c r="P2247" s="3" t="s">
        <v>4571</v>
      </c>
      <c r="Q2247" s="3" t="s">
        <v>27</v>
      </c>
      <c r="R2247" s="3" t="s">
        <v>28</v>
      </c>
      <c r="S2247" s="3">
        <v>5345000</v>
      </c>
      <c r="T2247" s="3">
        <v>1121978888</v>
      </c>
      <c r="U2247" s="3" t="s">
        <v>29</v>
      </c>
    </row>
    <row r="2248" spans="1:21" ht="13.2" x14ac:dyDescent="0.25">
      <c r="A2248" s="14">
        <v>19758842000135</v>
      </c>
      <c r="B2248" s="15" t="str">
        <f t="shared" si="35"/>
        <v>19.758.842/0001-35</v>
      </c>
      <c r="C2248" s="12"/>
      <c r="D2248" s="3" t="s">
        <v>8314</v>
      </c>
      <c r="E2248" s="3" t="s">
        <v>8315</v>
      </c>
      <c r="F2248" s="3" t="s">
        <v>20</v>
      </c>
      <c r="G2248" s="4">
        <v>41690</v>
      </c>
      <c r="H2248" s="3" t="s">
        <v>94</v>
      </c>
      <c r="I2248" s="3" t="s">
        <v>33</v>
      </c>
      <c r="J2248" s="5">
        <v>509933380</v>
      </c>
      <c r="K2248" s="3">
        <v>4211101</v>
      </c>
      <c r="L2248" s="3" t="s">
        <v>313</v>
      </c>
      <c r="M2248" s="3" t="s">
        <v>8316</v>
      </c>
      <c r="N2248" s="3">
        <v>150</v>
      </c>
      <c r="O2248" s="3" t="s">
        <v>1251</v>
      </c>
      <c r="P2248" s="3" t="s">
        <v>8137</v>
      </c>
      <c r="Q2248" s="3" t="s">
        <v>476</v>
      </c>
      <c r="R2248" s="3" t="s">
        <v>100</v>
      </c>
      <c r="S2248" s="3">
        <v>30360530</v>
      </c>
      <c r="T2248" s="3">
        <v>3132987050</v>
      </c>
      <c r="U2248" s="3" t="s">
        <v>29</v>
      </c>
    </row>
    <row r="2249" spans="1:21" ht="13.2" x14ac:dyDescent="0.25">
      <c r="A2249" s="14">
        <v>10417495000102</v>
      </c>
      <c r="B2249" s="15" t="str">
        <f t="shared" si="35"/>
        <v>10.417.495/0001-02</v>
      </c>
      <c r="C2249" s="12"/>
      <c r="D2249" s="3" t="s">
        <v>8317</v>
      </c>
      <c r="E2249" s="3" t="s">
        <v>8318</v>
      </c>
      <c r="F2249" s="3" t="s">
        <v>20</v>
      </c>
      <c r="G2249" s="4">
        <v>39710</v>
      </c>
      <c r="H2249" s="3" t="s">
        <v>21</v>
      </c>
      <c r="I2249" s="3" t="s">
        <v>47</v>
      </c>
      <c r="J2249" s="5">
        <v>100000</v>
      </c>
      <c r="K2249" s="3">
        <v>4751201</v>
      </c>
      <c r="L2249" s="3" t="s">
        <v>23</v>
      </c>
      <c r="M2249" s="3" t="s">
        <v>8319</v>
      </c>
      <c r="N2249" s="3">
        <v>197</v>
      </c>
      <c r="P2249" s="3" t="s">
        <v>8320</v>
      </c>
      <c r="Q2249" s="3" t="s">
        <v>1657</v>
      </c>
      <c r="R2249" s="3" t="s">
        <v>28</v>
      </c>
      <c r="S2249" s="3">
        <v>6355050</v>
      </c>
      <c r="T2249" s="3">
        <v>1141679807</v>
      </c>
      <c r="U2249" s="3" t="s">
        <v>29</v>
      </c>
    </row>
    <row r="2250" spans="1:21" ht="13.2" x14ac:dyDescent="0.25">
      <c r="A2250" s="14">
        <v>26852877000102</v>
      </c>
      <c r="B2250" s="15" t="str">
        <f t="shared" si="35"/>
        <v>26.852.877/0001-02</v>
      </c>
      <c r="C2250" s="12" t="str">
        <f>VLOOKUP(B2250,[1]Planilha1!$A:$B,2,0)</f>
        <v>Malu Montesino</v>
      </c>
      <c r="D2250" s="3" t="s">
        <v>8321</v>
      </c>
      <c r="E2250" s="3" t="s">
        <v>8322</v>
      </c>
      <c r="F2250" s="3" t="s">
        <v>20</v>
      </c>
      <c r="G2250" s="4">
        <v>42747</v>
      </c>
      <c r="H2250" s="3" t="s">
        <v>21</v>
      </c>
      <c r="I2250" s="3" t="s">
        <v>22</v>
      </c>
      <c r="J2250" s="5">
        <v>160000</v>
      </c>
      <c r="K2250" s="3">
        <v>4645102</v>
      </c>
      <c r="L2250" s="3" t="s">
        <v>2858</v>
      </c>
      <c r="M2250" s="3" t="s">
        <v>2102</v>
      </c>
      <c r="N2250" s="3">
        <v>268</v>
      </c>
      <c r="O2250" s="3" t="s">
        <v>8323</v>
      </c>
      <c r="P2250" s="3" t="s">
        <v>2104</v>
      </c>
      <c r="Q2250" s="3" t="s">
        <v>617</v>
      </c>
      <c r="R2250" s="3" t="s">
        <v>28</v>
      </c>
      <c r="S2250" s="3">
        <v>6472001</v>
      </c>
      <c r="T2250" s="3">
        <v>1151997612</v>
      </c>
      <c r="U2250" s="3" t="s">
        <v>29</v>
      </c>
    </row>
    <row r="2251" spans="1:21" ht="13.2" x14ac:dyDescent="0.25">
      <c r="A2251" s="14">
        <v>76490184000187</v>
      </c>
      <c r="B2251" s="15" t="str">
        <f t="shared" si="35"/>
        <v>76.490.184/0001-87</v>
      </c>
      <c r="C2251" s="12"/>
      <c r="D2251" s="3" t="s">
        <v>8324</v>
      </c>
      <c r="E2251" s="3" t="s">
        <v>8325</v>
      </c>
      <c r="F2251" s="3" t="s">
        <v>20</v>
      </c>
      <c r="G2251" s="4">
        <v>24324</v>
      </c>
      <c r="H2251" s="3" t="s">
        <v>21</v>
      </c>
      <c r="I2251" s="3" t="s">
        <v>33</v>
      </c>
      <c r="J2251" s="5">
        <v>1092611800</v>
      </c>
      <c r="K2251" s="3">
        <v>4637199</v>
      </c>
      <c r="L2251" s="3" t="s">
        <v>3409</v>
      </c>
      <c r="M2251" s="3" t="s">
        <v>8326</v>
      </c>
      <c r="N2251" s="3">
        <v>2321</v>
      </c>
      <c r="P2251" s="3" t="s">
        <v>8327</v>
      </c>
      <c r="Q2251" s="3" t="s">
        <v>6724</v>
      </c>
      <c r="R2251" s="3" t="s">
        <v>187</v>
      </c>
      <c r="S2251" s="3">
        <v>83820293</v>
      </c>
      <c r="T2251" s="3">
        <v>1122222222</v>
      </c>
      <c r="U2251" s="3" t="s">
        <v>29</v>
      </c>
    </row>
    <row r="2252" spans="1:21" ht="13.2" x14ac:dyDescent="0.25">
      <c r="A2252" s="14">
        <v>8116472000116</v>
      </c>
      <c r="B2252" s="15" t="str">
        <f t="shared" si="35"/>
        <v>08.116.472/0001-16</v>
      </c>
      <c r="C2252" s="12"/>
      <c r="D2252" s="3" t="s">
        <v>8328</v>
      </c>
      <c r="E2252" s="3" t="s">
        <v>8328</v>
      </c>
      <c r="F2252" s="3" t="s">
        <v>20</v>
      </c>
      <c r="G2252" s="4">
        <v>38882</v>
      </c>
      <c r="H2252" s="3" t="s">
        <v>94</v>
      </c>
      <c r="I2252" s="3" t="s">
        <v>33</v>
      </c>
      <c r="J2252" s="5">
        <v>4920000</v>
      </c>
      <c r="K2252" s="3">
        <v>3250707</v>
      </c>
      <c r="L2252" s="3" t="s">
        <v>2519</v>
      </c>
      <c r="M2252" s="3" t="s">
        <v>8329</v>
      </c>
      <c r="N2252" s="3">
        <v>116</v>
      </c>
      <c r="O2252" s="3" t="s">
        <v>8330</v>
      </c>
      <c r="P2252" s="3" t="s">
        <v>153</v>
      </c>
      <c r="Q2252" s="3" t="s">
        <v>8331</v>
      </c>
      <c r="R2252" s="3" t="s">
        <v>28</v>
      </c>
      <c r="S2252" s="3">
        <v>15151124</v>
      </c>
      <c r="T2252" s="3">
        <v>1732753333</v>
      </c>
      <c r="U2252" s="3" t="s">
        <v>29</v>
      </c>
    </row>
    <row r="2253" spans="1:21" ht="13.2" x14ac:dyDescent="0.25">
      <c r="A2253" s="14">
        <v>42829508000147</v>
      </c>
      <c r="B2253" s="15" t="str">
        <f t="shared" si="35"/>
        <v>42.829.508/0001-47</v>
      </c>
      <c r="C2253" s="12"/>
      <c r="D2253" s="3" t="s">
        <v>8332</v>
      </c>
      <c r="E2253" s="3" t="s">
        <v>8333</v>
      </c>
      <c r="F2253" s="3" t="s">
        <v>20</v>
      </c>
      <c r="G2253" s="4">
        <v>44399</v>
      </c>
      <c r="H2253" s="3" t="s">
        <v>21</v>
      </c>
      <c r="I2253" s="3" t="s">
        <v>47</v>
      </c>
      <c r="J2253" s="5">
        <v>268000</v>
      </c>
      <c r="K2253" s="3">
        <v>7729203</v>
      </c>
      <c r="L2253" s="3" t="s">
        <v>8334</v>
      </c>
      <c r="M2253" s="3" t="s">
        <v>8335</v>
      </c>
      <c r="N2253" s="3">
        <v>405</v>
      </c>
      <c r="O2253" s="3" t="s">
        <v>8336</v>
      </c>
      <c r="P2253" s="3" t="s">
        <v>1136</v>
      </c>
      <c r="Q2253" s="3" t="s">
        <v>253</v>
      </c>
      <c r="R2253" s="3" t="s">
        <v>78</v>
      </c>
      <c r="S2253" s="3">
        <v>22775040</v>
      </c>
      <c r="T2253" s="3">
        <v>2139368880</v>
      </c>
      <c r="U2253" s="3" t="s">
        <v>29</v>
      </c>
    </row>
    <row r="2254" spans="1:21" ht="13.2" x14ac:dyDescent="0.25">
      <c r="A2254" s="14">
        <v>52201456000113</v>
      </c>
      <c r="B2254" s="15" t="str">
        <f t="shared" si="35"/>
        <v>52.201.456/0001-13</v>
      </c>
      <c r="C2254" s="12"/>
      <c r="D2254" s="3" t="s">
        <v>8337</v>
      </c>
      <c r="E2254" s="3" t="s">
        <v>8337</v>
      </c>
      <c r="F2254" s="3" t="s">
        <v>20</v>
      </c>
      <c r="G2254" s="4">
        <v>30329</v>
      </c>
      <c r="H2254" s="3" t="s">
        <v>21</v>
      </c>
      <c r="I2254" s="3" t="s">
        <v>33</v>
      </c>
      <c r="J2254" s="5">
        <v>121974540</v>
      </c>
      <c r="K2254" s="3">
        <v>4664800</v>
      </c>
      <c r="L2254" s="3" t="s">
        <v>691</v>
      </c>
      <c r="M2254" s="3" t="s">
        <v>308</v>
      </c>
      <c r="N2254" s="3">
        <v>14401</v>
      </c>
      <c r="O2254" s="3" t="s">
        <v>8338</v>
      </c>
      <c r="P2254" s="3" t="s">
        <v>310</v>
      </c>
      <c r="Q2254" s="3" t="s">
        <v>27</v>
      </c>
      <c r="R2254" s="3" t="s">
        <v>28</v>
      </c>
      <c r="S2254" s="3">
        <v>4794000</v>
      </c>
      <c r="T2254" s="3">
        <v>1127642411</v>
      </c>
      <c r="U2254" s="3" t="s">
        <v>29</v>
      </c>
    </row>
    <row r="2255" spans="1:21" ht="13.2" x14ac:dyDescent="0.25">
      <c r="A2255" s="14">
        <v>4187384000154</v>
      </c>
      <c r="B2255" s="15" t="str">
        <f t="shared" si="35"/>
        <v>04.187.384/0001-54</v>
      </c>
      <c r="C2255" s="12"/>
      <c r="D2255" s="3" t="s">
        <v>8339</v>
      </c>
      <c r="E2255" s="3" t="s">
        <v>8340</v>
      </c>
      <c r="F2255" s="3" t="s">
        <v>20</v>
      </c>
      <c r="G2255" s="4">
        <v>36851</v>
      </c>
      <c r="H2255" s="3" t="s">
        <v>21</v>
      </c>
      <c r="I2255" s="3" t="s">
        <v>33</v>
      </c>
      <c r="J2255" s="5">
        <v>212000</v>
      </c>
      <c r="K2255" s="3">
        <v>2660400</v>
      </c>
      <c r="L2255" s="3" t="s">
        <v>953</v>
      </c>
      <c r="M2255" s="3" t="s">
        <v>8341</v>
      </c>
      <c r="N2255" s="3">
        <v>202</v>
      </c>
      <c r="P2255" s="3" t="s">
        <v>8342</v>
      </c>
      <c r="Q2255" s="3" t="s">
        <v>90</v>
      </c>
      <c r="R2255" s="3" t="s">
        <v>91</v>
      </c>
      <c r="S2255" s="3">
        <v>89265520</v>
      </c>
      <c r="T2255" s="3">
        <v>4733712741</v>
      </c>
      <c r="U2255" s="3" t="s">
        <v>29</v>
      </c>
    </row>
    <row r="2256" spans="1:21" ht="13.2" x14ac:dyDescent="0.25">
      <c r="A2256" s="14">
        <v>5466285000174</v>
      </c>
      <c r="B2256" s="15" t="str">
        <f t="shared" si="35"/>
        <v>05.466.285/0001-74</v>
      </c>
      <c r="C2256" s="12"/>
      <c r="D2256" s="3" t="s">
        <v>8343</v>
      </c>
      <c r="E2256" s="3" t="s">
        <v>8344</v>
      </c>
      <c r="F2256" s="3" t="s">
        <v>20</v>
      </c>
      <c r="G2256" s="4">
        <v>37560</v>
      </c>
      <c r="H2256" s="3" t="s">
        <v>21</v>
      </c>
      <c r="I2256" s="3" t="s">
        <v>33</v>
      </c>
      <c r="J2256" s="5">
        <v>9000000</v>
      </c>
      <c r="K2256" s="3">
        <v>2710402</v>
      </c>
      <c r="L2256" s="3" t="s">
        <v>5194</v>
      </c>
      <c r="M2256" s="3" t="s">
        <v>827</v>
      </c>
      <c r="N2256" s="3">
        <v>2469</v>
      </c>
      <c r="O2256" s="3" t="s">
        <v>2013</v>
      </c>
      <c r="P2256" s="3" t="s">
        <v>153</v>
      </c>
      <c r="Q2256" s="3" t="s">
        <v>829</v>
      </c>
      <c r="R2256" s="3" t="s">
        <v>100</v>
      </c>
      <c r="S2256" s="3">
        <v>37504126</v>
      </c>
      <c r="T2256" s="3">
        <v>3536225010</v>
      </c>
      <c r="U2256" s="3" t="s">
        <v>29</v>
      </c>
    </row>
    <row r="2257" spans="1:21" ht="13.2" x14ac:dyDescent="0.25">
      <c r="A2257" s="14">
        <v>90815150000146</v>
      </c>
      <c r="B2257" s="15" t="str">
        <f t="shared" si="35"/>
        <v>90.815.150/0001-46</v>
      </c>
      <c r="C2257" s="12"/>
      <c r="D2257" s="3" t="s">
        <v>8345</v>
      </c>
      <c r="E2257" s="3" t="s">
        <v>8346</v>
      </c>
      <c r="F2257" s="3" t="s">
        <v>20</v>
      </c>
      <c r="G2257" s="4">
        <v>29137</v>
      </c>
      <c r="H2257" s="3" t="s">
        <v>21</v>
      </c>
      <c r="I2257" s="3" t="s">
        <v>33</v>
      </c>
      <c r="J2257" s="5">
        <v>8046501</v>
      </c>
      <c r="K2257" s="3">
        <v>2840200</v>
      </c>
      <c r="L2257" s="3" t="s">
        <v>2053</v>
      </c>
      <c r="M2257" s="3" t="s">
        <v>8346</v>
      </c>
      <c r="N2257" s="3">
        <v>50</v>
      </c>
      <c r="P2257" s="3" t="s">
        <v>8347</v>
      </c>
      <c r="Q2257" s="3" t="s">
        <v>8348</v>
      </c>
      <c r="R2257" s="3" t="s">
        <v>53</v>
      </c>
      <c r="S2257" s="3">
        <v>95760000</v>
      </c>
      <c r="T2257" s="3">
        <v>5132228933</v>
      </c>
      <c r="U2257" s="3" t="s">
        <v>29</v>
      </c>
    </row>
    <row r="2258" spans="1:21" ht="13.2" x14ac:dyDescent="0.25">
      <c r="A2258" s="14">
        <v>4002395000112</v>
      </c>
      <c r="B2258" s="15" t="str">
        <f t="shared" si="35"/>
        <v>04.002.395/0001-12</v>
      </c>
      <c r="C2258" s="12"/>
      <c r="D2258" s="3" t="s">
        <v>8349</v>
      </c>
      <c r="E2258" s="3" t="s">
        <v>8349</v>
      </c>
      <c r="F2258" s="3" t="s">
        <v>20</v>
      </c>
      <c r="G2258" s="4">
        <v>36742</v>
      </c>
      <c r="H2258" s="3" t="s">
        <v>94</v>
      </c>
      <c r="I2258" s="3" t="s">
        <v>33</v>
      </c>
      <c r="J2258" s="5">
        <v>18000000</v>
      </c>
      <c r="K2258" s="3">
        <v>4120400</v>
      </c>
      <c r="L2258" s="3" t="s">
        <v>87</v>
      </c>
      <c r="M2258" s="3" t="s">
        <v>8350</v>
      </c>
      <c r="N2258" s="3">
        <v>429</v>
      </c>
      <c r="O2258" s="3" t="s">
        <v>8351</v>
      </c>
      <c r="P2258" s="3" t="s">
        <v>8352</v>
      </c>
      <c r="Q2258" s="3" t="s">
        <v>27</v>
      </c>
      <c r="R2258" s="3" t="s">
        <v>28</v>
      </c>
      <c r="S2258" s="3">
        <v>1533000</v>
      </c>
      <c r="T2258" s="3">
        <v>1132867070</v>
      </c>
      <c r="U2258" s="3" t="s">
        <v>29</v>
      </c>
    </row>
    <row r="2259" spans="1:21" ht="13.2" x14ac:dyDescent="0.25">
      <c r="A2259" s="14">
        <v>38841532000124</v>
      </c>
      <c r="B2259" s="15" t="str">
        <f t="shared" si="35"/>
        <v>38.841.532/0001-24</v>
      </c>
      <c r="C2259" s="12"/>
      <c r="D2259" s="3" t="s">
        <v>8353</v>
      </c>
      <c r="E2259" s="3" t="s">
        <v>8353</v>
      </c>
      <c r="F2259" s="3" t="s">
        <v>20</v>
      </c>
      <c r="G2259" s="4">
        <v>33028</v>
      </c>
      <c r="H2259" s="3" t="s">
        <v>21</v>
      </c>
      <c r="I2259" s="3" t="s">
        <v>47</v>
      </c>
      <c r="J2259" s="5">
        <v>10000</v>
      </c>
      <c r="K2259" s="3">
        <v>1749400</v>
      </c>
      <c r="L2259" s="3" t="s">
        <v>1399</v>
      </c>
      <c r="M2259" s="3" t="s">
        <v>3365</v>
      </c>
      <c r="N2259" s="3">
        <v>920</v>
      </c>
      <c r="P2259" s="3" t="s">
        <v>5873</v>
      </c>
      <c r="Q2259" s="3" t="s">
        <v>262</v>
      </c>
      <c r="R2259" s="3" t="s">
        <v>28</v>
      </c>
      <c r="S2259" s="3">
        <v>6110160</v>
      </c>
      <c r="T2259" s="3">
        <v>1136086224</v>
      </c>
      <c r="U2259" s="3" t="s">
        <v>29</v>
      </c>
    </row>
    <row r="2260" spans="1:21" ht="13.2" x14ac:dyDescent="0.25">
      <c r="A2260" s="14">
        <v>22797545000103</v>
      </c>
      <c r="B2260" s="15" t="str">
        <f t="shared" si="35"/>
        <v>22.797.545/0001-03</v>
      </c>
      <c r="C2260" s="12"/>
      <c r="D2260" s="3" t="s">
        <v>8354</v>
      </c>
      <c r="E2260" s="3" t="s">
        <v>8354</v>
      </c>
      <c r="F2260" s="3" t="s">
        <v>45</v>
      </c>
      <c r="G2260" s="4">
        <v>42192</v>
      </c>
      <c r="H2260" s="3" t="s">
        <v>21</v>
      </c>
      <c r="I2260" s="3" t="s">
        <v>33</v>
      </c>
      <c r="J2260" s="5">
        <v>1547550200</v>
      </c>
      <c r="K2260" s="3">
        <v>4651601</v>
      </c>
      <c r="L2260" s="3" t="s">
        <v>684</v>
      </c>
      <c r="M2260" s="3" t="s">
        <v>8355</v>
      </c>
      <c r="N2260" s="3">
        <v>200</v>
      </c>
      <c r="O2260" s="3" t="s">
        <v>8356</v>
      </c>
      <c r="P2260" s="3" t="s">
        <v>8357</v>
      </c>
      <c r="Q2260" s="3" t="s">
        <v>1235</v>
      </c>
      <c r="R2260" s="3" t="s">
        <v>28</v>
      </c>
      <c r="S2260" s="3">
        <v>13337200</v>
      </c>
      <c r="T2260" s="3">
        <v>1939325400</v>
      </c>
      <c r="U2260" s="3" t="s">
        <v>29</v>
      </c>
    </row>
    <row r="2261" spans="1:21" ht="13.2" x14ac:dyDescent="0.25">
      <c r="A2261" s="14">
        <v>7275920000161</v>
      </c>
      <c r="B2261" s="15" t="str">
        <f t="shared" si="35"/>
        <v>07.275.920/0001-61</v>
      </c>
      <c r="C2261" s="12"/>
      <c r="D2261" s="3" t="s">
        <v>8358</v>
      </c>
      <c r="E2261" s="3" t="s">
        <v>8358</v>
      </c>
      <c r="F2261" s="3" t="s">
        <v>20</v>
      </c>
      <c r="G2261" s="4">
        <v>38414</v>
      </c>
      <c r="H2261" s="3" t="s">
        <v>21</v>
      </c>
      <c r="I2261" s="3" t="s">
        <v>33</v>
      </c>
      <c r="J2261" s="5">
        <v>7650940400</v>
      </c>
      <c r="K2261" s="3">
        <v>2621300</v>
      </c>
      <c r="L2261" s="3" t="s">
        <v>4620</v>
      </c>
      <c r="M2261" s="3" t="s">
        <v>8355</v>
      </c>
      <c r="N2261" s="3">
        <v>200</v>
      </c>
      <c r="O2261" s="3" t="s">
        <v>8359</v>
      </c>
      <c r="P2261" s="3" t="s">
        <v>8357</v>
      </c>
      <c r="Q2261" s="3" t="s">
        <v>1235</v>
      </c>
      <c r="R2261" s="3" t="s">
        <v>28</v>
      </c>
      <c r="S2261" s="3">
        <v>13337200</v>
      </c>
      <c r="T2261" s="3">
        <v>1939325400</v>
      </c>
      <c r="U2261" s="3" t="s">
        <v>29</v>
      </c>
    </row>
    <row r="2262" spans="1:21" ht="13.2" x14ac:dyDescent="0.25">
      <c r="A2262" s="14">
        <v>63016513000100</v>
      </c>
      <c r="B2262" s="15" t="str">
        <f t="shared" si="35"/>
        <v>63.016.513/0001-00</v>
      </c>
      <c r="C2262" s="12"/>
      <c r="D2262" s="3" t="s">
        <v>8360</v>
      </c>
      <c r="E2262" s="3" t="s">
        <v>8361</v>
      </c>
      <c r="F2262" s="3" t="s">
        <v>20</v>
      </c>
      <c r="G2262" s="4">
        <v>25951</v>
      </c>
      <c r="H2262" s="3" t="s">
        <v>21</v>
      </c>
      <c r="I2262" s="3" t="s">
        <v>33</v>
      </c>
      <c r="J2262" s="5">
        <v>402000</v>
      </c>
      <c r="K2262" s="3">
        <v>4789099</v>
      </c>
      <c r="L2262" s="3" t="s">
        <v>774</v>
      </c>
      <c r="M2262" s="3" t="s">
        <v>8362</v>
      </c>
      <c r="N2262" s="3">
        <v>950</v>
      </c>
      <c r="P2262" s="3" t="s">
        <v>3838</v>
      </c>
      <c r="Q2262" s="3" t="s">
        <v>27</v>
      </c>
      <c r="R2262" s="3" t="s">
        <v>28</v>
      </c>
      <c r="S2262" s="3">
        <v>1127010</v>
      </c>
      <c r="T2262" s="3">
        <v>1133933636</v>
      </c>
      <c r="U2262" s="3" t="s">
        <v>29</v>
      </c>
    </row>
    <row r="2263" spans="1:21" ht="13.2" x14ac:dyDescent="0.25">
      <c r="A2263" s="14">
        <v>2917178000127</v>
      </c>
      <c r="B2263" s="15" t="str">
        <f t="shared" si="35"/>
        <v>02.917.178/0001-27</v>
      </c>
      <c r="C2263" s="12"/>
      <c r="D2263" s="3" t="s">
        <v>8363</v>
      </c>
      <c r="E2263" s="3" t="s">
        <v>8363</v>
      </c>
      <c r="F2263" s="3" t="s">
        <v>20</v>
      </c>
      <c r="G2263" s="4">
        <v>36166</v>
      </c>
      <c r="H2263" s="3" t="s">
        <v>21</v>
      </c>
      <c r="I2263" s="3" t="s">
        <v>33</v>
      </c>
      <c r="J2263" s="5">
        <v>7850908</v>
      </c>
      <c r="K2263" s="3">
        <v>2813500</v>
      </c>
      <c r="L2263" s="3" t="s">
        <v>1383</v>
      </c>
      <c r="M2263" s="3" t="s">
        <v>8364</v>
      </c>
      <c r="N2263" s="3">
        <v>521</v>
      </c>
      <c r="P2263" s="3" t="s">
        <v>1136</v>
      </c>
      <c r="Q2263" s="3" t="s">
        <v>253</v>
      </c>
      <c r="R2263" s="3" t="s">
        <v>78</v>
      </c>
      <c r="S2263" s="3">
        <v>22713460</v>
      </c>
      <c r="T2263" s="3">
        <v>2131955371</v>
      </c>
      <c r="U2263" s="3" t="s">
        <v>29</v>
      </c>
    </row>
    <row r="2264" spans="1:21" ht="13.2" x14ac:dyDescent="0.25">
      <c r="A2264" s="14">
        <v>22514197000110</v>
      </c>
      <c r="B2264" s="15" t="str">
        <f t="shared" si="35"/>
        <v>22.514.197/0001-10</v>
      </c>
      <c r="C2264" s="12"/>
      <c r="D2264" s="3" t="s">
        <v>8365</v>
      </c>
      <c r="E2264" s="3" t="s">
        <v>8366</v>
      </c>
      <c r="F2264" s="3" t="s">
        <v>20</v>
      </c>
      <c r="G2264" s="4">
        <v>42149</v>
      </c>
      <c r="H2264" s="3" t="s">
        <v>21</v>
      </c>
      <c r="I2264" s="3" t="s">
        <v>47</v>
      </c>
      <c r="J2264" s="5">
        <v>500000</v>
      </c>
      <c r="K2264" s="3">
        <v>7112000</v>
      </c>
      <c r="L2264" s="3" t="s">
        <v>276</v>
      </c>
      <c r="M2264" s="3" t="s">
        <v>8367</v>
      </c>
      <c r="N2264" s="3">
        <v>509</v>
      </c>
      <c r="P2264" s="3" t="s">
        <v>3628</v>
      </c>
      <c r="Q2264" s="3" t="s">
        <v>3056</v>
      </c>
      <c r="R2264" s="3" t="s">
        <v>28</v>
      </c>
      <c r="S2264" s="3">
        <v>18608034</v>
      </c>
      <c r="T2264" s="3">
        <v>1497563456</v>
      </c>
      <c r="U2264" s="3" t="s">
        <v>29</v>
      </c>
    </row>
    <row r="2265" spans="1:21" ht="13.2" x14ac:dyDescent="0.25">
      <c r="A2265" s="14">
        <v>15056433000136</v>
      </c>
      <c r="B2265" s="15" t="str">
        <f t="shared" si="35"/>
        <v>15.056.433/0001-36</v>
      </c>
      <c r="C2265" s="12"/>
      <c r="D2265" s="3" t="s">
        <v>8368</v>
      </c>
      <c r="E2265" s="3" t="s">
        <v>8368</v>
      </c>
      <c r="F2265" s="3" t="s">
        <v>31</v>
      </c>
      <c r="G2265" s="4">
        <v>40954</v>
      </c>
      <c r="H2265" s="3" t="s">
        <v>21</v>
      </c>
      <c r="I2265" s="3" t="s">
        <v>47</v>
      </c>
      <c r="J2265" s="5">
        <v>100000</v>
      </c>
      <c r="K2265" s="3">
        <v>8299799</v>
      </c>
      <c r="L2265" s="3" t="s">
        <v>532</v>
      </c>
      <c r="M2265" s="3" t="s">
        <v>1341</v>
      </c>
      <c r="N2265" s="3">
        <v>2905</v>
      </c>
      <c r="O2265" s="3" t="s">
        <v>8369</v>
      </c>
      <c r="P2265" s="3" t="s">
        <v>3599</v>
      </c>
      <c r="Q2265" s="3" t="s">
        <v>476</v>
      </c>
      <c r="R2265" s="3" t="s">
        <v>100</v>
      </c>
      <c r="S2265" s="3">
        <v>30110915</v>
      </c>
      <c r="T2265" s="3">
        <v>3133548899</v>
      </c>
      <c r="U2265" s="3" t="s">
        <v>29</v>
      </c>
    </row>
    <row r="2266" spans="1:21" ht="13.2" x14ac:dyDescent="0.25">
      <c r="A2266" s="14">
        <v>7789113000167</v>
      </c>
      <c r="B2266" s="15" t="str">
        <f t="shared" si="35"/>
        <v>07.789.113/0001-67</v>
      </c>
      <c r="C2266" s="12"/>
      <c r="D2266" s="3" t="s">
        <v>8370</v>
      </c>
      <c r="E2266" s="3" t="s">
        <v>8370</v>
      </c>
      <c r="F2266" s="3" t="s">
        <v>20</v>
      </c>
      <c r="G2266" s="4">
        <v>38727</v>
      </c>
      <c r="H2266" s="3" t="s">
        <v>21</v>
      </c>
      <c r="I2266" s="3" t="s">
        <v>33</v>
      </c>
      <c r="J2266" s="5">
        <v>1500000</v>
      </c>
      <c r="K2266" s="3">
        <v>4652400</v>
      </c>
      <c r="L2266" s="3" t="s">
        <v>1031</v>
      </c>
      <c r="M2266" s="3" t="s">
        <v>8371</v>
      </c>
      <c r="N2266" s="3">
        <v>205</v>
      </c>
      <c r="P2266" s="3" t="s">
        <v>65</v>
      </c>
      <c r="Q2266" s="3" t="s">
        <v>536</v>
      </c>
      <c r="R2266" s="3" t="s">
        <v>91</v>
      </c>
      <c r="S2266" s="3">
        <v>88101270</v>
      </c>
      <c r="T2266" s="3">
        <v>4832858402</v>
      </c>
      <c r="U2266" s="3" t="s">
        <v>29</v>
      </c>
    </row>
    <row r="2267" spans="1:21" ht="13.2" x14ac:dyDescent="0.25">
      <c r="A2267" s="14">
        <v>767378000115</v>
      </c>
      <c r="B2267" s="15" t="str">
        <f t="shared" si="35"/>
        <v>00.767.378/0001-15</v>
      </c>
      <c r="C2267" s="12"/>
      <c r="D2267" s="3" t="s">
        <v>8372</v>
      </c>
      <c r="E2267" s="3" t="s">
        <v>8372</v>
      </c>
      <c r="F2267" s="3" t="s">
        <v>20</v>
      </c>
      <c r="G2267" s="4">
        <v>34933</v>
      </c>
      <c r="H2267" s="3" t="s">
        <v>21</v>
      </c>
      <c r="I2267" s="3" t="s">
        <v>33</v>
      </c>
      <c r="J2267" s="5">
        <v>75408536</v>
      </c>
      <c r="K2267" s="3">
        <v>2622100</v>
      </c>
      <c r="L2267" s="3" t="s">
        <v>5714</v>
      </c>
      <c r="M2267" s="3" t="s">
        <v>8373</v>
      </c>
      <c r="N2267" s="3">
        <v>260</v>
      </c>
      <c r="O2267" s="3" t="s">
        <v>8374</v>
      </c>
      <c r="P2267" s="3" t="s">
        <v>8375</v>
      </c>
      <c r="Q2267" s="3" t="s">
        <v>2365</v>
      </c>
      <c r="R2267" s="3" t="s">
        <v>28</v>
      </c>
      <c r="S2267" s="3">
        <v>7776700</v>
      </c>
      <c r="T2267" s="3">
        <v>1130466200</v>
      </c>
      <c r="U2267" s="3" t="s">
        <v>29</v>
      </c>
    </row>
    <row r="2268" spans="1:21" ht="13.2" x14ac:dyDescent="0.25">
      <c r="A2268" s="14">
        <v>17205244000103</v>
      </c>
      <c r="B2268" s="15" t="str">
        <f t="shared" si="35"/>
        <v>17.205.244/0001-03</v>
      </c>
      <c r="C2268" s="12"/>
      <c r="D2268" s="3" t="s">
        <v>8376</v>
      </c>
      <c r="E2268" s="3" t="s">
        <v>8376</v>
      </c>
      <c r="F2268" s="3" t="s">
        <v>20</v>
      </c>
      <c r="G2268" s="4">
        <v>41218</v>
      </c>
      <c r="H2268" s="3" t="s">
        <v>21</v>
      </c>
      <c r="I2268" s="3" t="s">
        <v>33</v>
      </c>
      <c r="J2268" s="5">
        <v>7519619</v>
      </c>
      <c r="K2268" s="3">
        <v>4669901</v>
      </c>
      <c r="L2268" s="3" t="s">
        <v>1543</v>
      </c>
      <c r="M2268" s="3" t="s">
        <v>616</v>
      </c>
      <c r="N2268" s="3">
        <v>937</v>
      </c>
      <c r="O2268" s="3" t="s">
        <v>2743</v>
      </c>
      <c r="P2268" s="3" t="s">
        <v>616</v>
      </c>
      <c r="Q2268" s="3" t="s">
        <v>617</v>
      </c>
      <c r="R2268" s="3" t="s">
        <v>28</v>
      </c>
      <c r="S2268" s="3">
        <v>6460000</v>
      </c>
      <c r="T2268" s="3">
        <v>1133764600</v>
      </c>
      <c r="U2268" s="3" t="s">
        <v>29</v>
      </c>
    </row>
    <row r="2269" spans="1:21" ht="13.2" x14ac:dyDescent="0.25">
      <c r="A2269" s="14">
        <v>1172656000154</v>
      </c>
      <c r="B2269" s="15" t="str">
        <f t="shared" si="35"/>
        <v>01.172.656/0001-54</v>
      </c>
      <c r="C2269" s="12"/>
      <c r="D2269" s="3" t="s">
        <v>8377</v>
      </c>
      <c r="E2269" s="3" t="s">
        <v>8377</v>
      </c>
      <c r="F2269" s="3" t="s">
        <v>20</v>
      </c>
      <c r="G2269" s="4">
        <v>35180</v>
      </c>
      <c r="H2269" s="3" t="s">
        <v>21</v>
      </c>
      <c r="I2269" s="3" t="s">
        <v>33</v>
      </c>
      <c r="J2269" s="5">
        <v>44688908</v>
      </c>
      <c r="K2269" s="3">
        <v>990403</v>
      </c>
      <c r="L2269" s="3" t="s">
        <v>8378</v>
      </c>
      <c r="M2269" s="3" t="s">
        <v>8379</v>
      </c>
      <c r="N2269" s="3">
        <v>3301</v>
      </c>
      <c r="O2269" s="3" t="s">
        <v>721</v>
      </c>
      <c r="P2269" s="3" t="s">
        <v>70</v>
      </c>
      <c r="Q2269" s="3" t="s">
        <v>3420</v>
      </c>
      <c r="R2269" s="3" t="s">
        <v>100</v>
      </c>
      <c r="S2269" s="3">
        <v>33350000</v>
      </c>
      <c r="T2269" s="3">
        <v>2120042188</v>
      </c>
      <c r="U2269" s="3" t="s">
        <v>29</v>
      </c>
    </row>
    <row r="2270" spans="1:21" ht="13.2" x14ac:dyDescent="0.25">
      <c r="A2270" s="14">
        <v>26246213000191</v>
      </c>
      <c r="B2270" s="15" t="str">
        <f t="shared" si="35"/>
        <v>26.246.213/0001-91</v>
      </c>
      <c r="C2270" s="12"/>
      <c r="D2270" s="3" t="s">
        <v>8380</v>
      </c>
      <c r="E2270" s="3" t="s">
        <v>8380</v>
      </c>
      <c r="F2270" s="3" t="s">
        <v>20</v>
      </c>
      <c r="G2270" s="4">
        <v>42640</v>
      </c>
      <c r="H2270" s="3" t="s">
        <v>21</v>
      </c>
      <c r="I2270" s="3" t="s">
        <v>33</v>
      </c>
      <c r="J2270" s="5">
        <v>1755209</v>
      </c>
      <c r="K2270" s="3">
        <v>4669999</v>
      </c>
      <c r="L2270" s="3" t="s">
        <v>558</v>
      </c>
      <c r="M2270" s="3" t="s">
        <v>8381</v>
      </c>
      <c r="N2270" s="3">
        <v>100</v>
      </c>
      <c r="O2270" s="3" t="s">
        <v>8382</v>
      </c>
      <c r="P2270" s="3" t="s">
        <v>8383</v>
      </c>
      <c r="Q2270" s="3" t="s">
        <v>357</v>
      </c>
      <c r="R2270" s="3" t="s">
        <v>28</v>
      </c>
      <c r="S2270" s="3">
        <v>7263190</v>
      </c>
      <c r="T2270" s="3">
        <v>1122817879</v>
      </c>
      <c r="U2270" s="3" t="s">
        <v>29</v>
      </c>
    </row>
    <row r="2271" spans="1:21" ht="13.2" x14ac:dyDescent="0.25">
      <c r="A2271" s="14">
        <v>61230314000175</v>
      </c>
      <c r="B2271" s="15" t="str">
        <f t="shared" si="35"/>
        <v>61.230.314/0001-75</v>
      </c>
      <c r="C2271" s="12"/>
      <c r="D2271" s="3" t="s">
        <v>8384</v>
      </c>
      <c r="E2271" s="3" t="s">
        <v>8385</v>
      </c>
      <c r="F2271" s="3" t="s">
        <v>20</v>
      </c>
      <c r="G2271" s="4">
        <v>24302</v>
      </c>
      <c r="H2271" s="3" t="s">
        <v>21</v>
      </c>
      <c r="I2271" s="3" t="s">
        <v>33</v>
      </c>
      <c r="J2271" s="5">
        <v>1391556000</v>
      </c>
      <c r="K2271" s="3">
        <v>2121101</v>
      </c>
      <c r="L2271" s="3" t="s">
        <v>233</v>
      </c>
      <c r="M2271" s="3" t="s">
        <v>1181</v>
      </c>
      <c r="N2271" s="3">
        <v>2219</v>
      </c>
      <c r="O2271" s="3" t="s">
        <v>8386</v>
      </c>
      <c r="P2271" s="3" t="s">
        <v>137</v>
      </c>
      <c r="Q2271" s="3" t="s">
        <v>27</v>
      </c>
      <c r="R2271" s="3" t="s">
        <v>28</v>
      </c>
      <c r="S2271" s="3">
        <v>5036040</v>
      </c>
      <c r="T2271" s="3">
        <v>1141783966</v>
      </c>
      <c r="U2271" s="3" t="s">
        <v>29</v>
      </c>
    </row>
    <row r="2272" spans="1:21" ht="13.2" x14ac:dyDescent="0.25">
      <c r="A2272" s="14">
        <v>11692564000159</v>
      </c>
      <c r="B2272" s="15" t="str">
        <f t="shared" si="35"/>
        <v>11.692.564/0001-59</v>
      </c>
      <c r="C2272" s="12"/>
      <c r="D2272" s="3" t="s">
        <v>8387</v>
      </c>
      <c r="E2272" s="3" t="s">
        <v>8387</v>
      </c>
      <c r="F2272" s="3" t="s">
        <v>20</v>
      </c>
      <c r="G2272" s="4">
        <v>40177</v>
      </c>
      <c r="H2272" s="3" t="s">
        <v>21</v>
      </c>
      <c r="I2272" s="3" t="s">
        <v>33</v>
      </c>
      <c r="J2272" s="5">
        <v>300000</v>
      </c>
      <c r="K2272" s="3">
        <v>8299799</v>
      </c>
      <c r="L2272" s="3" t="s">
        <v>532</v>
      </c>
      <c r="M2272" s="3" t="s">
        <v>8388</v>
      </c>
      <c r="N2272" s="3">
        <v>4505</v>
      </c>
      <c r="O2272" s="3" t="s">
        <v>8389</v>
      </c>
      <c r="P2272" s="3" t="s">
        <v>8390</v>
      </c>
      <c r="Q2272" s="3" t="s">
        <v>37</v>
      </c>
      <c r="R2272" s="3" t="s">
        <v>28</v>
      </c>
      <c r="S2272" s="3">
        <v>13478830</v>
      </c>
      <c r="T2272" s="3">
        <v>1934686889</v>
      </c>
      <c r="U2272" s="3" t="s">
        <v>29</v>
      </c>
    </row>
    <row r="2273" spans="1:21" ht="13.2" x14ac:dyDescent="0.25">
      <c r="A2273" s="14">
        <v>12137163000108</v>
      </c>
      <c r="B2273" s="15" t="str">
        <f t="shared" si="35"/>
        <v>12.137.163/0001-08</v>
      </c>
      <c r="C2273" s="12"/>
      <c r="D2273" s="3" t="s">
        <v>8391</v>
      </c>
      <c r="E2273" s="3" t="s">
        <v>8392</v>
      </c>
      <c r="F2273" s="3" t="s">
        <v>20</v>
      </c>
      <c r="G2273" s="4">
        <v>40358</v>
      </c>
      <c r="H2273" s="3" t="s">
        <v>21</v>
      </c>
      <c r="I2273" s="3" t="s">
        <v>22</v>
      </c>
      <c r="J2273" s="5">
        <v>800000</v>
      </c>
      <c r="K2273" s="3">
        <v>4120400</v>
      </c>
      <c r="L2273" s="3" t="s">
        <v>87</v>
      </c>
      <c r="M2273" s="3" t="s">
        <v>8393</v>
      </c>
      <c r="N2273" s="3">
        <v>219</v>
      </c>
      <c r="O2273" s="3" t="s">
        <v>8394</v>
      </c>
      <c r="P2273" s="3" t="s">
        <v>8395</v>
      </c>
      <c r="Q2273" s="3" t="s">
        <v>273</v>
      </c>
      <c r="R2273" s="3" t="s">
        <v>274</v>
      </c>
      <c r="S2273" s="3">
        <v>74843610</v>
      </c>
      <c r="T2273" s="3">
        <v>6292533664</v>
      </c>
      <c r="U2273" s="3" t="s">
        <v>29</v>
      </c>
    </row>
    <row r="2274" spans="1:21" ht="13.2" x14ac:dyDescent="0.25">
      <c r="A2274" s="14">
        <v>75274316000170</v>
      </c>
      <c r="B2274" s="15" t="str">
        <f t="shared" si="35"/>
        <v>75.274.316/0001-70</v>
      </c>
      <c r="C2274" s="12"/>
      <c r="D2274" s="3" t="s">
        <v>8396</v>
      </c>
      <c r="E2274" s="3" t="s">
        <v>8397</v>
      </c>
      <c r="F2274" s="3" t="s">
        <v>20</v>
      </c>
      <c r="G2274" s="4">
        <v>29388</v>
      </c>
      <c r="H2274" s="3" t="s">
        <v>94</v>
      </c>
      <c r="I2274" s="3" t="s">
        <v>33</v>
      </c>
      <c r="J2274" s="5">
        <v>272513000</v>
      </c>
      <c r="K2274" s="3">
        <v>2930101</v>
      </c>
      <c r="L2274" s="3" t="s">
        <v>856</v>
      </c>
      <c r="M2274" s="3" t="s">
        <v>8398</v>
      </c>
      <c r="N2274" s="3" t="s">
        <v>82</v>
      </c>
      <c r="O2274" s="3" t="s">
        <v>8399</v>
      </c>
      <c r="P2274" s="3" t="s">
        <v>8400</v>
      </c>
      <c r="Q2274" s="3" t="s">
        <v>4379</v>
      </c>
      <c r="R2274" s="3" t="s">
        <v>91</v>
      </c>
      <c r="S2274" s="3">
        <v>88820000</v>
      </c>
      <c r="T2274" s="3">
        <v>4834672200</v>
      </c>
      <c r="U2274" s="3" t="s">
        <v>29</v>
      </c>
    </row>
    <row r="2275" spans="1:21" ht="13.2" x14ac:dyDescent="0.25">
      <c r="A2275" s="14">
        <v>12477490000109</v>
      </c>
      <c r="B2275" s="15" t="str">
        <f t="shared" si="35"/>
        <v>12.477.490/0001-09</v>
      </c>
      <c r="C2275" s="12"/>
      <c r="D2275" s="3" t="s">
        <v>8401</v>
      </c>
      <c r="E2275" s="3" t="s">
        <v>8401</v>
      </c>
      <c r="F2275" s="3" t="s">
        <v>20</v>
      </c>
      <c r="G2275" s="4">
        <v>40423</v>
      </c>
      <c r="H2275" s="3" t="s">
        <v>21</v>
      </c>
      <c r="I2275" s="3" t="s">
        <v>33</v>
      </c>
      <c r="J2275" s="5">
        <v>2000000</v>
      </c>
      <c r="K2275" s="3">
        <v>4651601</v>
      </c>
      <c r="L2275" s="3" t="s">
        <v>684</v>
      </c>
      <c r="M2275" s="3" t="s">
        <v>8402</v>
      </c>
      <c r="N2275" s="3">
        <v>1079</v>
      </c>
      <c r="O2275" s="3" t="s">
        <v>8403</v>
      </c>
      <c r="P2275" s="3" t="s">
        <v>8404</v>
      </c>
      <c r="Q2275" s="3" t="s">
        <v>4396</v>
      </c>
      <c r="R2275" s="3" t="s">
        <v>100</v>
      </c>
      <c r="S2275" s="3">
        <v>39401832</v>
      </c>
      <c r="T2275" s="3">
        <v>3832142111</v>
      </c>
      <c r="U2275" s="3" t="s">
        <v>29</v>
      </c>
    </row>
    <row r="2276" spans="1:21" ht="13.2" x14ac:dyDescent="0.25">
      <c r="A2276" s="14">
        <v>482840000138</v>
      </c>
      <c r="B2276" s="15" t="str">
        <f t="shared" si="35"/>
        <v>00.482.840/0001-38</v>
      </c>
      <c r="C2276" s="12"/>
      <c r="D2276" s="3" t="s">
        <v>8405</v>
      </c>
      <c r="E2276" s="3" t="s">
        <v>8406</v>
      </c>
      <c r="F2276" s="3" t="s">
        <v>20</v>
      </c>
      <c r="G2276" s="4">
        <v>34773</v>
      </c>
      <c r="H2276" s="3" t="s">
        <v>21</v>
      </c>
      <c r="I2276" s="3" t="s">
        <v>33</v>
      </c>
      <c r="J2276" s="5">
        <v>62000000</v>
      </c>
      <c r="K2276" s="3">
        <v>8121400</v>
      </c>
      <c r="L2276" s="3" t="s">
        <v>494</v>
      </c>
      <c r="M2276" s="3" t="s">
        <v>8407</v>
      </c>
      <c r="N2276" s="3">
        <v>775</v>
      </c>
      <c r="P2276" s="3" t="s">
        <v>8408</v>
      </c>
      <c r="Q2276" s="3" t="s">
        <v>536</v>
      </c>
      <c r="R2276" s="3" t="s">
        <v>91</v>
      </c>
      <c r="S2276" s="3">
        <v>88111510</v>
      </c>
      <c r="T2276" s="3">
        <v>4837333100</v>
      </c>
      <c r="U2276" s="3" t="s">
        <v>29</v>
      </c>
    </row>
    <row r="2277" spans="1:21" ht="13.2" x14ac:dyDescent="0.25">
      <c r="A2277" s="14">
        <v>63067904000154</v>
      </c>
      <c r="B2277" s="15" t="str">
        <f t="shared" si="35"/>
        <v>63.067.904/0001-54</v>
      </c>
      <c r="C2277" s="12"/>
      <c r="D2277" s="3" t="s">
        <v>8409</v>
      </c>
      <c r="E2277" s="3" t="s">
        <v>8410</v>
      </c>
      <c r="F2277" s="3" t="s">
        <v>20</v>
      </c>
      <c r="G2277" s="4">
        <v>26037</v>
      </c>
      <c r="H2277" s="3" t="s">
        <v>21</v>
      </c>
      <c r="I2277" s="3" t="s">
        <v>33</v>
      </c>
      <c r="J2277" s="5">
        <v>59374530</v>
      </c>
      <c r="K2277" s="3">
        <v>4645101</v>
      </c>
      <c r="L2277" s="3" t="s">
        <v>135</v>
      </c>
      <c r="M2277" s="3" t="s">
        <v>616</v>
      </c>
      <c r="N2277" s="3">
        <v>1180</v>
      </c>
      <c r="O2277" s="3" t="s">
        <v>8411</v>
      </c>
      <c r="P2277" s="3" t="s">
        <v>616</v>
      </c>
      <c r="Q2277" s="3" t="s">
        <v>617</v>
      </c>
      <c r="R2277" s="3" t="s">
        <v>28</v>
      </c>
      <c r="S2277" s="3">
        <v>6460000</v>
      </c>
      <c r="T2277" s="3">
        <v>1150709711</v>
      </c>
      <c r="U2277" s="3" t="s">
        <v>29</v>
      </c>
    </row>
    <row r="2278" spans="1:21" ht="13.2" x14ac:dyDescent="0.25">
      <c r="A2278" s="14">
        <v>7108742000184</v>
      </c>
      <c r="B2278" s="15" t="str">
        <f t="shared" si="35"/>
        <v>07.108.742/0001-84</v>
      </c>
      <c r="C2278" s="12"/>
      <c r="D2278" s="3" t="s">
        <v>8412</v>
      </c>
      <c r="E2278" s="3" t="s">
        <v>8413</v>
      </c>
      <c r="F2278" s="3" t="s">
        <v>20</v>
      </c>
      <c r="G2278" s="4">
        <v>38314</v>
      </c>
      <c r="H2278" s="3" t="s">
        <v>21</v>
      </c>
      <c r="I2278" s="3" t="s">
        <v>33</v>
      </c>
      <c r="J2278" s="5">
        <v>0</v>
      </c>
      <c r="K2278" s="3">
        <v>4645101</v>
      </c>
      <c r="L2278" s="3" t="s">
        <v>135</v>
      </c>
      <c r="M2278" s="3" t="s">
        <v>8414</v>
      </c>
      <c r="N2278" s="3">
        <v>818</v>
      </c>
      <c r="P2278" s="3" t="s">
        <v>2207</v>
      </c>
      <c r="Q2278" s="3" t="s">
        <v>437</v>
      </c>
      <c r="R2278" s="3" t="s">
        <v>53</v>
      </c>
      <c r="S2278" s="3">
        <v>90650090</v>
      </c>
      <c r="T2278" s="3">
        <v>5132194026</v>
      </c>
      <c r="U2278" s="3" t="s">
        <v>29</v>
      </c>
    </row>
    <row r="2279" spans="1:21" ht="13.2" x14ac:dyDescent="0.25">
      <c r="A2279" s="14">
        <v>2357251000153</v>
      </c>
      <c r="B2279" s="15" t="str">
        <f t="shared" si="35"/>
        <v>02.357.251/0001-53</v>
      </c>
      <c r="C2279" s="12" t="str">
        <f>VLOOKUP(B2279,[1]Planilha1!$A:$B,2,0)</f>
        <v>Malu Montesino</v>
      </c>
      <c r="D2279" s="3" t="s">
        <v>8415</v>
      </c>
      <c r="E2279" s="3" t="s">
        <v>8415</v>
      </c>
      <c r="F2279" s="3" t="s">
        <v>20</v>
      </c>
      <c r="G2279" s="4">
        <v>35837</v>
      </c>
      <c r="H2279" s="3" t="s">
        <v>377</v>
      </c>
      <c r="I2279" s="3" t="s">
        <v>33</v>
      </c>
      <c r="J2279" s="5">
        <v>73435890</v>
      </c>
      <c r="K2279" s="3">
        <v>3250701</v>
      </c>
      <c r="L2279" s="3" t="s">
        <v>2195</v>
      </c>
      <c r="M2279" s="3" t="s">
        <v>8416</v>
      </c>
      <c r="N2279" s="3" t="s">
        <v>8417</v>
      </c>
      <c r="P2279" s="3" t="s">
        <v>8418</v>
      </c>
      <c r="Q2279" s="3" t="s">
        <v>3482</v>
      </c>
      <c r="R2279" s="3" t="s">
        <v>53</v>
      </c>
      <c r="S2279" s="3">
        <v>96050080</v>
      </c>
      <c r="T2279" s="3">
        <v>5332733232</v>
      </c>
      <c r="U2279" s="3" t="s">
        <v>29</v>
      </c>
    </row>
    <row r="2280" spans="1:21" ht="13.2" x14ac:dyDescent="0.25">
      <c r="A2280" s="14">
        <v>11668411000176</v>
      </c>
      <c r="B2280" s="15" t="str">
        <f t="shared" si="35"/>
        <v>11.668.411/0001-76</v>
      </c>
      <c r="C2280" s="12"/>
      <c r="D2280" s="3" t="s">
        <v>8419</v>
      </c>
      <c r="E2280" s="3" t="s">
        <v>8420</v>
      </c>
      <c r="F2280" s="3" t="s">
        <v>20</v>
      </c>
      <c r="G2280" s="4">
        <v>40248</v>
      </c>
      <c r="H2280" s="3" t="s">
        <v>21</v>
      </c>
      <c r="I2280" s="3" t="s">
        <v>33</v>
      </c>
      <c r="J2280" s="5">
        <v>400000</v>
      </c>
      <c r="K2280" s="3">
        <v>4645101</v>
      </c>
      <c r="L2280" s="3" t="s">
        <v>135</v>
      </c>
      <c r="M2280" s="3" t="s">
        <v>8421</v>
      </c>
      <c r="N2280" s="3" t="s">
        <v>82</v>
      </c>
      <c r="O2280" s="3" t="s">
        <v>8422</v>
      </c>
      <c r="P2280" s="3" t="s">
        <v>8423</v>
      </c>
      <c r="Q2280" s="3" t="s">
        <v>631</v>
      </c>
      <c r="R2280" s="3" t="s">
        <v>632</v>
      </c>
      <c r="S2280" s="3">
        <v>71200038</v>
      </c>
      <c r="T2280" s="3">
        <v>6135734444</v>
      </c>
      <c r="U2280" s="3" t="s">
        <v>29</v>
      </c>
    </row>
    <row r="2281" spans="1:21" ht="13.2" x14ac:dyDescent="0.25">
      <c r="A2281" s="14">
        <v>14491689000109</v>
      </c>
      <c r="B2281" s="15" t="str">
        <f t="shared" si="35"/>
        <v>14.491.689/0001-09</v>
      </c>
      <c r="C2281" s="12"/>
      <c r="D2281" s="3" t="s">
        <v>8424</v>
      </c>
      <c r="E2281" s="3" t="s">
        <v>8424</v>
      </c>
      <c r="F2281" s="3" t="s">
        <v>20</v>
      </c>
      <c r="G2281" s="4">
        <v>40829</v>
      </c>
      <c r="H2281" s="3" t="s">
        <v>21</v>
      </c>
      <c r="I2281" s="3" t="s">
        <v>22</v>
      </c>
      <c r="J2281" s="5">
        <v>150000</v>
      </c>
      <c r="K2281" s="3">
        <v>4686902</v>
      </c>
      <c r="L2281" s="3" t="s">
        <v>2027</v>
      </c>
      <c r="M2281" s="3" t="s">
        <v>8425</v>
      </c>
      <c r="N2281" s="3">
        <v>846</v>
      </c>
      <c r="O2281" s="3" t="s">
        <v>8426</v>
      </c>
      <c r="P2281" s="3" t="s">
        <v>2207</v>
      </c>
      <c r="Q2281" s="3" t="s">
        <v>2822</v>
      </c>
      <c r="R2281" s="3" t="s">
        <v>28</v>
      </c>
      <c r="S2281" s="3">
        <v>12212100</v>
      </c>
      <c r="T2281" s="3">
        <v>1239123940</v>
      </c>
      <c r="U2281" s="3" t="s">
        <v>29</v>
      </c>
    </row>
    <row r="2282" spans="1:21" ht="13.2" x14ac:dyDescent="0.25">
      <c r="A2282" s="14">
        <v>4368865000166</v>
      </c>
      <c r="B2282" s="15" t="str">
        <f t="shared" si="35"/>
        <v>04.368.865/0001-66</v>
      </c>
      <c r="C2282" s="12"/>
      <c r="D2282" s="3" t="s">
        <v>8427</v>
      </c>
      <c r="E2282" s="3" t="s">
        <v>8428</v>
      </c>
      <c r="F2282" s="3" t="s">
        <v>20</v>
      </c>
      <c r="G2282" s="4">
        <v>36985</v>
      </c>
      <c r="H2282" s="3" t="s">
        <v>94</v>
      </c>
      <c r="I2282" s="3" t="s">
        <v>33</v>
      </c>
      <c r="J2282" s="5">
        <v>1057131100</v>
      </c>
      <c r="K2282" s="3">
        <v>6110803</v>
      </c>
      <c r="L2282" s="3" t="s">
        <v>339</v>
      </c>
      <c r="M2282" s="3" t="s">
        <v>8429</v>
      </c>
      <c r="N2282" s="3">
        <v>1001</v>
      </c>
      <c r="O2282" s="3" t="s">
        <v>8430</v>
      </c>
      <c r="P2282" s="3" t="s">
        <v>8431</v>
      </c>
      <c r="Q2282" s="3" t="s">
        <v>204</v>
      </c>
      <c r="R2282" s="3" t="s">
        <v>187</v>
      </c>
      <c r="S2282" s="3">
        <v>80420011</v>
      </c>
      <c r="T2282" s="3">
        <v>4133187722</v>
      </c>
      <c r="U2282" s="3" t="s">
        <v>29</v>
      </c>
    </row>
    <row r="2283" spans="1:21" ht="13.2" x14ac:dyDescent="0.25">
      <c r="A2283" s="14">
        <v>60444437000146</v>
      </c>
      <c r="B2283" s="15" t="str">
        <f t="shared" si="35"/>
        <v>60.444.437/0001-46</v>
      </c>
      <c r="C2283" s="12"/>
      <c r="D2283" s="3" t="s">
        <v>8432</v>
      </c>
      <c r="E2283" s="3" t="s">
        <v>8432</v>
      </c>
      <c r="F2283" s="3" t="s">
        <v>20</v>
      </c>
      <c r="G2283" s="4">
        <v>24380</v>
      </c>
      <c r="H2283" s="3" t="s">
        <v>377</v>
      </c>
      <c r="I2283" s="3" t="s">
        <v>33</v>
      </c>
      <c r="J2283" s="5">
        <v>8169212400</v>
      </c>
      <c r="K2283" s="3">
        <v>3514000</v>
      </c>
      <c r="L2283" s="3" t="s">
        <v>3329</v>
      </c>
      <c r="M2283" s="3" t="s">
        <v>2149</v>
      </c>
      <c r="N2283" s="3">
        <v>168</v>
      </c>
      <c r="P2283" s="3" t="s">
        <v>70</v>
      </c>
      <c r="Q2283" s="3" t="s">
        <v>253</v>
      </c>
      <c r="R2283" s="3" t="s">
        <v>78</v>
      </c>
      <c r="S2283" s="3">
        <v>20080002</v>
      </c>
      <c r="U2283" s="3" t="s">
        <v>29</v>
      </c>
    </row>
    <row r="2284" spans="1:21" ht="13.2" x14ac:dyDescent="0.25">
      <c r="A2284" s="14">
        <v>51775690000191</v>
      </c>
      <c r="B2284" s="15" t="str">
        <f t="shared" si="35"/>
        <v>51.775.690/0001-91</v>
      </c>
      <c r="C2284" s="12"/>
      <c r="D2284" s="3" t="s">
        <v>8433</v>
      </c>
      <c r="E2284" s="3" t="s">
        <v>8433</v>
      </c>
      <c r="F2284" s="3" t="s">
        <v>20</v>
      </c>
      <c r="G2284" s="4">
        <v>25503</v>
      </c>
      <c r="H2284" s="3" t="s">
        <v>94</v>
      </c>
      <c r="I2284" s="3" t="s">
        <v>33</v>
      </c>
      <c r="J2284" s="5">
        <v>149120000</v>
      </c>
      <c r="K2284" s="3">
        <v>2733300</v>
      </c>
      <c r="L2284" s="3" t="s">
        <v>2719</v>
      </c>
      <c r="M2284" s="3" t="s">
        <v>8434</v>
      </c>
      <c r="N2284" s="3">
        <v>820</v>
      </c>
      <c r="P2284" s="3" t="s">
        <v>2254</v>
      </c>
      <c r="Q2284" s="3" t="s">
        <v>204</v>
      </c>
      <c r="R2284" s="3" t="s">
        <v>187</v>
      </c>
      <c r="S2284" s="3">
        <v>81460120</v>
      </c>
      <c r="T2284" s="3">
        <v>4133414023</v>
      </c>
      <c r="U2284" s="3" t="s">
        <v>29</v>
      </c>
    </row>
    <row r="2285" spans="1:21" ht="13.2" x14ac:dyDescent="0.25">
      <c r="A2285" s="14">
        <v>47084015000149</v>
      </c>
      <c r="B2285" s="15" t="str">
        <f t="shared" si="35"/>
        <v>47.084.015/0001-49</v>
      </c>
      <c r="C2285" s="12"/>
      <c r="D2285" s="3" t="s">
        <v>8435</v>
      </c>
      <c r="E2285" s="3" t="s">
        <v>8436</v>
      </c>
      <c r="F2285" s="3" t="s">
        <v>20</v>
      </c>
      <c r="G2285" s="4">
        <v>44750</v>
      </c>
      <c r="H2285" s="3" t="s">
        <v>21</v>
      </c>
      <c r="I2285" s="3" t="s">
        <v>47</v>
      </c>
      <c r="J2285" s="5">
        <v>5000000</v>
      </c>
      <c r="K2285" s="3">
        <v>6110803</v>
      </c>
      <c r="L2285" s="3" t="s">
        <v>339</v>
      </c>
      <c r="M2285" s="3" t="s">
        <v>8437</v>
      </c>
      <c r="N2285" s="3" t="s">
        <v>82</v>
      </c>
      <c r="P2285" s="3" t="s">
        <v>8438</v>
      </c>
      <c r="Q2285" s="3" t="s">
        <v>631</v>
      </c>
      <c r="R2285" s="3" t="s">
        <v>632</v>
      </c>
      <c r="S2285" s="3">
        <v>72225171</v>
      </c>
      <c r="T2285" s="3">
        <v>6796199690</v>
      </c>
      <c r="U2285" s="3" t="s">
        <v>29</v>
      </c>
    </row>
    <row r="2286" spans="1:21" ht="13.2" x14ac:dyDescent="0.25">
      <c r="A2286" s="14">
        <v>20204491000108</v>
      </c>
      <c r="B2286" s="15" t="str">
        <f t="shared" si="35"/>
        <v>20.204.491/0001-08</v>
      </c>
      <c r="C2286" s="12"/>
      <c r="D2286" s="3" t="s">
        <v>8439</v>
      </c>
      <c r="E2286" s="3" t="s">
        <v>8439</v>
      </c>
      <c r="F2286" s="3" t="s">
        <v>20</v>
      </c>
      <c r="G2286" s="4">
        <v>29192</v>
      </c>
      <c r="H2286" s="3" t="s">
        <v>21</v>
      </c>
      <c r="I2286" s="3" t="s">
        <v>47</v>
      </c>
      <c r="J2286" s="5">
        <v>250000</v>
      </c>
      <c r="K2286" s="3">
        <v>8211300</v>
      </c>
      <c r="L2286" s="3" t="s">
        <v>166</v>
      </c>
      <c r="M2286" s="3" t="s">
        <v>8440</v>
      </c>
      <c r="N2286" s="3">
        <v>10</v>
      </c>
      <c r="O2286" s="3" t="s">
        <v>8441</v>
      </c>
      <c r="P2286" s="3" t="s">
        <v>8442</v>
      </c>
      <c r="Q2286" s="3" t="s">
        <v>631</v>
      </c>
      <c r="R2286" s="3" t="s">
        <v>632</v>
      </c>
      <c r="S2286" s="3">
        <v>71926000</v>
      </c>
      <c r="T2286" s="3">
        <v>6185163038</v>
      </c>
      <c r="U2286" s="3" t="s">
        <v>29</v>
      </c>
    </row>
    <row r="2287" spans="1:21" ht="13.2" x14ac:dyDescent="0.25">
      <c r="A2287" s="14">
        <v>37968533000171</v>
      </c>
      <c r="B2287" s="15" t="str">
        <f t="shared" si="35"/>
        <v>37.968.533/0001-71</v>
      </c>
      <c r="C2287" s="12"/>
      <c r="D2287" s="3" t="s">
        <v>8443</v>
      </c>
      <c r="E2287" s="3" t="s">
        <v>8444</v>
      </c>
      <c r="F2287" s="3" t="s">
        <v>20</v>
      </c>
      <c r="G2287" s="4">
        <v>44047</v>
      </c>
      <c r="H2287" s="3" t="s">
        <v>21</v>
      </c>
      <c r="I2287" s="3" t="s">
        <v>47</v>
      </c>
      <c r="J2287" s="5">
        <v>5000</v>
      </c>
      <c r="K2287" s="3">
        <v>7490104</v>
      </c>
      <c r="L2287" s="3" t="s">
        <v>1597</v>
      </c>
      <c r="M2287" s="3" t="s">
        <v>8445</v>
      </c>
      <c r="N2287" s="3">
        <v>113</v>
      </c>
      <c r="P2287" s="3" t="s">
        <v>8446</v>
      </c>
      <c r="Q2287" s="3" t="s">
        <v>1846</v>
      </c>
      <c r="R2287" s="3" t="s">
        <v>1847</v>
      </c>
      <c r="S2287" s="3">
        <v>57043475</v>
      </c>
      <c r="T2287" s="3">
        <v>8233132309</v>
      </c>
      <c r="U2287" s="3" t="s">
        <v>29</v>
      </c>
    </row>
    <row r="2288" spans="1:21" ht="13.2" x14ac:dyDescent="0.25">
      <c r="A2288" s="14">
        <v>36086277000126</v>
      </c>
      <c r="B2288" s="15" t="str">
        <f t="shared" si="35"/>
        <v>36.086.277/0001-26</v>
      </c>
      <c r="C2288" s="12"/>
      <c r="D2288" s="3" t="s">
        <v>8447</v>
      </c>
      <c r="E2288" s="3" t="s">
        <v>8448</v>
      </c>
      <c r="F2288" s="3" t="s">
        <v>45</v>
      </c>
      <c r="G2288" s="4">
        <v>43851</v>
      </c>
      <c r="H2288" s="3" t="s">
        <v>21</v>
      </c>
      <c r="I2288" s="3" t="s">
        <v>47</v>
      </c>
      <c r="J2288" s="5">
        <v>25000</v>
      </c>
      <c r="K2288" s="3">
        <v>4789005</v>
      </c>
      <c r="L2288" s="3" t="s">
        <v>2831</v>
      </c>
      <c r="M2288" s="3" t="s">
        <v>8449</v>
      </c>
      <c r="N2288" s="3">
        <v>302</v>
      </c>
      <c r="P2288" s="3" t="s">
        <v>8450</v>
      </c>
      <c r="Q2288" s="3" t="s">
        <v>423</v>
      </c>
      <c r="R2288" s="3" t="s">
        <v>91</v>
      </c>
      <c r="S2288" s="3">
        <v>89231750</v>
      </c>
      <c r="T2288" s="3">
        <v>4730311205</v>
      </c>
      <c r="U2288" s="3" t="s">
        <v>29</v>
      </c>
    </row>
    <row r="2289" spans="1:21" ht="13.2" x14ac:dyDescent="0.25">
      <c r="A2289" s="14">
        <v>3825354000163</v>
      </c>
      <c r="B2289" s="15" t="str">
        <f t="shared" si="35"/>
        <v>03.825.354/0001-63</v>
      </c>
      <c r="C2289" s="12"/>
      <c r="D2289" s="3" t="s">
        <v>8451</v>
      </c>
      <c r="E2289" s="3" t="s">
        <v>8452</v>
      </c>
      <c r="F2289" s="3" t="s">
        <v>20</v>
      </c>
      <c r="G2289" s="4">
        <v>36668</v>
      </c>
      <c r="H2289" s="3" t="s">
        <v>21</v>
      </c>
      <c r="I2289" s="3" t="s">
        <v>22</v>
      </c>
      <c r="J2289" s="5">
        <v>600000</v>
      </c>
      <c r="K2289" s="3">
        <v>3811400</v>
      </c>
      <c r="L2289" s="3" t="s">
        <v>1243</v>
      </c>
      <c r="M2289" s="3" t="s">
        <v>8453</v>
      </c>
      <c r="N2289" s="3">
        <v>1404</v>
      </c>
      <c r="P2289" s="3" t="s">
        <v>8454</v>
      </c>
      <c r="Q2289" s="3" t="s">
        <v>8455</v>
      </c>
      <c r="R2289" s="3" t="s">
        <v>301</v>
      </c>
      <c r="S2289" s="3">
        <v>61760000</v>
      </c>
      <c r="T2289" s="3">
        <v>8532609140</v>
      </c>
      <c r="U2289" s="3" t="s">
        <v>29</v>
      </c>
    </row>
    <row r="2290" spans="1:21" ht="13.2" x14ac:dyDescent="0.25">
      <c r="A2290" s="14">
        <v>35429382000158</v>
      </c>
      <c r="B2290" s="15" t="str">
        <f t="shared" si="35"/>
        <v>35.429.382/0001-58</v>
      </c>
      <c r="C2290" s="12"/>
      <c r="D2290" s="3" t="s">
        <v>8456</v>
      </c>
      <c r="E2290" s="3" t="s">
        <v>8457</v>
      </c>
      <c r="F2290" s="3" t="s">
        <v>20</v>
      </c>
      <c r="G2290" s="4">
        <v>43585</v>
      </c>
      <c r="H2290" s="3" t="s">
        <v>2489</v>
      </c>
      <c r="I2290" s="3" t="s">
        <v>33</v>
      </c>
      <c r="J2290" s="5">
        <v>9000000</v>
      </c>
      <c r="K2290" s="3">
        <v>8129000</v>
      </c>
      <c r="L2290" s="3" t="s">
        <v>3626</v>
      </c>
      <c r="M2290" s="3" t="s">
        <v>8458</v>
      </c>
      <c r="N2290" s="3">
        <v>680</v>
      </c>
      <c r="P2290" s="3" t="s">
        <v>3997</v>
      </c>
      <c r="Q2290" s="3" t="s">
        <v>27</v>
      </c>
      <c r="R2290" s="3" t="s">
        <v>28</v>
      </c>
      <c r="S2290" s="3">
        <v>2187090</v>
      </c>
      <c r="T2290" s="3">
        <v>1126528724</v>
      </c>
      <c r="U2290" s="3" t="s">
        <v>29</v>
      </c>
    </row>
    <row r="2291" spans="1:21" ht="13.2" x14ac:dyDescent="0.25">
      <c r="A2291" s="14">
        <v>24787934000183</v>
      </c>
      <c r="B2291" s="15" t="str">
        <f t="shared" si="35"/>
        <v>24.787.934/0001-83</v>
      </c>
      <c r="C2291" s="12"/>
      <c r="D2291" s="3" t="s">
        <v>8459</v>
      </c>
      <c r="E2291" s="3" t="s">
        <v>8460</v>
      </c>
      <c r="F2291" s="3" t="s">
        <v>20</v>
      </c>
      <c r="G2291" s="4">
        <v>41604</v>
      </c>
      <c r="H2291" s="3" t="s">
        <v>2489</v>
      </c>
      <c r="I2291" s="3" t="s">
        <v>33</v>
      </c>
      <c r="J2291" s="5" t="s">
        <v>8461</v>
      </c>
      <c r="K2291" s="3">
        <v>3811400</v>
      </c>
      <c r="L2291" s="3" t="s">
        <v>1243</v>
      </c>
      <c r="M2291" s="3" t="s">
        <v>8462</v>
      </c>
      <c r="N2291" s="3">
        <v>4887</v>
      </c>
      <c r="O2291" s="3" t="s">
        <v>8463</v>
      </c>
      <c r="P2291" s="3" t="s">
        <v>8464</v>
      </c>
      <c r="Q2291" s="3" t="s">
        <v>645</v>
      </c>
      <c r="R2291" s="3" t="s">
        <v>4725</v>
      </c>
      <c r="S2291" s="3">
        <v>69907701</v>
      </c>
      <c r="T2291" s="3">
        <v>3432919000</v>
      </c>
      <c r="U2291" s="3" t="s">
        <v>29</v>
      </c>
    </row>
    <row r="2292" spans="1:21" ht="13.2" x14ac:dyDescent="0.25">
      <c r="A2292" s="14">
        <v>14725699000161</v>
      </c>
      <c r="B2292" s="15" t="str">
        <f t="shared" si="35"/>
        <v>14.725.699/0001-61</v>
      </c>
      <c r="C2292" s="12"/>
      <c r="D2292" s="3" t="s">
        <v>8465</v>
      </c>
      <c r="E2292" s="3" t="s">
        <v>8466</v>
      </c>
      <c r="F2292" s="3" t="s">
        <v>20</v>
      </c>
      <c r="G2292" s="4">
        <v>40875</v>
      </c>
      <c r="H2292" s="3" t="s">
        <v>21</v>
      </c>
      <c r="I2292" s="3" t="s">
        <v>33</v>
      </c>
      <c r="J2292" s="5">
        <v>395000</v>
      </c>
      <c r="K2292" s="3">
        <v>7830200</v>
      </c>
      <c r="L2292" s="3" t="s">
        <v>473</v>
      </c>
      <c r="M2292" s="3" t="s">
        <v>8467</v>
      </c>
      <c r="N2292" s="3">
        <v>517</v>
      </c>
      <c r="O2292" s="3" t="s">
        <v>5316</v>
      </c>
      <c r="P2292" s="3" t="s">
        <v>2392</v>
      </c>
      <c r="Q2292" s="3" t="s">
        <v>4622</v>
      </c>
      <c r="R2292" s="3" t="s">
        <v>4623</v>
      </c>
      <c r="S2292" s="3">
        <v>58414245</v>
      </c>
      <c r="T2292" s="3">
        <v>8330650875</v>
      </c>
      <c r="U2292" s="3" t="s">
        <v>29</v>
      </c>
    </row>
    <row r="2293" spans="1:21" ht="13.2" x14ac:dyDescent="0.25">
      <c r="A2293" s="14">
        <v>5792339000191</v>
      </c>
      <c r="B2293" s="15" t="str">
        <f t="shared" si="35"/>
        <v>05.792.339/0001-91</v>
      </c>
      <c r="C2293" s="12"/>
      <c r="D2293" s="3" t="s">
        <v>8468</v>
      </c>
      <c r="E2293" s="3" t="s">
        <v>8469</v>
      </c>
      <c r="F2293" s="3" t="s">
        <v>20</v>
      </c>
      <c r="G2293" s="4">
        <v>37811</v>
      </c>
      <c r="H2293" s="3" t="s">
        <v>21</v>
      </c>
      <c r="I2293" s="3" t="s">
        <v>22</v>
      </c>
      <c r="J2293" s="5">
        <v>642107</v>
      </c>
      <c r="K2293" s="3">
        <v>9102302</v>
      </c>
      <c r="L2293" s="3" t="s">
        <v>8470</v>
      </c>
      <c r="M2293" s="3" t="s">
        <v>8471</v>
      </c>
      <c r="N2293" s="3">
        <v>250</v>
      </c>
      <c r="P2293" s="3" t="s">
        <v>216</v>
      </c>
      <c r="Q2293" s="3" t="s">
        <v>1572</v>
      </c>
      <c r="R2293" s="3" t="s">
        <v>91</v>
      </c>
      <c r="S2293" s="3">
        <v>88131670</v>
      </c>
      <c r="T2293" s="3">
        <v>4837336542</v>
      </c>
      <c r="U2293" s="3" t="s">
        <v>29</v>
      </c>
    </row>
    <row r="2294" spans="1:21" ht="13.2" x14ac:dyDescent="0.25">
      <c r="A2294" s="14">
        <v>10565981000178</v>
      </c>
      <c r="B2294" s="15" t="str">
        <f t="shared" si="35"/>
        <v>10.565.981/0001-78</v>
      </c>
      <c r="C2294" s="12"/>
      <c r="D2294" s="3" t="s">
        <v>8472</v>
      </c>
      <c r="E2294" s="3" t="s">
        <v>8472</v>
      </c>
      <c r="F2294" s="3" t="s">
        <v>20</v>
      </c>
      <c r="G2294" s="4">
        <v>39822</v>
      </c>
      <c r="H2294" s="3" t="s">
        <v>21</v>
      </c>
      <c r="I2294" s="3" t="s">
        <v>33</v>
      </c>
      <c r="J2294" s="5">
        <v>6277000</v>
      </c>
      <c r="K2294" s="3">
        <v>8121400</v>
      </c>
      <c r="L2294" s="3" t="s">
        <v>494</v>
      </c>
      <c r="M2294" s="3" t="s">
        <v>8407</v>
      </c>
      <c r="N2294" s="3">
        <v>752</v>
      </c>
      <c r="P2294" s="3" t="s">
        <v>3970</v>
      </c>
      <c r="Q2294" s="3" t="s">
        <v>536</v>
      </c>
      <c r="R2294" s="3" t="s">
        <v>91</v>
      </c>
      <c r="S2294" s="3">
        <v>88111510</v>
      </c>
      <c r="T2294" s="3">
        <v>4837333100</v>
      </c>
      <c r="U2294" s="3" t="s">
        <v>29</v>
      </c>
    </row>
    <row r="2295" spans="1:21" ht="13.2" x14ac:dyDescent="0.25">
      <c r="A2295" s="14">
        <v>10364152000127</v>
      </c>
      <c r="B2295" s="15" t="str">
        <f t="shared" si="35"/>
        <v>10.364.152/0001-27</v>
      </c>
      <c r="C2295" s="12"/>
      <c r="D2295" s="3" t="s">
        <v>8473</v>
      </c>
      <c r="E2295" s="3" t="s">
        <v>8473</v>
      </c>
      <c r="F2295" s="3" t="s">
        <v>20</v>
      </c>
      <c r="G2295" s="4">
        <v>39716</v>
      </c>
      <c r="H2295" s="3" t="s">
        <v>21</v>
      </c>
      <c r="I2295" s="3" t="s">
        <v>33</v>
      </c>
      <c r="J2295" s="5">
        <v>20500000</v>
      </c>
      <c r="K2295" s="3">
        <v>8011101</v>
      </c>
      <c r="L2295" s="3" t="s">
        <v>943</v>
      </c>
      <c r="M2295" s="3" t="s">
        <v>8474</v>
      </c>
      <c r="N2295" s="3">
        <v>736</v>
      </c>
      <c r="P2295" s="3" t="s">
        <v>3970</v>
      </c>
      <c r="Q2295" s="3" t="s">
        <v>536</v>
      </c>
      <c r="R2295" s="3" t="s">
        <v>91</v>
      </c>
      <c r="S2295" s="3">
        <v>88111500</v>
      </c>
      <c r="T2295" s="3">
        <v>4837333100</v>
      </c>
      <c r="U2295" s="3" t="s">
        <v>29</v>
      </c>
    </row>
    <row r="2296" spans="1:21" ht="13.2" x14ac:dyDescent="0.25">
      <c r="A2296" s="14">
        <v>53910899000146</v>
      </c>
      <c r="B2296" s="15" t="str">
        <f t="shared" si="35"/>
        <v>53.910.899/0001-46</v>
      </c>
      <c r="C2296" s="12" t="str">
        <f>VLOOKUP(B2296,[1]Planilha1!$A:$B,2,0)</f>
        <v>Malu Montesino</v>
      </c>
      <c r="D2296" s="3" t="s">
        <v>8475</v>
      </c>
      <c r="E2296" s="3" t="s">
        <v>8476</v>
      </c>
      <c r="F2296" s="3" t="s">
        <v>20</v>
      </c>
      <c r="G2296" s="4">
        <v>30981</v>
      </c>
      <c r="H2296" s="3" t="s">
        <v>21</v>
      </c>
      <c r="I2296" s="3" t="s">
        <v>33</v>
      </c>
      <c r="J2296" s="5">
        <v>281082240</v>
      </c>
      <c r="K2296" s="3">
        <v>2599399</v>
      </c>
      <c r="L2296" s="3" t="s">
        <v>1144</v>
      </c>
      <c r="M2296" s="3" t="s">
        <v>6219</v>
      </c>
      <c r="N2296" s="3">
        <v>1818</v>
      </c>
      <c r="P2296" s="3" t="s">
        <v>406</v>
      </c>
      <c r="Q2296" s="3" t="s">
        <v>357</v>
      </c>
      <c r="R2296" s="3" t="s">
        <v>28</v>
      </c>
      <c r="S2296" s="3">
        <v>7170350</v>
      </c>
      <c r="T2296" s="3">
        <v>1124314704</v>
      </c>
      <c r="U2296" s="3" t="s">
        <v>29</v>
      </c>
    </row>
    <row r="2297" spans="1:21" ht="13.2" x14ac:dyDescent="0.25">
      <c r="A2297" s="14">
        <v>97536231000156</v>
      </c>
      <c r="B2297" s="15" t="str">
        <f t="shared" si="35"/>
        <v>97.536.231/0001-56</v>
      </c>
      <c r="C2297" s="12"/>
      <c r="D2297" s="3" t="s">
        <v>8477</v>
      </c>
      <c r="E2297" s="3" t="s">
        <v>8478</v>
      </c>
      <c r="F2297" s="3" t="s">
        <v>20</v>
      </c>
      <c r="G2297" s="4">
        <v>40723</v>
      </c>
      <c r="H2297" s="3" t="s">
        <v>46</v>
      </c>
      <c r="I2297" s="3" t="s">
        <v>47</v>
      </c>
      <c r="J2297" s="5">
        <v>15000</v>
      </c>
      <c r="K2297" s="3">
        <v>5812301</v>
      </c>
      <c r="L2297" s="3" t="s">
        <v>8479</v>
      </c>
      <c r="M2297" s="3">
        <v>7</v>
      </c>
      <c r="N2297" s="3">
        <v>552</v>
      </c>
      <c r="P2297" s="3" t="s">
        <v>70</v>
      </c>
      <c r="Q2297" s="3" t="s">
        <v>5407</v>
      </c>
      <c r="R2297" s="3" t="s">
        <v>28</v>
      </c>
      <c r="S2297" s="3">
        <v>14790000</v>
      </c>
      <c r="T2297" s="3">
        <v>1733317087</v>
      </c>
      <c r="U2297" s="3" t="s">
        <v>29</v>
      </c>
    </row>
    <row r="2298" spans="1:21" ht="13.2" x14ac:dyDescent="0.25">
      <c r="A2298" s="14">
        <v>40174337000130</v>
      </c>
      <c r="B2298" s="15" t="str">
        <f t="shared" si="35"/>
        <v>40.174.337/0001-30</v>
      </c>
      <c r="C2298" s="12"/>
      <c r="D2298" s="3" t="s">
        <v>8480</v>
      </c>
      <c r="E2298" s="3" t="s">
        <v>8480</v>
      </c>
      <c r="F2298" s="3" t="s">
        <v>20</v>
      </c>
      <c r="G2298" s="4">
        <v>44186</v>
      </c>
      <c r="H2298" s="3" t="s">
        <v>21</v>
      </c>
      <c r="I2298" s="3" t="s">
        <v>33</v>
      </c>
      <c r="J2298" s="5">
        <v>7900000</v>
      </c>
      <c r="K2298" s="3">
        <v>4663000</v>
      </c>
      <c r="L2298" s="3" t="s">
        <v>128</v>
      </c>
      <c r="M2298" s="3" t="s">
        <v>8481</v>
      </c>
      <c r="N2298" s="3">
        <v>105</v>
      </c>
      <c r="O2298" s="3" t="s">
        <v>8482</v>
      </c>
      <c r="P2298" s="3" t="s">
        <v>8483</v>
      </c>
      <c r="Q2298" s="3" t="s">
        <v>231</v>
      </c>
      <c r="R2298" s="3" t="s">
        <v>28</v>
      </c>
      <c r="S2298" s="3">
        <v>18030050</v>
      </c>
      <c r="T2298" s="3">
        <v>1533271496</v>
      </c>
      <c r="U2298" s="3" t="s">
        <v>29</v>
      </c>
    </row>
    <row r="2299" spans="1:21" ht="13.2" x14ac:dyDescent="0.25">
      <c r="A2299" s="14">
        <v>3852406000190</v>
      </c>
      <c r="B2299" s="15" t="str">
        <f t="shared" si="35"/>
        <v>03.852.406/0001-90</v>
      </c>
      <c r="C2299" s="12"/>
      <c r="D2299" s="3" t="s">
        <v>8484</v>
      </c>
      <c r="E2299" s="3" t="s">
        <v>8484</v>
      </c>
      <c r="F2299" s="3" t="s">
        <v>20</v>
      </c>
      <c r="G2299" s="4">
        <v>36678</v>
      </c>
      <c r="H2299" s="3" t="s">
        <v>21</v>
      </c>
      <c r="I2299" s="3" t="s">
        <v>33</v>
      </c>
      <c r="J2299" s="5">
        <v>10000000</v>
      </c>
      <c r="K2299" s="3">
        <v>2825900</v>
      </c>
      <c r="L2299" s="3" t="s">
        <v>345</v>
      </c>
      <c r="M2299" s="3" t="s">
        <v>8485</v>
      </c>
      <c r="N2299" s="3">
        <v>75</v>
      </c>
      <c r="P2299" s="3" t="s">
        <v>153</v>
      </c>
      <c r="Q2299" s="3" t="s">
        <v>8486</v>
      </c>
      <c r="R2299" s="3" t="s">
        <v>91</v>
      </c>
      <c r="S2299" s="3">
        <v>89600000</v>
      </c>
      <c r="T2299" s="3">
        <v>4935220211</v>
      </c>
      <c r="U2299" s="3" t="s">
        <v>29</v>
      </c>
    </row>
    <row r="2300" spans="1:21" ht="13.2" x14ac:dyDescent="0.25">
      <c r="A2300" s="14">
        <v>4882084000195</v>
      </c>
      <c r="B2300" s="15" t="str">
        <f t="shared" si="35"/>
        <v>04.882.084/0001-95</v>
      </c>
      <c r="C2300" s="12" t="str">
        <f>VLOOKUP(B2300,[1]Planilha1!$A:$B,2,0)</f>
        <v>Malu Montesino</v>
      </c>
      <c r="D2300" s="3" t="s">
        <v>8487</v>
      </c>
      <c r="E2300" s="3" t="s">
        <v>8488</v>
      </c>
      <c r="F2300" s="3" t="s">
        <v>20</v>
      </c>
      <c r="G2300" s="4">
        <v>37279</v>
      </c>
      <c r="H2300" s="3" t="s">
        <v>21</v>
      </c>
      <c r="I2300" s="3" t="s">
        <v>33</v>
      </c>
      <c r="J2300" s="5">
        <v>84596170</v>
      </c>
      <c r="K2300" s="3">
        <v>2832100</v>
      </c>
      <c r="L2300" s="3" t="s">
        <v>2184</v>
      </c>
      <c r="M2300" s="3" t="s">
        <v>8489</v>
      </c>
      <c r="N2300" s="3" t="s">
        <v>82</v>
      </c>
      <c r="O2300" s="3" t="s">
        <v>8490</v>
      </c>
      <c r="P2300" s="3" t="s">
        <v>8491</v>
      </c>
      <c r="Q2300" s="3" t="s">
        <v>2198</v>
      </c>
      <c r="R2300" s="3" t="s">
        <v>28</v>
      </c>
      <c r="S2300" s="3">
        <v>13804830</v>
      </c>
      <c r="T2300" s="3">
        <v>1938141100</v>
      </c>
      <c r="U2300" s="3" t="s">
        <v>29</v>
      </c>
    </row>
    <row r="2301" spans="1:21" ht="13.2" x14ac:dyDescent="0.25">
      <c r="A2301" s="14">
        <v>18771013000120</v>
      </c>
      <c r="B2301" s="15" t="str">
        <f t="shared" si="35"/>
        <v>18.771.013/0001-20</v>
      </c>
      <c r="C2301" s="12" t="str">
        <f>VLOOKUP(B2301,[1]Planilha1!$A:$B,2,0)</f>
        <v>Malu Montesino</v>
      </c>
      <c r="D2301" s="3" t="s">
        <v>8492</v>
      </c>
      <c r="E2301" s="3" t="s">
        <v>8493</v>
      </c>
      <c r="F2301" s="3" t="s">
        <v>20</v>
      </c>
      <c r="G2301" s="4">
        <v>41513</v>
      </c>
      <c r="H2301" s="3" t="s">
        <v>21</v>
      </c>
      <c r="I2301" s="3" t="s">
        <v>47</v>
      </c>
      <c r="J2301" s="5">
        <v>600000</v>
      </c>
      <c r="K2301" s="3">
        <v>2651500</v>
      </c>
      <c r="L2301" s="3" t="s">
        <v>600</v>
      </c>
      <c r="M2301" s="3" t="s">
        <v>8494</v>
      </c>
      <c r="N2301" s="3">
        <v>1019</v>
      </c>
      <c r="O2301" s="3" t="s">
        <v>8495</v>
      </c>
      <c r="P2301" s="3" t="s">
        <v>4378</v>
      </c>
      <c r="Q2301" s="3" t="s">
        <v>8496</v>
      </c>
      <c r="R2301" s="3" t="s">
        <v>53</v>
      </c>
      <c r="S2301" s="3">
        <v>95860000</v>
      </c>
      <c r="T2301" s="3">
        <v>5136535676</v>
      </c>
      <c r="U2301" s="3" t="s">
        <v>29</v>
      </c>
    </row>
    <row r="2302" spans="1:21" ht="13.2" x14ac:dyDescent="0.25">
      <c r="A2302" s="14">
        <v>16861009000127</v>
      </c>
      <c r="B2302" s="15" t="str">
        <f t="shared" si="35"/>
        <v>16.861.009/0001-27</v>
      </c>
      <c r="C2302" s="12" t="str">
        <f>VLOOKUP(B2302,[1]Planilha1!$A:$B,2,0)</f>
        <v>Vanessa</v>
      </c>
      <c r="D2302" s="3" t="s">
        <v>8497</v>
      </c>
      <c r="E2302" s="3" t="s">
        <v>8497</v>
      </c>
      <c r="F2302" s="3" t="s">
        <v>20</v>
      </c>
      <c r="G2302" s="4">
        <v>41166</v>
      </c>
      <c r="H2302" s="3" t="s">
        <v>21</v>
      </c>
      <c r="I2302" s="3" t="s">
        <v>33</v>
      </c>
      <c r="J2302" s="5">
        <v>41948276</v>
      </c>
      <c r="K2302" s="3">
        <v>4664800</v>
      </c>
      <c r="L2302" s="3" t="s">
        <v>691</v>
      </c>
      <c r="M2302" s="3" t="s">
        <v>294</v>
      </c>
      <c r="N2302" s="3">
        <v>787</v>
      </c>
      <c r="O2302" s="3" t="s">
        <v>8498</v>
      </c>
      <c r="P2302" s="3" t="s">
        <v>296</v>
      </c>
      <c r="Q2302" s="3" t="s">
        <v>27</v>
      </c>
      <c r="R2302" s="3" t="s">
        <v>28</v>
      </c>
      <c r="S2302" s="3">
        <v>1419001</v>
      </c>
      <c r="T2302" s="3">
        <v>1132848404</v>
      </c>
      <c r="U2302" s="3" t="s">
        <v>29</v>
      </c>
    </row>
    <row r="2303" spans="1:21" ht="13.2" x14ac:dyDescent="0.25">
      <c r="A2303" s="14">
        <v>34358432000190</v>
      </c>
      <c r="B2303" s="15" t="str">
        <f t="shared" si="35"/>
        <v>34.358.432/0001-90</v>
      </c>
      <c r="C2303" s="12"/>
      <c r="D2303" s="3" t="s">
        <v>8499</v>
      </c>
      <c r="E2303" s="3" t="s">
        <v>8500</v>
      </c>
      <c r="F2303" s="3" t="s">
        <v>20</v>
      </c>
      <c r="G2303" s="4">
        <v>33256</v>
      </c>
      <c r="H2303" s="3" t="s">
        <v>21</v>
      </c>
      <c r="I2303" s="3" t="s">
        <v>33</v>
      </c>
      <c r="J2303" s="5">
        <v>2500000</v>
      </c>
      <c r="K2303" s="3">
        <v>7311400</v>
      </c>
      <c r="L2303" s="3" t="s">
        <v>656</v>
      </c>
      <c r="M2303" s="3" t="s">
        <v>8501</v>
      </c>
      <c r="N2303" s="3">
        <v>190</v>
      </c>
      <c r="O2303" s="3" t="s">
        <v>8502</v>
      </c>
      <c r="P2303" s="3" t="s">
        <v>1714</v>
      </c>
      <c r="Q2303" s="3" t="s">
        <v>280</v>
      </c>
      <c r="R2303" s="3" t="s">
        <v>281</v>
      </c>
      <c r="S2303" s="3">
        <v>40279435</v>
      </c>
      <c r="T2303" s="3">
        <v>7121015255</v>
      </c>
      <c r="U2303" s="3" t="s">
        <v>29</v>
      </c>
    </row>
    <row r="2304" spans="1:21" ht="13.2" x14ac:dyDescent="0.25">
      <c r="A2304" s="14">
        <v>9274298000100</v>
      </c>
      <c r="B2304" s="15" t="str">
        <f t="shared" si="35"/>
        <v>09.274.298/0001-00</v>
      </c>
      <c r="C2304" s="12"/>
      <c r="D2304" s="3" t="s">
        <v>8503</v>
      </c>
      <c r="E2304" s="3" t="s">
        <v>8503</v>
      </c>
      <c r="F2304" s="3" t="s">
        <v>20</v>
      </c>
      <c r="G2304" s="4">
        <v>39420</v>
      </c>
      <c r="H2304" s="3" t="s">
        <v>21</v>
      </c>
      <c r="I2304" s="3" t="s">
        <v>22</v>
      </c>
      <c r="J2304" s="5">
        <v>100000</v>
      </c>
      <c r="K2304" s="3">
        <v>4321500</v>
      </c>
      <c r="L2304" s="3" t="s">
        <v>964</v>
      </c>
      <c r="M2304" s="3" t="s">
        <v>8504</v>
      </c>
      <c r="N2304" s="3">
        <v>4121</v>
      </c>
      <c r="P2304" s="3" t="s">
        <v>5341</v>
      </c>
      <c r="Q2304" s="3" t="s">
        <v>204</v>
      </c>
      <c r="R2304" s="3" t="s">
        <v>187</v>
      </c>
      <c r="S2304" s="3">
        <v>81210315</v>
      </c>
      <c r="T2304" s="3">
        <v>4132416615</v>
      </c>
      <c r="U2304" s="3" t="s">
        <v>29</v>
      </c>
    </row>
    <row r="2305" spans="1:21" ht="13.2" x14ac:dyDescent="0.25">
      <c r="A2305" s="14">
        <v>26037592000100</v>
      </c>
      <c r="B2305" s="15" t="str">
        <f t="shared" si="35"/>
        <v>26.037.592/0001-00</v>
      </c>
      <c r="C2305" s="12" t="str">
        <f>VLOOKUP(B2305,[1]Planilha1!$A:$B,2,0)</f>
        <v>Malu Montesino</v>
      </c>
      <c r="D2305" s="3" t="s">
        <v>8505</v>
      </c>
      <c r="E2305" s="3" t="s">
        <v>8506</v>
      </c>
      <c r="F2305" s="3" t="s">
        <v>20</v>
      </c>
      <c r="G2305" s="4">
        <v>42608</v>
      </c>
      <c r="H2305" s="3" t="s">
        <v>21</v>
      </c>
      <c r="I2305" s="3" t="s">
        <v>33</v>
      </c>
      <c r="J2305" s="5">
        <v>7000000</v>
      </c>
      <c r="K2305" s="3">
        <v>2825900</v>
      </c>
      <c r="L2305" s="3" t="s">
        <v>345</v>
      </c>
      <c r="M2305" s="3" t="s">
        <v>8507</v>
      </c>
      <c r="N2305" s="3">
        <v>400</v>
      </c>
      <c r="O2305" s="3" t="s">
        <v>3007</v>
      </c>
      <c r="P2305" s="3" t="s">
        <v>8508</v>
      </c>
      <c r="Q2305" s="3" t="s">
        <v>8509</v>
      </c>
      <c r="R2305" s="3" t="s">
        <v>91</v>
      </c>
      <c r="S2305" s="3">
        <v>89182000</v>
      </c>
      <c r="T2305" s="3">
        <v>4735250202</v>
      </c>
      <c r="U2305" s="3" t="s">
        <v>29</v>
      </c>
    </row>
    <row r="2306" spans="1:21" ht="13.2" x14ac:dyDescent="0.25">
      <c r="A2306" s="14">
        <v>23001852000107</v>
      </c>
      <c r="B2306" s="15" t="str">
        <f t="shared" si="35"/>
        <v>23.001.852/0001-07</v>
      </c>
      <c r="C2306" s="12" t="str">
        <f>VLOOKUP(B2306,[1]Planilha1!$A:$B,2,0)</f>
        <v>Malu Montesino</v>
      </c>
      <c r="D2306" s="3" t="s">
        <v>8510</v>
      </c>
      <c r="E2306" s="3" t="s">
        <v>8510</v>
      </c>
      <c r="F2306" s="3" t="s">
        <v>20</v>
      </c>
      <c r="G2306" s="4">
        <v>32336</v>
      </c>
      <c r="H2306" s="3" t="s">
        <v>21</v>
      </c>
      <c r="I2306" s="3" t="s">
        <v>33</v>
      </c>
      <c r="J2306" s="5">
        <v>15000000</v>
      </c>
      <c r="K2306" s="3">
        <v>2811900</v>
      </c>
      <c r="L2306" s="3" t="s">
        <v>1362</v>
      </c>
      <c r="M2306" s="3" t="s">
        <v>2729</v>
      </c>
      <c r="N2306" s="3">
        <v>3940</v>
      </c>
      <c r="O2306" s="3" t="s">
        <v>8511</v>
      </c>
      <c r="P2306" s="3" t="s">
        <v>2994</v>
      </c>
      <c r="Q2306" s="3" t="s">
        <v>730</v>
      </c>
      <c r="R2306" s="3" t="s">
        <v>53</v>
      </c>
      <c r="S2306" s="3">
        <v>95112133</v>
      </c>
      <c r="T2306" s="3">
        <v>5432388013</v>
      </c>
      <c r="U2306" s="3" t="s">
        <v>29</v>
      </c>
    </row>
    <row r="2307" spans="1:21" ht="13.2" x14ac:dyDescent="0.25">
      <c r="A2307" s="14">
        <v>60886413000147</v>
      </c>
      <c r="B2307" s="15" t="str">
        <f t="shared" ref="B2307:B2370" si="36">TEXT(A2307,"00\.000\.000\/0000\-00")</f>
        <v>60.886.413/0001-47</v>
      </c>
      <c r="C2307" s="12"/>
      <c r="D2307" s="3" t="s">
        <v>8512</v>
      </c>
      <c r="E2307" s="3" t="s">
        <v>8512</v>
      </c>
      <c r="F2307" s="3" t="s">
        <v>45</v>
      </c>
      <c r="G2307" s="4">
        <v>19655</v>
      </c>
      <c r="H2307" s="3" t="s">
        <v>94</v>
      </c>
      <c r="I2307" s="3" t="s">
        <v>33</v>
      </c>
      <c r="J2307" s="5">
        <v>211473260</v>
      </c>
      <c r="K2307" s="3">
        <v>4682600</v>
      </c>
      <c r="L2307" s="3" t="s">
        <v>1219</v>
      </c>
      <c r="M2307" s="3" t="s">
        <v>8513</v>
      </c>
      <c r="N2307" s="3">
        <v>1842</v>
      </c>
      <c r="O2307" s="3" t="s">
        <v>8514</v>
      </c>
      <c r="P2307" s="3" t="s">
        <v>248</v>
      </c>
      <c r="Q2307" s="3" t="s">
        <v>27</v>
      </c>
      <c r="R2307" s="3" t="s">
        <v>28</v>
      </c>
      <c r="S2307" s="3">
        <v>1310923</v>
      </c>
      <c r="T2307" s="3">
        <v>1137032000</v>
      </c>
      <c r="U2307" s="3" t="s">
        <v>29</v>
      </c>
    </row>
    <row r="2308" spans="1:21" ht="13.2" x14ac:dyDescent="0.25">
      <c r="A2308" s="14">
        <v>33979330000120</v>
      </c>
      <c r="B2308" s="15" t="str">
        <f t="shared" si="36"/>
        <v>33.979.330/0001-20</v>
      </c>
      <c r="C2308" s="12" t="str">
        <f>VLOOKUP(B2308,[1]Planilha1!$A:$B,2,0)</f>
        <v>Malu Montesino</v>
      </c>
      <c r="D2308" s="3" t="s">
        <v>8515</v>
      </c>
      <c r="E2308" s="3" t="s">
        <v>8515</v>
      </c>
      <c r="F2308" s="3" t="s">
        <v>20</v>
      </c>
      <c r="G2308" s="4">
        <v>43635</v>
      </c>
      <c r="H2308" s="3" t="s">
        <v>21</v>
      </c>
      <c r="I2308" s="3" t="s">
        <v>33</v>
      </c>
      <c r="J2308" s="5">
        <v>750000</v>
      </c>
      <c r="K2308" s="3">
        <v>2825900</v>
      </c>
      <c r="L2308" s="3" t="s">
        <v>345</v>
      </c>
      <c r="M2308" s="3" t="s">
        <v>8516</v>
      </c>
      <c r="N2308" s="3">
        <v>45</v>
      </c>
      <c r="P2308" s="3" t="s">
        <v>487</v>
      </c>
      <c r="Q2308" s="3" t="s">
        <v>488</v>
      </c>
      <c r="R2308" s="3" t="s">
        <v>28</v>
      </c>
      <c r="S2308" s="3">
        <v>13288181</v>
      </c>
      <c r="T2308" s="3">
        <v>1935179202</v>
      </c>
      <c r="U2308" s="3" t="s">
        <v>29</v>
      </c>
    </row>
    <row r="2309" spans="1:21" ht="13.2" x14ac:dyDescent="0.25">
      <c r="A2309" s="14">
        <v>5192522000156</v>
      </c>
      <c r="B2309" s="15" t="str">
        <f t="shared" si="36"/>
        <v>05.192.522/0001-56</v>
      </c>
      <c r="C2309" s="12"/>
      <c r="D2309" s="3" t="s">
        <v>8517</v>
      </c>
      <c r="E2309" s="3" t="s">
        <v>8517</v>
      </c>
      <c r="F2309" s="3" t="s">
        <v>45</v>
      </c>
      <c r="G2309" s="4">
        <v>37439</v>
      </c>
      <c r="H2309" s="3" t="s">
        <v>21</v>
      </c>
      <c r="I2309" s="3" t="s">
        <v>22</v>
      </c>
      <c r="J2309" s="5">
        <v>20000</v>
      </c>
      <c r="K2309" s="3">
        <v>4789005</v>
      </c>
      <c r="L2309" s="3" t="s">
        <v>2831</v>
      </c>
      <c r="M2309" s="3" t="s">
        <v>8518</v>
      </c>
      <c r="N2309" s="3">
        <v>1037</v>
      </c>
      <c r="P2309" s="3" t="s">
        <v>8519</v>
      </c>
      <c r="Q2309" s="3" t="s">
        <v>3865</v>
      </c>
      <c r="R2309" s="3" t="s">
        <v>53</v>
      </c>
      <c r="S2309" s="3">
        <v>99705717</v>
      </c>
      <c r="T2309" s="3">
        <v>5481308217</v>
      </c>
      <c r="U2309" s="3" t="s">
        <v>29</v>
      </c>
    </row>
    <row r="2310" spans="1:21" ht="13.2" x14ac:dyDescent="0.25">
      <c r="A2310" s="14">
        <v>13600714000182</v>
      </c>
      <c r="B2310" s="15" t="str">
        <f t="shared" si="36"/>
        <v>13.600.714/0001-82</v>
      </c>
      <c r="C2310" s="12"/>
      <c r="D2310" s="3" t="s">
        <v>8520</v>
      </c>
      <c r="E2310" s="3" t="s">
        <v>8520</v>
      </c>
      <c r="F2310" s="3" t="s">
        <v>20</v>
      </c>
      <c r="G2310" s="4">
        <v>40659</v>
      </c>
      <c r="H2310" s="3" t="s">
        <v>21</v>
      </c>
      <c r="I2310" s="3" t="s">
        <v>47</v>
      </c>
      <c r="J2310" s="5">
        <v>700000</v>
      </c>
      <c r="K2310" s="3">
        <v>8130300</v>
      </c>
      <c r="L2310" s="3" t="s">
        <v>8521</v>
      </c>
      <c r="M2310" s="3" t="s">
        <v>8522</v>
      </c>
      <c r="N2310" s="3">
        <v>7</v>
      </c>
      <c r="O2310" s="3" t="s">
        <v>6179</v>
      </c>
      <c r="P2310" s="3" t="s">
        <v>5978</v>
      </c>
      <c r="Q2310" s="3" t="s">
        <v>262</v>
      </c>
      <c r="R2310" s="3" t="s">
        <v>28</v>
      </c>
      <c r="S2310" s="3">
        <v>6286330</v>
      </c>
      <c r="T2310" s="3">
        <v>1147845097</v>
      </c>
      <c r="U2310" s="3" t="s">
        <v>29</v>
      </c>
    </row>
    <row r="2311" spans="1:21" ht="13.2" x14ac:dyDescent="0.25">
      <c r="A2311" s="14">
        <v>840186000197</v>
      </c>
      <c r="B2311" s="15" t="str">
        <f t="shared" si="36"/>
        <v>00.840.186/0001-97</v>
      </c>
      <c r="C2311" s="12" t="str">
        <f>VLOOKUP(B2311,[1]Planilha1!$A:$B,2,0)</f>
        <v>Malu Montesino</v>
      </c>
      <c r="D2311" s="3" t="s">
        <v>8523</v>
      </c>
      <c r="E2311" s="3" t="s">
        <v>8523</v>
      </c>
      <c r="F2311" s="3" t="s">
        <v>20</v>
      </c>
      <c r="G2311" s="4">
        <v>34962</v>
      </c>
      <c r="H2311" s="3" t="s">
        <v>21</v>
      </c>
      <c r="I2311" s="3" t="s">
        <v>33</v>
      </c>
      <c r="J2311" s="5">
        <v>35500000</v>
      </c>
      <c r="K2311" s="3">
        <v>2539001</v>
      </c>
      <c r="L2311" s="3" t="s">
        <v>1012</v>
      </c>
      <c r="M2311" s="3" t="s">
        <v>8524</v>
      </c>
      <c r="N2311" s="3">
        <v>5</v>
      </c>
      <c r="P2311" s="3" t="s">
        <v>8525</v>
      </c>
      <c r="Q2311" s="3" t="s">
        <v>1333</v>
      </c>
      <c r="R2311" s="3" t="s">
        <v>28</v>
      </c>
      <c r="S2311" s="3">
        <v>18147000</v>
      </c>
      <c r="T2311" s="3">
        <v>1141368188</v>
      </c>
      <c r="U2311" s="3" t="s">
        <v>29</v>
      </c>
    </row>
    <row r="2312" spans="1:21" ht="13.2" x14ac:dyDescent="0.25">
      <c r="A2312" s="14">
        <v>29255308000160</v>
      </c>
      <c r="B2312" s="15" t="str">
        <f t="shared" si="36"/>
        <v>29.255.308/0001-60</v>
      </c>
      <c r="C2312" s="12"/>
      <c r="D2312" s="3" t="s">
        <v>8526</v>
      </c>
      <c r="E2312" s="3" t="s">
        <v>8527</v>
      </c>
      <c r="F2312" s="3" t="s">
        <v>20</v>
      </c>
      <c r="G2312" s="4">
        <v>43081</v>
      </c>
      <c r="H2312" s="3" t="s">
        <v>21</v>
      </c>
      <c r="I2312" s="3" t="s">
        <v>47</v>
      </c>
      <c r="J2312" s="5">
        <v>300000</v>
      </c>
      <c r="K2312" s="3">
        <v>7490104</v>
      </c>
      <c r="L2312" s="3" t="s">
        <v>1597</v>
      </c>
      <c r="M2312" s="3" t="s">
        <v>8528</v>
      </c>
      <c r="N2312" s="3">
        <v>275</v>
      </c>
      <c r="O2312" s="3" t="s">
        <v>117</v>
      </c>
      <c r="P2312" s="3" t="s">
        <v>8529</v>
      </c>
      <c r="Q2312" s="3" t="s">
        <v>476</v>
      </c>
      <c r="R2312" s="3" t="s">
        <v>100</v>
      </c>
      <c r="S2312" s="3">
        <v>30431355</v>
      </c>
      <c r="T2312" s="3">
        <v>3133357529</v>
      </c>
      <c r="U2312" s="3" t="s">
        <v>29</v>
      </c>
    </row>
    <row r="2313" spans="1:21" ht="13.2" x14ac:dyDescent="0.25">
      <c r="A2313" s="14">
        <v>11260925000198</v>
      </c>
      <c r="B2313" s="15" t="str">
        <f t="shared" si="36"/>
        <v>11.260.925/0001-98</v>
      </c>
      <c r="C2313" s="12" t="str">
        <f>VLOOKUP(B2313,[1]Planilha1!$A:$B,2,0)</f>
        <v>Malu Montesino</v>
      </c>
      <c r="D2313" s="3" t="s">
        <v>8530</v>
      </c>
      <c r="E2313" s="3" t="s">
        <v>8531</v>
      </c>
      <c r="F2313" s="3" t="s">
        <v>20</v>
      </c>
      <c r="G2313" s="4">
        <v>40102</v>
      </c>
      <c r="H2313" s="3" t="s">
        <v>21</v>
      </c>
      <c r="I2313" s="3" t="s">
        <v>33</v>
      </c>
      <c r="J2313" s="5">
        <v>174329280</v>
      </c>
      <c r="K2313" s="3">
        <v>4662100</v>
      </c>
      <c r="L2313" s="3" t="s">
        <v>2324</v>
      </c>
      <c r="M2313" s="3" t="s">
        <v>3133</v>
      </c>
      <c r="N2313" s="3">
        <v>301</v>
      </c>
      <c r="O2313" s="3" t="s">
        <v>8532</v>
      </c>
      <c r="P2313" s="3" t="s">
        <v>8533</v>
      </c>
      <c r="Q2313" s="3" t="s">
        <v>65</v>
      </c>
      <c r="R2313" s="3" t="s">
        <v>28</v>
      </c>
      <c r="S2313" s="3">
        <v>13069330</v>
      </c>
      <c r="T2313" s="3">
        <v>1938512474</v>
      </c>
      <c r="U2313" s="3" t="s">
        <v>29</v>
      </c>
    </row>
    <row r="2314" spans="1:21" ht="13.2" x14ac:dyDescent="0.25">
      <c r="A2314" s="14">
        <v>23353693000606</v>
      </c>
      <c r="B2314" s="15" t="str">
        <f t="shared" si="36"/>
        <v>23.353.693/0006-06</v>
      </c>
      <c r="C2314" s="12"/>
      <c r="D2314" s="3" t="s">
        <v>8534</v>
      </c>
      <c r="E2314" s="3" t="s">
        <v>8534</v>
      </c>
      <c r="F2314" s="3" t="s">
        <v>20</v>
      </c>
      <c r="G2314" s="4">
        <v>43494</v>
      </c>
      <c r="H2314" s="3" t="s">
        <v>21</v>
      </c>
      <c r="I2314" s="3" t="s">
        <v>33</v>
      </c>
      <c r="J2314" s="5">
        <v>368167170</v>
      </c>
      <c r="K2314" s="3">
        <v>1096100</v>
      </c>
      <c r="L2314" s="3" t="s">
        <v>8191</v>
      </c>
      <c r="M2314" s="3" t="s">
        <v>8535</v>
      </c>
      <c r="N2314" s="3">
        <v>711</v>
      </c>
      <c r="P2314" s="3" t="s">
        <v>8536</v>
      </c>
      <c r="Q2314" s="3" t="s">
        <v>7035</v>
      </c>
      <c r="R2314" s="3" t="s">
        <v>28</v>
      </c>
      <c r="S2314" s="3">
        <v>6696050</v>
      </c>
      <c r="T2314" s="3">
        <v>1130311863</v>
      </c>
      <c r="U2314" s="3" t="s">
        <v>29</v>
      </c>
    </row>
    <row r="2315" spans="1:21" ht="13.2" x14ac:dyDescent="0.25">
      <c r="A2315" s="14">
        <v>45489614000117</v>
      </c>
      <c r="B2315" s="15" t="str">
        <f t="shared" si="36"/>
        <v>45.489.614/0001-17</v>
      </c>
      <c r="C2315" s="12"/>
      <c r="D2315" s="3" t="s">
        <v>8537</v>
      </c>
      <c r="E2315" s="3" t="s">
        <v>8538</v>
      </c>
      <c r="F2315" s="3" t="s">
        <v>20</v>
      </c>
      <c r="G2315" s="4">
        <v>29633</v>
      </c>
      <c r="H2315" s="3" t="s">
        <v>21</v>
      </c>
      <c r="I2315" s="3" t="s">
        <v>33</v>
      </c>
      <c r="J2315" s="5">
        <v>224104850</v>
      </c>
      <c r="K2315" s="3">
        <v>4645101</v>
      </c>
      <c r="L2315" s="3" t="s">
        <v>135</v>
      </c>
      <c r="M2315" s="3" t="s">
        <v>8539</v>
      </c>
      <c r="N2315" s="3">
        <v>54</v>
      </c>
      <c r="P2315" s="3" t="s">
        <v>5850</v>
      </c>
      <c r="Q2315" s="3" t="s">
        <v>27</v>
      </c>
      <c r="R2315" s="3" t="s">
        <v>28</v>
      </c>
      <c r="S2315" s="3">
        <v>4298070</v>
      </c>
      <c r="T2315" s="3">
        <v>1129466406</v>
      </c>
      <c r="U2315" s="3" t="s">
        <v>29</v>
      </c>
    </row>
    <row r="2316" spans="1:21" ht="13.2" x14ac:dyDescent="0.25">
      <c r="A2316" s="14">
        <v>50562508000151</v>
      </c>
      <c r="B2316" s="15" t="str">
        <f t="shared" si="36"/>
        <v>50.562.508/0001-51</v>
      </c>
      <c r="C2316" s="12" t="str">
        <f>VLOOKUP(B2316,[1]Planilha1!$A:$B,2,0)</f>
        <v>Malu Montesino</v>
      </c>
      <c r="D2316" s="3" t="s">
        <v>8540</v>
      </c>
      <c r="E2316" s="3" t="s">
        <v>8540</v>
      </c>
      <c r="F2316" s="3" t="s">
        <v>20</v>
      </c>
      <c r="G2316" s="4">
        <v>45051</v>
      </c>
      <c r="H2316" s="3" t="s">
        <v>21</v>
      </c>
      <c r="I2316" s="3" t="s">
        <v>33</v>
      </c>
      <c r="J2316" s="5">
        <v>20000000</v>
      </c>
      <c r="K2316" s="3">
        <v>2731700</v>
      </c>
      <c r="L2316" s="3" t="s">
        <v>440</v>
      </c>
      <c r="M2316" s="3" t="s">
        <v>8541</v>
      </c>
      <c r="N2316" s="3">
        <v>585</v>
      </c>
      <c r="O2316" s="3" t="s">
        <v>8542</v>
      </c>
      <c r="P2316" s="3" t="s">
        <v>6764</v>
      </c>
      <c r="Q2316" s="3" t="s">
        <v>448</v>
      </c>
      <c r="R2316" s="3" t="s">
        <v>449</v>
      </c>
      <c r="S2316" s="3">
        <v>69075080</v>
      </c>
      <c r="T2316" s="3">
        <v>8533662500</v>
      </c>
      <c r="U2316" s="3" t="s">
        <v>29</v>
      </c>
    </row>
    <row r="2317" spans="1:21" ht="13.2" x14ac:dyDescent="0.25">
      <c r="A2317" s="14">
        <v>33480310000100</v>
      </c>
      <c r="B2317" s="15" t="str">
        <f t="shared" si="36"/>
        <v>33.480.310/0001-00</v>
      </c>
      <c r="C2317" s="12"/>
      <c r="D2317" s="3" t="s">
        <v>8543</v>
      </c>
      <c r="E2317" s="3" t="s">
        <v>8543</v>
      </c>
      <c r="F2317" s="3" t="s">
        <v>20</v>
      </c>
      <c r="G2317" s="4">
        <v>23648</v>
      </c>
      <c r="H2317" s="3" t="s">
        <v>21</v>
      </c>
      <c r="I2317" s="3" t="s">
        <v>33</v>
      </c>
      <c r="J2317" s="5">
        <v>12478819</v>
      </c>
      <c r="K2317" s="3">
        <v>7119799</v>
      </c>
      <c r="L2317" s="3" t="s">
        <v>5183</v>
      </c>
      <c r="M2317" s="3" t="s">
        <v>8544</v>
      </c>
      <c r="N2317" s="3">
        <v>344</v>
      </c>
      <c r="O2317" s="3" t="s">
        <v>3909</v>
      </c>
      <c r="P2317" s="3" t="s">
        <v>3878</v>
      </c>
      <c r="Q2317" s="3" t="s">
        <v>253</v>
      </c>
      <c r="R2317" s="3" t="s">
        <v>78</v>
      </c>
      <c r="S2317" s="3">
        <v>20241180</v>
      </c>
      <c r="U2317" s="3" t="s">
        <v>29</v>
      </c>
    </row>
    <row r="2318" spans="1:21" ht="13.2" x14ac:dyDescent="0.25">
      <c r="A2318" s="14">
        <v>15564129000108</v>
      </c>
      <c r="B2318" s="15" t="str">
        <f t="shared" si="36"/>
        <v>15.564.129/0001-08</v>
      </c>
      <c r="C2318" s="12"/>
      <c r="D2318" s="3" t="s">
        <v>8545</v>
      </c>
      <c r="E2318" s="3" t="s">
        <v>8546</v>
      </c>
      <c r="F2318" s="3" t="s">
        <v>20</v>
      </c>
      <c r="G2318" s="4">
        <v>41050</v>
      </c>
      <c r="H2318" s="3" t="s">
        <v>21</v>
      </c>
      <c r="I2318" s="3" t="s">
        <v>33</v>
      </c>
      <c r="J2318" s="5">
        <v>100000</v>
      </c>
      <c r="K2318" s="3">
        <v>4930202</v>
      </c>
      <c r="L2318" s="3" t="s">
        <v>2603</v>
      </c>
      <c r="M2318" s="3" t="s">
        <v>8547</v>
      </c>
      <c r="N2318" s="3">
        <v>218</v>
      </c>
      <c r="O2318" s="3" t="s">
        <v>8548</v>
      </c>
      <c r="P2318" s="3" t="s">
        <v>467</v>
      </c>
      <c r="Q2318" s="3" t="s">
        <v>448</v>
      </c>
      <c r="R2318" s="3" t="s">
        <v>449</v>
      </c>
      <c r="S2318" s="3">
        <v>69028330</v>
      </c>
      <c r="T2318" s="3">
        <v>9233025750</v>
      </c>
      <c r="U2318" s="3" t="s">
        <v>29</v>
      </c>
    </row>
    <row r="2319" spans="1:21" ht="13.2" x14ac:dyDescent="0.25">
      <c r="A2319" s="14">
        <v>1608702000115</v>
      </c>
      <c r="B2319" s="15" t="str">
        <f t="shared" si="36"/>
        <v>01.608.702/0001-15</v>
      </c>
      <c r="C2319" s="12"/>
      <c r="D2319" s="3" t="s">
        <v>8549</v>
      </c>
      <c r="E2319" s="3" t="s">
        <v>8550</v>
      </c>
      <c r="F2319" s="3" t="s">
        <v>20</v>
      </c>
      <c r="G2319" s="4">
        <v>31582</v>
      </c>
      <c r="H2319" s="3" t="s">
        <v>21</v>
      </c>
      <c r="I2319" s="3" t="s">
        <v>22</v>
      </c>
      <c r="J2319" s="5">
        <v>1000000</v>
      </c>
      <c r="K2319" s="3">
        <v>1813001</v>
      </c>
      <c r="L2319" s="3" t="s">
        <v>177</v>
      </c>
      <c r="M2319" s="3" t="s">
        <v>8551</v>
      </c>
      <c r="N2319" s="3">
        <v>7</v>
      </c>
      <c r="O2319" s="3" t="s">
        <v>8552</v>
      </c>
      <c r="P2319" s="3" t="s">
        <v>1456</v>
      </c>
      <c r="Q2319" s="3" t="s">
        <v>631</v>
      </c>
      <c r="R2319" s="3" t="s">
        <v>632</v>
      </c>
      <c r="S2319" s="3">
        <v>71215370</v>
      </c>
      <c r="T2319" s="3">
        <v>6132344873</v>
      </c>
      <c r="U2319" s="3" t="s">
        <v>29</v>
      </c>
    </row>
    <row r="2320" spans="1:21" ht="13.2" x14ac:dyDescent="0.25">
      <c r="A2320" s="14">
        <v>10896293000190</v>
      </c>
      <c r="B2320" s="15" t="str">
        <f t="shared" si="36"/>
        <v>10.896.293/0001-90</v>
      </c>
      <c r="C2320" s="12"/>
      <c r="D2320" s="3" t="s">
        <v>8553</v>
      </c>
      <c r="E2320" s="3" t="s">
        <v>8554</v>
      </c>
      <c r="F2320" s="3" t="s">
        <v>20</v>
      </c>
      <c r="G2320" s="4">
        <v>39962</v>
      </c>
      <c r="H2320" s="3" t="s">
        <v>21</v>
      </c>
      <c r="I2320" s="3" t="s">
        <v>33</v>
      </c>
      <c r="J2320" s="5">
        <v>200000</v>
      </c>
      <c r="K2320" s="3">
        <v>8129000</v>
      </c>
      <c r="L2320" s="3" t="s">
        <v>3626</v>
      </c>
      <c r="M2320" s="3" t="s">
        <v>8555</v>
      </c>
      <c r="N2320" s="3">
        <v>500</v>
      </c>
      <c r="P2320" s="3" t="s">
        <v>8556</v>
      </c>
      <c r="Q2320" s="3" t="s">
        <v>3034</v>
      </c>
      <c r="R2320" s="3" t="s">
        <v>28</v>
      </c>
      <c r="S2320" s="3">
        <v>14810225</v>
      </c>
      <c r="T2320" s="3">
        <v>1632143088</v>
      </c>
      <c r="U2320" s="3" t="s">
        <v>29</v>
      </c>
    </row>
    <row r="2321" spans="1:21" ht="13.2" x14ac:dyDescent="0.25">
      <c r="A2321" s="14">
        <v>57532343000114</v>
      </c>
      <c r="B2321" s="15" t="str">
        <f t="shared" si="36"/>
        <v>57.532.343/0001-14</v>
      </c>
      <c r="C2321" s="12"/>
      <c r="D2321" s="3" t="s">
        <v>8557</v>
      </c>
      <c r="E2321" s="3" t="s">
        <v>8557</v>
      </c>
      <c r="F2321" s="3" t="s">
        <v>20</v>
      </c>
      <c r="G2321" s="4">
        <v>32511</v>
      </c>
      <c r="H2321" s="3" t="s">
        <v>21</v>
      </c>
      <c r="I2321" s="3" t="s">
        <v>33</v>
      </c>
      <c r="J2321" s="5">
        <v>23465732</v>
      </c>
      <c r="K2321" s="3">
        <v>2123800</v>
      </c>
      <c r="L2321" s="3" t="s">
        <v>2412</v>
      </c>
      <c r="M2321" s="3" t="s">
        <v>8558</v>
      </c>
      <c r="N2321" s="3">
        <v>95</v>
      </c>
      <c r="P2321" s="3" t="s">
        <v>8559</v>
      </c>
      <c r="Q2321" s="3" t="s">
        <v>2822</v>
      </c>
      <c r="R2321" s="3" t="s">
        <v>28</v>
      </c>
      <c r="S2321" s="3">
        <v>12238410</v>
      </c>
      <c r="T2321" s="3">
        <v>1232021300</v>
      </c>
      <c r="U2321" s="3" t="s">
        <v>29</v>
      </c>
    </row>
    <row r="2322" spans="1:21" ht="13.2" x14ac:dyDescent="0.25">
      <c r="A2322" s="14">
        <v>2978876000132</v>
      </c>
      <c r="B2322" s="15" t="str">
        <f t="shared" si="36"/>
        <v>02.978.876/0001-32</v>
      </c>
      <c r="C2322" s="12"/>
      <c r="D2322" s="3" t="s">
        <v>8560</v>
      </c>
      <c r="E2322" s="3" t="s">
        <v>8560</v>
      </c>
      <c r="F2322" s="3" t="s">
        <v>20</v>
      </c>
      <c r="G2322" s="4">
        <v>36137</v>
      </c>
      <c r="H2322" s="3" t="s">
        <v>21</v>
      </c>
      <c r="I2322" s="3" t="s">
        <v>47</v>
      </c>
      <c r="J2322" s="5">
        <v>800000</v>
      </c>
      <c r="K2322" s="3">
        <v>8299799</v>
      </c>
      <c r="L2322" s="3" t="s">
        <v>532</v>
      </c>
      <c r="M2322" s="3" t="s">
        <v>2952</v>
      </c>
      <c r="N2322" s="3">
        <v>278</v>
      </c>
      <c r="O2322" s="3" t="s">
        <v>8561</v>
      </c>
      <c r="P2322" s="3" t="s">
        <v>70</v>
      </c>
      <c r="Q2322" s="3" t="s">
        <v>262</v>
      </c>
      <c r="R2322" s="3" t="s">
        <v>28</v>
      </c>
      <c r="S2322" s="3">
        <v>6097090</v>
      </c>
      <c r="T2322" s="3">
        <v>1193328651</v>
      </c>
      <c r="U2322" s="3" t="s">
        <v>29</v>
      </c>
    </row>
    <row r="2323" spans="1:21" ht="13.2" x14ac:dyDescent="0.25">
      <c r="A2323" s="14">
        <v>5015149000168</v>
      </c>
      <c r="B2323" s="15" t="str">
        <f t="shared" si="36"/>
        <v>05.015.149/0001-68</v>
      </c>
      <c r="C2323" s="12"/>
      <c r="D2323" s="3" t="s">
        <v>8562</v>
      </c>
      <c r="E2323" s="3" t="s">
        <v>8563</v>
      </c>
      <c r="F2323" s="3" t="s">
        <v>20</v>
      </c>
      <c r="G2323" s="4">
        <v>37301</v>
      </c>
      <c r="H2323" s="3" t="s">
        <v>21</v>
      </c>
      <c r="I2323" s="3" t="s">
        <v>22</v>
      </c>
      <c r="J2323" s="5">
        <v>15210310</v>
      </c>
      <c r="K2323" s="3">
        <v>7739003</v>
      </c>
      <c r="L2323" s="3" t="s">
        <v>8564</v>
      </c>
      <c r="M2323" s="3" t="s">
        <v>8565</v>
      </c>
      <c r="N2323" s="3">
        <v>136</v>
      </c>
      <c r="O2323" s="3" t="s">
        <v>8566</v>
      </c>
      <c r="P2323" s="3" t="s">
        <v>7522</v>
      </c>
      <c r="Q2323" s="3" t="s">
        <v>27</v>
      </c>
      <c r="R2323" s="3" t="s">
        <v>28</v>
      </c>
      <c r="S2323" s="3">
        <v>2712130</v>
      </c>
      <c r="T2323" s="3">
        <v>1139813151</v>
      </c>
      <c r="U2323" s="3" t="s">
        <v>29</v>
      </c>
    </row>
    <row r="2324" spans="1:21" ht="13.2" x14ac:dyDescent="0.25">
      <c r="A2324" s="14">
        <v>23904788000166</v>
      </c>
      <c r="B2324" s="15" t="str">
        <f t="shared" si="36"/>
        <v>23.904.788/0001-66</v>
      </c>
      <c r="C2324" s="12"/>
      <c r="D2324" s="3" t="s">
        <v>8567</v>
      </c>
      <c r="E2324" s="3" t="s">
        <v>8568</v>
      </c>
      <c r="F2324" s="3" t="s">
        <v>20</v>
      </c>
      <c r="G2324" s="4">
        <v>42373</v>
      </c>
      <c r="H2324" s="3" t="s">
        <v>21</v>
      </c>
      <c r="I2324" s="3" t="s">
        <v>22</v>
      </c>
      <c r="J2324" s="5">
        <v>600000</v>
      </c>
      <c r="K2324" s="3">
        <v>8299799</v>
      </c>
      <c r="L2324" s="3" t="s">
        <v>532</v>
      </c>
      <c r="M2324" s="3" t="s">
        <v>1865</v>
      </c>
      <c r="N2324" s="3">
        <v>479</v>
      </c>
      <c r="O2324" s="3" t="s">
        <v>8569</v>
      </c>
      <c r="P2324" s="3" t="s">
        <v>70</v>
      </c>
      <c r="Q2324" s="3" t="s">
        <v>417</v>
      </c>
      <c r="R2324" s="3" t="s">
        <v>53</v>
      </c>
      <c r="S2324" s="3">
        <v>95170436</v>
      </c>
      <c r="T2324" s="3">
        <v>9481595000</v>
      </c>
      <c r="U2324" s="3" t="s">
        <v>29</v>
      </c>
    </row>
    <row r="2325" spans="1:21" ht="13.2" x14ac:dyDescent="0.25">
      <c r="A2325" s="14">
        <v>5857218000180</v>
      </c>
      <c r="B2325" s="15" t="str">
        <f t="shared" si="36"/>
        <v>05.857.218/0001-80</v>
      </c>
      <c r="C2325" s="12" t="str">
        <f>VLOOKUP(B2325,[1]Planilha1!$A:$B,2,0)</f>
        <v>Malu Montesino</v>
      </c>
      <c r="D2325" s="3" t="s">
        <v>8570</v>
      </c>
      <c r="E2325" s="3" t="s">
        <v>8571</v>
      </c>
      <c r="F2325" s="3" t="s">
        <v>20</v>
      </c>
      <c r="G2325" s="4">
        <v>37859</v>
      </c>
      <c r="H2325" s="3" t="s">
        <v>21</v>
      </c>
      <c r="I2325" s="3" t="s">
        <v>33</v>
      </c>
      <c r="J2325" s="5">
        <v>5000000</v>
      </c>
      <c r="K2325" s="3">
        <v>4645101</v>
      </c>
      <c r="L2325" s="3" t="s">
        <v>135</v>
      </c>
      <c r="M2325" s="3" t="s">
        <v>8572</v>
      </c>
      <c r="N2325" s="3">
        <v>1179</v>
      </c>
      <c r="P2325" s="3" t="s">
        <v>137</v>
      </c>
      <c r="Q2325" s="3" t="s">
        <v>27</v>
      </c>
      <c r="R2325" s="3" t="s">
        <v>28</v>
      </c>
      <c r="S2325" s="3">
        <v>5036001</v>
      </c>
      <c r="T2325" s="3">
        <v>1138298040</v>
      </c>
      <c r="U2325" s="3" t="s">
        <v>29</v>
      </c>
    </row>
    <row r="2326" spans="1:21" ht="13.2" x14ac:dyDescent="0.25">
      <c r="A2326" s="14">
        <v>16670085000155</v>
      </c>
      <c r="B2326" s="15" t="str">
        <f t="shared" si="36"/>
        <v>16.670.085/0001-55</v>
      </c>
      <c r="C2326" s="12" t="str">
        <f>VLOOKUP(B2326,[1]Planilha1!$A:$B,2,0)</f>
        <v>Malu Montesino</v>
      </c>
      <c r="D2326" s="3" t="s">
        <v>8573</v>
      </c>
      <c r="E2326" s="3" t="s">
        <v>8573</v>
      </c>
      <c r="F2326" s="3" t="s">
        <v>20</v>
      </c>
      <c r="G2326" s="4">
        <v>26935</v>
      </c>
      <c r="H2326" s="3" t="s">
        <v>377</v>
      </c>
      <c r="I2326" s="3" t="s">
        <v>33</v>
      </c>
      <c r="J2326" s="5">
        <v>17908250000</v>
      </c>
      <c r="K2326" s="3">
        <v>7711000</v>
      </c>
      <c r="L2326" s="3" t="s">
        <v>2763</v>
      </c>
      <c r="M2326" s="3" t="s">
        <v>8574</v>
      </c>
      <c r="N2326" s="3">
        <v>377</v>
      </c>
      <c r="P2326" s="3" t="s">
        <v>2345</v>
      </c>
      <c r="Q2326" s="3" t="s">
        <v>476</v>
      </c>
      <c r="R2326" s="3" t="s">
        <v>100</v>
      </c>
      <c r="S2326" s="3">
        <v>31150000</v>
      </c>
      <c r="T2326" s="3">
        <v>3123237160</v>
      </c>
      <c r="U2326" s="3" t="s">
        <v>29</v>
      </c>
    </row>
    <row r="2327" spans="1:21" ht="13.2" x14ac:dyDescent="0.25">
      <c r="A2327" s="14">
        <v>14668485000109</v>
      </c>
      <c r="B2327" s="15" t="str">
        <f t="shared" si="36"/>
        <v>14.668.485/0001-09</v>
      </c>
      <c r="C2327" s="12"/>
      <c r="D2327" s="3" t="s">
        <v>8575</v>
      </c>
      <c r="E2327" s="3" t="s">
        <v>8575</v>
      </c>
      <c r="F2327" s="3" t="s">
        <v>20</v>
      </c>
      <c r="G2327" s="4">
        <v>40843</v>
      </c>
      <c r="H2327" s="3" t="s">
        <v>94</v>
      </c>
      <c r="I2327" s="3" t="s">
        <v>33</v>
      </c>
      <c r="J2327" s="5" t="s">
        <v>8576</v>
      </c>
      <c r="K2327" s="3">
        <v>8299799</v>
      </c>
      <c r="L2327" s="3" t="s">
        <v>532</v>
      </c>
      <c r="M2327" s="3" t="s">
        <v>2340</v>
      </c>
      <c r="N2327" s="3">
        <v>1461</v>
      </c>
      <c r="O2327" s="3" t="s">
        <v>8577</v>
      </c>
      <c r="P2327" s="3" t="s">
        <v>545</v>
      </c>
      <c r="Q2327" s="3" t="s">
        <v>27</v>
      </c>
      <c r="R2327" s="3" t="s">
        <v>28</v>
      </c>
      <c r="S2327" s="3">
        <v>1452921</v>
      </c>
      <c r="T2327" s="3">
        <v>1130630117</v>
      </c>
      <c r="U2327" s="3" t="s">
        <v>29</v>
      </c>
    </row>
    <row r="2328" spans="1:21" ht="13.2" x14ac:dyDescent="0.25">
      <c r="A2328" s="14">
        <v>12255403000160</v>
      </c>
      <c r="B2328" s="15" t="str">
        <f t="shared" si="36"/>
        <v>12.255.403/0001-60</v>
      </c>
      <c r="C2328" s="12" t="str">
        <f>VLOOKUP(B2328,[1]Planilha1!$A:$B,2,0)</f>
        <v>Mariane Nascimento</v>
      </c>
      <c r="D2328" s="3" t="s">
        <v>8578</v>
      </c>
      <c r="E2328" s="3" t="s">
        <v>8578</v>
      </c>
      <c r="F2328" s="3" t="s">
        <v>20</v>
      </c>
      <c r="G2328" s="4">
        <v>40379</v>
      </c>
      <c r="H2328" s="3" t="s">
        <v>21</v>
      </c>
      <c r="I2328" s="3" t="s">
        <v>33</v>
      </c>
      <c r="J2328" s="5">
        <v>10050000</v>
      </c>
      <c r="K2328" s="3">
        <v>4664800</v>
      </c>
      <c r="L2328" s="3" t="s">
        <v>691</v>
      </c>
      <c r="M2328" s="3" t="s">
        <v>8579</v>
      </c>
      <c r="N2328" s="3">
        <v>115</v>
      </c>
      <c r="O2328" s="3" t="s">
        <v>8580</v>
      </c>
      <c r="P2328" s="3" t="s">
        <v>153</v>
      </c>
      <c r="Q2328" s="3" t="s">
        <v>536</v>
      </c>
      <c r="R2328" s="3" t="s">
        <v>91</v>
      </c>
      <c r="S2328" s="3">
        <v>88104745</v>
      </c>
      <c r="T2328" s="3">
        <v>4891621236</v>
      </c>
      <c r="U2328" s="3" t="s">
        <v>29</v>
      </c>
    </row>
    <row r="2329" spans="1:21" ht="13.2" x14ac:dyDescent="0.25">
      <c r="A2329" s="14">
        <v>35474949000370</v>
      </c>
      <c r="B2329" s="15" t="str">
        <f t="shared" si="36"/>
        <v>35.474.949/0003-70</v>
      </c>
      <c r="C2329" s="12"/>
      <c r="D2329" s="3" t="s">
        <v>8581</v>
      </c>
      <c r="E2329" s="3" t="s">
        <v>8582</v>
      </c>
      <c r="F2329" s="3" t="s">
        <v>20</v>
      </c>
      <c r="G2329" s="4">
        <v>37480</v>
      </c>
      <c r="H2329" s="3" t="s">
        <v>21</v>
      </c>
      <c r="I2329" s="3" t="s">
        <v>33</v>
      </c>
      <c r="J2329" s="5">
        <v>69176000</v>
      </c>
      <c r="K2329" s="3">
        <v>3702900</v>
      </c>
      <c r="L2329" s="3" t="s">
        <v>3447</v>
      </c>
      <c r="M2329" s="3" t="s">
        <v>246</v>
      </c>
      <c r="N2329" s="3">
        <v>1471</v>
      </c>
      <c r="O2329" s="3" t="s">
        <v>8583</v>
      </c>
      <c r="P2329" s="3" t="s">
        <v>248</v>
      </c>
      <c r="Q2329" s="3" t="s">
        <v>27</v>
      </c>
      <c r="R2329" s="3" t="s">
        <v>28</v>
      </c>
      <c r="S2329" s="3">
        <v>1311200</v>
      </c>
      <c r="T2329" s="3">
        <v>8121272504</v>
      </c>
      <c r="U2329" s="3" t="s">
        <v>29</v>
      </c>
    </row>
    <row r="2330" spans="1:21" ht="13.2" x14ac:dyDescent="0.25">
      <c r="A2330" s="14">
        <v>5094718000108</v>
      </c>
      <c r="B2330" s="15" t="str">
        <f t="shared" si="36"/>
        <v>05.094.718/0001-08</v>
      </c>
      <c r="C2330" s="12"/>
      <c r="D2330" s="3" t="s">
        <v>8584</v>
      </c>
      <c r="E2330" s="3" t="s">
        <v>8585</v>
      </c>
      <c r="F2330" s="3" t="s">
        <v>20</v>
      </c>
      <c r="G2330" s="4">
        <v>37393</v>
      </c>
      <c r="H2330" s="3" t="s">
        <v>21</v>
      </c>
      <c r="I2330" s="3" t="s">
        <v>33</v>
      </c>
      <c r="J2330" s="5">
        <v>3500000</v>
      </c>
      <c r="K2330" s="3">
        <v>2670101</v>
      </c>
      <c r="L2330" s="3" t="s">
        <v>8586</v>
      </c>
      <c r="M2330" s="3" t="s">
        <v>8587</v>
      </c>
      <c r="N2330" s="3">
        <v>820</v>
      </c>
      <c r="O2330" s="3" t="s">
        <v>8588</v>
      </c>
      <c r="P2330" s="3" t="s">
        <v>8589</v>
      </c>
      <c r="Q2330" s="3" t="s">
        <v>688</v>
      </c>
      <c r="R2330" s="3" t="s">
        <v>28</v>
      </c>
      <c r="S2330" s="3">
        <v>6715865</v>
      </c>
      <c r="T2330" s="3">
        <v>1155143290</v>
      </c>
      <c r="U2330" s="3" t="s">
        <v>29</v>
      </c>
    </row>
    <row r="2331" spans="1:21" ht="13.2" x14ac:dyDescent="0.25">
      <c r="A2331" s="14">
        <v>46941582000101</v>
      </c>
      <c r="B2331" s="15" t="str">
        <f t="shared" si="36"/>
        <v>46.941.582/0001-01</v>
      </c>
      <c r="C2331" s="12" t="str">
        <f>VLOOKUP(B2331,[1]Planilha1!$A:$B,2,0)</f>
        <v>Malu Montesino</v>
      </c>
      <c r="D2331" s="3" t="s">
        <v>8590</v>
      </c>
      <c r="E2331" s="3" t="s">
        <v>8591</v>
      </c>
      <c r="F2331" s="3" t="s">
        <v>20</v>
      </c>
      <c r="G2331" s="4">
        <v>44740</v>
      </c>
      <c r="H2331" s="3" t="s">
        <v>21</v>
      </c>
      <c r="I2331" s="3" t="s">
        <v>33</v>
      </c>
      <c r="J2331" s="5">
        <v>10000000</v>
      </c>
      <c r="K2331" s="3">
        <v>2854200</v>
      </c>
      <c r="L2331" s="3" t="s">
        <v>5124</v>
      </c>
      <c r="M2331" s="3" t="s">
        <v>4258</v>
      </c>
      <c r="N2331" s="3">
        <v>258</v>
      </c>
      <c r="P2331" s="3" t="s">
        <v>4259</v>
      </c>
      <c r="Q2331" s="3" t="s">
        <v>125</v>
      </c>
      <c r="R2331" s="3" t="s">
        <v>91</v>
      </c>
      <c r="S2331" s="3">
        <v>88810500</v>
      </c>
      <c r="T2331" s="3">
        <v>4821025164</v>
      </c>
      <c r="U2331" s="3" t="s">
        <v>29</v>
      </c>
    </row>
    <row r="2332" spans="1:21" ht="13.2" x14ac:dyDescent="0.25">
      <c r="A2332" s="14">
        <v>4238951000154</v>
      </c>
      <c r="B2332" s="15" t="str">
        <f t="shared" si="36"/>
        <v>04.238.951/0001-54</v>
      </c>
      <c r="C2332" s="12" t="str">
        <f>VLOOKUP(B2332,[1]Planilha1!$A:$B,2,0)</f>
        <v>Malu Montesino</v>
      </c>
      <c r="D2332" s="3" t="s">
        <v>8592</v>
      </c>
      <c r="E2332" s="3" t="s">
        <v>8593</v>
      </c>
      <c r="F2332" s="3" t="s">
        <v>20</v>
      </c>
      <c r="G2332" s="4">
        <v>36901</v>
      </c>
      <c r="H2332" s="3" t="s">
        <v>21</v>
      </c>
      <c r="I2332" s="3" t="s">
        <v>33</v>
      </c>
      <c r="J2332" s="5">
        <v>300000</v>
      </c>
      <c r="K2332" s="3">
        <v>7739002</v>
      </c>
      <c r="L2332" s="3" t="s">
        <v>3639</v>
      </c>
      <c r="M2332" s="3" t="s">
        <v>3840</v>
      </c>
      <c r="N2332" s="3">
        <v>425</v>
      </c>
      <c r="P2332" s="3" t="s">
        <v>3842</v>
      </c>
      <c r="Q2332" s="3" t="s">
        <v>667</v>
      </c>
      <c r="R2332" s="3" t="s">
        <v>301</v>
      </c>
      <c r="S2332" s="3">
        <v>60842120</v>
      </c>
      <c r="T2332" s="3">
        <v>8530332727</v>
      </c>
      <c r="U2332" s="3" t="s">
        <v>29</v>
      </c>
    </row>
    <row r="2333" spans="1:21" ht="13.2" x14ac:dyDescent="0.25">
      <c r="A2333" s="14">
        <v>7032886000102</v>
      </c>
      <c r="B2333" s="15" t="str">
        <f t="shared" si="36"/>
        <v>07.032.886/0001-02</v>
      </c>
      <c r="C2333" s="12" t="str">
        <f>VLOOKUP(B2333,[1]Planilha1!$A:$B,2,0)</f>
        <v>Malu Montesino</v>
      </c>
      <c r="D2333" s="3" t="s">
        <v>8594</v>
      </c>
      <c r="E2333" s="3" t="s">
        <v>8594</v>
      </c>
      <c r="F2333" s="3" t="s">
        <v>20</v>
      </c>
      <c r="G2333" s="4">
        <v>38252</v>
      </c>
      <c r="H2333" s="3" t="s">
        <v>94</v>
      </c>
      <c r="I2333" s="3" t="s">
        <v>33</v>
      </c>
      <c r="J2333" s="5">
        <v>60650000</v>
      </c>
      <c r="K2333" s="3">
        <v>3811400</v>
      </c>
      <c r="L2333" s="3" t="s">
        <v>1243</v>
      </c>
      <c r="M2333" s="3" t="s">
        <v>8595</v>
      </c>
      <c r="N2333" s="3">
        <v>221</v>
      </c>
      <c r="P2333" s="3" t="s">
        <v>4571</v>
      </c>
      <c r="Q2333" s="3" t="s">
        <v>27</v>
      </c>
      <c r="R2333" s="3" t="s">
        <v>28</v>
      </c>
      <c r="S2333" s="3">
        <v>5348010</v>
      </c>
      <c r="T2333" s="3">
        <v>1131243500</v>
      </c>
      <c r="U2333" s="3" t="s">
        <v>29</v>
      </c>
    </row>
    <row r="2334" spans="1:21" ht="13.2" x14ac:dyDescent="0.25">
      <c r="A2334" s="14">
        <v>6016215000187</v>
      </c>
      <c r="B2334" s="15" t="str">
        <f t="shared" si="36"/>
        <v>06.016.215/0001-87</v>
      </c>
      <c r="C2334" s="12"/>
      <c r="D2334" s="3" t="s">
        <v>8596</v>
      </c>
      <c r="E2334" s="3" t="s">
        <v>8596</v>
      </c>
      <c r="F2334" s="3" t="s">
        <v>20</v>
      </c>
      <c r="G2334" s="4">
        <v>37949</v>
      </c>
      <c r="H2334" s="3" t="s">
        <v>21</v>
      </c>
      <c r="I2334" s="3" t="s">
        <v>33</v>
      </c>
      <c r="J2334" s="5">
        <v>25650000</v>
      </c>
      <c r="K2334" s="3">
        <v>4633802</v>
      </c>
      <c r="L2334" s="3" t="s">
        <v>8597</v>
      </c>
      <c r="M2334" s="3" t="s">
        <v>8598</v>
      </c>
      <c r="N2334" s="3">
        <v>670</v>
      </c>
      <c r="O2334" s="3" t="s">
        <v>1014</v>
      </c>
      <c r="P2334" s="3" t="s">
        <v>70</v>
      </c>
      <c r="Q2334" s="3" t="s">
        <v>8529</v>
      </c>
      <c r="R2334" s="3" t="s">
        <v>28</v>
      </c>
      <c r="S2334" s="3">
        <v>15440000</v>
      </c>
      <c r="T2334" s="3">
        <v>1732625000</v>
      </c>
      <c r="U2334" s="3" t="s">
        <v>29</v>
      </c>
    </row>
    <row r="2335" spans="1:21" ht="13.2" x14ac:dyDescent="0.25">
      <c r="A2335" s="14">
        <v>27061442000102</v>
      </c>
      <c r="B2335" s="15" t="str">
        <f t="shared" si="36"/>
        <v>27.061.442/0001-02</v>
      </c>
      <c r="C2335" s="12" t="str">
        <f>VLOOKUP(B2335,[1]Planilha1!$A:$B,2,0)</f>
        <v>Malu Montesino</v>
      </c>
      <c r="D2335" s="3" t="s">
        <v>8599</v>
      </c>
      <c r="E2335" s="3" t="s">
        <v>8599</v>
      </c>
      <c r="F2335" s="3" t="s">
        <v>20</v>
      </c>
      <c r="G2335" s="4">
        <v>42774</v>
      </c>
      <c r="H2335" s="3" t="s">
        <v>21</v>
      </c>
      <c r="I2335" s="3" t="s">
        <v>33</v>
      </c>
      <c r="J2335" s="5">
        <v>13109000</v>
      </c>
      <c r="K2335" s="3">
        <v>4789099</v>
      </c>
      <c r="L2335" s="3" t="s">
        <v>774</v>
      </c>
      <c r="M2335" s="3" t="s">
        <v>8600</v>
      </c>
      <c r="N2335" s="3">
        <v>1500</v>
      </c>
      <c r="P2335" s="3" t="s">
        <v>7726</v>
      </c>
      <c r="Q2335" s="3" t="s">
        <v>6863</v>
      </c>
      <c r="R2335" s="3" t="s">
        <v>100</v>
      </c>
      <c r="S2335" s="3">
        <v>37545000</v>
      </c>
      <c r="T2335" s="3">
        <v>3534733120</v>
      </c>
      <c r="U2335" s="3" t="s">
        <v>29</v>
      </c>
    </row>
    <row r="2336" spans="1:21" ht="13.2" x14ac:dyDescent="0.25">
      <c r="A2336" s="14">
        <v>4784711000155</v>
      </c>
      <c r="B2336" s="15" t="str">
        <f t="shared" si="36"/>
        <v>04.784.711/0001-55</v>
      </c>
      <c r="C2336" s="12" t="str">
        <f>VLOOKUP(B2336,[1]Planilha1!$A:$B,2,0)</f>
        <v>Malu Montesino</v>
      </c>
      <c r="D2336" s="3" t="s">
        <v>8601</v>
      </c>
      <c r="E2336" s="3" t="s">
        <v>8601</v>
      </c>
      <c r="F2336" s="3" t="s">
        <v>20</v>
      </c>
      <c r="G2336" s="4">
        <v>37203</v>
      </c>
      <c r="H2336" s="3" t="s">
        <v>21</v>
      </c>
      <c r="I2336" s="3" t="s">
        <v>33</v>
      </c>
      <c r="J2336" s="5">
        <v>10000000</v>
      </c>
      <c r="K2336" s="3">
        <v>2229399</v>
      </c>
      <c r="L2336" s="3" t="s">
        <v>414</v>
      </c>
      <c r="M2336" s="3" t="s">
        <v>8602</v>
      </c>
      <c r="N2336" s="3">
        <v>200</v>
      </c>
      <c r="P2336" s="3" t="s">
        <v>4917</v>
      </c>
      <c r="Q2336" s="3" t="s">
        <v>4612</v>
      </c>
      <c r="R2336" s="3" t="s">
        <v>100</v>
      </c>
      <c r="S2336" s="3">
        <v>32450000</v>
      </c>
      <c r="T2336" s="3">
        <v>3135770300</v>
      </c>
      <c r="U2336" s="3" t="s">
        <v>29</v>
      </c>
    </row>
    <row r="2337" spans="1:21" ht="13.2" x14ac:dyDescent="0.25">
      <c r="A2337" s="14">
        <v>42972345000157</v>
      </c>
      <c r="B2337" s="15" t="str">
        <f t="shared" si="36"/>
        <v>42.972.345/0001-57</v>
      </c>
      <c r="C2337" s="12" t="str">
        <f>VLOOKUP(B2337,[1]Planilha1!$A:$B,2,0)</f>
        <v>Mariane Nascimento</v>
      </c>
      <c r="D2337" s="3" t="s">
        <v>8603</v>
      </c>
      <c r="E2337" s="3" t="s">
        <v>8603</v>
      </c>
      <c r="F2337" s="3" t="s">
        <v>20</v>
      </c>
      <c r="G2337" s="4">
        <v>44411</v>
      </c>
      <c r="H2337" s="3" t="s">
        <v>21</v>
      </c>
      <c r="I2337" s="3" t="s">
        <v>47</v>
      </c>
      <c r="J2337" s="5">
        <v>400000</v>
      </c>
      <c r="K2337" s="3">
        <v>8211300</v>
      </c>
      <c r="L2337" s="3" t="s">
        <v>166</v>
      </c>
      <c r="M2337" s="3" t="s">
        <v>8604</v>
      </c>
      <c r="N2337" s="3">
        <v>200</v>
      </c>
      <c r="P2337" s="3" t="s">
        <v>1280</v>
      </c>
      <c r="Q2337" s="3" t="s">
        <v>65</v>
      </c>
      <c r="R2337" s="3" t="s">
        <v>28</v>
      </c>
      <c r="S2337" s="3">
        <v>13049572</v>
      </c>
      <c r="T2337" s="3">
        <v>1998045442</v>
      </c>
      <c r="U2337" s="3" t="s">
        <v>29</v>
      </c>
    </row>
    <row r="2338" spans="1:21" ht="13.2" x14ac:dyDescent="0.25">
      <c r="A2338" s="14">
        <v>20245901000150</v>
      </c>
      <c r="B2338" s="15" t="str">
        <f t="shared" si="36"/>
        <v>20.245.901/0001-50</v>
      </c>
      <c r="C2338" s="12" t="str">
        <f>VLOOKUP(B2338,[1]Planilha1!$A:$B,2,0)</f>
        <v>Malu Montesino</v>
      </c>
      <c r="D2338" s="3" t="s">
        <v>8605</v>
      </c>
      <c r="E2338" s="3" t="s">
        <v>8606</v>
      </c>
      <c r="F2338" s="3" t="s">
        <v>20</v>
      </c>
      <c r="G2338" s="4">
        <v>41772</v>
      </c>
      <c r="H2338" s="3" t="s">
        <v>21</v>
      </c>
      <c r="I2338" s="3" t="s">
        <v>33</v>
      </c>
      <c r="J2338" s="5">
        <v>159026700</v>
      </c>
      <c r="K2338" s="3">
        <v>4663000</v>
      </c>
      <c r="L2338" s="3" t="s">
        <v>128</v>
      </c>
      <c r="M2338" s="3" t="s">
        <v>2865</v>
      </c>
      <c r="N2338" s="3">
        <v>2600</v>
      </c>
      <c r="O2338" s="3" t="s">
        <v>8607</v>
      </c>
      <c r="P2338" s="3" t="s">
        <v>1983</v>
      </c>
      <c r="Q2338" s="3" t="s">
        <v>204</v>
      </c>
      <c r="R2338" s="3" t="s">
        <v>187</v>
      </c>
      <c r="S2338" s="3">
        <v>80240020</v>
      </c>
      <c r="T2338" s="3">
        <v>1151852733</v>
      </c>
      <c r="U2338" s="3" t="s">
        <v>29</v>
      </c>
    </row>
    <row r="2339" spans="1:21" ht="13.2" x14ac:dyDescent="0.25">
      <c r="A2339" s="14">
        <v>61413282000143</v>
      </c>
      <c r="B2339" s="15" t="str">
        <f t="shared" si="36"/>
        <v>61.413.282/0001-43</v>
      </c>
      <c r="C2339" s="12" t="str">
        <f>VLOOKUP(B2339,[1]Planilha1!$A:$B,2,0)</f>
        <v>Malu Montesino</v>
      </c>
      <c r="D2339" s="3" t="s">
        <v>8608</v>
      </c>
      <c r="E2339" s="3" t="s">
        <v>8608</v>
      </c>
      <c r="F2339" s="3" t="s">
        <v>20</v>
      </c>
      <c r="G2339" s="4">
        <v>24316</v>
      </c>
      <c r="H2339" s="3" t="s">
        <v>94</v>
      </c>
      <c r="I2339" s="3" t="s">
        <v>33</v>
      </c>
      <c r="J2339" s="5">
        <v>750000000</v>
      </c>
      <c r="K2339" s="3">
        <v>2759799</v>
      </c>
      <c r="L2339" s="3" t="s">
        <v>2527</v>
      </c>
      <c r="M2339" s="3" t="s">
        <v>8609</v>
      </c>
      <c r="N2339" s="3" t="s">
        <v>4000</v>
      </c>
      <c r="O2339" s="3" t="s">
        <v>8610</v>
      </c>
      <c r="P2339" s="3" t="s">
        <v>336</v>
      </c>
      <c r="Q2339" s="3" t="s">
        <v>27</v>
      </c>
      <c r="R2339" s="3" t="s">
        <v>28</v>
      </c>
      <c r="S2339" s="3">
        <v>3107901</v>
      </c>
      <c r="T2339" s="3">
        <v>1120657200</v>
      </c>
      <c r="U2339" s="3" t="s">
        <v>29</v>
      </c>
    </row>
    <row r="2340" spans="1:21" ht="13.2" x14ac:dyDescent="0.25">
      <c r="A2340" s="14">
        <v>24565827000100</v>
      </c>
      <c r="B2340" s="15" t="str">
        <f t="shared" si="36"/>
        <v>24.565.827/0001-00</v>
      </c>
      <c r="C2340" s="12"/>
      <c r="D2340" s="3" t="s">
        <v>8611</v>
      </c>
      <c r="E2340" s="3" t="s">
        <v>8612</v>
      </c>
      <c r="F2340" s="3" t="s">
        <v>20</v>
      </c>
      <c r="G2340" s="4">
        <v>42471</v>
      </c>
      <c r="H2340" s="3" t="s">
        <v>21</v>
      </c>
      <c r="I2340" s="3" t="s">
        <v>22</v>
      </c>
      <c r="J2340" s="5">
        <v>100000</v>
      </c>
      <c r="K2340" s="3">
        <v>4761003</v>
      </c>
      <c r="L2340" s="3" t="s">
        <v>2086</v>
      </c>
      <c r="M2340" s="3" t="s">
        <v>8613</v>
      </c>
      <c r="N2340" s="3">
        <v>7455</v>
      </c>
      <c r="P2340" s="3" t="s">
        <v>8614</v>
      </c>
      <c r="Q2340" s="3" t="s">
        <v>27</v>
      </c>
      <c r="R2340" s="3" t="s">
        <v>28</v>
      </c>
      <c r="S2340" s="3">
        <v>8115100</v>
      </c>
      <c r="T2340" s="3">
        <v>1125417360</v>
      </c>
      <c r="U2340" s="3" t="s">
        <v>29</v>
      </c>
    </row>
    <row r="2341" spans="1:21" ht="13.2" x14ac:dyDescent="0.25">
      <c r="A2341" s="14">
        <v>2799882000122</v>
      </c>
      <c r="B2341" s="15" t="str">
        <f t="shared" si="36"/>
        <v>02.799.882/0001-22</v>
      </c>
      <c r="C2341" s="12"/>
      <c r="D2341" s="3" t="s">
        <v>8615</v>
      </c>
      <c r="E2341" s="3" t="s">
        <v>8615</v>
      </c>
      <c r="F2341" s="3" t="s">
        <v>20</v>
      </c>
      <c r="G2341" s="4">
        <v>36062</v>
      </c>
      <c r="H2341" s="3" t="s">
        <v>21</v>
      </c>
      <c r="I2341" s="3" t="s">
        <v>33</v>
      </c>
      <c r="J2341" s="5">
        <v>0</v>
      </c>
      <c r="K2341" s="3">
        <v>2660400</v>
      </c>
      <c r="L2341" s="3" t="s">
        <v>953</v>
      </c>
      <c r="M2341" s="3" t="s">
        <v>8616</v>
      </c>
      <c r="N2341" s="3">
        <v>45</v>
      </c>
      <c r="O2341" s="3" t="s">
        <v>8617</v>
      </c>
      <c r="P2341" s="3" t="s">
        <v>8618</v>
      </c>
      <c r="Q2341" s="3" t="s">
        <v>8619</v>
      </c>
      <c r="R2341" s="3" t="s">
        <v>187</v>
      </c>
      <c r="S2341" s="3">
        <v>85503380</v>
      </c>
      <c r="T2341" s="3">
        <v>4138880281</v>
      </c>
      <c r="U2341" s="3" t="s">
        <v>29</v>
      </c>
    </row>
    <row r="2342" spans="1:21" ht="13.2" x14ac:dyDescent="0.25">
      <c r="A2342" s="14">
        <v>47067525005410</v>
      </c>
      <c r="B2342" s="15" t="str">
        <f t="shared" si="36"/>
        <v>47.067.525/0054-10</v>
      </c>
      <c r="C2342" s="12" t="str">
        <f>VLOOKUP(B2342,[1]Planilha1!$A:$B,2,0)</f>
        <v>Malu Montesino</v>
      </c>
      <c r="D2342" s="3" t="s">
        <v>8620</v>
      </c>
      <c r="E2342" s="3" t="s">
        <v>8621</v>
      </c>
      <c r="F2342" s="3" t="s">
        <v>20</v>
      </c>
      <c r="G2342" s="4">
        <v>37187</v>
      </c>
      <c r="H2342" s="3" t="s">
        <v>94</v>
      </c>
      <c r="I2342" s="3" t="s">
        <v>33</v>
      </c>
      <c r="J2342" s="5">
        <v>1645461900</v>
      </c>
      <c r="K2342" s="3">
        <v>5231102</v>
      </c>
      <c r="L2342" s="3" t="s">
        <v>7264</v>
      </c>
      <c r="M2342" s="3" t="s">
        <v>8622</v>
      </c>
      <c r="N2342" s="3" t="s">
        <v>82</v>
      </c>
      <c r="P2342" s="3" t="s">
        <v>3568</v>
      </c>
      <c r="Q2342" s="3" t="s">
        <v>5734</v>
      </c>
      <c r="R2342" s="3" t="s">
        <v>187</v>
      </c>
      <c r="S2342" s="3">
        <v>83221570</v>
      </c>
      <c r="T2342" s="3">
        <v>1321279893</v>
      </c>
      <c r="U2342" s="3" t="s">
        <v>29</v>
      </c>
    </row>
    <row r="2343" spans="1:21" ht="13.2" x14ac:dyDescent="0.25">
      <c r="A2343" s="14">
        <v>47067525000108</v>
      </c>
      <c r="B2343" s="15" t="str">
        <f t="shared" si="36"/>
        <v>47.067.525/0001-08</v>
      </c>
      <c r="C2343" s="12"/>
      <c r="D2343" s="3" t="s">
        <v>8620</v>
      </c>
      <c r="E2343" s="3" t="s">
        <v>8621</v>
      </c>
      <c r="F2343" s="3" t="s">
        <v>20</v>
      </c>
      <c r="G2343" s="4">
        <v>29851</v>
      </c>
      <c r="H2343" s="3" t="s">
        <v>94</v>
      </c>
      <c r="I2343" s="3" t="s">
        <v>33</v>
      </c>
      <c r="J2343" s="5">
        <v>1645461900</v>
      </c>
      <c r="K2343" s="3">
        <v>1041400</v>
      </c>
      <c r="L2343" s="3" t="s">
        <v>2965</v>
      </c>
      <c r="M2343" s="3" t="s">
        <v>2340</v>
      </c>
      <c r="N2343" s="3">
        <v>1355</v>
      </c>
      <c r="O2343" s="3" t="s">
        <v>8623</v>
      </c>
      <c r="P2343" s="3" t="s">
        <v>545</v>
      </c>
      <c r="Q2343" s="3" t="s">
        <v>27</v>
      </c>
      <c r="R2343" s="3" t="s">
        <v>28</v>
      </c>
      <c r="S2343" s="3">
        <v>1452919</v>
      </c>
      <c r="T2343" s="3">
        <v>1130397160</v>
      </c>
      <c r="U2343" s="3" t="s">
        <v>29</v>
      </c>
    </row>
    <row r="2344" spans="1:21" ht="13.2" x14ac:dyDescent="0.25">
      <c r="A2344" s="14">
        <v>22966452000165</v>
      </c>
      <c r="B2344" s="15" t="str">
        <f t="shared" si="36"/>
        <v>22.966.452/0001-65</v>
      </c>
      <c r="C2344" s="12"/>
      <c r="D2344" s="3" t="s">
        <v>8624</v>
      </c>
      <c r="E2344" s="3" t="s">
        <v>8625</v>
      </c>
      <c r="F2344" s="3" t="s">
        <v>45</v>
      </c>
      <c r="G2344" s="4">
        <v>42214</v>
      </c>
      <c r="H2344" s="3" t="s">
        <v>21</v>
      </c>
      <c r="I2344" s="3" t="s">
        <v>47</v>
      </c>
      <c r="J2344" s="5">
        <v>93700</v>
      </c>
      <c r="K2344" s="3">
        <v>9521500</v>
      </c>
      <c r="L2344" s="3" t="s">
        <v>1223</v>
      </c>
      <c r="M2344" s="3" t="s">
        <v>8626</v>
      </c>
      <c r="N2344" s="3">
        <v>21</v>
      </c>
      <c r="P2344" s="3" t="s">
        <v>8627</v>
      </c>
      <c r="Q2344" s="3" t="s">
        <v>3266</v>
      </c>
      <c r="R2344" s="3" t="s">
        <v>28</v>
      </c>
      <c r="S2344" s="3">
        <v>12502220</v>
      </c>
      <c r="T2344" s="3">
        <v>1231335565</v>
      </c>
      <c r="U2344" s="3" t="s">
        <v>29</v>
      </c>
    </row>
    <row r="2345" spans="1:21" ht="13.2" x14ac:dyDescent="0.25">
      <c r="A2345" s="14">
        <v>4057495000146</v>
      </c>
      <c r="B2345" s="15" t="str">
        <f t="shared" si="36"/>
        <v>04.057.495/0001-46</v>
      </c>
      <c r="C2345" s="12"/>
      <c r="D2345" s="3" t="s">
        <v>8628</v>
      </c>
      <c r="E2345" s="3" t="s">
        <v>8628</v>
      </c>
      <c r="F2345" s="3" t="s">
        <v>20</v>
      </c>
      <c r="G2345" s="4">
        <v>36790</v>
      </c>
      <c r="H2345" s="3" t="s">
        <v>94</v>
      </c>
      <c r="I2345" s="3" t="s">
        <v>33</v>
      </c>
      <c r="J2345" s="5">
        <v>60000000</v>
      </c>
      <c r="K2345" s="3">
        <v>8299799</v>
      </c>
      <c r="L2345" s="3" t="s">
        <v>532</v>
      </c>
      <c r="M2345" s="3" t="s">
        <v>5333</v>
      </c>
      <c r="N2345" s="3">
        <v>1493</v>
      </c>
      <c r="O2345" s="3" t="s">
        <v>8629</v>
      </c>
      <c r="P2345" s="3" t="s">
        <v>1019</v>
      </c>
      <c r="Q2345" s="3" t="s">
        <v>27</v>
      </c>
      <c r="R2345" s="3" t="s">
        <v>28</v>
      </c>
      <c r="S2345" s="3">
        <v>4571011</v>
      </c>
      <c r="T2345" s="3">
        <v>1142255800</v>
      </c>
      <c r="U2345" s="3" t="s">
        <v>29</v>
      </c>
    </row>
    <row r="2346" spans="1:21" ht="13.2" x14ac:dyDescent="0.25">
      <c r="A2346" s="14">
        <v>46833351000184</v>
      </c>
      <c r="B2346" s="15" t="str">
        <f t="shared" si="36"/>
        <v>46.833.351/0001-84</v>
      </c>
      <c r="C2346" s="12"/>
      <c r="D2346" s="3" t="s">
        <v>8630</v>
      </c>
      <c r="E2346" s="3" t="s">
        <v>8630</v>
      </c>
      <c r="F2346" s="3" t="s">
        <v>20</v>
      </c>
      <c r="G2346" s="4">
        <v>44732</v>
      </c>
      <c r="H2346" s="3" t="s">
        <v>46</v>
      </c>
      <c r="I2346" s="3" t="s">
        <v>47</v>
      </c>
      <c r="J2346" s="5">
        <v>20000</v>
      </c>
      <c r="K2346" s="3">
        <v>4322302</v>
      </c>
      <c r="L2346" s="3" t="s">
        <v>5651</v>
      </c>
      <c r="M2346" s="3" t="s">
        <v>4670</v>
      </c>
      <c r="N2346" s="3">
        <v>430</v>
      </c>
      <c r="O2346" s="3" t="s">
        <v>8631</v>
      </c>
      <c r="P2346" s="3" t="s">
        <v>8632</v>
      </c>
      <c r="Q2346" s="3" t="s">
        <v>929</v>
      </c>
      <c r="R2346" s="3" t="s">
        <v>28</v>
      </c>
      <c r="S2346" s="3">
        <v>6528605</v>
      </c>
      <c r="T2346" s="3">
        <v>1136810321</v>
      </c>
      <c r="U2346" s="3" t="s">
        <v>29</v>
      </c>
    </row>
    <row r="2347" spans="1:21" ht="13.2" x14ac:dyDescent="0.25">
      <c r="A2347" s="14">
        <v>10742589000157</v>
      </c>
      <c r="B2347" s="15" t="str">
        <f t="shared" si="36"/>
        <v>10.742.589/0001-57</v>
      </c>
      <c r="C2347" s="12"/>
      <c r="D2347" s="3" t="s">
        <v>8633</v>
      </c>
      <c r="E2347" s="3" t="s">
        <v>8633</v>
      </c>
      <c r="F2347" s="3" t="s">
        <v>20</v>
      </c>
      <c r="G2347" s="4">
        <v>39904</v>
      </c>
      <c r="H2347" s="3" t="s">
        <v>21</v>
      </c>
      <c r="I2347" s="3" t="s">
        <v>22</v>
      </c>
      <c r="J2347" s="5">
        <v>700000</v>
      </c>
      <c r="K2347" s="3">
        <v>4693100</v>
      </c>
      <c r="L2347" s="3" t="s">
        <v>238</v>
      </c>
      <c r="M2347" s="3" t="s">
        <v>8634</v>
      </c>
      <c r="N2347" s="3">
        <v>430</v>
      </c>
      <c r="O2347" s="3" t="s">
        <v>8635</v>
      </c>
      <c r="P2347" s="3" t="s">
        <v>4659</v>
      </c>
      <c r="Q2347" s="3" t="s">
        <v>27</v>
      </c>
      <c r="R2347" s="3" t="s">
        <v>28</v>
      </c>
      <c r="S2347" s="3">
        <v>2523040</v>
      </c>
      <c r="T2347" s="3">
        <v>1139511509</v>
      </c>
      <c r="U2347" s="3" t="s">
        <v>29</v>
      </c>
    </row>
    <row r="2348" spans="1:21" ht="13.2" x14ac:dyDescent="0.25">
      <c r="A2348" s="14">
        <v>61433827000183</v>
      </c>
      <c r="B2348" s="15" t="str">
        <f t="shared" si="36"/>
        <v>61.433.827/0001-83</v>
      </c>
      <c r="C2348" s="12"/>
      <c r="D2348" s="3" t="s">
        <v>8636</v>
      </c>
      <c r="E2348" s="3" t="s">
        <v>8636</v>
      </c>
      <c r="F2348" s="3" t="s">
        <v>20</v>
      </c>
      <c r="G2348" s="4">
        <v>24342</v>
      </c>
      <c r="H2348" s="3" t="s">
        <v>21</v>
      </c>
      <c r="I2348" s="3" t="s">
        <v>33</v>
      </c>
      <c r="J2348" s="5">
        <v>500000</v>
      </c>
      <c r="K2348" s="3">
        <v>9529199</v>
      </c>
      <c r="L2348" s="3" t="s">
        <v>2800</v>
      </c>
      <c r="M2348" s="3" t="s">
        <v>8637</v>
      </c>
      <c r="N2348" s="3">
        <v>257</v>
      </c>
      <c r="P2348" s="3" t="s">
        <v>7125</v>
      </c>
      <c r="Q2348" s="3" t="s">
        <v>1312</v>
      </c>
      <c r="R2348" s="3" t="s">
        <v>28</v>
      </c>
      <c r="S2348" s="3">
        <v>13312900</v>
      </c>
      <c r="T2348" s="3">
        <v>1144141700</v>
      </c>
      <c r="U2348" s="3" t="s">
        <v>29</v>
      </c>
    </row>
    <row r="2349" spans="1:21" ht="13.2" x14ac:dyDescent="0.25">
      <c r="A2349" s="14">
        <v>74196031000104</v>
      </c>
      <c r="B2349" s="15" t="str">
        <f t="shared" si="36"/>
        <v>74.196.031/0001-04</v>
      </c>
      <c r="C2349" s="12"/>
      <c r="D2349" s="3" t="s">
        <v>8638</v>
      </c>
      <c r="E2349" s="3" t="s">
        <v>8639</v>
      </c>
      <c r="F2349" s="3" t="s">
        <v>20</v>
      </c>
      <c r="G2349" s="4">
        <v>34373</v>
      </c>
      <c r="H2349" s="3" t="s">
        <v>21</v>
      </c>
      <c r="I2349" s="3" t="s">
        <v>33</v>
      </c>
      <c r="J2349" s="5">
        <v>476000</v>
      </c>
      <c r="K2349" s="3">
        <v>3250705</v>
      </c>
      <c r="L2349" s="3" t="s">
        <v>2420</v>
      </c>
      <c r="M2349" s="3" t="s">
        <v>8640</v>
      </c>
      <c r="N2349" s="3">
        <v>4111</v>
      </c>
      <c r="O2349" s="3" t="s">
        <v>8641</v>
      </c>
      <c r="P2349" s="3" t="s">
        <v>8642</v>
      </c>
      <c r="Q2349" s="3" t="s">
        <v>536</v>
      </c>
      <c r="R2349" s="3" t="s">
        <v>91</v>
      </c>
      <c r="S2349" s="3">
        <v>88122001</v>
      </c>
      <c r="T2349" s="3">
        <v>4832483632</v>
      </c>
      <c r="U2349" s="3" t="s">
        <v>29</v>
      </c>
    </row>
    <row r="2350" spans="1:21" ht="13.2" x14ac:dyDescent="0.25">
      <c r="A2350" s="14">
        <v>26431286000153</v>
      </c>
      <c r="B2350" s="15" t="str">
        <f t="shared" si="36"/>
        <v>26.431.286/0001-53</v>
      </c>
      <c r="C2350" s="12"/>
      <c r="D2350" s="3" t="s">
        <v>8643</v>
      </c>
      <c r="E2350" s="3" t="s">
        <v>8643</v>
      </c>
      <c r="F2350" s="3" t="s">
        <v>20</v>
      </c>
      <c r="G2350" s="4">
        <v>42669</v>
      </c>
      <c r="H2350" s="3" t="s">
        <v>8644</v>
      </c>
      <c r="I2350" s="3" t="s">
        <v>33</v>
      </c>
      <c r="J2350" s="5">
        <v>0</v>
      </c>
      <c r="K2350" s="3">
        <v>131800</v>
      </c>
      <c r="L2350" s="3" t="s">
        <v>8645</v>
      </c>
      <c r="M2350" s="3" t="s">
        <v>8183</v>
      </c>
      <c r="N2350" s="3" t="s">
        <v>82</v>
      </c>
      <c r="P2350" s="3" t="s">
        <v>8183</v>
      </c>
      <c r="Q2350" s="3" t="s">
        <v>854</v>
      </c>
      <c r="R2350" s="3" t="s">
        <v>28</v>
      </c>
      <c r="S2350" s="3">
        <v>13480970</v>
      </c>
      <c r="T2350" s="3">
        <v>1997252323</v>
      </c>
      <c r="U2350" s="3" t="s">
        <v>29</v>
      </c>
    </row>
    <row r="2351" spans="1:21" ht="13.2" x14ac:dyDescent="0.25">
      <c r="A2351" s="14">
        <v>53056790000193</v>
      </c>
      <c r="B2351" s="15" t="str">
        <f t="shared" si="36"/>
        <v>53.056.790/0001-93</v>
      </c>
      <c r="C2351" s="12"/>
      <c r="D2351" s="3" t="s">
        <v>8646</v>
      </c>
      <c r="E2351" s="3" t="s">
        <v>8646</v>
      </c>
      <c r="F2351" s="3" t="s">
        <v>20</v>
      </c>
      <c r="G2351" s="4">
        <v>45260</v>
      </c>
      <c r="H2351" s="3" t="s">
        <v>8647</v>
      </c>
      <c r="I2351" s="3" t="s">
        <v>33</v>
      </c>
      <c r="J2351" s="5">
        <v>5000</v>
      </c>
      <c r="K2351" s="3">
        <v>6911701</v>
      </c>
      <c r="L2351" s="3" t="s">
        <v>1551</v>
      </c>
      <c r="M2351" s="3" t="s">
        <v>8648</v>
      </c>
      <c r="N2351" s="3">
        <v>500</v>
      </c>
      <c r="O2351" s="3" t="s">
        <v>8649</v>
      </c>
      <c r="P2351" s="3" t="s">
        <v>2642</v>
      </c>
      <c r="Q2351" s="3" t="s">
        <v>437</v>
      </c>
      <c r="R2351" s="3" t="s">
        <v>53</v>
      </c>
      <c r="S2351" s="3">
        <v>90670040</v>
      </c>
      <c r="T2351" s="3">
        <v>5191794833</v>
      </c>
      <c r="U2351" s="3" t="s">
        <v>29</v>
      </c>
    </row>
    <row r="2352" spans="1:21" ht="13.2" x14ac:dyDescent="0.25">
      <c r="A2352" s="14">
        <v>5652247000106</v>
      </c>
      <c r="B2352" s="15" t="str">
        <f t="shared" si="36"/>
        <v>05.652.247/0001-06</v>
      </c>
      <c r="C2352" s="12"/>
      <c r="D2352" s="3" t="s">
        <v>8650</v>
      </c>
      <c r="E2352" s="3" t="s">
        <v>8651</v>
      </c>
      <c r="F2352" s="3" t="s">
        <v>20</v>
      </c>
      <c r="G2352" s="4">
        <v>37722</v>
      </c>
      <c r="H2352" s="3" t="s">
        <v>21</v>
      </c>
      <c r="I2352" s="3" t="s">
        <v>33</v>
      </c>
      <c r="J2352" s="5">
        <v>1100000</v>
      </c>
      <c r="K2352" s="3">
        <v>7739002</v>
      </c>
      <c r="L2352" s="3" t="s">
        <v>3639</v>
      </c>
      <c r="M2352" s="3" t="s">
        <v>1467</v>
      </c>
      <c r="N2352" s="3">
        <v>3005</v>
      </c>
      <c r="O2352" s="3" t="s">
        <v>8652</v>
      </c>
      <c r="P2352" s="3" t="s">
        <v>8653</v>
      </c>
      <c r="Q2352" s="3" t="s">
        <v>471</v>
      </c>
      <c r="R2352" s="3" t="s">
        <v>28</v>
      </c>
      <c r="S2352" s="3">
        <v>9581680</v>
      </c>
      <c r="T2352" s="3">
        <v>1137750800</v>
      </c>
      <c r="U2352" s="3" t="s">
        <v>29</v>
      </c>
    </row>
    <row r="2353" spans="1:21" ht="13.2" x14ac:dyDescent="0.25">
      <c r="A2353" s="14">
        <v>29898000120</v>
      </c>
      <c r="B2353" s="15" t="str">
        <f t="shared" si="36"/>
        <v>00.029.898/0001-20</v>
      </c>
      <c r="C2353" s="12" t="str">
        <f>VLOOKUP(B2353,[1]Planilha1!$A:$B,2,0)</f>
        <v>Malu Montesino</v>
      </c>
      <c r="D2353" s="3" t="s">
        <v>8654</v>
      </c>
      <c r="E2353" s="3" t="s">
        <v>8654</v>
      </c>
      <c r="F2353" s="3" t="s">
        <v>20</v>
      </c>
      <c r="G2353" s="4">
        <v>34564</v>
      </c>
      <c r="H2353" s="3" t="s">
        <v>21</v>
      </c>
      <c r="I2353" s="3" t="s">
        <v>33</v>
      </c>
      <c r="J2353" s="5">
        <v>500000</v>
      </c>
      <c r="K2353" s="3">
        <v>2223400</v>
      </c>
      <c r="L2353" s="3" t="s">
        <v>868</v>
      </c>
      <c r="M2353" s="3" t="s">
        <v>8655</v>
      </c>
      <c r="N2353" s="3">
        <v>375</v>
      </c>
      <c r="P2353" s="3" t="s">
        <v>8656</v>
      </c>
      <c r="Q2353" s="3" t="s">
        <v>2406</v>
      </c>
      <c r="R2353" s="3" t="s">
        <v>28</v>
      </c>
      <c r="S2353" s="3">
        <v>13571512</v>
      </c>
      <c r="T2353" s="3">
        <v>1633638000</v>
      </c>
      <c r="U2353" s="3" t="s">
        <v>29</v>
      </c>
    </row>
    <row r="2354" spans="1:21" ht="13.2" x14ac:dyDescent="0.25">
      <c r="A2354" s="14">
        <v>78453669000126</v>
      </c>
      <c r="B2354" s="15" t="str">
        <f t="shared" si="36"/>
        <v>78.453.669/0001-26</v>
      </c>
      <c r="C2354" s="12"/>
      <c r="D2354" s="3" t="s">
        <v>8657</v>
      </c>
      <c r="E2354" s="3" t="s">
        <v>8657</v>
      </c>
      <c r="F2354" s="3" t="s">
        <v>20</v>
      </c>
      <c r="G2354" s="4">
        <v>30911</v>
      </c>
      <c r="H2354" s="3" t="s">
        <v>21</v>
      </c>
      <c r="I2354" s="3" t="s">
        <v>33</v>
      </c>
      <c r="J2354" s="5">
        <v>18841000</v>
      </c>
      <c r="K2354" s="3">
        <v>4511101</v>
      </c>
      <c r="L2354" s="3" t="s">
        <v>1870</v>
      </c>
      <c r="M2354" s="3" t="s">
        <v>8658</v>
      </c>
      <c r="N2354" s="3">
        <v>1607</v>
      </c>
      <c r="O2354" s="3" t="s">
        <v>8659</v>
      </c>
      <c r="P2354" s="3" t="s">
        <v>950</v>
      </c>
      <c r="Q2354" s="3" t="s">
        <v>186</v>
      </c>
      <c r="R2354" s="3" t="s">
        <v>187</v>
      </c>
      <c r="S2354" s="3">
        <v>83040300</v>
      </c>
      <c r="T2354" s="3">
        <v>4133818000</v>
      </c>
      <c r="U2354" s="3" t="s">
        <v>29</v>
      </c>
    </row>
    <row r="2355" spans="1:21" ht="13.2" x14ac:dyDescent="0.25">
      <c r="A2355" s="14">
        <v>3615454000165</v>
      </c>
      <c r="B2355" s="15" t="str">
        <f t="shared" si="36"/>
        <v>03.615.454/0001-65</v>
      </c>
      <c r="C2355" s="12"/>
      <c r="D2355" s="3" t="s">
        <v>8660</v>
      </c>
      <c r="E2355" s="3" t="s">
        <v>8660</v>
      </c>
      <c r="F2355" s="3" t="s">
        <v>20</v>
      </c>
      <c r="G2355" s="4">
        <v>36545</v>
      </c>
      <c r="H2355" s="3" t="s">
        <v>21</v>
      </c>
      <c r="I2355" s="3" t="s">
        <v>22</v>
      </c>
      <c r="J2355" s="5">
        <v>100000</v>
      </c>
      <c r="K2355" s="3">
        <v>4751201</v>
      </c>
      <c r="L2355" s="3" t="s">
        <v>23</v>
      </c>
      <c r="M2355" s="3" t="s">
        <v>8661</v>
      </c>
      <c r="N2355" s="3">
        <v>67</v>
      </c>
      <c r="P2355" s="3" t="s">
        <v>8662</v>
      </c>
      <c r="Q2355" s="3" t="s">
        <v>262</v>
      </c>
      <c r="R2355" s="3" t="s">
        <v>28</v>
      </c>
      <c r="S2355" s="3">
        <v>6040010</v>
      </c>
      <c r="T2355" s="3">
        <v>1135353850</v>
      </c>
      <c r="U2355" s="3" t="s">
        <v>29</v>
      </c>
    </row>
    <row r="2356" spans="1:21" ht="13.2" x14ac:dyDescent="0.25">
      <c r="A2356" s="14">
        <v>14273768000143</v>
      </c>
      <c r="B2356" s="15" t="str">
        <f t="shared" si="36"/>
        <v>14.273.768/0001-43</v>
      </c>
      <c r="C2356" s="12"/>
      <c r="D2356" s="3" t="s">
        <v>8663</v>
      </c>
      <c r="E2356" s="3" t="s">
        <v>8664</v>
      </c>
      <c r="F2356" s="3" t="s">
        <v>20</v>
      </c>
      <c r="G2356" s="4">
        <v>40795</v>
      </c>
      <c r="H2356" s="3" t="s">
        <v>21</v>
      </c>
      <c r="I2356" s="3" t="s">
        <v>33</v>
      </c>
      <c r="J2356" s="5">
        <v>200000</v>
      </c>
      <c r="K2356" s="3">
        <v>1413401</v>
      </c>
      <c r="L2356" s="3" t="s">
        <v>7283</v>
      </c>
      <c r="M2356" s="3" t="s">
        <v>1058</v>
      </c>
      <c r="N2356" s="3" t="s">
        <v>8665</v>
      </c>
      <c r="P2356" s="3" t="s">
        <v>1058</v>
      </c>
      <c r="Q2356" s="3" t="s">
        <v>423</v>
      </c>
      <c r="R2356" s="3" t="s">
        <v>91</v>
      </c>
      <c r="S2356" s="3">
        <v>89233001</v>
      </c>
      <c r="T2356" s="3">
        <v>4734360068</v>
      </c>
      <c r="U2356" s="3" t="s">
        <v>29</v>
      </c>
    </row>
    <row r="2357" spans="1:21" ht="13.2" x14ac:dyDescent="0.25">
      <c r="A2357" s="14">
        <v>46201083000188</v>
      </c>
      <c r="B2357" s="15" t="str">
        <f t="shared" si="36"/>
        <v>46.201.083/0001-88</v>
      </c>
      <c r="C2357" s="12"/>
      <c r="D2357" s="3" t="s">
        <v>8666</v>
      </c>
      <c r="E2357" s="3" t="s">
        <v>8666</v>
      </c>
      <c r="F2357" s="3" t="s">
        <v>20</v>
      </c>
      <c r="G2357" s="4">
        <v>27432</v>
      </c>
      <c r="H2357" s="3" t="s">
        <v>94</v>
      </c>
      <c r="I2357" s="3" t="s">
        <v>33</v>
      </c>
      <c r="J2357" s="5">
        <v>287885340</v>
      </c>
      <c r="K2357" s="3">
        <v>1922502</v>
      </c>
      <c r="L2357" s="3" t="s">
        <v>8667</v>
      </c>
      <c r="M2357" s="3" t="s">
        <v>8668</v>
      </c>
      <c r="N2357" s="3" t="s">
        <v>8669</v>
      </c>
      <c r="P2357" s="3" t="s">
        <v>2686</v>
      </c>
      <c r="Q2357" s="3" t="s">
        <v>2687</v>
      </c>
      <c r="R2357" s="3" t="s">
        <v>28</v>
      </c>
      <c r="S2357" s="3">
        <v>18685900</v>
      </c>
      <c r="T2357" s="3">
        <v>1432695000</v>
      </c>
      <c r="U2357" s="3" t="s">
        <v>29</v>
      </c>
    </row>
    <row r="2358" spans="1:21" ht="13.2" x14ac:dyDescent="0.25">
      <c r="A2358" s="14">
        <v>15336367000158</v>
      </c>
      <c r="B2358" s="15" t="str">
        <f t="shared" si="36"/>
        <v>15.336.367/0001-58</v>
      </c>
      <c r="C2358" s="12"/>
      <c r="D2358" s="3" t="s">
        <v>8670</v>
      </c>
      <c r="E2358" s="3" t="s">
        <v>8671</v>
      </c>
      <c r="F2358" s="3" t="s">
        <v>20</v>
      </c>
      <c r="G2358" s="4">
        <v>40976</v>
      </c>
      <c r="H2358" s="3" t="s">
        <v>21</v>
      </c>
      <c r="I2358" s="3" t="s">
        <v>33</v>
      </c>
      <c r="J2358" s="5">
        <v>100000</v>
      </c>
      <c r="K2358" s="3">
        <v>6204000</v>
      </c>
      <c r="L2358" s="3" t="s">
        <v>2081</v>
      </c>
      <c r="M2358" s="3" t="s">
        <v>2082</v>
      </c>
      <c r="N2358" s="3">
        <v>126</v>
      </c>
      <c r="O2358" s="3" t="s">
        <v>8672</v>
      </c>
      <c r="P2358" s="3" t="s">
        <v>1230</v>
      </c>
      <c r="Q2358" s="3" t="s">
        <v>27</v>
      </c>
      <c r="R2358" s="3" t="s">
        <v>28</v>
      </c>
      <c r="S2358" s="3">
        <v>4532060</v>
      </c>
      <c r="T2358" s="3">
        <v>1136531883</v>
      </c>
      <c r="U2358" s="3" t="s">
        <v>29</v>
      </c>
    </row>
    <row r="2359" spans="1:21" ht="13.2" x14ac:dyDescent="0.25">
      <c r="A2359" s="14">
        <v>51464012000108</v>
      </c>
      <c r="B2359" s="15" t="str">
        <f t="shared" si="36"/>
        <v>51.464.012/0001-08</v>
      </c>
      <c r="C2359" s="12" t="str">
        <f>VLOOKUP(B2359,[1]Planilha1!$A:$B,2,0)</f>
        <v>Malu Montesino</v>
      </c>
      <c r="D2359" s="3" t="s">
        <v>8673</v>
      </c>
      <c r="E2359" s="3" t="s">
        <v>8674</v>
      </c>
      <c r="F2359" s="3" t="s">
        <v>20</v>
      </c>
      <c r="G2359" s="4">
        <v>45125</v>
      </c>
      <c r="H2359" s="3" t="s">
        <v>21</v>
      </c>
      <c r="I2359" s="3" t="s">
        <v>47</v>
      </c>
      <c r="J2359" s="5">
        <v>20000</v>
      </c>
      <c r="K2359" s="3">
        <v>4120400</v>
      </c>
      <c r="L2359" s="3" t="s">
        <v>87</v>
      </c>
      <c r="M2359" s="3" t="s">
        <v>8675</v>
      </c>
      <c r="N2359" s="3">
        <v>347</v>
      </c>
      <c r="P2359" s="3" t="s">
        <v>8676</v>
      </c>
      <c r="Q2359" s="3" t="s">
        <v>556</v>
      </c>
      <c r="R2359" s="3" t="s">
        <v>301</v>
      </c>
      <c r="S2359" s="3">
        <v>61600540</v>
      </c>
      <c r="T2359" s="3">
        <v>8585462793</v>
      </c>
      <c r="U2359" s="3" t="s">
        <v>29</v>
      </c>
    </row>
    <row r="2360" spans="1:21" ht="13.2" x14ac:dyDescent="0.25">
      <c r="A2360" s="14">
        <v>7206816000115</v>
      </c>
      <c r="B2360" s="15" t="str">
        <f t="shared" si="36"/>
        <v>07.206.816/0001-15</v>
      </c>
      <c r="C2360" s="12"/>
      <c r="D2360" s="3" t="s">
        <v>8677</v>
      </c>
      <c r="E2360" s="3" t="s">
        <v>8678</v>
      </c>
      <c r="F2360" s="3" t="s">
        <v>20</v>
      </c>
      <c r="G2360" s="4">
        <v>24348</v>
      </c>
      <c r="H2360" s="3" t="s">
        <v>377</v>
      </c>
      <c r="I2360" s="3" t="s">
        <v>33</v>
      </c>
      <c r="J2360" s="5">
        <v>2508400600</v>
      </c>
      <c r="K2360" s="3">
        <v>1062700</v>
      </c>
      <c r="L2360" s="3" t="s">
        <v>8679</v>
      </c>
      <c r="M2360" s="3" t="s">
        <v>8680</v>
      </c>
      <c r="N2360" s="3" t="s">
        <v>82</v>
      </c>
      <c r="O2360" s="3" t="s">
        <v>5035</v>
      </c>
      <c r="P2360" s="3" t="s">
        <v>8681</v>
      </c>
      <c r="Q2360" s="3" t="s">
        <v>8455</v>
      </c>
      <c r="R2360" s="3" t="s">
        <v>301</v>
      </c>
      <c r="S2360" s="3">
        <v>61766650</v>
      </c>
      <c r="T2360" s="3">
        <v>8540055736</v>
      </c>
      <c r="U2360" s="3" t="s">
        <v>29</v>
      </c>
    </row>
    <row r="2361" spans="1:21" ht="13.2" x14ac:dyDescent="0.25">
      <c r="A2361" s="14">
        <v>6921681000107</v>
      </c>
      <c r="B2361" s="15" t="str">
        <f t="shared" si="36"/>
        <v>06.921.681/0001-07</v>
      </c>
      <c r="C2361" s="12"/>
      <c r="D2361" s="3" t="s">
        <v>8682</v>
      </c>
      <c r="E2361" s="3" t="s">
        <v>8683</v>
      </c>
      <c r="F2361" s="3" t="s">
        <v>20</v>
      </c>
      <c r="G2361" s="4">
        <v>38181</v>
      </c>
      <c r="H2361" s="3" t="s">
        <v>21</v>
      </c>
      <c r="I2361" s="3" t="s">
        <v>33</v>
      </c>
      <c r="J2361" s="5">
        <v>100001</v>
      </c>
      <c r="K2361" s="3">
        <v>6920601</v>
      </c>
      <c r="L2361" s="3" t="s">
        <v>1507</v>
      </c>
      <c r="M2361" s="3" t="s">
        <v>2018</v>
      </c>
      <c r="N2361" s="3">
        <v>48</v>
      </c>
      <c r="O2361" s="3" t="s">
        <v>8684</v>
      </c>
      <c r="P2361" s="3" t="s">
        <v>2020</v>
      </c>
      <c r="Q2361" s="3" t="s">
        <v>27</v>
      </c>
      <c r="R2361" s="3" t="s">
        <v>28</v>
      </c>
      <c r="S2361" s="3">
        <v>1154060</v>
      </c>
      <c r="T2361" s="3">
        <v>1131066954</v>
      </c>
      <c r="U2361" s="3" t="s">
        <v>29</v>
      </c>
    </row>
    <row r="2362" spans="1:21" ht="13.2" x14ac:dyDescent="0.25">
      <c r="A2362" s="14">
        <v>3325110000111</v>
      </c>
      <c r="B2362" s="15" t="str">
        <f t="shared" si="36"/>
        <v>03.325.110/0001-11</v>
      </c>
      <c r="C2362" s="12"/>
      <c r="D2362" s="3" t="s">
        <v>8685</v>
      </c>
      <c r="E2362" s="3" t="s">
        <v>8686</v>
      </c>
      <c r="F2362" s="3" t="s">
        <v>31</v>
      </c>
      <c r="G2362" s="4">
        <v>36369</v>
      </c>
      <c r="H2362" s="3" t="s">
        <v>21</v>
      </c>
      <c r="I2362" s="3" t="s">
        <v>33</v>
      </c>
      <c r="J2362" s="5">
        <v>500000</v>
      </c>
      <c r="K2362" s="3">
        <v>7810800</v>
      </c>
      <c r="L2362" s="3" t="s">
        <v>3375</v>
      </c>
      <c r="M2362" s="3" t="s">
        <v>8687</v>
      </c>
      <c r="N2362" s="3">
        <v>19</v>
      </c>
      <c r="O2362" s="3" t="s">
        <v>8688</v>
      </c>
      <c r="P2362" s="3" t="s">
        <v>1209</v>
      </c>
      <c r="Q2362" s="3" t="s">
        <v>448</v>
      </c>
      <c r="R2362" s="3" t="s">
        <v>449</v>
      </c>
      <c r="S2362" s="3">
        <v>69054753</v>
      </c>
      <c r="T2362" s="3">
        <v>9236417193</v>
      </c>
      <c r="U2362" s="3" t="s">
        <v>29</v>
      </c>
    </row>
    <row r="2363" spans="1:21" ht="13.2" x14ac:dyDescent="0.25">
      <c r="A2363" s="14">
        <v>2800248000162</v>
      </c>
      <c r="B2363" s="15" t="str">
        <f t="shared" si="36"/>
        <v>02.800.248/0001-62</v>
      </c>
      <c r="C2363" s="12"/>
      <c r="D2363" s="3" t="s">
        <v>8689</v>
      </c>
      <c r="E2363" s="3" t="s">
        <v>8690</v>
      </c>
      <c r="F2363" s="3" t="s">
        <v>20</v>
      </c>
      <c r="G2363" s="4">
        <v>36088</v>
      </c>
      <c r="H2363" s="3" t="s">
        <v>21</v>
      </c>
      <c r="I2363" s="3" t="s">
        <v>22</v>
      </c>
      <c r="J2363" s="5">
        <v>50000</v>
      </c>
      <c r="K2363" s="3">
        <v>2660400</v>
      </c>
      <c r="L2363" s="3" t="s">
        <v>953</v>
      </c>
      <c r="M2363" s="3" t="s">
        <v>679</v>
      </c>
      <c r="N2363" s="3">
        <v>271</v>
      </c>
      <c r="O2363" s="3" t="s">
        <v>7936</v>
      </c>
      <c r="P2363" s="3" t="s">
        <v>681</v>
      </c>
      <c r="Q2363" s="3" t="s">
        <v>617</v>
      </c>
      <c r="R2363" s="3" t="s">
        <v>28</v>
      </c>
      <c r="S2363" s="3">
        <v>6455000</v>
      </c>
      <c r="T2363" s="3">
        <v>1193963840</v>
      </c>
      <c r="U2363" s="3" t="s">
        <v>29</v>
      </c>
    </row>
    <row r="2364" spans="1:21" ht="13.2" x14ac:dyDescent="0.25">
      <c r="A2364" s="14">
        <v>5099651000102</v>
      </c>
      <c r="B2364" s="15" t="str">
        <f t="shared" si="36"/>
        <v>05.099.651/0001-02</v>
      </c>
      <c r="C2364" s="12"/>
      <c r="D2364" s="3" t="s">
        <v>8691</v>
      </c>
      <c r="E2364" s="3" t="s">
        <v>8692</v>
      </c>
      <c r="F2364" s="3" t="s">
        <v>20</v>
      </c>
      <c r="G2364" s="4">
        <v>37418</v>
      </c>
      <c r="H2364" s="3" t="s">
        <v>21</v>
      </c>
      <c r="I2364" s="3" t="s">
        <v>33</v>
      </c>
      <c r="J2364" s="5">
        <v>14963900</v>
      </c>
      <c r="K2364" s="3">
        <v>5620101</v>
      </c>
      <c r="L2364" s="3" t="s">
        <v>1369</v>
      </c>
      <c r="M2364" s="3" t="s">
        <v>673</v>
      </c>
      <c r="N2364" s="3">
        <v>644</v>
      </c>
      <c r="P2364" s="3" t="s">
        <v>8693</v>
      </c>
      <c r="Q2364" s="3" t="s">
        <v>174</v>
      </c>
      <c r="R2364" s="3" t="s">
        <v>28</v>
      </c>
      <c r="S2364" s="3">
        <v>13828000</v>
      </c>
      <c r="T2364" s="3">
        <v>1938029800</v>
      </c>
      <c r="U2364" s="3" t="s">
        <v>29</v>
      </c>
    </row>
    <row r="2365" spans="1:21" ht="13.2" x14ac:dyDescent="0.25">
      <c r="A2365" s="14">
        <v>8764963000173</v>
      </c>
      <c r="B2365" s="15" t="str">
        <f t="shared" si="36"/>
        <v>08.764.963/0001-73</v>
      </c>
      <c r="C2365" s="12"/>
      <c r="D2365" s="3" t="s">
        <v>8694</v>
      </c>
      <c r="E2365" s="3" t="s">
        <v>8695</v>
      </c>
      <c r="F2365" s="3" t="s">
        <v>20</v>
      </c>
      <c r="G2365" s="4">
        <v>39167</v>
      </c>
      <c r="H2365" s="3" t="s">
        <v>21</v>
      </c>
      <c r="I2365" s="3" t="s">
        <v>47</v>
      </c>
      <c r="J2365" s="5">
        <v>500000</v>
      </c>
      <c r="K2365" s="3">
        <v>4313400</v>
      </c>
      <c r="L2365" s="3" t="s">
        <v>3808</v>
      </c>
      <c r="M2365" s="3" t="s">
        <v>8696</v>
      </c>
      <c r="N2365" s="3">
        <v>96</v>
      </c>
      <c r="P2365" s="3" t="s">
        <v>8697</v>
      </c>
      <c r="Q2365" s="3" t="s">
        <v>204</v>
      </c>
      <c r="R2365" s="3" t="s">
        <v>187</v>
      </c>
      <c r="S2365" s="3">
        <v>80040150</v>
      </c>
      <c r="T2365" s="3">
        <v>4132968814</v>
      </c>
      <c r="U2365" s="3" t="s">
        <v>29</v>
      </c>
    </row>
    <row r="2366" spans="1:21" ht="13.2" x14ac:dyDescent="0.25">
      <c r="A2366" s="14">
        <v>4732212000114</v>
      </c>
      <c r="B2366" s="15" t="str">
        <f t="shared" si="36"/>
        <v>04.732.212/0001-14</v>
      </c>
      <c r="C2366" s="12"/>
      <c r="D2366" s="3" t="s">
        <v>8698</v>
      </c>
      <c r="E2366" s="3" t="s">
        <v>8698</v>
      </c>
      <c r="F2366" s="3" t="s">
        <v>31</v>
      </c>
      <c r="G2366" s="4">
        <v>37175</v>
      </c>
      <c r="H2366" s="3" t="s">
        <v>21</v>
      </c>
      <c r="I2366" s="3" t="s">
        <v>47</v>
      </c>
      <c r="J2366" s="5">
        <v>0</v>
      </c>
      <c r="K2366" s="3">
        <v>4713002</v>
      </c>
      <c r="L2366" s="3" t="s">
        <v>3153</v>
      </c>
      <c r="M2366" s="3" t="s">
        <v>4630</v>
      </c>
      <c r="N2366" s="3">
        <v>384</v>
      </c>
      <c r="P2366" s="3" t="s">
        <v>8699</v>
      </c>
      <c r="Q2366" s="3" t="s">
        <v>262</v>
      </c>
      <c r="R2366" s="3" t="s">
        <v>28</v>
      </c>
      <c r="S2366" s="3">
        <v>6124330</v>
      </c>
      <c r="T2366" s="3">
        <v>1136541487</v>
      </c>
      <c r="U2366" s="3" t="s">
        <v>29</v>
      </c>
    </row>
    <row r="2367" spans="1:21" ht="13.2" x14ac:dyDescent="0.25">
      <c r="A2367" s="14">
        <v>10272848000123</v>
      </c>
      <c r="B2367" s="15" t="str">
        <f t="shared" si="36"/>
        <v>10.272.848/0001-23</v>
      </c>
      <c r="C2367" s="12"/>
      <c r="D2367" s="3" t="s">
        <v>8700</v>
      </c>
      <c r="E2367" s="3" t="s">
        <v>8700</v>
      </c>
      <c r="F2367" s="3" t="s">
        <v>20</v>
      </c>
      <c r="G2367" s="4">
        <v>39667</v>
      </c>
      <c r="H2367" s="3" t="s">
        <v>21</v>
      </c>
      <c r="I2367" s="3" t="s">
        <v>47</v>
      </c>
      <c r="J2367" s="5">
        <v>15000</v>
      </c>
      <c r="K2367" s="3">
        <v>3314718</v>
      </c>
      <c r="L2367" s="3" t="s">
        <v>8701</v>
      </c>
      <c r="M2367" s="3" t="s">
        <v>8702</v>
      </c>
      <c r="N2367" s="3">
        <v>38</v>
      </c>
      <c r="P2367" s="3" t="s">
        <v>8703</v>
      </c>
      <c r="Q2367" s="3" t="s">
        <v>854</v>
      </c>
      <c r="R2367" s="3" t="s">
        <v>28</v>
      </c>
      <c r="S2367" s="3">
        <v>13486351</v>
      </c>
      <c r="T2367" s="3">
        <v>1981069891</v>
      </c>
      <c r="U2367" s="3" t="s">
        <v>29</v>
      </c>
    </row>
    <row r="2368" spans="1:21" ht="13.2" x14ac:dyDescent="0.25">
      <c r="A2368" s="14">
        <v>1941130000191</v>
      </c>
      <c r="B2368" s="15" t="str">
        <f t="shared" si="36"/>
        <v>01.941.130/0001-91</v>
      </c>
      <c r="C2368" s="12"/>
      <c r="D2368" s="3" t="s">
        <v>8704</v>
      </c>
      <c r="E2368" s="3" t="s">
        <v>8704</v>
      </c>
      <c r="F2368" s="3" t="s">
        <v>20</v>
      </c>
      <c r="G2368" s="4">
        <v>35601</v>
      </c>
      <c r="H2368" s="3" t="s">
        <v>21</v>
      </c>
      <c r="I2368" s="3" t="s">
        <v>47</v>
      </c>
      <c r="J2368" s="5">
        <v>0</v>
      </c>
      <c r="K2368" s="3">
        <v>7020400</v>
      </c>
      <c r="L2368" s="3" t="s">
        <v>170</v>
      </c>
      <c r="M2368" s="3" t="s">
        <v>8705</v>
      </c>
      <c r="N2368" s="3">
        <v>533</v>
      </c>
      <c r="P2368" s="3" t="s">
        <v>70</v>
      </c>
      <c r="Q2368" s="3" t="s">
        <v>8706</v>
      </c>
      <c r="R2368" s="3" t="s">
        <v>28</v>
      </c>
      <c r="S2368" s="3">
        <v>15600001</v>
      </c>
      <c r="U2368" s="3" t="s">
        <v>29</v>
      </c>
    </row>
    <row r="2369" spans="1:21" ht="13.2" x14ac:dyDescent="0.25">
      <c r="A2369" s="14">
        <v>2631949000115</v>
      </c>
      <c r="B2369" s="15" t="str">
        <f t="shared" si="36"/>
        <v>02.631.949/0001-15</v>
      </c>
      <c r="C2369" s="12"/>
      <c r="D2369" s="3" t="s">
        <v>8707</v>
      </c>
      <c r="E2369" s="3" t="s">
        <v>8708</v>
      </c>
      <c r="F2369" s="3" t="s">
        <v>20</v>
      </c>
      <c r="G2369" s="4">
        <v>35984</v>
      </c>
      <c r="H2369" s="3" t="s">
        <v>21</v>
      </c>
      <c r="I2369" s="3" t="s">
        <v>33</v>
      </c>
      <c r="J2369" s="5">
        <v>1000000</v>
      </c>
      <c r="K2369" s="3">
        <v>2229302</v>
      </c>
      <c r="L2369" s="3" t="s">
        <v>576</v>
      </c>
      <c r="M2369" s="3" t="s">
        <v>8709</v>
      </c>
      <c r="N2369" s="3">
        <v>1279</v>
      </c>
      <c r="P2369" s="3" t="s">
        <v>5119</v>
      </c>
      <c r="Q2369" s="3" t="s">
        <v>357</v>
      </c>
      <c r="R2369" s="3" t="s">
        <v>28</v>
      </c>
      <c r="S2369" s="3">
        <v>7171140</v>
      </c>
      <c r="T2369" s="3">
        <v>1124332055</v>
      </c>
      <c r="U2369" s="3" t="s">
        <v>29</v>
      </c>
    </row>
    <row r="2370" spans="1:21" ht="13.2" x14ac:dyDescent="0.25">
      <c r="A2370" s="14">
        <v>970175000121</v>
      </c>
      <c r="B2370" s="15" t="str">
        <f t="shared" si="36"/>
        <v>00.970.175/0001-21</v>
      </c>
      <c r="C2370" s="12"/>
      <c r="D2370" s="3" t="s">
        <v>8710</v>
      </c>
      <c r="E2370" s="3" t="s">
        <v>8711</v>
      </c>
      <c r="F2370" s="3" t="s">
        <v>20</v>
      </c>
      <c r="G2370" s="4">
        <v>35052</v>
      </c>
      <c r="H2370" s="3" t="s">
        <v>21</v>
      </c>
      <c r="I2370" s="3" t="s">
        <v>33</v>
      </c>
      <c r="J2370" s="5">
        <v>2600000</v>
      </c>
      <c r="K2370" s="3">
        <v>4645101</v>
      </c>
      <c r="L2370" s="3" t="s">
        <v>135</v>
      </c>
      <c r="M2370" s="3" t="s">
        <v>8712</v>
      </c>
      <c r="N2370" s="3">
        <v>129</v>
      </c>
      <c r="P2370" s="3" t="s">
        <v>8713</v>
      </c>
      <c r="Q2370" s="3" t="s">
        <v>1141</v>
      </c>
      <c r="R2370" s="3" t="s">
        <v>1142</v>
      </c>
      <c r="S2370" s="3">
        <v>79070305</v>
      </c>
      <c r="T2370" s="3">
        <v>6733424430</v>
      </c>
      <c r="U2370" s="3" t="s">
        <v>29</v>
      </c>
    </row>
    <row r="2371" spans="1:21" ht="13.2" x14ac:dyDescent="0.25">
      <c r="A2371" s="14">
        <v>15392953000110</v>
      </c>
      <c r="B2371" s="15" t="str">
        <f t="shared" ref="B2371:B2434" si="37">TEXT(A2371,"00\.000\.000\/0000\-00")</f>
        <v>15.392.953/0001-10</v>
      </c>
      <c r="C2371" s="12"/>
      <c r="D2371" s="3" t="s">
        <v>8714</v>
      </c>
      <c r="E2371" s="3" t="s">
        <v>8715</v>
      </c>
      <c r="F2371" s="3" t="s">
        <v>20</v>
      </c>
      <c r="G2371" s="4">
        <v>41003</v>
      </c>
      <c r="H2371" s="3" t="s">
        <v>21</v>
      </c>
      <c r="I2371" s="3" t="s">
        <v>33</v>
      </c>
      <c r="J2371" s="5">
        <v>24000000</v>
      </c>
      <c r="K2371" s="3">
        <v>7319001</v>
      </c>
      <c r="L2371" s="3" t="s">
        <v>8716</v>
      </c>
      <c r="M2371" s="3" t="s">
        <v>2281</v>
      </c>
      <c r="N2371" s="3">
        <v>4777</v>
      </c>
      <c r="O2371" s="3" t="s">
        <v>8717</v>
      </c>
      <c r="P2371" s="3" t="s">
        <v>7624</v>
      </c>
      <c r="Q2371" s="3" t="s">
        <v>27</v>
      </c>
      <c r="R2371" s="3" t="s">
        <v>28</v>
      </c>
      <c r="S2371" s="3">
        <v>5477903</v>
      </c>
      <c r="T2371" s="3">
        <v>1136939222</v>
      </c>
      <c r="U2371" s="3" t="s">
        <v>29</v>
      </c>
    </row>
    <row r="2372" spans="1:21" ht="13.2" x14ac:dyDescent="0.25">
      <c r="A2372" s="14">
        <v>41253348000178</v>
      </c>
      <c r="B2372" s="15" t="str">
        <f t="shared" si="37"/>
        <v>41.253.348/0001-78</v>
      </c>
      <c r="C2372" s="12"/>
      <c r="D2372" s="3" t="s">
        <v>8718</v>
      </c>
      <c r="E2372" s="3" t="s">
        <v>8719</v>
      </c>
      <c r="F2372" s="3" t="s">
        <v>20</v>
      </c>
      <c r="G2372" s="4">
        <v>44272</v>
      </c>
      <c r="H2372" s="3" t="s">
        <v>21</v>
      </c>
      <c r="I2372" s="3" t="s">
        <v>22</v>
      </c>
      <c r="J2372" s="5">
        <v>10000</v>
      </c>
      <c r="K2372" s="3">
        <v>4511101</v>
      </c>
      <c r="L2372" s="3" t="s">
        <v>1870</v>
      </c>
      <c r="M2372" s="3" t="s">
        <v>8720</v>
      </c>
      <c r="N2372" s="3">
        <v>1415</v>
      </c>
      <c r="P2372" s="3" t="s">
        <v>6250</v>
      </c>
      <c r="Q2372" s="3" t="s">
        <v>27</v>
      </c>
      <c r="R2372" s="3" t="s">
        <v>28</v>
      </c>
      <c r="S2372" s="3">
        <v>3403001</v>
      </c>
      <c r="T2372" s="3">
        <v>1172814433</v>
      </c>
      <c r="U2372" s="3" t="s">
        <v>29</v>
      </c>
    </row>
    <row r="2373" spans="1:21" ht="13.2" x14ac:dyDescent="0.25">
      <c r="A2373" s="14">
        <v>80083454000102</v>
      </c>
      <c r="B2373" s="15" t="str">
        <f t="shared" si="37"/>
        <v>80.083.454/0001-02</v>
      </c>
      <c r="C2373" s="12"/>
      <c r="D2373" s="3" t="s">
        <v>8721</v>
      </c>
      <c r="E2373" s="3" t="s">
        <v>8722</v>
      </c>
      <c r="F2373" s="3" t="s">
        <v>20</v>
      </c>
      <c r="G2373" s="4">
        <v>31939</v>
      </c>
      <c r="H2373" s="3" t="s">
        <v>21</v>
      </c>
      <c r="I2373" s="3" t="s">
        <v>33</v>
      </c>
      <c r="J2373" s="5">
        <v>65339000</v>
      </c>
      <c r="K2373" s="3">
        <v>4211101</v>
      </c>
      <c r="L2373" s="3" t="s">
        <v>313</v>
      </c>
      <c r="M2373" s="3" t="s">
        <v>239</v>
      </c>
      <c r="N2373" s="3">
        <v>1000</v>
      </c>
      <c r="O2373" s="3" t="s">
        <v>8723</v>
      </c>
      <c r="P2373" s="3" t="s">
        <v>3078</v>
      </c>
      <c r="Q2373" s="3" t="s">
        <v>27</v>
      </c>
      <c r="R2373" s="3" t="s">
        <v>28</v>
      </c>
      <c r="S2373" s="3">
        <v>5802140</v>
      </c>
      <c r="T2373" s="3">
        <v>5140099629</v>
      </c>
      <c r="U2373" s="3" t="s">
        <v>29</v>
      </c>
    </row>
    <row r="2374" spans="1:21" ht="13.2" x14ac:dyDescent="0.25">
      <c r="A2374" s="14">
        <v>4316457000160</v>
      </c>
      <c r="B2374" s="15" t="str">
        <f t="shared" si="37"/>
        <v>04.316.457/0001-60</v>
      </c>
      <c r="C2374" s="12"/>
      <c r="D2374" s="3" t="s">
        <v>8724</v>
      </c>
      <c r="E2374" s="3" t="s">
        <v>8724</v>
      </c>
      <c r="F2374" s="3" t="s">
        <v>20</v>
      </c>
      <c r="G2374" s="4">
        <v>36938</v>
      </c>
      <c r="H2374" s="3" t="s">
        <v>21</v>
      </c>
      <c r="I2374" s="3" t="s">
        <v>33</v>
      </c>
      <c r="J2374" s="5">
        <v>1250000</v>
      </c>
      <c r="K2374" s="3">
        <v>2740602</v>
      </c>
      <c r="L2374" s="3" t="s">
        <v>1994</v>
      </c>
      <c r="M2374" s="3" t="s">
        <v>8725</v>
      </c>
      <c r="N2374" s="3" t="s">
        <v>82</v>
      </c>
      <c r="O2374" s="3" t="s">
        <v>8726</v>
      </c>
      <c r="P2374" s="3" t="s">
        <v>8727</v>
      </c>
      <c r="Q2374" s="3" t="s">
        <v>8728</v>
      </c>
      <c r="R2374" s="3" t="s">
        <v>78</v>
      </c>
      <c r="S2374" s="3">
        <v>23812035</v>
      </c>
      <c r="T2374" s="3">
        <v>2126880755</v>
      </c>
      <c r="U2374" s="3" t="s">
        <v>29</v>
      </c>
    </row>
    <row r="2375" spans="1:21" ht="13.2" x14ac:dyDescent="0.25">
      <c r="A2375" s="14">
        <v>58802992000150</v>
      </c>
      <c r="B2375" s="15" t="str">
        <f t="shared" si="37"/>
        <v>58.802.992/0001-50</v>
      </c>
      <c r="C2375" s="12"/>
      <c r="D2375" s="3" t="s">
        <v>8729</v>
      </c>
      <c r="E2375" s="3" t="s">
        <v>8729</v>
      </c>
      <c r="F2375" s="3" t="s">
        <v>20</v>
      </c>
      <c r="G2375" s="4">
        <v>32246</v>
      </c>
      <c r="H2375" s="3" t="s">
        <v>21</v>
      </c>
      <c r="I2375" s="3" t="s">
        <v>33</v>
      </c>
      <c r="J2375" s="5">
        <v>500000</v>
      </c>
      <c r="K2375" s="3">
        <v>6311900</v>
      </c>
      <c r="L2375" s="3" t="s">
        <v>3132</v>
      </c>
      <c r="M2375" s="3" t="s">
        <v>8730</v>
      </c>
      <c r="N2375" s="3">
        <v>386</v>
      </c>
      <c r="O2375" s="3" t="s">
        <v>8731</v>
      </c>
      <c r="P2375" s="3" t="s">
        <v>8732</v>
      </c>
      <c r="Q2375" s="3" t="s">
        <v>688</v>
      </c>
      <c r="R2375" s="3" t="s">
        <v>28</v>
      </c>
      <c r="S2375" s="3">
        <v>6710700</v>
      </c>
      <c r="T2375" s="3">
        <v>1199528360</v>
      </c>
      <c r="U2375" s="3" t="s">
        <v>29</v>
      </c>
    </row>
    <row r="2376" spans="1:21" ht="13.2" x14ac:dyDescent="0.25">
      <c r="A2376" s="14">
        <v>29143654000156</v>
      </c>
      <c r="B2376" s="15" t="str">
        <f t="shared" si="37"/>
        <v>29.143.654/0001-56</v>
      </c>
      <c r="C2376" s="12"/>
      <c r="D2376" s="3" t="s">
        <v>8733</v>
      </c>
      <c r="E2376" s="3" t="s">
        <v>8733</v>
      </c>
      <c r="F2376" s="3" t="s">
        <v>20</v>
      </c>
      <c r="G2376" s="4">
        <v>43063</v>
      </c>
      <c r="H2376" s="3" t="s">
        <v>21</v>
      </c>
      <c r="I2376" s="3" t="s">
        <v>47</v>
      </c>
      <c r="J2376" s="5">
        <v>55000</v>
      </c>
      <c r="K2376" s="3">
        <v>2651500</v>
      </c>
      <c r="L2376" s="3" t="s">
        <v>600</v>
      </c>
      <c r="M2376" s="3" t="s">
        <v>8734</v>
      </c>
      <c r="N2376" s="3">
        <v>1201</v>
      </c>
      <c r="O2376" s="3" t="s">
        <v>427</v>
      </c>
      <c r="P2376" s="3" t="s">
        <v>8342</v>
      </c>
      <c r="Q2376" s="3" t="s">
        <v>90</v>
      </c>
      <c r="R2376" s="3" t="s">
        <v>91</v>
      </c>
      <c r="S2376" s="3">
        <v>89265515</v>
      </c>
      <c r="T2376" s="3">
        <v>4732731663</v>
      </c>
      <c r="U2376" s="3" t="s">
        <v>29</v>
      </c>
    </row>
    <row r="2377" spans="1:21" ht="13.2" x14ac:dyDescent="0.25">
      <c r="A2377" s="14">
        <v>11880336000102</v>
      </c>
      <c r="B2377" s="15" t="str">
        <f t="shared" si="37"/>
        <v>11.880.336/0001-02</v>
      </c>
      <c r="C2377" s="12"/>
      <c r="D2377" s="3" t="s">
        <v>8735</v>
      </c>
      <c r="E2377" s="3" t="s">
        <v>8735</v>
      </c>
      <c r="F2377" s="3" t="s">
        <v>20</v>
      </c>
      <c r="G2377" s="4">
        <v>40297</v>
      </c>
      <c r="H2377" s="3" t="s">
        <v>1550</v>
      </c>
      <c r="I2377" s="3" t="s">
        <v>33</v>
      </c>
      <c r="J2377" s="5">
        <v>700000</v>
      </c>
      <c r="K2377" s="3">
        <v>7020400</v>
      </c>
      <c r="L2377" s="3" t="s">
        <v>170</v>
      </c>
      <c r="M2377" s="3" t="s">
        <v>3571</v>
      </c>
      <c r="N2377" s="3">
        <v>1050</v>
      </c>
      <c r="O2377" s="3" t="s">
        <v>8736</v>
      </c>
      <c r="P2377" s="3" t="s">
        <v>8737</v>
      </c>
      <c r="Q2377" s="3" t="s">
        <v>2345</v>
      </c>
      <c r="R2377" s="3" t="s">
        <v>53</v>
      </c>
      <c r="S2377" s="3">
        <v>94910001</v>
      </c>
      <c r="T2377" s="3">
        <v>5130375034</v>
      </c>
      <c r="U2377" s="3" t="s">
        <v>29</v>
      </c>
    </row>
    <row r="2378" spans="1:21" ht="13.2" x14ac:dyDescent="0.25">
      <c r="A2378" s="14">
        <v>53288569000160</v>
      </c>
      <c r="B2378" s="15" t="str">
        <f t="shared" si="37"/>
        <v>53.288.569/0001-60</v>
      </c>
      <c r="C2378" s="12"/>
      <c r="D2378" s="3" t="s">
        <v>8738</v>
      </c>
      <c r="E2378" s="3" t="s">
        <v>8738</v>
      </c>
      <c r="F2378" s="3" t="s">
        <v>20</v>
      </c>
      <c r="G2378" s="4">
        <v>30743</v>
      </c>
      <c r="H2378" s="3" t="s">
        <v>21</v>
      </c>
      <c r="I2378" s="3" t="s">
        <v>33</v>
      </c>
      <c r="J2378" s="5">
        <v>950000</v>
      </c>
      <c r="K2378" s="3">
        <v>7490104</v>
      </c>
      <c r="L2378" s="3" t="s">
        <v>1597</v>
      </c>
      <c r="M2378" s="3" t="s">
        <v>8739</v>
      </c>
      <c r="N2378" s="3">
        <v>267</v>
      </c>
      <c r="P2378" s="3" t="s">
        <v>8740</v>
      </c>
      <c r="Q2378" s="3" t="s">
        <v>27</v>
      </c>
      <c r="R2378" s="3" t="s">
        <v>28</v>
      </c>
      <c r="S2378" s="3">
        <v>3479070</v>
      </c>
      <c r="T2378" s="3">
        <v>1120954499</v>
      </c>
      <c r="U2378" s="3" t="s">
        <v>29</v>
      </c>
    </row>
    <row r="2379" spans="1:21" ht="13.2" x14ac:dyDescent="0.25">
      <c r="A2379" s="14">
        <v>59650556000176</v>
      </c>
      <c r="B2379" s="15" t="str">
        <f t="shared" si="37"/>
        <v>59.650.556/0001-76</v>
      </c>
      <c r="C2379" s="12" t="str">
        <f>VLOOKUP(B2379,[1]Planilha1!$A:$B,2,0)</f>
        <v>Malu Montesino</v>
      </c>
      <c r="D2379" s="3" t="s">
        <v>8741</v>
      </c>
      <c r="E2379" s="3" t="s">
        <v>8741</v>
      </c>
      <c r="F2379" s="3" t="s">
        <v>20</v>
      </c>
      <c r="G2379" s="4">
        <v>34274</v>
      </c>
      <c r="H2379" s="3" t="s">
        <v>21</v>
      </c>
      <c r="I2379" s="3" t="s">
        <v>33</v>
      </c>
      <c r="J2379" s="5">
        <v>2000000</v>
      </c>
      <c r="K2379" s="3">
        <v>3250701</v>
      </c>
      <c r="L2379" s="3" t="s">
        <v>2195</v>
      </c>
      <c r="M2379" s="3" t="s">
        <v>8742</v>
      </c>
      <c r="N2379" s="3">
        <v>572</v>
      </c>
      <c r="P2379" s="3" t="s">
        <v>8743</v>
      </c>
      <c r="Q2379" s="3" t="s">
        <v>357</v>
      </c>
      <c r="R2379" s="3" t="s">
        <v>28</v>
      </c>
      <c r="S2379" s="3">
        <v>7174460</v>
      </c>
      <c r="T2379" s="3">
        <v>1124314636</v>
      </c>
      <c r="U2379" s="3" t="s">
        <v>29</v>
      </c>
    </row>
    <row r="2380" spans="1:21" ht="13.2" x14ac:dyDescent="0.25">
      <c r="A2380" s="14">
        <v>67605212000173</v>
      </c>
      <c r="B2380" s="15" t="str">
        <f t="shared" si="37"/>
        <v>67.605.212/0001-73</v>
      </c>
      <c r="C2380" s="12"/>
      <c r="D2380" s="3" t="s">
        <v>8744</v>
      </c>
      <c r="E2380" s="3" t="s">
        <v>8744</v>
      </c>
      <c r="F2380" s="3" t="s">
        <v>20</v>
      </c>
      <c r="G2380" s="4">
        <v>33653</v>
      </c>
      <c r="H2380" s="3" t="s">
        <v>21</v>
      </c>
      <c r="I2380" s="3" t="s">
        <v>33</v>
      </c>
      <c r="J2380" s="5">
        <v>10708134</v>
      </c>
      <c r="K2380" s="3">
        <v>4664800</v>
      </c>
      <c r="L2380" s="3" t="s">
        <v>691</v>
      </c>
      <c r="M2380" s="3" t="s">
        <v>8745</v>
      </c>
      <c r="N2380" s="3">
        <v>651</v>
      </c>
      <c r="O2380" s="3" t="s">
        <v>8746</v>
      </c>
      <c r="P2380" s="3" t="s">
        <v>153</v>
      </c>
      <c r="Q2380" s="3" t="s">
        <v>148</v>
      </c>
      <c r="R2380" s="3" t="s">
        <v>28</v>
      </c>
      <c r="S2380" s="3">
        <v>15035500</v>
      </c>
      <c r="T2380" s="3">
        <v>1639959401</v>
      </c>
      <c r="U2380" s="3" t="s">
        <v>29</v>
      </c>
    </row>
    <row r="2381" spans="1:21" ht="13.2" x14ac:dyDescent="0.25">
      <c r="A2381" s="14">
        <v>24949603000100</v>
      </c>
      <c r="B2381" s="15" t="str">
        <f t="shared" si="37"/>
        <v>24.949.603/0001-00</v>
      </c>
      <c r="C2381" s="12"/>
      <c r="D2381" s="3" t="s">
        <v>8747</v>
      </c>
      <c r="E2381" s="3" t="s">
        <v>8748</v>
      </c>
      <c r="F2381" s="3" t="s">
        <v>20</v>
      </c>
      <c r="G2381" s="4">
        <v>42527</v>
      </c>
      <c r="H2381" s="3" t="s">
        <v>21</v>
      </c>
      <c r="I2381" s="3" t="s">
        <v>47</v>
      </c>
      <c r="J2381" s="5">
        <v>50000</v>
      </c>
      <c r="K2381" s="3">
        <v>3329501</v>
      </c>
      <c r="L2381" s="3" t="s">
        <v>8749</v>
      </c>
      <c r="M2381" s="3" t="s">
        <v>8750</v>
      </c>
      <c r="N2381" s="3">
        <v>102</v>
      </c>
      <c r="P2381" s="3" t="s">
        <v>1664</v>
      </c>
      <c r="Q2381" s="3" t="s">
        <v>617</v>
      </c>
      <c r="R2381" s="3" t="s">
        <v>28</v>
      </c>
      <c r="S2381" s="3">
        <v>6453020</v>
      </c>
      <c r="T2381" s="3">
        <v>1141612047</v>
      </c>
      <c r="U2381" s="3" t="s">
        <v>29</v>
      </c>
    </row>
    <row r="2382" spans="1:21" ht="13.2" x14ac:dyDescent="0.25">
      <c r="A2382" s="14">
        <v>45067428000190</v>
      </c>
      <c r="B2382" s="15" t="str">
        <f t="shared" si="37"/>
        <v>45.067.428/0001-90</v>
      </c>
      <c r="C2382" s="12"/>
      <c r="D2382" s="3" t="s">
        <v>8751</v>
      </c>
      <c r="E2382" s="3" t="s">
        <v>8751</v>
      </c>
      <c r="F2382" s="3" t="s">
        <v>20</v>
      </c>
      <c r="G2382" s="4">
        <v>27173</v>
      </c>
      <c r="H2382" s="3" t="s">
        <v>21</v>
      </c>
      <c r="I2382" s="3" t="s">
        <v>33</v>
      </c>
      <c r="J2382" s="5">
        <v>750000</v>
      </c>
      <c r="K2382" s="3">
        <v>2229303</v>
      </c>
      <c r="L2382" s="3" t="s">
        <v>2107</v>
      </c>
      <c r="M2382" s="3" t="s">
        <v>8752</v>
      </c>
      <c r="N2382" s="3">
        <v>42</v>
      </c>
      <c r="P2382" s="3" t="s">
        <v>8753</v>
      </c>
      <c r="Q2382" s="3" t="s">
        <v>1943</v>
      </c>
      <c r="R2382" s="3" t="s">
        <v>28</v>
      </c>
      <c r="S2382" s="3">
        <v>9990090</v>
      </c>
      <c r="T2382" s="3">
        <v>1128577772</v>
      </c>
      <c r="U2382" s="3" t="s">
        <v>29</v>
      </c>
    </row>
    <row r="2383" spans="1:21" ht="13.2" x14ac:dyDescent="0.25">
      <c r="A2383" s="14">
        <v>10281328000187</v>
      </c>
      <c r="B2383" s="15" t="str">
        <f t="shared" si="37"/>
        <v>10.281.328/0001-87</v>
      </c>
      <c r="C2383" s="12"/>
      <c r="D2383" s="3" t="s">
        <v>8754</v>
      </c>
      <c r="E2383" s="3" t="s">
        <v>8755</v>
      </c>
      <c r="F2383" s="3" t="s">
        <v>45</v>
      </c>
      <c r="G2383" s="4">
        <v>39631</v>
      </c>
      <c r="H2383" s="3" t="s">
        <v>21</v>
      </c>
      <c r="I2383" s="3" t="s">
        <v>47</v>
      </c>
      <c r="J2383" s="5">
        <v>10000</v>
      </c>
      <c r="K2383" s="3">
        <v>9511800</v>
      </c>
      <c r="L2383" s="3" t="s">
        <v>8756</v>
      </c>
      <c r="M2383" s="3" t="s">
        <v>8757</v>
      </c>
      <c r="N2383" s="3">
        <v>49</v>
      </c>
      <c r="P2383" s="3" t="s">
        <v>8758</v>
      </c>
      <c r="Q2383" s="3" t="s">
        <v>27</v>
      </c>
      <c r="R2383" s="3" t="s">
        <v>28</v>
      </c>
      <c r="S2383" s="3">
        <v>4193220</v>
      </c>
      <c r="T2383" s="3">
        <v>1155894930</v>
      </c>
      <c r="U2383" s="3" t="s">
        <v>29</v>
      </c>
    </row>
    <row r="2384" spans="1:21" ht="13.2" x14ac:dyDescent="0.25">
      <c r="A2384" s="14">
        <v>3598524000114</v>
      </c>
      <c r="B2384" s="15" t="str">
        <f t="shared" si="37"/>
        <v>03.598.524/0001-14</v>
      </c>
      <c r="C2384" s="12" t="str">
        <f>VLOOKUP(B2384,[1]Planilha1!$A:$B,2,0)</f>
        <v>Malu Montesino</v>
      </c>
      <c r="D2384" s="3" t="s">
        <v>8759</v>
      </c>
      <c r="E2384" s="3" t="s">
        <v>8759</v>
      </c>
      <c r="F2384" s="3" t="s">
        <v>20</v>
      </c>
      <c r="G2384" s="4">
        <v>36536</v>
      </c>
      <c r="H2384" s="3" t="s">
        <v>21</v>
      </c>
      <c r="I2384" s="3" t="s">
        <v>33</v>
      </c>
      <c r="J2384" s="5">
        <v>254457580</v>
      </c>
      <c r="K2384" s="3">
        <v>5211799</v>
      </c>
      <c r="L2384" s="3" t="s">
        <v>425</v>
      </c>
      <c r="M2384" s="3" t="s">
        <v>409</v>
      </c>
      <c r="N2384" s="3">
        <v>228</v>
      </c>
      <c r="O2384" s="3" t="s">
        <v>8760</v>
      </c>
      <c r="P2384" s="3" t="s">
        <v>411</v>
      </c>
      <c r="Q2384" s="3" t="s">
        <v>294</v>
      </c>
      <c r="R2384" s="3" t="s">
        <v>28</v>
      </c>
      <c r="S2384" s="3">
        <v>11060000</v>
      </c>
      <c r="T2384" s="3">
        <v>1135272000</v>
      </c>
      <c r="U2384" s="3" t="s">
        <v>29</v>
      </c>
    </row>
    <row r="2385" spans="1:21" ht="13.2" x14ac:dyDescent="0.25">
      <c r="A2385" s="14">
        <v>469688000153</v>
      </c>
      <c r="B2385" s="15" t="str">
        <f t="shared" si="37"/>
        <v>00.469.688/0001-53</v>
      </c>
      <c r="C2385" s="12"/>
      <c r="D2385" s="3" t="s">
        <v>8761</v>
      </c>
      <c r="E2385" s="3" t="s">
        <v>8761</v>
      </c>
      <c r="F2385" s="3" t="s">
        <v>20</v>
      </c>
      <c r="G2385" s="4">
        <v>34739</v>
      </c>
      <c r="H2385" s="3" t="s">
        <v>21</v>
      </c>
      <c r="I2385" s="3" t="s">
        <v>33</v>
      </c>
      <c r="J2385" s="5">
        <v>3000000</v>
      </c>
      <c r="K2385" s="3">
        <v>4669999</v>
      </c>
      <c r="L2385" s="3" t="s">
        <v>558</v>
      </c>
      <c r="M2385" s="3" t="s">
        <v>8762</v>
      </c>
      <c r="N2385" s="3">
        <v>366</v>
      </c>
      <c r="P2385" s="3" t="s">
        <v>748</v>
      </c>
      <c r="Q2385" s="3" t="s">
        <v>262</v>
      </c>
      <c r="R2385" s="3" t="s">
        <v>28</v>
      </c>
      <c r="S2385" s="3">
        <v>6149220</v>
      </c>
      <c r="T2385" s="3">
        <v>1133233068</v>
      </c>
      <c r="U2385" s="3" t="s">
        <v>29</v>
      </c>
    </row>
    <row r="2386" spans="1:21" ht="13.2" x14ac:dyDescent="0.25">
      <c r="A2386" s="14">
        <v>5410122000170</v>
      </c>
      <c r="B2386" s="15" t="str">
        <f t="shared" si="37"/>
        <v>05.410.122/0001-70</v>
      </c>
      <c r="C2386" s="12"/>
      <c r="D2386" s="3" t="s">
        <v>8763</v>
      </c>
      <c r="E2386" s="3" t="s">
        <v>8764</v>
      </c>
      <c r="F2386" s="3" t="s">
        <v>20</v>
      </c>
      <c r="G2386" s="4">
        <v>37582</v>
      </c>
      <c r="H2386" s="3" t="s">
        <v>21</v>
      </c>
      <c r="I2386" s="3" t="s">
        <v>22</v>
      </c>
      <c r="J2386" s="5">
        <v>200000</v>
      </c>
      <c r="K2386" s="3">
        <v>4744099</v>
      </c>
      <c r="L2386" s="3" t="s">
        <v>115</v>
      </c>
      <c r="M2386" s="3" t="s">
        <v>518</v>
      </c>
      <c r="N2386" s="3">
        <v>981</v>
      </c>
      <c r="P2386" s="3" t="s">
        <v>70</v>
      </c>
      <c r="Q2386" s="3" t="s">
        <v>8765</v>
      </c>
      <c r="R2386" s="3" t="s">
        <v>187</v>
      </c>
      <c r="S2386" s="3">
        <v>85892000</v>
      </c>
      <c r="T2386" s="3">
        <v>4532681685</v>
      </c>
      <c r="U2386" s="3" t="s">
        <v>29</v>
      </c>
    </row>
    <row r="2387" spans="1:21" ht="13.2" x14ac:dyDescent="0.25">
      <c r="A2387" s="14">
        <v>9348281000142</v>
      </c>
      <c r="B2387" s="15" t="str">
        <f t="shared" si="37"/>
        <v>09.348.281/0001-42</v>
      </c>
      <c r="C2387" s="12"/>
      <c r="D2387" s="3" t="s">
        <v>8766</v>
      </c>
      <c r="E2387" s="3" t="s">
        <v>8767</v>
      </c>
      <c r="F2387" s="3" t="s">
        <v>45</v>
      </c>
      <c r="G2387" s="4">
        <v>39449</v>
      </c>
      <c r="H2387" s="3" t="s">
        <v>21</v>
      </c>
      <c r="I2387" s="3" t="s">
        <v>22</v>
      </c>
      <c r="J2387" s="5">
        <v>10000</v>
      </c>
      <c r="K2387" s="3">
        <v>4713002</v>
      </c>
      <c r="L2387" s="3" t="s">
        <v>3153</v>
      </c>
      <c r="M2387" s="3" t="s">
        <v>8768</v>
      </c>
      <c r="N2387" s="3">
        <v>100</v>
      </c>
      <c r="O2387" s="3" t="s">
        <v>8769</v>
      </c>
      <c r="P2387" s="3" t="s">
        <v>8770</v>
      </c>
      <c r="Q2387" s="3" t="s">
        <v>929</v>
      </c>
      <c r="R2387" s="3" t="s">
        <v>28</v>
      </c>
      <c r="S2387" s="3">
        <v>6540427</v>
      </c>
      <c r="T2387" s="3">
        <v>1124245568</v>
      </c>
      <c r="U2387" s="3" t="s">
        <v>29</v>
      </c>
    </row>
    <row r="2388" spans="1:21" ht="13.2" x14ac:dyDescent="0.25">
      <c r="A2388" s="14">
        <v>16904055000166</v>
      </c>
      <c r="B2388" s="15" t="str">
        <f t="shared" si="37"/>
        <v>16.904.055/0001-66</v>
      </c>
      <c r="C2388" s="12"/>
      <c r="D2388" s="3" t="s">
        <v>8771</v>
      </c>
      <c r="E2388" s="3" t="s">
        <v>8771</v>
      </c>
      <c r="F2388" s="3" t="s">
        <v>20</v>
      </c>
      <c r="G2388" s="4">
        <v>41165</v>
      </c>
      <c r="H2388" s="3" t="s">
        <v>21</v>
      </c>
      <c r="I2388" s="3" t="s">
        <v>33</v>
      </c>
      <c r="J2388" s="5">
        <v>30000000</v>
      </c>
      <c r="K2388" s="3">
        <v>810001</v>
      </c>
      <c r="L2388" s="3" t="s">
        <v>8772</v>
      </c>
      <c r="M2388" s="3" t="s">
        <v>1606</v>
      </c>
      <c r="N2388" s="3">
        <v>5046</v>
      </c>
      <c r="O2388" s="3" t="s">
        <v>8773</v>
      </c>
      <c r="P2388" s="3" t="s">
        <v>8774</v>
      </c>
      <c r="Q2388" s="3" t="s">
        <v>8775</v>
      </c>
      <c r="R2388" s="3" t="s">
        <v>78</v>
      </c>
      <c r="S2388" s="3">
        <v>25907450</v>
      </c>
      <c r="T2388" s="3">
        <v>1136199100</v>
      </c>
      <c r="U2388" s="3" t="s">
        <v>29</v>
      </c>
    </row>
    <row r="2389" spans="1:21" ht="13.2" x14ac:dyDescent="0.25">
      <c r="A2389" s="14">
        <v>61077079000143</v>
      </c>
      <c r="B2389" s="15" t="str">
        <f t="shared" si="37"/>
        <v>61.077.079/0001-43</v>
      </c>
      <c r="C2389" s="12"/>
      <c r="D2389" s="3" t="s">
        <v>8776</v>
      </c>
      <c r="E2389" s="3" t="s">
        <v>8776</v>
      </c>
      <c r="F2389" s="3" t="s">
        <v>20</v>
      </c>
      <c r="G2389" s="4">
        <v>24296</v>
      </c>
      <c r="H2389" s="3" t="s">
        <v>21</v>
      </c>
      <c r="I2389" s="3" t="s">
        <v>33</v>
      </c>
      <c r="J2389" s="5">
        <v>12930560</v>
      </c>
      <c r="K2389" s="3">
        <v>2219600</v>
      </c>
      <c r="L2389" s="3" t="s">
        <v>613</v>
      </c>
      <c r="M2389" s="3" t="s">
        <v>8777</v>
      </c>
      <c r="N2389" s="3">
        <v>467</v>
      </c>
      <c r="O2389" s="3" t="s">
        <v>8778</v>
      </c>
      <c r="P2389" s="3" t="s">
        <v>8779</v>
      </c>
      <c r="Q2389" s="3" t="s">
        <v>357</v>
      </c>
      <c r="R2389" s="3" t="s">
        <v>28</v>
      </c>
      <c r="S2389" s="3">
        <v>7112902</v>
      </c>
      <c r="T2389" s="3">
        <v>1122299200</v>
      </c>
      <c r="U2389" s="3" t="s">
        <v>29</v>
      </c>
    </row>
    <row r="2390" spans="1:21" ht="13.2" x14ac:dyDescent="0.25">
      <c r="A2390" s="14">
        <v>14280971000147</v>
      </c>
      <c r="B2390" s="15" t="str">
        <f t="shared" si="37"/>
        <v>14.280.971/0001-47</v>
      </c>
      <c r="C2390" s="12"/>
      <c r="D2390" s="3" t="s">
        <v>8780</v>
      </c>
      <c r="E2390" s="3" t="s">
        <v>8781</v>
      </c>
      <c r="F2390" s="3" t="s">
        <v>20</v>
      </c>
      <c r="G2390" s="4">
        <v>40758</v>
      </c>
      <c r="H2390" s="3" t="s">
        <v>21</v>
      </c>
      <c r="I2390" s="3" t="s">
        <v>33</v>
      </c>
      <c r="J2390" s="5">
        <v>240000</v>
      </c>
      <c r="K2390" s="3">
        <v>7120100</v>
      </c>
      <c r="L2390" s="3" t="s">
        <v>2807</v>
      </c>
      <c r="M2390" s="3" t="s">
        <v>8782</v>
      </c>
      <c r="N2390" s="3">
        <v>31</v>
      </c>
      <c r="O2390" s="3" t="s">
        <v>222</v>
      </c>
      <c r="P2390" s="3" t="s">
        <v>70</v>
      </c>
      <c r="Q2390" s="3" t="s">
        <v>5975</v>
      </c>
      <c r="R2390" s="3" t="s">
        <v>792</v>
      </c>
      <c r="S2390" s="3">
        <v>67030025</v>
      </c>
      <c r="T2390" s="3">
        <v>9132553966</v>
      </c>
      <c r="U2390" s="3" t="s">
        <v>29</v>
      </c>
    </row>
    <row r="2391" spans="1:21" ht="13.2" x14ac:dyDescent="0.25">
      <c r="A2391" s="14">
        <v>1298443000173</v>
      </c>
      <c r="B2391" s="15" t="str">
        <f t="shared" si="37"/>
        <v>01.298.443/0001-73</v>
      </c>
      <c r="C2391" s="12" t="str">
        <f>VLOOKUP(B2391,[1]Planilha1!$A:$B,2,0)</f>
        <v>Malu Montesino</v>
      </c>
      <c r="D2391" s="3" t="s">
        <v>8783</v>
      </c>
      <c r="E2391" s="3" t="s">
        <v>8784</v>
      </c>
      <c r="F2391" s="3" t="s">
        <v>20</v>
      </c>
      <c r="G2391" s="4">
        <v>35233</v>
      </c>
      <c r="H2391" s="3" t="s">
        <v>94</v>
      </c>
      <c r="I2391" s="3" t="s">
        <v>33</v>
      </c>
      <c r="J2391" s="5">
        <v>16215457</v>
      </c>
      <c r="K2391" s="3">
        <v>4664800</v>
      </c>
      <c r="L2391" s="3" t="s">
        <v>691</v>
      </c>
      <c r="M2391" s="3" t="s">
        <v>8785</v>
      </c>
      <c r="N2391" s="3">
        <v>140</v>
      </c>
      <c r="P2391" s="3" t="s">
        <v>2271</v>
      </c>
      <c r="Q2391" s="3" t="s">
        <v>27</v>
      </c>
      <c r="R2391" s="3" t="s">
        <v>28</v>
      </c>
      <c r="S2391" s="3">
        <v>4053030</v>
      </c>
      <c r="T2391" s="3">
        <v>1150814115</v>
      </c>
      <c r="U2391" s="3" t="s">
        <v>29</v>
      </c>
    </row>
    <row r="2392" spans="1:21" ht="13.2" x14ac:dyDescent="0.25">
      <c r="A2392" s="14">
        <v>23972590000110</v>
      </c>
      <c r="B2392" s="15" t="str">
        <f t="shared" si="37"/>
        <v>23.972.590/0001-10</v>
      </c>
      <c r="C2392" s="12" t="str">
        <f>VLOOKUP(B2392,[1]Planilha1!$A:$B,2,0)</f>
        <v>Malu Montesino</v>
      </c>
      <c r="D2392" s="3" t="s">
        <v>8786</v>
      </c>
      <c r="E2392" s="3" t="s">
        <v>8787</v>
      </c>
      <c r="F2392" s="3" t="s">
        <v>20</v>
      </c>
      <c r="G2392" s="4">
        <v>42383</v>
      </c>
      <c r="H2392" s="3" t="s">
        <v>21</v>
      </c>
      <c r="I2392" s="3" t="s">
        <v>33</v>
      </c>
      <c r="J2392" s="5">
        <v>60975100</v>
      </c>
      <c r="K2392" s="3">
        <v>2831300</v>
      </c>
      <c r="L2392" s="3" t="s">
        <v>608</v>
      </c>
      <c r="M2392" s="3" t="s">
        <v>3657</v>
      </c>
      <c r="N2392" s="3">
        <v>1097</v>
      </c>
      <c r="P2392" s="3" t="s">
        <v>70</v>
      </c>
      <c r="Q2392" s="3" t="s">
        <v>8788</v>
      </c>
      <c r="R2392" s="3" t="s">
        <v>53</v>
      </c>
      <c r="S2392" s="3">
        <v>93950000</v>
      </c>
      <c r="T2392" s="3">
        <v>5131912020</v>
      </c>
      <c r="U2392" s="3" t="s">
        <v>29</v>
      </c>
    </row>
    <row r="2393" spans="1:21" ht="13.2" x14ac:dyDescent="0.25">
      <c r="A2393" s="14">
        <v>60476884000187</v>
      </c>
      <c r="B2393" s="15" t="str">
        <f t="shared" si="37"/>
        <v>60.476.884/0001-87</v>
      </c>
      <c r="C2393" s="12"/>
      <c r="D2393" s="3" t="s">
        <v>8789</v>
      </c>
      <c r="E2393" s="3" t="s">
        <v>8789</v>
      </c>
      <c r="F2393" s="3" t="s">
        <v>20</v>
      </c>
      <c r="G2393" s="4">
        <v>24377</v>
      </c>
      <c r="H2393" s="3" t="s">
        <v>377</v>
      </c>
      <c r="I2393" s="3" t="s">
        <v>33</v>
      </c>
      <c r="J2393" s="5">
        <v>1399371900</v>
      </c>
      <c r="K2393" s="3">
        <v>2941700</v>
      </c>
      <c r="L2393" s="3" t="s">
        <v>2610</v>
      </c>
      <c r="M2393" s="3" t="s">
        <v>8790</v>
      </c>
      <c r="N2393" s="3">
        <v>2000</v>
      </c>
      <c r="P2393" s="3" t="s">
        <v>8791</v>
      </c>
      <c r="Q2393" s="3" t="s">
        <v>1645</v>
      </c>
      <c r="R2393" s="3" t="s">
        <v>28</v>
      </c>
      <c r="S2393" s="3">
        <v>13849050</v>
      </c>
      <c r="T2393" s="3">
        <v>1938619169</v>
      </c>
      <c r="U2393" s="3" t="s">
        <v>29</v>
      </c>
    </row>
    <row r="2394" spans="1:21" ht="13.2" x14ac:dyDescent="0.25">
      <c r="A2394" s="14">
        <v>22357217000196</v>
      </c>
      <c r="B2394" s="15" t="str">
        <f t="shared" si="37"/>
        <v>22.357.217/0001-96</v>
      </c>
      <c r="C2394" s="12"/>
      <c r="D2394" s="3" t="s">
        <v>8792</v>
      </c>
      <c r="E2394" s="3" t="s">
        <v>8792</v>
      </c>
      <c r="F2394" s="3" t="s">
        <v>20</v>
      </c>
      <c r="G2394" s="4">
        <v>42124</v>
      </c>
      <c r="H2394" s="3" t="s">
        <v>21</v>
      </c>
      <c r="I2394" s="3" t="s">
        <v>47</v>
      </c>
      <c r="J2394" s="5">
        <v>95400</v>
      </c>
      <c r="K2394" s="3">
        <v>8111700</v>
      </c>
      <c r="L2394" s="3" t="s">
        <v>290</v>
      </c>
      <c r="M2394" s="3" t="s">
        <v>8793</v>
      </c>
      <c r="N2394" s="3">
        <v>530</v>
      </c>
      <c r="O2394" s="3" t="s">
        <v>505</v>
      </c>
      <c r="P2394" s="3" t="s">
        <v>8794</v>
      </c>
      <c r="Q2394" s="3" t="s">
        <v>27</v>
      </c>
      <c r="R2394" s="3" t="s">
        <v>28</v>
      </c>
      <c r="S2394" s="3">
        <v>4843600</v>
      </c>
      <c r="T2394" s="3">
        <v>1156608170</v>
      </c>
      <c r="U2394" s="3" t="s">
        <v>29</v>
      </c>
    </row>
    <row r="2395" spans="1:21" ht="13.2" x14ac:dyDescent="0.25">
      <c r="A2395" s="14">
        <v>28306309000123</v>
      </c>
      <c r="B2395" s="15" t="str">
        <f t="shared" si="37"/>
        <v>28.306.309/0001-23</v>
      </c>
      <c r="C2395" s="12"/>
      <c r="D2395" s="3" t="s">
        <v>8795</v>
      </c>
      <c r="E2395" s="3" t="s">
        <v>8796</v>
      </c>
      <c r="F2395" s="3" t="s">
        <v>20</v>
      </c>
      <c r="G2395" s="4">
        <v>42881</v>
      </c>
      <c r="H2395" s="3" t="s">
        <v>21</v>
      </c>
      <c r="I2395" s="3" t="s">
        <v>47</v>
      </c>
      <c r="J2395" s="5">
        <v>33000</v>
      </c>
      <c r="K2395" s="3">
        <v>8211300</v>
      </c>
      <c r="L2395" s="3" t="s">
        <v>166</v>
      </c>
      <c r="M2395" s="3" t="s">
        <v>8797</v>
      </c>
      <c r="N2395" s="3">
        <v>763</v>
      </c>
      <c r="O2395" s="3" t="s">
        <v>8798</v>
      </c>
      <c r="P2395" s="3" t="s">
        <v>70</v>
      </c>
      <c r="Q2395" s="3" t="s">
        <v>8799</v>
      </c>
      <c r="R2395" s="3" t="s">
        <v>187</v>
      </c>
      <c r="S2395" s="3">
        <v>87701000</v>
      </c>
      <c r="T2395" s="3">
        <v>4188381089</v>
      </c>
      <c r="U2395" s="3" t="s">
        <v>29</v>
      </c>
    </row>
    <row r="2396" spans="1:21" ht="13.2" x14ac:dyDescent="0.25">
      <c r="A2396" s="14">
        <v>21471688000168</v>
      </c>
      <c r="B2396" s="15" t="str">
        <f t="shared" si="37"/>
        <v>21.471.688/0001-68</v>
      </c>
      <c r="C2396" s="12"/>
      <c r="D2396" s="3" t="s">
        <v>8800</v>
      </c>
      <c r="E2396" s="3" t="s">
        <v>8800</v>
      </c>
      <c r="F2396" s="3" t="s">
        <v>20</v>
      </c>
      <c r="G2396" s="4">
        <v>41968</v>
      </c>
      <c r="H2396" s="3" t="s">
        <v>21</v>
      </c>
      <c r="I2396" s="3" t="s">
        <v>33</v>
      </c>
      <c r="J2396" s="5">
        <v>1300000</v>
      </c>
      <c r="K2396" s="3">
        <v>5620101</v>
      </c>
      <c r="L2396" s="3" t="s">
        <v>1369</v>
      </c>
      <c r="M2396" s="3" t="s">
        <v>8801</v>
      </c>
      <c r="N2396" s="3">
        <v>195</v>
      </c>
      <c r="P2396" s="3" t="s">
        <v>70</v>
      </c>
      <c r="Q2396" s="3" t="s">
        <v>8802</v>
      </c>
      <c r="R2396" s="3" t="s">
        <v>28</v>
      </c>
      <c r="S2396" s="3">
        <v>15900073</v>
      </c>
      <c r="T2396" s="3">
        <v>1632533556</v>
      </c>
      <c r="U2396" s="3" t="s">
        <v>29</v>
      </c>
    </row>
    <row r="2397" spans="1:21" ht="13.2" x14ac:dyDescent="0.25">
      <c r="A2397" s="14">
        <v>45865920000100</v>
      </c>
      <c r="B2397" s="15" t="str">
        <f t="shared" si="37"/>
        <v>45.865.920/0001-00</v>
      </c>
      <c r="C2397" s="12"/>
      <c r="D2397" s="3" t="s">
        <v>8803</v>
      </c>
      <c r="E2397" s="3" t="s">
        <v>8804</v>
      </c>
      <c r="F2397" s="3" t="s">
        <v>20</v>
      </c>
      <c r="G2397" s="4">
        <v>29741</v>
      </c>
      <c r="H2397" s="3" t="s">
        <v>21</v>
      </c>
      <c r="I2397" s="3" t="s">
        <v>33</v>
      </c>
      <c r="J2397" s="5">
        <v>917566500</v>
      </c>
      <c r="K2397" s="3">
        <v>4672900</v>
      </c>
      <c r="L2397" s="3" t="s">
        <v>1389</v>
      </c>
      <c r="M2397" s="3" t="s">
        <v>8805</v>
      </c>
      <c r="N2397" s="3">
        <v>200</v>
      </c>
      <c r="P2397" s="3" t="s">
        <v>428</v>
      </c>
      <c r="Q2397" s="3" t="s">
        <v>217</v>
      </c>
      <c r="R2397" s="3" t="s">
        <v>28</v>
      </c>
      <c r="S2397" s="3">
        <v>9852080</v>
      </c>
      <c r="T2397" s="3">
        <v>4233022100</v>
      </c>
      <c r="U2397" s="3" t="s">
        <v>29</v>
      </c>
    </row>
    <row r="2398" spans="1:21" ht="13.2" x14ac:dyDescent="0.25">
      <c r="A2398" s="14">
        <v>30360128000127</v>
      </c>
      <c r="B2398" s="15" t="str">
        <f t="shared" si="37"/>
        <v>30.360.128/0001-27</v>
      </c>
      <c r="C2398" s="12"/>
      <c r="D2398" s="3" t="s">
        <v>8806</v>
      </c>
      <c r="E2398" s="3" t="s">
        <v>8807</v>
      </c>
      <c r="F2398" s="3" t="s">
        <v>20</v>
      </c>
      <c r="G2398" s="4">
        <v>43223</v>
      </c>
      <c r="H2398" s="3" t="s">
        <v>21</v>
      </c>
      <c r="I2398" s="3" t="s">
        <v>33</v>
      </c>
      <c r="J2398" s="5">
        <v>20325236</v>
      </c>
      <c r="K2398" s="3">
        <v>4211101</v>
      </c>
      <c r="L2398" s="3" t="s">
        <v>313</v>
      </c>
      <c r="M2398" s="3" t="s">
        <v>8808</v>
      </c>
      <c r="N2398" s="3">
        <v>1349</v>
      </c>
      <c r="O2398" s="3" t="s">
        <v>8809</v>
      </c>
      <c r="P2398" s="3" t="s">
        <v>1019</v>
      </c>
      <c r="Q2398" s="3" t="s">
        <v>27</v>
      </c>
      <c r="R2398" s="3" t="s">
        <v>28</v>
      </c>
      <c r="S2398" s="3">
        <v>4567901</v>
      </c>
      <c r="T2398" s="3">
        <v>1148832890</v>
      </c>
      <c r="U2398" s="3" t="s">
        <v>29</v>
      </c>
    </row>
    <row r="2399" spans="1:21" ht="13.2" x14ac:dyDescent="0.25">
      <c r="A2399" s="14">
        <v>4243593000178</v>
      </c>
      <c r="B2399" s="15" t="str">
        <f t="shared" si="37"/>
        <v>04.243.593/0001-78</v>
      </c>
      <c r="C2399" s="12"/>
      <c r="D2399" s="3" t="s">
        <v>8810</v>
      </c>
      <c r="E2399" s="3" t="s">
        <v>8810</v>
      </c>
      <c r="F2399" s="3" t="s">
        <v>20</v>
      </c>
      <c r="G2399" s="4">
        <v>36860</v>
      </c>
      <c r="H2399" s="3" t="s">
        <v>21</v>
      </c>
      <c r="I2399" s="3" t="s">
        <v>33</v>
      </c>
      <c r="J2399" s="5">
        <v>33828716</v>
      </c>
      <c r="K2399" s="3">
        <v>4693100</v>
      </c>
      <c r="L2399" s="3" t="s">
        <v>238</v>
      </c>
      <c r="M2399" s="3" t="s">
        <v>5053</v>
      </c>
      <c r="N2399" s="3">
        <v>106</v>
      </c>
      <c r="O2399" s="3" t="s">
        <v>8811</v>
      </c>
      <c r="P2399" s="3" t="s">
        <v>1740</v>
      </c>
      <c r="Q2399" s="3" t="s">
        <v>27</v>
      </c>
      <c r="R2399" s="3" t="s">
        <v>28</v>
      </c>
      <c r="S2399" s="3">
        <v>5427000</v>
      </c>
      <c r="T2399" s="3">
        <v>1133452906</v>
      </c>
      <c r="U2399" s="3" t="s">
        <v>29</v>
      </c>
    </row>
    <row r="2400" spans="1:21" ht="13.2" x14ac:dyDescent="0.25">
      <c r="A2400" s="14">
        <v>10851944000126</v>
      </c>
      <c r="B2400" s="15" t="str">
        <f t="shared" si="37"/>
        <v>10.851.944/0001-26</v>
      </c>
      <c r="C2400" s="12"/>
      <c r="D2400" s="3" t="s">
        <v>8812</v>
      </c>
      <c r="E2400" s="3" t="s">
        <v>8813</v>
      </c>
      <c r="F2400" s="3" t="s">
        <v>20</v>
      </c>
      <c r="G2400" s="4">
        <v>39955</v>
      </c>
      <c r="H2400" s="3" t="s">
        <v>21</v>
      </c>
      <c r="I2400" s="3" t="s">
        <v>22</v>
      </c>
      <c r="J2400" s="5">
        <v>800000</v>
      </c>
      <c r="K2400" s="3">
        <v>4729699</v>
      </c>
      <c r="L2400" s="3" t="s">
        <v>2864</v>
      </c>
      <c r="M2400" s="3" t="s">
        <v>8814</v>
      </c>
      <c r="N2400" s="3">
        <v>2145</v>
      </c>
      <c r="P2400" s="3" t="s">
        <v>70</v>
      </c>
      <c r="Q2400" s="3" t="s">
        <v>1141</v>
      </c>
      <c r="R2400" s="3" t="s">
        <v>1142</v>
      </c>
      <c r="S2400" s="3">
        <v>79020170</v>
      </c>
      <c r="T2400" s="3">
        <v>6733052805</v>
      </c>
      <c r="U2400" s="3" t="s">
        <v>29</v>
      </c>
    </row>
    <row r="2401" spans="1:21" ht="13.2" x14ac:dyDescent="0.25">
      <c r="A2401" s="14">
        <v>19416363000130</v>
      </c>
      <c r="B2401" s="15" t="str">
        <f t="shared" si="37"/>
        <v>19.416.363/0001-30</v>
      </c>
      <c r="C2401" s="12"/>
      <c r="D2401" s="3" t="s">
        <v>8815</v>
      </c>
      <c r="E2401" s="3" t="s">
        <v>8816</v>
      </c>
      <c r="F2401" s="3" t="s">
        <v>20</v>
      </c>
      <c r="G2401" s="4">
        <v>41620</v>
      </c>
      <c r="H2401" s="3" t="s">
        <v>21</v>
      </c>
      <c r="I2401" s="3" t="s">
        <v>33</v>
      </c>
      <c r="J2401" s="5">
        <v>480000</v>
      </c>
      <c r="K2401" s="3">
        <v>5912099</v>
      </c>
      <c r="L2401" s="3" t="s">
        <v>8817</v>
      </c>
      <c r="M2401" s="3" t="s">
        <v>8818</v>
      </c>
      <c r="N2401" s="3">
        <v>5</v>
      </c>
      <c r="P2401" s="3" t="s">
        <v>8819</v>
      </c>
      <c r="Q2401" s="3" t="s">
        <v>631</v>
      </c>
      <c r="R2401" s="3" t="s">
        <v>632</v>
      </c>
      <c r="S2401" s="3">
        <v>73100120</v>
      </c>
      <c r="T2401" s="3">
        <v>6190000000</v>
      </c>
      <c r="U2401" s="3" t="s">
        <v>29</v>
      </c>
    </row>
    <row r="2402" spans="1:21" ht="13.2" x14ac:dyDescent="0.25">
      <c r="A2402" s="14">
        <v>61065298000102</v>
      </c>
      <c r="B2402" s="15" t="str">
        <f t="shared" si="37"/>
        <v>61.065.298/0001-02</v>
      </c>
      <c r="C2402" s="12"/>
      <c r="D2402" s="3" t="s">
        <v>8820</v>
      </c>
      <c r="E2402" s="3" t="s">
        <v>8820</v>
      </c>
      <c r="F2402" s="3" t="s">
        <v>20</v>
      </c>
      <c r="G2402" s="4">
        <v>24294</v>
      </c>
      <c r="H2402" s="3" t="s">
        <v>377</v>
      </c>
      <c r="I2402" s="3" t="s">
        <v>33</v>
      </c>
      <c r="J2402" s="5">
        <v>171273000</v>
      </c>
      <c r="K2402" s="3">
        <v>2949299</v>
      </c>
      <c r="L2402" s="3" t="s">
        <v>1083</v>
      </c>
      <c r="M2402" s="3" t="s">
        <v>960</v>
      </c>
      <c r="N2402" s="3">
        <v>101</v>
      </c>
      <c r="O2402" s="3" t="s">
        <v>8821</v>
      </c>
      <c r="P2402" s="3" t="s">
        <v>70</v>
      </c>
      <c r="Q2402" s="3" t="s">
        <v>217</v>
      </c>
      <c r="R2402" s="3" t="s">
        <v>28</v>
      </c>
      <c r="S2402" s="3">
        <v>9750730</v>
      </c>
      <c r="T2402" s="3">
        <v>3532392277</v>
      </c>
      <c r="U2402" s="3" t="s">
        <v>29</v>
      </c>
    </row>
    <row r="2403" spans="1:21" ht="13.2" x14ac:dyDescent="0.25">
      <c r="A2403" s="14">
        <v>71900237000177</v>
      </c>
      <c r="B2403" s="15" t="str">
        <f t="shared" si="37"/>
        <v>71.900.237/0001-77</v>
      </c>
      <c r="C2403" s="12"/>
      <c r="D2403" s="3" t="s">
        <v>8822</v>
      </c>
      <c r="E2403" s="3" t="s">
        <v>8822</v>
      </c>
      <c r="F2403" s="3" t="s">
        <v>20</v>
      </c>
      <c r="G2403" s="4">
        <v>24322</v>
      </c>
      <c r="H2403" s="3" t="s">
        <v>21</v>
      </c>
      <c r="I2403" s="3" t="s">
        <v>33</v>
      </c>
      <c r="J2403" s="5">
        <v>22561760</v>
      </c>
      <c r="K2403" s="3">
        <v>8211300</v>
      </c>
      <c r="L2403" s="3" t="s">
        <v>166</v>
      </c>
      <c r="M2403" s="3" t="s">
        <v>8823</v>
      </c>
      <c r="N2403" s="3">
        <v>269</v>
      </c>
      <c r="O2403" s="3" t="s">
        <v>505</v>
      </c>
      <c r="P2403" s="3" t="s">
        <v>8824</v>
      </c>
      <c r="Q2403" s="3" t="s">
        <v>27</v>
      </c>
      <c r="R2403" s="3" t="s">
        <v>28</v>
      </c>
      <c r="S2403" s="3">
        <v>8430820</v>
      </c>
      <c r="T2403" s="3">
        <v>1138084000</v>
      </c>
      <c r="U2403" s="3" t="s">
        <v>29</v>
      </c>
    </row>
    <row r="2404" spans="1:21" ht="13.2" x14ac:dyDescent="0.25">
      <c r="A2404" s="14">
        <v>14749973000132</v>
      </c>
      <c r="B2404" s="15" t="str">
        <f t="shared" si="37"/>
        <v>14.749.973/0001-32</v>
      </c>
      <c r="C2404" s="12"/>
      <c r="D2404" s="3" t="s">
        <v>8825</v>
      </c>
      <c r="E2404" s="3" t="s">
        <v>8826</v>
      </c>
      <c r="F2404" s="3" t="s">
        <v>20</v>
      </c>
      <c r="G2404" s="4">
        <v>40871</v>
      </c>
      <c r="H2404" s="3" t="s">
        <v>21</v>
      </c>
      <c r="I2404" s="3" t="s">
        <v>33</v>
      </c>
      <c r="J2404" s="5">
        <v>116653160</v>
      </c>
      <c r="K2404" s="3">
        <v>4662100</v>
      </c>
      <c r="L2404" s="3" t="s">
        <v>2324</v>
      </c>
      <c r="M2404" s="3" t="s">
        <v>1130</v>
      </c>
      <c r="N2404" s="3">
        <v>445</v>
      </c>
      <c r="P2404" s="3" t="s">
        <v>487</v>
      </c>
      <c r="Q2404" s="3" t="s">
        <v>488</v>
      </c>
      <c r="R2404" s="3" t="s">
        <v>28</v>
      </c>
      <c r="S2404" s="3">
        <v>13288163</v>
      </c>
      <c r="T2404" s="3">
        <v>1132842828</v>
      </c>
      <c r="U2404" s="3" t="s">
        <v>29</v>
      </c>
    </row>
    <row r="2405" spans="1:21" ht="13.2" x14ac:dyDescent="0.25">
      <c r="A2405" s="14">
        <v>57014862000190</v>
      </c>
      <c r="B2405" s="15" t="str">
        <f t="shared" si="37"/>
        <v>57.014.862/0001-90</v>
      </c>
      <c r="C2405" s="12"/>
      <c r="D2405" s="3" t="s">
        <v>8827</v>
      </c>
      <c r="E2405" s="3" t="s">
        <v>8827</v>
      </c>
      <c r="F2405" s="3" t="s">
        <v>20</v>
      </c>
      <c r="G2405" s="4">
        <v>24422</v>
      </c>
      <c r="H2405" s="3" t="s">
        <v>21</v>
      </c>
      <c r="I2405" s="3" t="s">
        <v>33</v>
      </c>
      <c r="J2405" s="5">
        <v>69418840</v>
      </c>
      <c r="K2405" s="3">
        <v>2941700</v>
      </c>
      <c r="L2405" s="3" t="s">
        <v>2610</v>
      </c>
      <c r="M2405" s="3" t="s">
        <v>8828</v>
      </c>
      <c r="N2405" s="3">
        <v>555</v>
      </c>
      <c r="P2405" s="3" t="s">
        <v>8829</v>
      </c>
      <c r="Q2405" s="3" t="s">
        <v>1235</v>
      </c>
      <c r="R2405" s="3" t="s">
        <v>28</v>
      </c>
      <c r="S2405" s="3">
        <v>13344580</v>
      </c>
      <c r="T2405" s="3">
        <v>1938949396</v>
      </c>
      <c r="U2405" s="3" t="s">
        <v>29</v>
      </c>
    </row>
    <row r="2406" spans="1:21" ht="13.2" x14ac:dyDescent="0.25">
      <c r="A2406" s="14">
        <v>20707884000126</v>
      </c>
      <c r="B2406" s="15" t="str">
        <f t="shared" si="37"/>
        <v>20.707.884/0001-26</v>
      </c>
      <c r="C2406" s="12"/>
      <c r="D2406" s="3" t="s">
        <v>8830</v>
      </c>
      <c r="E2406" s="3" t="s">
        <v>8831</v>
      </c>
      <c r="F2406" s="3" t="s">
        <v>20</v>
      </c>
      <c r="G2406" s="4">
        <v>41845</v>
      </c>
      <c r="H2406" s="3" t="s">
        <v>21</v>
      </c>
      <c r="I2406" s="3" t="s">
        <v>33</v>
      </c>
      <c r="J2406" s="5">
        <v>38000000</v>
      </c>
      <c r="K2406" s="3">
        <v>4399101</v>
      </c>
      <c r="L2406" s="3" t="s">
        <v>2919</v>
      </c>
      <c r="M2406" s="3" t="s">
        <v>8832</v>
      </c>
      <c r="N2406" s="3">
        <v>369</v>
      </c>
      <c r="O2406" s="3" t="s">
        <v>8833</v>
      </c>
      <c r="P2406" s="3" t="s">
        <v>8834</v>
      </c>
      <c r="Q2406" s="3" t="s">
        <v>471</v>
      </c>
      <c r="R2406" s="3" t="s">
        <v>28</v>
      </c>
      <c r="S2406" s="3">
        <v>9551200</v>
      </c>
      <c r="T2406" s="3">
        <v>1142255800</v>
      </c>
      <c r="U2406" s="3" t="s">
        <v>29</v>
      </c>
    </row>
    <row r="2407" spans="1:21" ht="13.2" x14ac:dyDescent="0.25">
      <c r="A2407" s="14">
        <v>54183587000140</v>
      </c>
      <c r="B2407" s="15" t="str">
        <f t="shared" si="37"/>
        <v>54.183.587/0001-40</v>
      </c>
      <c r="C2407" s="12"/>
      <c r="D2407" s="3" t="s">
        <v>8835</v>
      </c>
      <c r="E2407" s="3" t="s">
        <v>8835</v>
      </c>
      <c r="F2407" s="3" t="s">
        <v>20</v>
      </c>
      <c r="G2407" s="4">
        <v>31075</v>
      </c>
      <c r="H2407" s="3" t="s">
        <v>94</v>
      </c>
      <c r="I2407" s="3" t="s">
        <v>33</v>
      </c>
      <c r="J2407" s="5">
        <v>54000000</v>
      </c>
      <c r="K2407" s="3">
        <v>4321500</v>
      </c>
      <c r="L2407" s="3" t="s">
        <v>964</v>
      </c>
      <c r="M2407" s="3" t="s">
        <v>5333</v>
      </c>
      <c r="N2407" s="3">
        <v>1493</v>
      </c>
      <c r="O2407" s="3" t="s">
        <v>8836</v>
      </c>
      <c r="P2407" s="3" t="s">
        <v>1019</v>
      </c>
      <c r="Q2407" s="3" t="s">
        <v>27</v>
      </c>
      <c r="R2407" s="3" t="s">
        <v>28</v>
      </c>
      <c r="S2407" s="3">
        <v>4571011</v>
      </c>
      <c r="T2407" s="3">
        <v>1142255800</v>
      </c>
      <c r="U2407" s="3" t="s">
        <v>29</v>
      </c>
    </row>
    <row r="2408" spans="1:21" ht="13.2" x14ac:dyDescent="0.25">
      <c r="A2408" s="14">
        <v>79879318000144</v>
      </c>
      <c r="B2408" s="15" t="str">
        <f t="shared" si="37"/>
        <v>79.879.318/0001-44</v>
      </c>
      <c r="C2408" s="12" t="str">
        <f>VLOOKUP(B2408,[1]Planilha1!$A:$B,2,0)</f>
        <v>Malu Montesino</v>
      </c>
      <c r="D2408" s="3" t="s">
        <v>8837</v>
      </c>
      <c r="E2408" s="3" t="s">
        <v>8838</v>
      </c>
      <c r="F2408" s="3" t="s">
        <v>20</v>
      </c>
      <c r="G2408" s="4">
        <v>31791</v>
      </c>
      <c r="H2408" s="3" t="s">
        <v>21</v>
      </c>
      <c r="I2408" s="3" t="s">
        <v>33</v>
      </c>
      <c r="J2408" s="5">
        <v>15000000</v>
      </c>
      <c r="K2408" s="3">
        <v>4662100</v>
      </c>
      <c r="L2408" s="3" t="s">
        <v>2324</v>
      </c>
      <c r="M2408" s="3" t="s">
        <v>8839</v>
      </c>
      <c r="N2408" s="3" t="s">
        <v>8840</v>
      </c>
      <c r="P2408" s="3" t="s">
        <v>248</v>
      </c>
      <c r="Q2408" s="3" t="s">
        <v>343</v>
      </c>
      <c r="R2408" s="3" t="s">
        <v>91</v>
      </c>
      <c r="S2408" s="3">
        <v>89804250</v>
      </c>
      <c r="T2408" s="3">
        <v>4933615399</v>
      </c>
      <c r="U2408" s="3" t="s">
        <v>29</v>
      </c>
    </row>
    <row r="2409" spans="1:21" ht="13.2" x14ac:dyDescent="0.25">
      <c r="A2409" s="14">
        <v>3308030000158</v>
      </c>
      <c r="B2409" s="15" t="str">
        <f t="shared" si="37"/>
        <v>03.308.030/0001-58</v>
      </c>
      <c r="C2409" s="12"/>
      <c r="D2409" s="3" t="s">
        <v>8841</v>
      </c>
      <c r="E2409" s="3" t="s">
        <v>8841</v>
      </c>
      <c r="F2409" s="3" t="s">
        <v>20</v>
      </c>
      <c r="G2409" s="4">
        <v>36371</v>
      </c>
      <c r="H2409" s="3" t="s">
        <v>21</v>
      </c>
      <c r="I2409" s="3" t="s">
        <v>33</v>
      </c>
      <c r="J2409" s="5">
        <v>6848784</v>
      </c>
      <c r="K2409" s="3">
        <v>4662100</v>
      </c>
      <c r="L2409" s="3" t="s">
        <v>2324</v>
      </c>
      <c r="M2409" s="3" t="s">
        <v>8842</v>
      </c>
      <c r="N2409" s="3">
        <v>898</v>
      </c>
      <c r="O2409" s="3" t="s">
        <v>117</v>
      </c>
      <c r="P2409" s="3" t="s">
        <v>8843</v>
      </c>
      <c r="Q2409" s="3" t="s">
        <v>357</v>
      </c>
      <c r="R2409" s="3" t="s">
        <v>28</v>
      </c>
      <c r="S2409" s="3">
        <v>7250015</v>
      </c>
      <c r="T2409" s="3">
        <v>1146173644</v>
      </c>
      <c r="U2409" s="3" t="s">
        <v>29</v>
      </c>
    </row>
    <row r="2410" spans="1:21" ht="13.2" x14ac:dyDescent="0.25">
      <c r="A2410" s="14">
        <v>55064562000190</v>
      </c>
      <c r="B2410" s="15" t="str">
        <f t="shared" si="37"/>
        <v>55.064.562/0001-90</v>
      </c>
      <c r="C2410" s="12"/>
      <c r="D2410" s="3" t="s">
        <v>8844</v>
      </c>
      <c r="E2410" s="3" t="s">
        <v>8845</v>
      </c>
      <c r="F2410" s="3" t="s">
        <v>20</v>
      </c>
      <c r="G2410" s="4">
        <v>24337</v>
      </c>
      <c r="H2410" s="3" t="s">
        <v>94</v>
      </c>
      <c r="I2410" s="3" t="s">
        <v>33</v>
      </c>
      <c r="J2410" s="5">
        <v>1789557000</v>
      </c>
      <c r="K2410" s="3">
        <v>2833000</v>
      </c>
      <c r="L2410" s="3" t="s">
        <v>151</v>
      </c>
      <c r="M2410" s="3" t="s">
        <v>8846</v>
      </c>
      <c r="N2410" s="3">
        <v>1650</v>
      </c>
      <c r="P2410" s="3" t="s">
        <v>70</v>
      </c>
      <c r="Q2410" s="3" t="s">
        <v>8847</v>
      </c>
      <c r="R2410" s="3" t="s">
        <v>28</v>
      </c>
      <c r="S2410" s="3">
        <v>17580039</v>
      </c>
      <c r="T2410" s="3">
        <v>1434052314</v>
      </c>
      <c r="U2410" s="3" t="s">
        <v>29</v>
      </c>
    </row>
    <row r="2411" spans="1:21" ht="13.2" x14ac:dyDescent="0.25">
      <c r="A2411" s="14">
        <v>61093001000112</v>
      </c>
      <c r="B2411" s="15" t="str">
        <f t="shared" si="37"/>
        <v>61.093.001/0001-12</v>
      </c>
      <c r="C2411" s="12"/>
      <c r="D2411" s="3" t="s">
        <v>8848</v>
      </c>
      <c r="E2411" s="3" t="s">
        <v>8848</v>
      </c>
      <c r="F2411" s="3" t="s">
        <v>20</v>
      </c>
      <c r="G2411" s="4">
        <v>24299</v>
      </c>
      <c r="H2411" s="3" t="s">
        <v>21</v>
      </c>
      <c r="I2411" s="3" t="s">
        <v>33</v>
      </c>
      <c r="J2411" s="5">
        <v>227825000</v>
      </c>
      <c r="K2411" s="3">
        <v>2731700</v>
      </c>
      <c r="L2411" s="3" t="s">
        <v>440</v>
      </c>
      <c r="M2411" s="3" t="s">
        <v>8849</v>
      </c>
      <c r="N2411" s="3">
        <v>665</v>
      </c>
      <c r="P2411" s="3" t="s">
        <v>3858</v>
      </c>
      <c r="Q2411" s="3" t="s">
        <v>8850</v>
      </c>
      <c r="R2411" s="3" t="s">
        <v>28</v>
      </c>
      <c r="S2411" s="3">
        <v>13660196</v>
      </c>
      <c r="T2411" s="3">
        <v>1935895013</v>
      </c>
      <c r="U2411" s="3" t="s">
        <v>29</v>
      </c>
    </row>
    <row r="2412" spans="1:21" ht="13.2" x14ac:dyDescent="0.25">
      <c r="A2412" s="14">
        <v>9385567000106</v>
      </c>
      <c r="B2412" s="15" t="str">
        <f t="shared" si="37"/>
        <v>09.385.567/0001-06</v>
      </c>
      <c r="C2412" s="12"/>
      <c r="D2412" s="3" t="s">
        <v>8851</v>
      </c>
      <c r="E2412" s="3" t="s">
        <v>8851</v>
      </c>
      <c r="F2412" s="3" t="s">
        <v>20</v>
      </c>
      <c r="G2412" s="4">
        <v>39493</v>
      </c>
      <c r="H2412" s="3" t="s">
        <v>21</v>
      </c>
      <c r="I2412" s="3" t="s">
        <v>47</v>
      </c>
      <c r="J2412" s="5">
        <v>5000</v>
      </c>
      <c r="K2412" s="3">
        <v>4742300</v>
      </c>
      <c r="L2412" s="3" t="s">
        <v>1152</v>
      </c>
      <c r="M2412" s="3" t="s">
        <v>8852</v>
      </c>
      <c r="N2412" s="3">
        <v>20</v>
      </c>
      <c r="P2412" s="3" t="s">
        <v>8853</v>
      </c>
      <c r="Q2412" s="3" t="s">
        <v>59</v>
      </c>
      <c r="R2412" s="3" t="s">
        <v>28</v>
      </c>
      <c r="S2412" s="3">
        <v>13277756</v>
      </c>
      <c r="T2412" s="3">
        <v>1938492191</v>
      </c>
      <c r="U2412" s="3" t="s">
        <v>29</v>
      </c>
    </row>
    <row r="2413" spans="1:21" ht="13.2" x14ac:dyDescent="0.25">
      <c r="A2413" s="14">
        <v>67954024000150</v>
      </c>
      <c r="B2413" s="15" t="str">
        <f t="shared" si="37"/>
        <v>67.954.024/0001-50</v>
      </c>
      <c r="C2413" s="12"/>
      <c r="D2413" s="3" t="s">
        <v>8854</v>
      </c>
      <c r="E2413" s="3" t="s">
        <v>8854</v>
      </c>
      <c r="F2413" s="3" t="s">
        <v>20</v>
      </c>
      <c r="G2413" s="4">
        <v>33749</v>
      </c>
      <c r="H2413" s="3" t="s">
        <v>21</v>
      </c>
      <c r="I2413" s="3" t="s">
        <v>22</v>
      </c>
      <c r="J2413" s="5">
        <v>200000</v>
      </c>
      <c r="K2413" s="3">
        <v>1099699</v>
      </c>
      <c r="L2413" s="3" t="s">
        <v>3307</v>
      </c>
      <c r="M2413" s="3" t="s">
        <v>8855</v>
      </c>
      <c r="N2413" s="3">
        <v>110</v>
      </c>
      <c r="P2413" s="3" t="s">
        <v>8856</v>
      </c>
      <c r="Q2413" s="3" t="s">
        <v>2365</v>
      </c>
      <c r="R2413" s="3" t="s">
        <v>28</v>
      </c>
      <c r="S2413" s="3">
        <v>7792420</v>
      </c>
      <c r="T2413" s="3">
        <v>1144481180</v>
      </c>
      <c r="U2413" s="3" t="s">
        <v>29</v>
      </c>
    </row>
    <row r="2414" spans="1:21" ht="13.2" x14ac:dyDescent="0.25">
      <c r="A2414" s="14">
        <v>41317407000124</v>
      </c>
      <c r="B2414" s="15" t="str">
        <f t="shared" si="37"/>
        <v>41.317.407/0001-24</v>
      </c>
      <c r="C2414" s="12"/>
      <c r="D2414" s="3" t="s">
        <v>8857</v>
      </c>
      <c r="E2414" s="3" t="s">
        <v>8857</v>
      </c>
      <c r="F2414" s="3" t="s">
        <v>20</v>
      </c>
      <c r="G2414" s="4">
        <v>44278</v>
      </c>
      <c r="H2414" s="3" t="s">
        <v>46</v>
      </c>
      <c r="I2414" s="3" t="s">
        <v>47</v>
      </c>
      <c r="J2414" s="5">
        <v>14000</v>
      </c>
      <c r="K2414" s="3">
        <v>4763603</v>
      </c>
      <c r="L2414" s="3" t="s">
        <v>5084</v>
      </c>
      <c r="M2414" s="3" t="s">
        <v>8858</v>
      </c>
      <c r="N2414" s="3">
        <v>192</v>
      </c>
      <c r="O2414" s="3" t="s">
        <v>8859</v>
      </c>
      <c r="P2414" s="3" t="s">
        <v>70</v>
      </c>
      <c r="Q2414" s="3" t="s">
        <v>8860</v>
      </c>
      <c r="R2414" s="3" t="s">
        <v>4623</v>
      </c>
      <c r="S2414" s="3">
        <v>58530000</v>
      </c>
      <c r="T2414" s="3">
        <v>8398308159</v>
      </c>
      <c r="U2414" s="3" t="s">
        <v>29</v>
      </c>
    </row>
    <row r="2415" spans="1:21" ht="13.2" x14ac:dyDescent="0.25">
      <c r="A2415" s="14">
        <v>5637139000164</v>
      </c>
      <c r="B2415" s="15" t="str">
        <f t="shared" si="37"/>
        <v>05.637.139/0001-64</v>
      </c>
      <c r="C2415" s="12"/>
      <c r="D2415" s="3" t="s">
        <v>8861</v>
      </c>
      <c r="E2415" s="3" t="s">
        <v>8862</v>
      </c>
      <c r="F2415" s="3" t="s">
        <v>20</v>
      </c>
      <c r="G2415" s="4">
        <v>37747</v>
      </c>
      <c r="H2415" s="3" t="s">
        <v>46</v>
      </c>
      <c r="I2415" s="3" t="s">
        <v>22</v>
      </c>
      <c r="J2415" s="5">
        <v>500000</v>
      </c>
      <c r="K2415" s="3">
        <v>4639701</v>
      </c>
      <c r="L2415" s="3" t="s">
        <v>3611</v>
      </c>
      <c r="M2415" s="3" t="s">
        <v>8863</v>
      </c>
      <c r="N2415" s="3">
        <v>29</v>
      </c>
      <c r="P2415" s="3" t="s">
        <v>8864</v>
      </c>
      <c r="Q2415" s="3" t="s">
        <v>617</v>
      </c>
      <c r="R2415" s="3" t="s">
        <v>28</v>
      </c>
      <c r="S2415" s="3">
        <v>6462040</v>
      </c>
      <c r="T2415" s="3">
        <v>1141958205</v>
      </c>
      <c r="U2415" s="3" t="s">
        <v>29</v>
      </c>
    </row>
    <row r="2416" spans="1:21" ht="13.2" x14ac:dyDescent="0.25">
      <c r="A2416" s="14">
        <v>52311289000163</v>
      </c>
      <c r="B2416" s="15" t="str">
        <f t="shared" si="37"/>
        <v>52.311.289/0001-63</v>
      </c>
      <c r="C2416" s="12"/>
      <c r="D2416" s="3" t="s">
        <v>8865</v>
      </c>
      <c r="E2416" s="3" t="s">
        <v>8866</v>
      </c>
      <c r="F2416" s="3" t="s">
        <v>20</v>
      </c>
      <c r="G2416" s="4">
        <v>24596</v>
      </c>
      <c r="H2416" s="3" t="s">
        <v>94</v>
      </c>
      <c r="I2416" s="3" t="s">
        <v>33</v>
      </c>
      <c r="J2416" s="5">
        <v>0</v>
      </c>
      <c r="K2416" s="3">
        <v>2833000</v>
      </c>
      <c r="L2416" s="3" t="s">
        <v>151</v>
      </c>
      <c r="M2416" s="3" t="s">
        <v>8867</v>
      </c>
      <c r="N2416" s="3">
        <v>1979</v>
      </c>
      <c r="P2416" s="3" t="s">
        <v>8868</v>
      </c>
      <c r="Q2416" s="3" t="s">
        <v>1443</v>
      </c>
      <c r="R2416" s="3" t="s">
        <v>28</v>
      </c>
      <c r="S2416" s="3">
        <v>15994900</v>
      </c>
      <c r="T2416" s="3">
        <v>1633828282</v>
      </c>
      <c r="U2416" s="3" t="s">
        <v>29</v>
      </c>
    </row>
    <row r="2417" spans="1:21" ht="13.2" x14ac:dyDescent="0.25">
      <c r="A2417" s="14">
        <v>35070436000131</v>
      </c>
      <c r="B2417" s="15" t="str">
        <f t="shared" si="37"/>
        <v>35.070.436/0001-31</v>
      </c>
      <c r="C2417" s="12"/>
      <c r="D2417" s="3" t="s">
        <v>8869</v>
      </c>
      <c r="E2417" s="3" t="s">
        <v>8870</v>
      </c>
      <c r="F2417" s="3" t="s">
        <v>45</v>
      </c>
      <c r="G2417" s="4">
        <v>43741</v>
      </c>
      <c r="H2417" s="3" t="s">
        <v>46</v>
      </c>
      <c r="I2417" s="3" t="s">
        <v>47</v>
      </c>
      <c r="J2417" s="5">
        <v>1000</v>
      </c>
      <c r="K2417" s="3">
        <v>4789099</v>
      </c>
      <c r="L2417" s="3" t="s">
        <v>774</v>
      </c>
      <c r="M2417" s="3" t="s">
        <v>8871</v>
      </c>
      <c r="N2417" s="3">
        <v>182</v>
      </c>
      <c r="P2417" s="3" t="s">
        <v>8872</v>
      </c>
      <c r="Q2417" s="3" t="s">
        <v>1177</v>
      </c>
      <c r="R2417" s="3" t="s">
        <v>28</v>
      </c>
      <c r="S2417" s="3">
        <v>13450573</v>
      </c>
      <c r="T2417" s="3">
        <v>1984383666</v>
      </c>
      <c r="U2417" s="3" t="s">
        <v>29</v>
      </c>
    </row>
    <row r="2418" spans="1:21" ht="13.2" x14ac:dyDescent="0.25">
      <c r="A2418" s="14">
        <v>9121564000157</v>
      </c>
      <c r="B2418" s="15" t="str">
        <f t="shared" si="37"/>
        <v>09.121.564/0001-57</v>
      </c>
      <c r="C2418" s="12"/>
      <c r="D2418" s="3" t="s">
        <v>8873</v>
      </c>
      <c r="E2418" s="3" t="s">
        <v>8874</v>
      </c>
      <c r="F2418" s="3" t="s">
        <v>20</v>
      </c>
      <c r="G2418" s="4">
        <v>39336</v>
      </c>
      <c r="H2418" s="3" t="s">
        <v>21</v>
      </c>
      <c r="I2418" s="3" t="s">
        <v>47</v>
      </c>
      <c r="J2418" s="5">
        <v>60000</v>
      </c>
      <c r="K2418" s="3">
        <v>5611201</v>
      </c>
      <c r="L2418" s="3" t="s">
        <v>3834</v>
      </c>
      <c r="M2418" s="3" t="s">
        <v>8875</v>
      </c>
      <c r="N2418" s="3">
        <v>495</v>
      </c>
      <c r="P2418" s="3" t="s">
        <v>5260</v>
      </c>
      <c r="Q2418" s="3" t="s">
        <v>27</v>
      </c>
      <c r="R2418" s="3" t="s">
        <v>28</v>
      </c>
      <c r="S2418" s="3">
        <v>4517001</v>
      </c>
      <c r="T2418" s="3">
        <v>1132879096</v>
      </c>
      <c r="U2418" s="3" t="s">
        <v>29</v>
      </c>
    </row>
    <row r="2419" spans="1:21" ht="13.2" x14ac:dyDescent="0.25">
      <c r="A2419" s="14">
        <v>57211997000146</v>
      </c>
      <c r="B2419" s="15" t="str">
        <f t="shared" si="37"/>
        <v>57.211.997/0001-46</v>
      </c>
      <c r="C2419" s="12"/>
      <c r="D2419" s="3" t="s">
        <v>8876</v>
      </c>
      <c r="E2419" s="3" t="s">
        <v>8877</v>
      </c>
      <c r="F2419" s="3" t="s">
        <v>20</v>
      </c>
      <c r="G2419" s="4">
        <v>31856</v>
      </c>
      <c r="H2419" s="3" t="s">
        <v>21</v>
      </c>
      <c r="I2419" s="3" t="s">
        <v>33</v>
      </c>
      <c r="J2419" s="5">
        <v>2000000</v>
      </c>
      <c r="K2419" s="3">
        <v>2599399</v>
      </c>
      <c r="L2419" s="3" t="s">
        <v>1144</v>
      </c>
      <c r="M2419" s="3" t="s">
        <v>8878</v>
      </c>
      <c r="N2419" s="3">
        <v>48</v>
      </c>
      <c r="P2419" s="3" t="s">
        <v>8879</v>
      </c>
      <c r="Q2419" s="3" t="s">
        <v>443</v>
      </c>
      <c r="R2419" s="3" t="s">
        <v>28</v>
      </c>
      <c r="S2419" s="3">
        <v>17510013</v>
      </c>
      <c r="U2419" s="3" t="s">
        <v>29</v>
      </c>
    </row>
    <row r="2420" spans="1:21" ht="13.2" x14ac:dyDescent="0.25">
      <c r="A2420" s="14">
        <v>88611835000129</v>
      </c>
      <c r="B2420" s="15" t="str">
        <f t="shared" si="37"/>
        <v>88.611.835/0001-29</v>
      </c>
      <c r="C2420" s="12" t="str">
        <f>VLOOKUP(B2420,[1]Planilha1!$A:$B,2,0)</f>
        <v>Malu Montesino</v>
      </c>
      <c r="D2420" s="3" t="s">
        <v>8880</v>
      </c>
      <c r="E2420" s="3" t="s">
        <v>8881</v>
      </c>
      <c r="F2420" s="3" t="s">
        <v>20</v>
      </c>
      <c r="G2420" s="4">
        <v>24327</v>
      </c>
      <c r="H2420" s="3" t="s">
        <v>377</v>
      </c>
      <c r="I2420" s="3" t="s">
        <v>33</v>
      </c>
      <c r="J2420" s="5">
        <v>2334052400</v>
      </c>
      <c r="K2420" s="3">
        <v>2920401</v>
      </c>
      <c r="L2420" s="3" t="s">
        <v>4553</v>
      </c>
      <c r="M2420" s="3" t="s">
        <v>8881</v>
      </c>
      <c r="N2420" s="3">
        <v>280</v>
      </c>
      <c r="P2420" s="3" t="s">
        <v>1465</v>
      </c>
      <c r="Q2420" s="3" t="s">
        <v>730</v>
      </c>
      <c r="R2420" s="3" t="s">
        <v>53</v>
      </c>
      <c r="S2420" s="3">
        <v>95086200</v>
      </c>
      <c r="T2420" s="3">
        <v>5421014000</v>
      </c>
      <c r="U2420" s="3" t="s">
        <v>29</v>
      </c>
    </row>
    <row r="2421" spans="1:21" ht="13.2" x14ac:dyDescent="0.25">
      <c r="A2421" s="14">
        <v>63411623000177</v>
      </c>
      <c r="B2421" s="15" t="str">
        <f t="shared" si="37"/>
        <v>63.411.623/0001-77</v>
      </c>
      <c r="C2421" s="12"/>
      <c r="D2421" s="3" t="s">
        <v>8882</v>
      </c>
      <c r="E2421" s="3" t="s">
        <v>8882</v>
      </c>
      <c r="F2421" s="3" t="s">
        <v>20</v>
      </c>
      <c r="G2421" s="4">
        <v>33276</v>
      </c>
      <c r="H2421" s="3" t="s">
        <v>94</v>
      </c>
      <c r="I2421" s="3" t="s">
        <v>33</v>
      </c>
      <c r="J2421" s="5">
        <v>53807000</v>
      </c>
      <c r="K2421" s="3">
        <v>4511104</v>
      </c>
      <c r="L2421" s="3" t="s">
        <v>2728</v>
      </c>
      <c r="M2421" s="3" t="s">
        <v>7176</v>
      </c>
      <c r="N2421" s="3" t="s">
        <v>82</v>
      </c>
      <c r="O2421" s="3" t="s">
        <v>8883</v>
      </c>
      <c r="P2421" s="3" t="s">
        <v>1409</v>
      </c>
      <c r="Q2421" s="3" t="s">
        <v>4996</v>
      </c>
      <c r="R2421" s="3" t="s">
        <v>711</v>
      </c>
      <c r="S2421" s="3">
        <v>49162343</v>
      </c>
      <c r="T2421" s="3">
        <v>7932266262</v>
      </c>
      <c r="U2421" s="3" t="s">
        <v>29</v>
      </c>
    </row>
    <row r="2422" spans="1:21" ht="13.2" x14ac:dyDescent="0.25">
      <c r="A2422" s="14">
        <v>5013050000127</v>
      </c>
      <c r="B2422" s="15" t="str">
        <f t="shared" si="37"/>
        <v>05.013.050/0001-27</v>
      </c>
      <c r="C2422" s="12"/>
      <c r="D2422" s="3" t="s">
        <v>8884</v>
      </c>
      <c r="E2422" s="3" t="s">
        <v>8884</v>
      </c>
      <c r="F2422" s="3" t="s">
        <v>20</v>
      </c>
      <c r="G2422" s="4">
        <v>37328</v>
      </c>
      <c r="H2422" s="3" t="s">
        <v>21</v>
      </c>
      <c r="I2422" s="3" t="s">
        <v>33</v>
      </c>
      <c r="J2422" s="5">
        <v>135651340</v>
      </c>
      <c r="K2422" s="3">
        <v>2862300</v>
      </c>
      <c r="L2422" s="3" t="s">
        <v>7127</v>
      </c>
      <c r="M2422" s="3" t="s">
        <v>8885</v>
      </c>
      <c r="N2422" s="3">
        <v>1000</v>
      </c>
      <c r="O2422" s="3" t="s">
        <v>8886</v>
      </c>
      <c r="P2422" s="3" t="s">
        <v>153</v>
      </c>
      <c r="Q2422" s="3" t="s">
        <v>65</v>
      </c>
      <c r="R2422" s="3" t="s">
        <v>28</v>
      </c>
      <c r="S2422" s="3">
        <v>13054709</v>
      </c>
      <c r="T2422" s="3">
        <v>1934149000</v>
      </c>
      <c r="U2422" s="3" t="s">
        <v>29</v>
      </c>
    </row>
    <row r="2423" spans="1:21" ht="13.2" x14ac:dyDescent="0.25">
      <c r="A2423" s="14">
        <v>3853896000140</v>
      </c>
      <c r="B2423" s="15" t="str">
        <f t="shared" si="37"/>
        <v>03.853.896/0001-40</v>
      </c>
      <c r="C2423" s="12" t="str">
        <f>VLOOKUP(B2423,[1]Planilha1!$A:$B,2,0)</f>
        <v>Malu Montesino</v>
      </c>
      <c r="D2423" s="3" t="s">
        <v>8887</v>
      </c>
      <c r="E2423" s="3" t="s">
        <v>8888</v>
      </c>
      <c r="F2423" s="3" t="s">
        <v>20</v>
      </c>
      <c r="G2423" s="4">
        <v>36683</v>
      </c>
      <c r="H2423" s="3" t="s">
        <v>377</v>
      </c>
      <c r="I2423" s="3" t="s">
        <v>33</v>
      </c>
      <c r="J2423" s="5">
        <v>15468782000</v>
      </c>
      <c r="K2423" s="3">
        <v>1011201</v>
      </c>
      <c r="L2423" s="3" t="s">
        <v>6368</v>
      </c>
      <c r="M2423" s="3" t="s">
        <v>701</v>
      </c>
      <c r="N2423" s="3">
        <v>1560</v>
      </c>
      <c r="O2423" s="3" t="s">
        <v>8889</v>
      </c>
      <c r="P2423" s="3" t="s">
        <v>703</v>
      </c>
      <c r="Q2423" s="3" t="s">
        <v>27</v>
      </c>
      <c r="R2423" s="3" t="s">
        <v>28</v>
      </c>
      <c r="S2423" s="3">
        <v>5319000</v>
      </c>
      <c r="T2423" s="3">
        <v>1145937403</v>
      </c>
      <c r="U2423" s="3" t="s">
        <v>29</v>
      </c>
    </row>
    <row r="2424" spans="1:21" ht="13.2" x14ac:dyDescent="0.25">
      <c r="A2424" s="14">
        <v>13991890000192</v>
      </c>
      <c r="B2424" s="15" t="str">
        <f t="shared" si="37"/>
        <v>13.991.890/0001-92</v>
      </c>
      <c r="C2424" s="12" t="str">
        <f>VLOOKUP(B2424,[1]Planilha1!$A:$B,2,0)</f>
        <v>Malu Montesino</v>
      </c>
      <c r="D2424" s="3" t="s">
        <v>8890</v>
      </c>
      <c r="E2424" s="3" t="s">
        <v>8890</v>
      </c>
      <c r="F2424" s="3" t="s">
        <v>20</v>
      </c>
      <c r="G2424" s="4">
        <v>40736</v>
      </c>
      <c r="H2424" s="3" t="s">
        <v>21</v>
      </c>
      <c r="I2424" s="3" t="s">
        <v>33</v>
      </c>
      <c r="J2424" s="5">
        <v>22000000</v>
      </c>
      <c r="K2424" s="3">
        <v>2521700</v>
      </c>
      <c r="L2424" s="3" t="s">
        <v>5040</v>
      </c>
      <c r="M2424" s="3" t="s">
        <v>8891</v>
      </c>
      <c r="N2424" s="3">
        <v>555</v>
      </c>
      <c r="O2424" s="3" t="s">
        <v>8892</v>
      </c>
      <c r="P2424" s="3" t="s">
        <v>8893</v>
      </c>
      <c r="Q2424" s="3" t="s">
        <v>8894</v>
      </c>
      <c r="R2424" s="3" t="s">
        <v>53</v>
      </c>
      <c r="S2424" s="3">
        <v>95778000</v>
      </c>
      <c r="T2424" s="3">
        <v>5437715000</v>
      </c>
      <c r="U2424" s="3" t="s">
        <v>29</v>
      </c>
    </row>
    <row r="2425" spans="1:21" ht="13.2" x14ac:dyDescent="0.25">
      <c r="A2425" s="14">
        <v>61189288000189</v>
      </c>
      <c r="B2425" s="15" t="str">
        <f t="shared" si="37"/>
        <v>61.189.288/0001-89</v>
      </c>
      <c r="C2425" s="12"/>
      <c r="D2425" s="3" t="s">
        <v>8895</v>
      </c>
      <c r="E2425" s="3" t="s">
        <v>8896</v>
      </c>
      <c r="F2425" s="3" t="s">
        <v>20</v>
      </c>
      <c r="G2425" s="4">
        <v>24344</v>
      </c>
      <c r="H2425" s="3" t="s">
        <v>377</v>
      </c>
      <c r="I2425" s="3" t="s">
        <v>33</v>
      </c>
      <c r="J2425" s="5">
        <v>2344828400</v>
      </c>
      <c r="K2425" s="3">
        <v>4781400</v>
      </c>
      <c r="L2425" s="3" t="s">
        <v>2907</v>
      </c>
      <c r="M2425" s="3" t="s">
        <v>8897</v>
      </c>
      <c r="N2425" s="3">
        <v>432</v>
      </c>
      <c r="O2425" s="3" t="s">
        <v>8898</v>
      </c>
      <c r="P2425" s="3" t="s">
        <v>2020</v>
      </c>
      <c r="Q2425" s="3" t="s">
        <v>27</v>
      </c>
      <c r="R2425" s="3" t="s">
        <v>28</v>
      </c>
      <c r="S2425" s="3">
        <v>1138000</v>
      </c>
      <c r="T2425" s="3">
        <v>1136606045</v>
      </c>
      <c r="U2425" s="3" t="s">
        <v>29</v>
      </c>
    </row>
    <row r="2426" spans="1:21" ht="13.2" x14ac:dyDescent="0.25">
      <c r="A2426" s="14">
        <v>2871109000120</v>
      </c>
      <c r="B2426" s="15" t="str">
        <f t="shared" si="37"/>
        <v>02.871.109/0001-20</v>
      </c>
      <c r="C2426" s="12"/>
      <c r="D2426" s="3" t="s">
        <v>8899</v>
      </c>
      <c r="E2426" s="3" t="s">
        <v>8900</v>
      </c>
      <c r="F2426" s="3" t="s">
        <v>20</v>
      </c>
      <c r="G2426" s="4">
        <v>36103</v>
      </c>
      <c r="H2426" s="3" t="s">
        <v>21</v>
      </c>
      <c r="I2426" s="3" t="s">
        <v>22</v>
      </c>
      <c r="J2426" s="5">
        <v>1100000</v>
      </c>
      <c r="K2426" s="3">
        <v>1922599</v>
      </c>
      <c r="L2426" s="3" t="s">
        <v>3246</v>
      </c>
      <c r="M2426" s="3" t="s">
        <v>8901</v>
      </c>
      <c r="N2426" s="3">
        <v>24</v>
      </c>
      <c r="O2426" s="3" t="s">
        <v>8902</v>
      </c>
      <c r="P2426" s="3" t="s">
        <v>4982</v>
      </c>
      <c r="Q2426" s="3" t="s">
        <v>253</v>
      </c>
      <c r="R2426" s="3" t="s">
        <v>78</v>
      </c>
      <c r="S2426" s="3">
        <v>21031050</v>
      </c>
      <c r="T2426" s="3">
        <v>2138821001</v>
      </c>
      <c r="U2426" s="3" t="s">
        <v>29</v>
      </c>
    </row>
    <row r="2427" spans="1:21" ht="13.2" x14ac:dyDescent="0.25">
      <c r="A2427" s="14">
        <v>2714849000152</v>
      </c>
      <c r="B2427" s="15" t="str">
        <f t="shared" si="37"/>
        <v>02.714.849/0001-52</v>
      </c>
      <c r="C2427" s="12"/>
      <c r="D2427" s="3" t="s">
        <v>8903</v>
      </c>
      <c r="E2427" s="3" t="s">
        <v>8903</v>
      </c>
      <c r="F2427" s="3" t="s">
        <v>31</v>
      </c>
      <c r="G2427" s="4">
        <v>35983</v>
      </c>
      <c r="H2427" s="3" t="s">
        <v>21</v>
      </c>
      <c r="I2427" s="3" t="s">
        <v>22</v>
      </c>
      <c r="J2427" s="5">
        <v>300000</v>
      </c>
      <c r="K2427" s="3">
        <v>4645101</v>
      </c>
      <c r="L2427" s="3" t="s">
        <v>135</v>
      </c>
      <c r="M2427" s="3" t="s">
        <v>6879</v>
      </c>
      <c r="N2427" s="3">
        <v>200</v>
      </c>
      <c r="O2427" s="3" t="s">
        <v>8904</v>
      </c>
      <c r="P2427" s="3" t="s">
        <v>252</v>
      </c>
      <c r="Q2427" s="3" t="s">
        <v>253</v>
      </c>
      <c r="R2427" s="3" t="s">
        <v>78</v>
      </c>
      <c r="S2427" s="3">
        <v>22775056</v>
      </c>
      <c r="T2427" s="3">
        <v>2125045775</v>
      </c>
      <c r="U2427" s="3" t="s">
        <v>29</v>
      </c>
    </row>
    <row r="2428" spans="1:21" ht="13.2" x14ac:dyDescent="0.25">
      <c r="A2428" s="14">
        <v>19653054000184</v>
      </c>
      <c r="B2428" s="15" t="str">
        <f t="shared" si="37"/>
        <v>19.653.054/0001-84</v>
      </c>
      <c r="C2428" s="12" t="str">
        <f>VLOOKUP(B2428,[1]Planilha1!$A:$B,2,0)</f>
        <v>Malu Montesino</v>
      </c>
      <c r="D2428" s="3" t="s">
        <v>8905</v>
      </c>
      <c r="E2428" s="3" t="s">
        <v>8905</v>
      </c>
      <c r="F2428" s="3" t="s">
        <v>20</v>
      </c>
      <c r="G2428" s="4">
        <v>28565</v>
      </c>
      <c r="H2428" s="3" t="s">
        <v>21</v>
      </c>
      <c r="I2428" s="3" t="s">
        <v>33</v>
      </c>
      <c r="J2428" s="5">
        <v>23781456</v>
      </c>
      <c r="K2428" s="3">
        <v>1531901</v>
      </c>
      <c r="L2428" s="3" t="s">
        <v>1330</v>
      </c>
      <c r="M2428" s="3" t="s">
        <v>8906</v>
      </c>
      <c r="N2428" s="3" t="s">
        <v>82</v>
      </c>
      <c r="O2428" s="3" t="s">
        <v>554</v>
      </c>
      <c r="P2428" s="3" t="s">
        <v>911</v>
      </c>
      <c r="Q2428" s="3" t="s">
        <v>8907</v>
      </c>
      <c r="R2428" s="3" t="s">
        <v>100</v>
      </c>
      <c r="S2428" s="3">
        <v>36213000</v>
      </c>
      <c r="T2428" s="3">
        <v>3236934000</v>
      </c>
      <c r="U2428" s="3" t="s">
        <v>29</v>
      </c>
    </row>
    <row r="2429" spans="1:21" ht="13.2" x14ac:dyDescent="0.25">
      <c r="A2429" s="14">
        <v>14997470000186</v>
      </c>
      <c r="B2429" s="15" t="str">
        <f t="shared" si="37"/>
        <v>14.997.470/0001-86</v>
      </c>
      <c r="C2429" s="12"/>
      <c r="D2429" s="3" t="s">
        <v>8908</v>
      </c>
      <c r="E2429" s="3" t="s">
        <v>8908</v>
      </c>
      <c r="F2429" s="3" t="s">
        <v>20</v>
      </c>
      <c r="G2429" s="4">
        <v>40944</v>
      </c>
      <c r="H2429" s="3" t="s">
        <v>8647</v>
      </c>
      <c r="I2429" s="3" t="s">
        <v>47</v>
      </c>
      <c r="J2429" s="5">
        <v>40000</v>
      </c>
      <c r="K2429" s="3">
        <v>6911701</v>
      </c>
      <c r="L2429" s="3" t="s">
        <v>1551</v>
      </c>
      <c r="M2429" s="3" t="s">
        <v>8909</v>
      </c>
      <c r="N2429" s="3">
        <v>55</v>
      </c>
      <c r="P2429" s="3" t="s">
        <v>8910</v>
      </c>
      <c r="Q2429" s="3" t="s">
        <v>1141</v>
      </c>
      <c r="R2429" s="3" t="s">
        <v>1142</v>
      </c>
      <c r="S2429" s="3">
        <v>79092221</v>
      </c>
      <c r="T2429" s="3">
        <v>6792110244</v>
      </c>
      <c r="U2429" s="3" t="s">
        <v>29</v>
      </c>
    </row>
    <row r="2430" spans="1:21" ht="13.2" x14ac:dyDescent="0.25">
      <c r="A2430" s="14">
        <v>5439528000185</v>
      </c>
      <c r="B2430" s="15" t="str">
        <f t="shared" si="37"/>
        <v>05.439.528/0001-85</v>
      </c>
      <c r="C2430" s="12"/>
      <c r="D2430" s="3" t="s">
        <v>8911</v>
      </c>
      <c r="E2430" s="3" t="s">
        <v>8911</v>
      </c>
      <c r="F2430" s="3" t="s">
        <v>20</v>
      </c>
      <c r="G2430" s="4">
        <v>37586</v>
      </c>
      <c r="H2430" s="3" t="s">
        <v>8647</v>
      </c>
      <c r="I2430" s="3" t="s">
        <v>33</v>
      </c>
      <c r="J2430" s="5">
        <v>50000</v>
      </c>
      <c r="K2430" s="3">
        <v>6911701</v>
      </c>
      <c r="L2430" s="3" t="s">
        <v>1551</v>
      </c>
      <c r="M2430" s="3" t="s">
        <v>294</v>
      </c>
      <c r="N2430" s="3">
        <v>1165</v>
      </c>
      <c r="P2430" s="3" t="s">
        <v>296</v>
      </c>
      <c r="Q2430" s="3" t="s">
        <v>27</v>
      </c>
      <c r="R2430" s="3" t="s">
        <v>28</v>
      </c>
      <c r="S2430" s="3">
        <v>1419002</v>
      </c>
      <c r="T2430" s="3">
        <v>1140811953</v>
      </c>
      <c r="U2430" s="3" t="s">
        <v>29</v>
      </c>
    </row>
    <row r="2431" spans="1:21" ht="13.2" x14ac:dyDescent="0.25">
      <c r="A2431" s="14">
        <v>11755916000178</v>
      </c>
      <c r="B2431" s="15" t="str">
        <f t="shared" si="37"/>
        <v>11.755.916/0001-78</v>
      </c>
      <c r="C2431" s="12"/>
      <c r="D2431" s="3" t="s">
        <v>8912</v>
      </c>
      <c r="E2431" s="3" t="s">
        <v>8912</v>
      </c>
      <c r="F2431" s="3" t="s">
        <v>20</v>
      </c>
      <c r="G2431" s="4">
        <v>40254</v>
      </c>
      <c r="H2431" s="3" t="s">
        <v>21</v>
      </c>
      <c r="I2431" s="3" t="s">
        <v>33</v>
      </c>
      <c r="J2431" s="5">
        <v>81410350</v>
      </c>
      <c r="K2431" s="3">
        <v>2815102</v>
      </c>
      <c r="L2431" s="3" t="s">
        <v>1412</v>
      </c>
      <c r="M2431" s="3" t="s">
        <v>8913</v>
      </c>
      <c r="N2431" s="3" t="s">
        <v>82</v>
      </c>
      <c r="O2431" s="3" t="s">
        <v>8914</v>
      </c>
      <c r="P2431" s="3" t="s">
        <v>8915</v>
      </c>
      <c r="Q2431" s="3" t="s">
        <v>744</v>
      </c>
      <c r="R2431" s="3" t="s">
        <v>28</v>
      </c>
      <c r="S2431" s="3">
        <v>13165026</v>
      </c>
      <c r="T2431" s="3">
        <v>1938774500</v>
      </c>
      <c r="U2431" s="3" t="s">
        <v>29</v>
      </c>
    </row>
    <row r="2432" spans="1:21" ht="13.2" x14ac:dyDescent="0.25">
      <c r="A2432" s="14">
        <v>60884756000172</v>
      </c>
      <c r="B2432" s="15" t="str">
        <f t="shared" si="37"/>
        <v>60.884.756/0001-72</v>
      </c>
      <c r="C2432" s="12"/>
      <c r="D2432" s="3" t="s">
        <v>8916</v>
      </c>
      <c r="E2432" s="3" t="s">
        <v>8916</v>
      </c>
      <c r="F2432" s="3" t="s">
        <v>20</v>
      </c>
      <c r="G2432" s="4">
        <v>26550</v>
      </c>
      <c r="H2432" s="3" t="s">
        <v>94</v>
      </c>
      <c r="I2432" s="3" t="s">
        <v>33</v>
      </c>
      <c r="J2432" s="5">
        <v>79454740</v>
      </c>
      <c r="K2432" s="3">
        <v>4619200</v>
      </c>
      <c r="L2432" s="3" t="s">
        <v>3484</v>
      </c>
      <c r="M2432" s="3" t="s">
        <v>246</v>
      </c>
      <c r="N2432" s="3">
        <v>1063</v>
      </c>
      <c r="O2432" s="3" t="s">
        <v>8917</v>
      </c>
      <c r="P2432" s="3" t="s">
        <v>248</v>
      </c>
      <c r="Q2432" s="3" t="s">
        <v>27</v>
      </c>
      <c r="R2432" s="3" t="s">
        <v>28</v>
      </c>
      <c r="S2432" s="3">
        <v>1311200</v>
      </c>
      <c r="T2432" s="3">
        <v>1134661855</v>
      </c>
      <c r="U2432" s="3" t="s">
        <v>29</v>
      </c>
    </row>
    <row r="2433" spans="1:21" ht="13.2" x14ac:dyDescent="0.25">
      <c r="A2433" s="14">
        <v>73949554000103</v>
      </c>
      <c r="B2433" s="15" t="str">
        <f t="shared" si="37"/>
        <v>73.949.554/0001-03</v>
      </c>
      <c r="C2433" s="12"/>
      <c r="D2433" s="3" t="s">
        <v>8918</v>
      </c>
      <c r="E2433" s="3" t="s">
        <v>8919</v>
      </c>
      <c r="F2433" s="3" t="s">
        <v>20</v>
      </c>
      <c r="G2433" s="4">
        <v>34324</v>
      </c>
      <c r="H2433" s="3" t="s">
        <v>21</v>
      </c>
      <c r="I2433" s="3" t="s">
        <v>22</v>
      </c>
      <c r="J2433" s="5">
        <v>100000</v>
      </c>
      <c r="K2433" s="3">
        <v>7020400</v>
      </c>
      <c r="L2433" s="3" t="s">
        <v>170</v>
      </c>
      <c r="M2433" s="3" t="s">
        <v>3289</v>
      </c>
      <c r="N2433" s="3">
        <v>472</v>
      </c>
      <c r="O2433" s="3" t="s">
        <v>8920</v>
      </c>
      <c r="P2433" s="3" t="s">
        <v>2211</v>
      </c>
      <c r="Q2433" s="3" t="s">
        <v>27</v>
      </c>
      <c r="R2433" s="3" t="s">
        <v>28</v>
      </c>
      <c r="S2433" s="3">
        <v>4711030</v>
      </c>
      <c r="T2433" s="3">
        <v>1155334993</v>
      </c>
      <c r="U2433" s="3" t="s">
        <v>29</v>
      </c>
    </row>
    <row r="2434" spans="1:21" ht="13.2" x14ac:dyDescent="0.25">
      <c r="A2434" s="14">
        <v>1835739000186</v>
      </c>
      <c r="B2434" s="15" t="str">
        <f t="shared" si="37"/>
        <v>01.835.739/0001-86</v>
      </c>
      <c r="C2434" s="12" t="str">
        <f>VLOOKUP(B2434,[1]Planilha1!$A:$B,2,0)</f>
        <v>Malu Montesino</v>
      </c>
      <c r="D2434" s="3" t="s">
        <v>8921</v>
      </c>
      <c r="E2434" s="3" t="s">
        <v>8921</v>
      </c>
      <c r="F2434" s="3" t="s">
        <v>20</v>
      </c>
      <c r="G2434" s="4">
        <v>35569</v>
      </c>
      <c r="H2434" s="3" t="s">
        <v>21</v>
      </c>
      <c r="I2434" s="3" t="s">
        <v>33</v>
      </c>
      <c r="J2434" s="5">
        <v>285000</v>
      </c>
      <c r="K2434" s="3">
        <v>4299599</v>
      </c>
      <c r="L2434" s="3" t="s">
        <v>1185</v>
      </c>
      <c r="M2434" s="3" t="s">
        <v>8922</v>
      </c>
      <c r="N2434" s="3">
        <v>1241</v>
      </c>
      <c r="P2434" s="3" t="s">
        <v>406</v>
      </c>
      <c r="Q2434" s="3" t="s">
        <v>357</v>
      </c>
      <c r="R2434" s="3" t="s">
        <v>28</v>
      </c>
      <c r="S2434" s="3">
        <v>7221070</v>
      </c>
      <c r="T2434" s="3">
        <v>1124875500</v>
      </c>
      <c r="U2434" s="3" t="s">
        <v>29</v>
      </c>
    </row>
    <row r="2435" spans="1:21" ht="13.2" x14ac:dyDescent="0.25">
      <c r="A2435" s="14">
        <v>56287725000167</v>
      </c>
      <c r="B2435" s="15" t="str">
        <f t="shared" ref="B2435:B2498" si="38">TEXT(A2435,"00\.000\.000\/0000\-00")</f>
        <v>56.287.725/0001-67</v>
      </c>
      <c r="C2435" s="12"/>
      <c r="D2435" s="3" t="s">
        <v>8923</v>
      </c>
      <c r="E2435" s="3" t="s">
        <v>8923</v>
      </c>
      <c r="F2435" s="3" t="s">
        <v>20</v>
      </c>
      <c r="G2435" s="4">
        <v>31663</v>
      </c>
      <c r="H2435" s="3" t="s">
        <v>21</v>
      </c>
      <c r="I2435" s="3" t="s">
        <v>33</v>
      </c>
      <c r="J2435" s="5">
        <v>9400000</v>
      </c>
      <c r="K2435" s="3">
        <v>4789099</v>
      </c>
      <c r="L2435" s="3" t="s">
        <v>774</v>
      </c>
      <c r="M2435" s="3" t="s">
        <v>294</v>
      </c>
      <c r="N2435" s="3">
        <v>2815</v>
      </c>
      <c r="P2435" s="3" t="s">
        <v>8924</v>
      </c>
      <c r="Q2435" s="3" t="s">
        <v>524</v>
      </c>
      <c r="R2435" s="3" t="s">
        <v>28</v>
      </c>
      <c r="S2435" s="3">
        <v>14075060</v>
      </c>
      <c r="T2435" s="3">
        <v>1630199000</v>
      </c>
      <c r="U2435" s="3" t="s">
        <v>29</v>
      </c>
    </row>
    <row r="2436" spans="1:21" ht="13.2" x14ac:dyDescent="0.25">
      <c r="A2436" s="14">
        <v>2745352000100</v>
      </c>
      <c r="B2436" s="15" t="str">
        <f t="shared" si="38"/>
        <v>02.745.352/0001-00</v>
      </c>
      <c r="C2436" s="12"/>
      <c r="D2436" s="3" t="s">
        <v>8925</v>
      </c>
      <c r="E2436" s="3" t="s">
        <v>8925</v>
      </c>
      <c r="F2436" s="3" t="s">
        <v>20</v>
      </c>
      <c r="G2436" s="4">
        <v>36021</v>
      </c>
      <c r="H2436" s="3" t="s">
        <v>21</v>
      </c>
      <c r="I2436" s="3" t="s">
        <v>33</v>
      </c>
      <c r="J2436" s="5">
        <v>1100000</v>
      </c>
      <c r="K2436" s="3">
        <v>3101200</v>
      </c>
      <c r="L2436" s="3" t="s">
        <v>359</v>
      </c>
      <c r="M2436" s="3" t="s">
        <v>8926</v>
      </c>
      <c r="N2436" s="3">
        <v>95</v>
      </c>
      <c r="P2436" s="3" t="s">
        <v>8927</v>
      </c>
      <c r="Q2436" s="3" t="s">
        <v>2497</v>
      </c>
      <c r="R2436" s="3" t="s">
        <v>28</v>
      </c>
      <c r="S2436" s="3">
        <v>7661625</v>
      </c>
      <c r="T2436" s="3">
        <v>1144868846</v>
      </c>
      <c r="U2436" s="3" t="s">
        <v>29</v>
      </c>
    </row>
    <row r="2437" spans="1:21" ht="13.2" x14ac:dyDescent="0.25">
      <c r="A2437" s="14">
        <v>23792397000105</v>
      </c>
      <c r="B2437" s="15" t="str">
        <f t="shared" si="38"/>
        <v>23.792.397/0001-05</v>
      </c>
      <c r="C2437" s="12"/>
      <c r="D2437" s="3" t="s">
        <v>8928</v>
      </c>
      <c r="E2437" s="3" t="s">
        <v>8929</v>
      </c>
      <c r="F2437" s="3" t="s">
        <v>45</v>
      </c>
      <c r="G2437" s="4">
        <v>42342</v>
      </c>
      <c r="H2437" s="3" t="s">
        <v>21</v>
      </c>
      <c r="I2437" s="3" t="s">
        <v>22</v>
      </c>
      <c r="J2437" s="5">
        <v>80000</v>
      </c>
      <c r="K2437" s="3">
        <v>4120400</v>
      </c>
      <c r="L2437" s="3" t="s">
        <v>87</v>
      </c>
      <c r="M2437" s="3" t="s">
        <v>3295</v>
      </c>
      <c r="N2437" s="3">
        <v>348</v>
      </c>
      <c r="O2437" s="3" t="s">
        <v>8930</v>
      </c>
      <c r="P2437" s="3" t="s">
        <v>753</v>
      </c>
      <c r="Q2437" s="3" t="s">
        <v>27</v>
      </c>
      <c r="R2437" s="3" t="s">
        <v>28</v>
      </c>
      <c r="S2437" s="3">
        <v>5311000</v>
      </c>
      <c r="T2437" s="3">
        <v>1139027856</v>
      </c>
      <c r="U2437" s="3" t="s">
        <v>29</v>
      </c>
    </row>
    <row r="2438" spans="1:21" ht="13.2" x14ac:dyDescent="0.25">
      <c r="A2438" s="14">
        <v>12538156000100</v>
      </c>
      <c r="B2438" s="15" t="str">
        <f t="shared" si="38"/>
        <v>12.538.156/0001-00</v>
      </c>
      <c r="C2438" s="12"/>
      <c r="D2438" s="3" t="s">
        <v>8931</v>
      </c>
      <c r="E2438" s="3" t="s">
        <v>8931</v>
      </c>
      <c r="F2438" s="3" t="s">
        <v>20</v>
      </c>
      <c r="G2438" s="4">
        <v>40437</v>
      </c>
      <c r="H2438" s="3" t="s">
        <v>21</v>
      </c>
      <c r="I2438" s="3" t="s">
        <v>33</v>
      </c>
      <c r="J2438" s="5">
        <v>18000000</v>
      </c>
      <c r="K2438" s="3">
        <v>4662100</v>
      </c>
      <c r="L2438" s="3" t="s">
        <v>2324</v>
      </c>
      <c r="M2438" s="3" t="s">
        <v>8932</v>
      </c>
      <c r="N2438" s="3">
        <v>820</v>
      </c>
      <c r="P2438" s="3" t="s">
        <v>8933</v>
      </c>
      <c r="Q2438" s="3" t="s">
        <v>1701</v>
      </c>
      <c r="R2438" s="3" t="s">
        <v>100</v>
      </c>
      <c r="S2438" s="3">
        <v>32371610</v>
      </c>
      <c r="T2438" s="3">
        <v>3130733925</v>
      </c>
      <c r="U2438" s="3" t="s">
        <v>29</v>
      </c>
    </row>
    <row r="2439" spans="1:21" ht="13.2" x14ac:dyDescent="0.25">
      <c r="A2439" s="14">
        <v>84683879000103</v>
      </c>
      <c r="B2439" s="15" t="str">
        <f t="shared" si="38"/>
        <v>84.683.879/0001-03</v>
      </c>
      <c r="C2439" s="12" t="str">
        <f>VLOOKUP(B2439,[1]Planilha1!$A:$B,2,0)</f>
        <v>Malu Montesino</v>
      </c>
      <c r="D2439" s="3" t="s">
        <v>8934</v>
      </c>
      <c r="E2439" s="3" t="s">
        <v>8934</v>
      </c>
      <c r="F2439" s="3" t="s">
        <v>45</v>
      </c>
      <c r="G2439" s="4">
        <v>29070</v>
      </c>
      <c r="H2439" s="3" t="s">
        <v>94</v>
      </c>
      <c r="I2439" s="3" t="s">
        <v>33</v>
      </c>
      <c r="J2439" s="5">
        <v>0</v>
      </c>
      <c r="K2439" s="3">
        <v>2930102</v>
      </c>
      <c r="L2439" s="3" t="s">
        <v>3053</v>
      </c>
      <c r="M2439" s="3" t="s">
        <v>8935</v>
      </c>
      <c r="N2439" s="3">
        <v>345</v>
      </c>
      <c r="P2439" s="3" t="s">
        <v>153</v>
      </c>
      <c r="Q2439" s="3" t="s">
        <v>423</v>
      </c>
      <c r="R2439" s="3" t="s">
        <v>91</v>
      </c>
      <c r="S2439" s="3">
        <v>89219580</v>
      </c>
      <c r="T2439" s="3">
        <v>474411337</v>
      </c>
      <c r="U2439" s="3" t="s">
        <v>29</v>
      </c>
    </row>
    <row r="2440" spans="1:21" ht="13.2" x14ac:dyDescent="0.25">
      <c r="A2440" s="14">
        <v>45793395000165</v>
      </c>
      <c r="B2440" s="15" t="str">
        <f t="shared" si="38"/>
        <v>45.793.395/0001-65</v>
      </c>
      <c r="C2440" s="12"/>
      <c r="D2440" s="3" t="s">
        <v>8936</v>
      </c>
      <c r="E2440" s="3" t="s">
        <v>8937</v>
      </c>
      <c r="F2440" s="3" t="s">
        <v>20</v>
      </c>
      <c r="G2440" s="4">
        <v>29712</v>
      </c>
      <c r="H2440" s="3" t="s">
        <v>21</v>
      </c>
      <c r="I2440" s="3" t="s">
        <v>33</v>
      </c>
      <c r="J2440" s="5">
        <v>2510942</v>
      </c>
      <c r="K2440" s="3">
        <v>6493000</v>
      </c>
      <c r="L2440" s="3" t="s">
        <v>8938</v>
      </c>
      <c r="M2440" s="3" t="s">
        <v>6431</v>
      </c>
      <c r="N2440" s="3">
        <v>30</v>
      </c>
      <c r="O2440" s="3" t="s">
        <v>222</v>
      </c>
      <c r="P2440" s="3" t="s">
        <v>3858</v>
      </c>
      <c r="Q2440" s="3" t="s">
        <v>1312</v>
      </c>
      <c r="R2440" s="3" t="s">
        <v>28</v>
      </c>
      <c r="S2440" s="3">
        <v>13309045</v>
      </c>
      <c r="T2440" s="3">
        <v>1140229900</v>
      </c>
      <c r="U2440" s="3" t="s">
        <v>29</v>
      </c>
    </row>
    <row r="2441" spans="1:21" ht="13.2" x14ac:dyDescent="0.25">
      <c r="A2441" s="14">
        <v>813190000166</v>
      </c>
      <c r="B2441" s="15" t="str">
        <f t="shared" si="38"/>
        <v>00.813.190/0001-66</v>
      </c>
      <c r="C2441" s="12"/>
      <c r="D2441" s="3" t="s">
        <v>8939</v>
      </c>
      <c r="E2441" s="3" t="s">
        <v>8940</v>
      </c>
      <c r="F2441" s="3" t="s">
        <v>20</v>
      </c>
      <c r="G2441" s="4">
        <v>34950</v>
      </c>
      <c r="H2441" s="3" t="s">
        <v>21</v>
      </c>
      <c r="I2441" s="3" t="s">
        <v>33</v>
      </c>
      <c r="J2441" s="5">
        <v>1940000</v>
      </c>
      <c r="K2441" s="3">
        <v>1066000</v>
      </c>
      <c r="L2441" s="3" t="s">
        <v>8941</v>
      </c>
      <c r="M2441" s="3" t="s">
        <v>8942</v>
      </c>
      <c r="N2441" s="3">
        <v>485</v>
      </c>
      <c r="P2441" s="3" t="s">
        <v>153</v>
      </c>
      <c r="Q2441" s="3" t="s">
        <v>8943</v>
      </c>
      <c r="R2441" s="3" t="s">
        <v>100</v>
      </c>
      <c r="S2441" s="3">
        <v>36180000</v>
      </c>
      <c r="T2441" s="3">
        <v>3235712038</v>
      </c>
      <c r="U2441" s="3" t="s">
        <v>29</v>
      </c>
    </row>
    <row r="2442" spans="1:21" ht="13.2" x14ac:dyDescent="0.25">
      <c r="A2442" s="14">
        <v>18337714000155</v>
      </c>
      <c r="B2442" s="15" t="str">
        <f t="shared" si="38"/>
        <v>18.337.714/0001-55</v>
      </c>
      <c r="C2442" s="12"/>
      <c r="D2442" s="3" t="s">
        <v>8944</v>
      </c>
      <c r="E2442" s="3" t="s">
        <v>8945</v>
      </c>
      <c r="F2442" s="3" t="s">
        <v>20</v>
      </c>
      <c r="G2442" s="4">
        <v>41445</v>
      </c>
      <c r="H2442" s="3" t="s">
        <v>21</v>
      </c>
      <c r="I2442" s="3" t="s">
        <v>47</v>
      </c>
      <c r="J2442" s="5">
        <v>100000</v>
      </c>
      <c r="K2442" s="3">
        <v>4744003</v>
      </c>
      <c r="L2442" s="3" t="s">
        <v>6548</v>
      </c>
      <c r="M2442" s="3" t="s">
        <v>8839</v>
      </c>
      <c r="N2442" s="3">
        <v>81</v>
      </c>
      <c r="O2442" s="3" t="s">
        <v>8946</v>
      </c>
      <c r="P2442" s="3" t="s">
        <v>5065</v>
      </c>
      <c r="Q2442" s="3" t="s">
        <v>119</v>
      </c>
      <c r="R2442" s="3" t="s">
        <v>28</v>
      </c>
      <c r="S2442" s="3">
        <v>6612180</v>
      </c>
      <c r="T2442" s="3">
        <v>1120508900</v>
      </c>
      <c r="U2442" s="3" t="s">
        <v>29</v>
      </c>
    </row>
    <row r="2443" spans="1:21" ht="13.2" x14ac:dyDescent="0.25">
      <c r="A2443" s="14">
        <v>5658506000106</v>
      </c>
      <c r="B2443" s="15" t="str">
        <f t="shared" si="38"/>
        <v>05.658.506/0001-06</v>
      </c>
      <c r="C2443" s="12"/>
      <c r="D2443" s="3" t="s">
        <v>8947</v>
      </c>
      <c r="E2443" s="3" t="s">
        <v>8948</v>
      </c>
      <c r="F2443" s="3" t="s">
        <v>20</v>
      </c>
      <c r="G2443" s="4">
        <v>37750</v>
      </c>
      <c r="H2443" s="3" t="s">
        <v>21</v>
      </c>
      <c r="I2443" s="3" t="s">
        <v>33</v>
      </c>
      <c r="J2443" s="5">
        <v>5500000</v>
      </c>
      <c r="K2443" s="3">
        <v>2093200</v>
      </c>
      <c r="L2443" s="3" t="s">
        <v>913</v>
      </c>
      <c r="M2443" s="3" t="s">
        <v>3112</v>
      </c>
      <c r="N2443" s="3">
        <v>712</v>
      </c>
      <c r="O2443" s="3" t="s">
        <v>1014</v>
      </c>
      <c r="P2443" s="3" t="s">
        <v>8949</v>
      </c>
      <c r="Q2443" s="3" t="s">
        <v>3499</v>
      </c>
      <c r="R2443" s="3" t="s">
        <v>53</v>
      </c>
      <c r="S2443" s="3">
        <v>93180000</v>
      </c>
      <c r="T2443" s="3">
        <v>5135623737</v>
      </c>
      <c r="U2443" s="3" t="s">
        <v>29</v>
      </c>
    </row>
    <row r="2444" spans="1:21" ht="13.2" x14ac:dyDescent="0.25">
      <c r="A2444" s="14">
        <v>66052242000137</v>
      </c>
      <c r="B2444" s="15" t="str">
        <f t="shared" si="38"/>
        <v>66.052.242/0001-37</v>
      </c>
      <c r="C2444" s="12"/>
      <c r="D2444" s="3" t="s">
        <v>8950</v>
      </c>
      <c r="E2444" s="3" t="s">
        <v>8950</v>
      </c>
      <c r="F2444" s="3" t="s">
        <v>20</v>
      </c>
      <c r="G2444" s="4">
        <v>33493</v>
      </c>
      <c r="H2444" s="3" t="s">
        <v>21</v>
      </c>
      <c r="I2444" s="3" t="s">
        <v>33</v>
      </c>
      <c r="J2444" s="5">
        <v>4785048</v>
      </c>
      <c r="K2444" s="3">
        <v>6203100</v>
      </c>
      <c r="L2444" s="3" t="s">
        <v>2268</v>
      </c>
      <c r="M2444" s="3" t="s">
        <v>8951</v>
      </c>
      <c r="N2444" s="3">
        <v>595</v>
      </c>
      <c r="O2444" s="3" t="s">
        <v>8952</v>
      </c>
      <c r="P2444" s="3" t="s">
        <v>3565</v>
      </c>
      <c r="Q2444" s="3" t="s">
        <v>27</v>
      </c>
      <c r="R2444" s="3" t="s">
        <v>28</v>
      </c>
      <c r="S2444" s="3">
        <v>4103001</v>
      </c>
      <c r="T2444" s="3">
        <v>1122720388</v>
      </c>
      <c r="U2444" s="3" t="s">
        <v>29</v>
      </c>
    </row>
    <row r="2445" spans="1:21" ht="13.2" x14ac:dyDescent="0.25">
      <c r="A2445" s="14">
        <v>66553298000175</v>
      </c>
      <c r="B2445" s="15" t="str">
        <f t="shared" si="38"/>
        <v>66.553.298/0001-75</v>
      </c>
      <c r="C2445" s="12"/>
      <c r="D2445" s="3" t="s">
        <v>8953</v>
      </c>
      <c r="E2445" s="3" t="s">
        <v>8953</v>
      </c>
      <c r="F2445" s="3" t="s">
        <v>20</v>
      </c>
      <c r="G2445" s="4">
        <v>33429</v>
      </c>
      <c r="H2445" s="3" t="s">
        <v>21</v>
      </c>
      <c r="I2445" s="3" t="s">
        <v>22</v>
      </c>
      <c r="J2445" s="5">
        <v>17162794</v>
      </c>
      <c r="K2445" s="3">
        <v>4685100</v>
      </c>
      <c r="L2445" s="3" t="s">
        <v>390</v>
      </c>
      <c r="M2445" s="3" t="s">
        <v>8954</v>
      </c>
      <c r="N2445" s="3">
        <v>577</v>
      </c>
      <c r="O2445" s="3" t="s">
        <v>8955</v>
      </c>
      <c r="P2445" s="3" t="s">
        <v>1831</v>
      </c>
      <c r="Q2445" s="3" t="s">
        <v>27</v>
      </c>
      <c r="R2445" s="3" t="s">
        <v>28</v>
      </c>
      <c r="S2445" s="3">
        <v>2712140</v>
      </c>
      <c r="T2445" s="3">
        <v>1139333900</v>
      </c>
      <c r="U2445" s="3" t="s">
        <v>29</v>
      </c>
    </row>
    <row r="2446" spans="1:21" ht="13.2" x14ac:dyDescent="0.25">
      <c r="A2446" s="14">
        <v>10761866000179</v>
      </c>
      <c r="B2446" s="15" t="str">
        <f t="shared" si="38"/>
        <v>10.761.866/0001-79</v>
      </c>
      <c r="C2446" s="12"/>
      <c r="D2446" s="3" t="s">
        <v>8956</v>
      </c>
      <c r="E2446" s="3" t="s">
        <v>8957</v>
      </c>
      <c r="F2446" s="3" t="s">
        <v>20</v>
      </c>
      <c r="G2446" s="4">
        <v>39881</v>
      </c>
      <c r="H2446" s="3" t="s">
        <v>21</v>
      </c>
      <c r="I2446" s="3" t="s">
        <v>47</v>
      </c>
      <c r="J2446" s="5">
        <v>500000</v>
      </c>
      <c r="K2446" s="3">
        <v>4751201</v>
      </c>
      <c r="L2446" s="3" t="s">
        <v>23</v>
      </c>
      <c r="M2446" s="3" t="s">
        <v>8958</v>
      </c>
      <c r="N2446" s="3">
        <v>144</v>
      </c>
      <c r="O2446" s="3" t="s">
        <v>8959</v>
      </c>
      <c r="P2446" s="3" t="s">
        <v>70</v>
      </c>
      <c r="Q2446" s="3" t="s">
        <v>667</v>
      </c>
      <c r="R2446" s="3" t="s">
        <v>301</v>
      </c>
      <c r="S2446" s="3">
        <v>60140060</v>
      </c>
      <c r="T2446" s="3">
        <v>8586301332</v>
      </c>
      <c r="U2446" s="3" t="s">
        <v>29</v>
      </c>
    </row>
    <row r="2447" spans="1:21" ht="13.2" x14ac:dyDescent="0.25">
      <c r="A2447" s="14">
        <v>27284516000161</v>
      </c>
      <c r="B2447" s="15" t="str">
        <f t="shared" si="38"/>
        <v>27.284.516/0001-61</v>
      </c>
      <c r="C2447" s="12"/>
      <c r="D2447" s="3" t="s">
        <v>8960</v>
      </c>
      <c r="E2447" s="3" t="s">
        <v>8961</v>
      </c>
      <c r="F2447" s="3" t="s">
        <v>20</v>
      </c>
      <c r="G2447" s="4">
        <v>42807</v>
      </c>
      <c r="H2447" s="3" t="s">
        <v>21</v>
      </c>
      <c r="I2447" s="3" t="s">
        <v>33</v>
      </c>
      <c r="J2447" s="5">
        <v>13000000</v>
      </c>
      <c r="K2447" s="3">
        <v>8299702</v>
      </c>
      <c r="L2447" s="3" t="s">
        <v>937</v>
      </c>
      <c r="M2447" s="3" t="s">
        <v>2034</v>
      </c>
      <c r="N2447" s="3">
        <v>450</v>
      </c>
      <c r="O2447" s="3" t="s">
        <v>8962</v>
      </c>
      <c r="P2447" s="3" t="s">
        <v>279</v>
      </c>
      <c r="Q2447" s="3" t="s">
        <v>280</v>
      </c>
      <c r="R2447" s="3" t="s">
        <v>281</v>
      </c>
      <c r="S2447" s="3">
        <v>41820901</v>
      </c>
      <c r="T2447" s="3">
        <v>7133272563</v>
      </c>
      <c r="U2447" s="3" t="s">
        <v>29</v>
      </c>
    </row>
    <row r="2448" spans="1:21" ht="13.2" x14ac:dyDescent="0.25">
      <c r="A2448" s="14">
        <v>5499800000112</v>
      </c>
      <c r="B2448" s="15" t="str">
        <f t="shared" si="38"/>
        <v>05.499.800/0001-12</v>
      </c>
      <c r="C2448" s="12"/>
      <c r="D2448" s="3" t="s">
        <v>8963</v>
      </c>
      <c r="E2448" s="3" t="s">
        <v>8964</v>
      </c>
      <c r="F2448" s="3" t="s">
        <v>20</v>
      </c>
      <c r="G2448" s="4">
        <v>37620</v>
      </c>
      <c r="H2448" s="3" t="s">
        <v>21</v>
      </c>
      <c r="I2448" s="3" t="s">
        <v>22</v>
      </c>
      <c r="J2448" s="5">
        <v>600000</v>
      </c>
      <c r="K2448" s="3">
        <v>7112000</v>
      </c>
      <c r="L2448" s="3" t="s">
        <v>276</v>
      </c>
      <c r="M2448" s="3" t="s">
        <v>6288</v>
      </c>
      <c r="N2448" s="3">
        <v>528</v>
      </c>
      <c r="O2448" s="3" t="s">
        <v>8965</v>
      </c>
      <c r="P2448" s="3" t="s">
        <v>5702</v>
      </c>
      <c r="Q2448" s="3" t="s">
        <v>280</v>
      </c>
      <c r="R2448" s="3" t="s">
        <v>281</v>
      </c>
      <c r="S2448" s="3">
        <v>40010020</v>
      </c>
      <c r="T2448" s="3">
        <v>7187278130</v>
      </c>
      <c r="U2448" s="3" t="s">
        <v>29</v>
      </c>
    </row>
    <row r="2449" spans="1:21" ht="13.2" x14ac:dyDescent="0.25">
      <c r="A2449" s="14">
        <v>19372506000150</v>
      </c>
      <c r="B2449" s="15" t="str">
        <f t="shared" si="38"/>
        <v>19.372.506/0001-50</v>
      </c>
      <c r="C2449" s="12"/>
      <c r="D2449" s="3" t="s">
        <v>8966</v>
      </c>
      <c r="E2449" s="3" t="s">
        <v>8967</v>
      </c>
      <c r="F2449" s="3" t="s">
        <v>31</v>
      </c>
      <c r="G2449" s="4">
        <v>41614</v>
      </c>
      <c r="H2449" s="3" t="s">
        <v>21</v>
      </c>
      <c r="I2449" s="3" t="s">
        <v>47</v>
      </c>
      <c r="J2449" s="5">
        <v>1000</v>
      </c>
      <c r="K2449" s="3">
        <v>8593700</v>
      </c>
      <c r="L2449" s="3" t="s">
        <v>5299</v>
      </c>
      <c r="M2449" s="3" t="s">
        <v>8968</v>
      </c>
      <c r="N2449" s="3">
        <v>213</v>
      </c>
      <c r="P2449" s="3" t="s">
        <v>137</v>
      </c>
      <c r="Q2449" s="3" t="s">
        <v>27</v>
      </c>
      <c r="R2449" s="3" t="s">
        <v>28</v>
      </c>
      <c r="S2449" s="3">
        <v>5043000</v>
      </c>
      <c r="T2449" s="3">
        <v>1148822227</v>
      </c>
      <c r="U2449" s="3" t="s">
        <v>29</v>
      </c>
    </row>
    <row r="2450" spans="1:21" ht="13.2" x14ac:dyDescent="0.25">
      <c r="A2450" s="14">
        <v>2062561000140</v>
      </c>
      <c r="B2450" s="15" t="str">
        <f t="shared" si="38"/>
        <v>02.062.561/0001-40</v>
      </c>
      <c r="C2450" s="12" t="str">
        <f>VLOOKUP(B2450,[1]Planilha1!$A:$B,2,0)</f>
        <v>Malu Montesino</v>
      </c>
      <c r="D2450" s="3" t="s">
        <v>8969</v>
      </c>
      <c r="E2450" s="3" t="s">
        <v>8970</v>
      </c>
      <c r="F2450" s="3" t="s">
        <v>20</v>
      </c>
      <c r="G2450" s="4">
        <v>35669</v>
      </c>
      <c r="H2450" s="3" t="s">
        <v>21</v>
      </c>
      <c r="I2450" s="3" t="s">
        <v>33</v>
      </c>
      <c r="J2450" s="5">
        <v>2984530</v>
      </c>
      <c r="K2450" s="3">
        <v>4663000</v>
      </c>
      <c r="L2450" s="3" t="s">
        <v>128</v>
      </c>
      <c r="M2450" s="3" t="s">
        <v>1403</v>
      </c>
      <c r="N2450" s="3">
        <v>100</v>
      </c>
      <c r="P2450" s="3" t="s">
        <v>8971</v>
      </c>
      <c r="Q2450" s="3" t="s">
        <v>488</v>
      </c>
      <c r="R2450" s="3" t="s">
        <v>28</v>
      </c>
      <c r="S2450" s="3">
        <v>13287202</v>
      </c>
      <c r="T2450" s="3">
        <v>1934649100</v>
      </c>
      <c r="U2450" s="3" t="s">
        <v>29</v>
      </c>
    </row>
    <row r="2451" spans="1:21" ht="13.2" x14ac:dyDescent="0.25">
      <c r="A2451" s="14">
        <v>36996757000124</v>
      </c>
      <c r="B2451" s="15" t="str">
        <f t="shared" si="38"/>
        <v>36.996.757/0001-24</v>
      </c>
      <c r="C2451" s="12"/>
      <c r="D2451" s="3" t="s">
        <v>8972</v>
      </c>
      <c r="E2451" s="3" t="s">
        <v>8973</v>
      </c>
      <c r="F2451" s="3" t="s">
        <v>20</v>
      </c>
      <c r="G2451" s="4">
        <v>43945</v>
      </c>
      <c r="H2451" s="3" t="s">
        <v>21</v>
      </c>
      <c r="I2451" s="3" t="s">
        <v>47</v>
      </c>
      <c r="J2451" s="5">
        <v>400000</v>
      </c>
      <c r="K2451" s="3">
        <v>4321500</v>
      </c>
      <c r="L2451" s="3" t="s">
        <v>964</v>
      </c>
      <c r="M2451" s="3" t="s">
        <v>8974</v>
      </c>
      <c r="N2451" s="3">
        <v>36</v>
      </c>
      <c r="P2451" s="3" t="s">
        <v>2271</v>
      </c>
      <c r="Q2451" s="3" t="s">
        <v>4923</v>
      </c>
      <c r="R2451" s="3" t="s">
        <v>100</v>
      </c>
      <c r="S2451" s="3">
        <v>37551160</v>
      </c>
      <c r="T2451" s="3">
        <v>3534223425</v>
      </c>
      <c r="U2451" s="3" t="s">
        <v>29</v>
      </c>
    </row>
    <row r="2452" spans="1:21" ht="13.2" x14ac:dyDescent="0.25">
      <c r="A2452" s="14">
        <v>68886142000131</v>
      </c>
      <c r="B2452" s="15" t="str">
        <f t="shared" si="38"/>
        <v>68.886.142/0001-31</v>
      </c>
      <c r="C2452" s="12"/>
      <c r="D2452" s="3" t="s">
        <v>8975</v>
      </c>
      <c r="E2452" s="3" t="s">
        <v>8976</v>
      </c>
      <c r="F2452" s="3" t="s">
        <v>20</v>
      </c>
      <c r="G2452" s="4">
        <v>33883</v>
      </c>
      <c r="H2452" s="3" t="s">
        <v>21</v>
      </c>
      <c r="I2452" s="3" t="s">
        <v>47</v>
      </c>
      <c r="J2452" s="5">
        <v>100000</v>
      </c>
      <c r="K2452" s="3">
        <v>7020400</v>
      </c>
      <c r="L2452" s="3" t="s">
        <v>170</v>
      </c>
      <c r="M2452" s="3" t="s">
        <v>8977</v>
      </c>
      <c r="N2452" s="3">
        <v>307</v>
      </c>
      <c r="O2452" s="3" t="s">
        <v>8978</v>
      </c>
      <c r="P2452" s="3" t="s">
        <v>2181</v>
      </c>
      <c r="Q2452" s="3" t="s">
        <v>27</v>
      </c>
      <c r="R2452" s="3" t="s">
        <v>28</v>
      </c>
      <c r="S2452" s="3">
        <v>5077010</v>
      </c>
      <c r="T2452" s="3">
        <v>1136914439</v>
      </c>
      <c r="U2452" s="3" t="s">
        <v>29</v>
      </c>
    </row>
    <row r="2453" spans="1:21" ht="13.2" x14ac:dyDescent="0.25">
      <c r="A2453" s="14">
        <v>20204978000182</v>
      </c>
      <c r="B2453" s="15" t="str">
        <f t="shared" si="38"/>
        <v>20.204.978/0001-82</v>
      </c>
      <c r="C2453" s="12"/>
      <c r="D2453" s="3" t="s">
        <v>8979</v>
      </c>
      <c r="E2453" s="3" t="s">
        <v>8980</v>
      </c>
      <c r="F2453" s="3" t="s">
        <v>20</v>
      </c>
      <c r="G2453" s="4">
        <v>41766</v>
      </c>
      <c r="H2453" s="3" t="s">
        <v>21</v>
      </c>
      <c r="I2453" s="3" t="s">
        <v>22</v>
      </c>
      <c r="J2453" s="5">
        <v>200000</v>
      </c>
      <c r="K2453" s="3">
        <v>4744099</v>
      </c>
      <c r="L2453" s="3" t="s">
        <v>115</v>
      </c>
      <c r="M2453" s="3" t="s">
        <v>8981</v>
      </c>
      <c r="N2453" s="3">
        <v>222</v>
      </c>
      <c r="P2453" s="3" t="s">
        <v>8982</v>
      </c>
      <c r="Q2453" s="3" t="s">
        <v>1429</v>
      </c>
      <c r="R2453" s="3" t="s">
        <v>28</v>
      </c>
      <c r="S2453" s="3">
        <v>13150001</v>
      </c>
      <c r="T2453" s="3">
        <v>1922221722</v>
      </c>
      <c r="U2453" s="3" t="s">
        <v>29</v>
      </c>
    </row>
    <row r="2454" spans="1:21" ht="13.2" x14ac:dyDescent="0.25">
      <c r="A2454" s="14">
        <v>14488747000145</v>
      </c>
      <c r="B2454" s="15" t="str">
        <f t="shared" si="38"/>
        <v>14.488.747/0001-45</v>
      </c>
      <c r="C2454" s="12"/>
      <c r="D2454" s="3" t="s">
        <v>8983</v>
      </c>
      <c r="E2454" s="3" t="s">
        <v>8983</v>
      </c>
      <c r="F2454" s="3" t="s">
        <v>20</v>
      </c>
      <c r="G2454" s="4">
        <v>40823</v>
      </c>
      <c r="H2454" s="3" t="s">
        <v>21</v>
      </c>
      <c r="I2454" s="3" t="s">
        <v>47</v>
      </c>
      <c r="J2454" s="5">
        <v>50000</v>
      </c>
      <c r="K2454" s="3">
        <v>4759899</v>
      </c>
      <c r="L2454" s="3" t="s">
        <v>207</v>
      </c>
      <c r="M2454" s="3" t="s">
        <v>8984</v>
      </c>
      <c r="N2454" s="3">
        <v>122</v>
      </c>
      <c r="P2454" s="3" t="s">
        <v>8985</v>
      </c>
      <c r="Q2454" s="3" t="s">
        <v>27</v>
      </c>
      <c r="R2454" s="3" t="s">
        <v>28</v>
      </c>
      <c r="S2454" s="3">
        <v>4174020</v>
      </c>
      <c r="T2454" s="3">
        <v>1123316590</v>
      </c>
      <c r="U2454" s="3" t="s">
        <v>29</v>
      </c>
    </row>
    <row r="2455" spans="1:21" ht="13.2" x14ac:dyDescent="0.25">
      <c r="A2455" s="14">
        <v>44074367000125</v>
      </c>
      <c r="B2455" s="15" t="str">
        <f t="shared" si="38"/>
        <v>44.074.367/0001-25</v>
      </c>
      <c r="C2455" s="12"/>
      <c r="D2455" s="3" t="s">
        <v>8986</v>
      </c>
      <c r="E2455" s="3" t="s">
        <v>8987</v>
      </c>
      <c r="F2455" s="3" t="s">
        <v>20</v>
      </c>
      <c r="G2455" s="4">
        <v>27305</v>
      </c>
      <c r="H2455" s="3" t="s">
        <v>21</v>
      </c>
      <c r="I2455" s="3" t="s">
        <v>33</v>
      </c>
      <c r="J2455" s="5">
        <v>24268680</v>
      </c>
      <c r="K2455" s="3">
        <v>7020400</v>
      </c>
      <c r="L2455" s="3" t="s">
        <v>170</v>
      </c>
      <c r="M2455" s="3" t="s">
        <v>1047</v>
      </c>
      <c r="N2455" s="3">
        <v>1909</v>
      </c>
      <c r="O2455" s="3" t="s">
        <v>8988</v>
      </c>
      <c r="P2455" s="3" t="s">
        <v>1049</v>
      </c>
      <c r="Q2455" s="3" t="s">
        <v>27</v>
      </c>
      <c r="R2455" s="3" t="s">
        <v>28</v>
      </c>
      <c r="S2455" s="3">
        <v>4543907</v>
      </c>
      <c r="T2455" s="3">
        <v>1155031400</v>
      </c>
      <c r="U2455" s="3" t="s">
        <v>29</v>
      </c>
    </row>
    <row r="2456" spans="1:21" ht="13.2" x14ac:dyDescent="0.25">
      <c r="A2456" s="14">
        <v>26551902000100</v>
      </c>
      <c r="B2456" s="15" t="str">
        <f t="shared" si="38"/>
        <v>26.551.902/0001-00</v>
      </c>
      <c r="C2456" s="12"/>
      <c r="D2456" s="3" t="s">
        <v>8989</v>
      </c>
      <c r="E2456" s="3" t="s">
        <v>8990</v>
      </c>
      <c r="F2456" s="3" t="s">
        <v>20</v>
      </c>
      <c r="G2456" s="4">
        <v>42690</v>
      </c>
      <c r="H2456" s="3" t="s">
        <v>21</v>
      </c>
      <c r="I2456" s="3" t="s">
        <v>33</v>
      </c>
      <c r="J2456" s="5">
        <v>60000</v>
      </c>
      <c r="K2456" s="3">
        <v>6920601</v>
      </c>
      <c r="L2456" s="3" t="s">
        <v>1507</v>
      </c>
      <c r="M2456" s="3" t="s">
        <v>536</v>
      </c>
      <c r="N2456" s="3">
        <v>70</v>
      </c>
      <c r="O2456" s="3" t="s">
        <v>8991</v>
      </c>
      <c r="P2456" s="3" t="s">
        <v>70</v>
      </c>
      <c r="Q2456" s="3" t="s">
        <v>253</v>
      </c>
      <c r="R2456" s="3" t="s">
        <v>78</v>
      </c>
      <c r="S2456" s="3">
        <v>20010903</v>
      </c>
      <c r="T2456" s="3">
        <v>2125331122</v>
      </c>
      <c r="U2456" s="3" t="s">
        <v>29</v>
      </c>
    </row>
    <row r="2457" spans="1:21" ht="13.2" x14ac:dyDescent="0.25">
      <c r="A2457" s="14">
        <v>8095573000158</v>
      </c>
      <c r="B2457" s="15" t="str">
        <f t="shared" si="38"/>
        <v>08.095.573/0001-58</v>
      </c>
      <c r="C2457" s="12"/>
      <c r="D2457" s="3" t="s">
        <v>8992</v>
      </c>
      <c r="E2457" s="3" t="s">
        <v>8992</v>
      </c>
      <c r="F2457" s="3" t="s">
        <v>20</v>
      </c>
      <c r="G2457" s="4">
        <v>38891</v>
      </c>
      <c r="H2457" s="3" t="s">
        <v>21</v>
      </c>
      <c r="I2457" s="3" t="s">
        <v>22</v>
      </c>
      <c r="J2457" s="5">
        <v>220000</v>
      </c>
      <c r="K2457" s="3">
        <v>4530703</v>
      </c>
      <c r="L2457" s="3" t="s">
        <v>768</v>
      </c>
      <c r="M2457" s="3" t="s">
        <v>8993</v>
      </c>
      <c r="N2457" s="3">
        <v>672</v>
      </c>
      <c r="P2457" s="3" t="s">
        <v>5027</v>
      </c>
      <c r="Q2457" s="3" t="s">
        <v>27</v>
      </c>
      <c r="R2457" s="3" t="s">
        <v>28</v>
      </c>
      <c r="S2457" s="3">
        <v>5114001</v>
      </c>
      <c r="T2457" s="3">
        <v>1136861318</v>
      </c>
      <c r="U2457" s="3" t="s">
        <v>29</v>
      </c>
    </row>
    <row r="2458" spans="1:21" ht="13.2" x14ac:dyDescent="0.25">
      <c r="A2458" s="14">
        <v>60520079000103</v>
      </c>
      <c r="B2458" s="15" t="str">
        <f t="shared" si="38"/>
        <v>60.520.079/0001-03</v>
      </c>
      <c r="C2458" s="12"/>
      <c r="D2458" s="3" t="s">
        <v>8994</v>
      </c>
      <c r="E2458" s="3" t="s">
        <v>8995</v>
      </c>
      <c r="F2458" s="3" t="s">
        <v>20</v>
      </c>
      <c r="G2458" s="4">
        <v>32643</v>
      </c>
      <c r="H2458" s="3" t="s">
        <v>21</v>
      </c>
      <c r="I2458" s="3" t="s">
        <v>22</v>
      </c>
      <c r="J2458" s="5">
        <v>95400</v>
      </c>
      <c r="K2458" s="3">
        <v>2840200</v>
      </c>
      <c r="L2458" s="3" t="s">
        <v>2053</v>
      </c>
      <c r="M2458" s="3" t="s">
        <v>8996</v>
      </c>
      <c r="N2458" s="3">
        <v>34</v>
      </c>
      <c r="P2458" s="3" t="s">
        <v>8997</v>
      </c>
      <c r="Q2458" s="3" t="s">
        <v>27</v>
      </c>
      <c r="R2458" s="3" t="s">
        <v>28</v>
      </c>
      <c r="S2458" s="3">
        <v>3245000</v>
      </c>
      <c r="T2458" s="3">
        <v>1129167177</v>
      </c>
      <c r="U2458" s="3" t="s">
        <v>29</v>
      </c>
    </row>
    <row r="2459" spans="1:21" ht="13.2" x14ac:dyDescent="0.25">
      <c r="A2459" s="14">
        <v>874929000140</v>
      </c>
      <c r="B2459" s="15" t="str">
        <f t="shared" si="38"/>
        <v>00.874.929/0001-40</v>
      </c>
      <c r="C2459" s="12" t="str">
        <f>VLOOKUP(B2459,[1]Planilha1!$A:$B,2,0)</f>
        <v>Mariane Nascimento</v>
      </c>
      <c r="D2459" s="3" t="s">
        <v>8998</v>
      </c>
      <c r="E2459" s="3" t="s">
        <v>8998</v>
      </c>
      <c r="F2459" s="3" t="s">
        <v>20</v>
      </c>
      <c r="G2459" s="4">
        <v>34995</v>
      </c>
      <c r="H2459" s="3" t="s">
        <v>21</v>
      </c>
      <c r="I2459" s="3" t="s">
        <v>33</v>
      </c>
      <c r="J2459" s="5">
        <v>3500000</v>
      </c>
      <c r="K2459" s="3">
        <v>4645101</v>
      </c>
      <c r="L2459" s="3" t="s">
        <v>135</v>
      </c>
      <c r="M2459" s="3" t="s">
        <v>8999</v>
      </c>
      <c r="N2459" s="3">
        <v>0</v>
      </c>
      <c r="O2459" s="3" t="s">
        <v>9000</v>
      </c>
      <c r="P2459" s="3" t="s">
        <v>9001</v>
      </c>
      <c r="Q2459" s="3" t="s">
        <v>4923</v>
      </c>
      <c r="R2459" s="3" t="s">
        <v>100</v>
      </c>
      <c r="S2459" s="3">
        <v>37552484</v>
      </c>
      <c r="T2459" s="3">
        <v>3534491950</v>
      </c>
      <c r="U2459" s="3" t="s">
        <v>29</v>
      </c>
    </row>
    <row r="2460" spans="1:21" ht="13.2" x14ac:dyDescent="0.25">
      <c r="A2460" s="14">
        <v>5859032000160</v>
      </c>
      <c r="B2460" s="15" t="str">
        <f t="shared" si="38"/>
        <v>05.859.032/0001-60</v>
      </c>
      <c r="C2460" s="12"/>
      <c r="D2460" s="3" t="s">
        <v>9002</v>
      </c>
      <c r="E2460" s="3" t="s">
        <v>9002</v>
      </c>
      <c r="F2460" s="3" t="s">
        <v>20</v>
      </c>
      <c r="G2460" s="4">
        <v>37838</v>
      </c>
      <c r="H2460" s="3" t="s">
        <v>21</v>
      </c>
      <c r="I2460" s="3" t="s">
        <v>22</v>
      </c>
      <c r="J2460" s="5">
        <v>800000</v>
      </c>
      <c r="K2460" s="3">
        <v>4645101</v>
      </c>
      <c r="L2460" s="3" t="s">
        <v>135</v>
      </c>
      <c r="M2460" s="3" t="s">
        <v>9003</v>
      </c>
      <c r="N2460" s="3">
        <v>120</v>
      </c>
      <c r="O2460" s="3" t="s">
        <v>9004</v>
      </c>
      <c r="P2460" s="3" t="s">
        <v>252</v>
      </c>
      <c r="Q2460" s="3" t="s">
        <v>253</v>
      </c>
      <c r="R2460" s="3" t="s">
        <v>78</v>
      </c>
      <c r="S2460" s="3">
        <v>22793077</v>
      </c>
      <c r="T2460" s="3">
        <v>2124332547</v>
      </c>
      <c r="U2460" s="3" t="s">
        <v>29</v>
      </c>
    </row>
    <row r="2461" spans="1:21" ht="13.2" x14ac:dyDescent="0.25">
      <c r="A2461" s="14">
        <v>30170483000133</v>
      </c>
      <c r="B2461" s="15" t="str">
        <f t="shared" si="38"/>
        <v>30.170.483/0001-33</v>
      </c>
      <c r="C2461" s="12"/>
      <c r="D2461" s="3" t="s">
        <v>9005</v>
      </c>
      <c r="E2461" s="3" t="s">
        <v>9006</v>
      </c>
      <c r="F2461" s="3" t="s">
        <v>20</v>
      </c>
      <c r="G2461" s="4">
        <v>43192</v>
      </c>
      <c r="H2461" s="3" t="s">
        <v>1550</v>
      </c>
      <c r="I2461" s="3" t="s">
        <v>22</v>
      </c>
      <c r="J2461" s="5">
        <v>200000</v>
      </c>
      <c r="K2461" s="3">
        <v>8660700</v>
      </c>
      <c r="L2461" s="3" t="s">
        <v>5311</v>
      </c>
      <c r="M2461" s="3" t="s">
        <v>2865</v>
      </c>
      <c r="N2461" s="3">
        <v>333</v>
      </c>
      <c r="P2461" s="3" t="s">
        <v>9007</v>
      </c>
      <c r="Q2461" s="3" t="s">
        <v>1410</v>
      </c>
      <c r="R2461" s="3" t="s">
        <v>28</v>
      </c>
      <c r="S2461" s="3">
        <v>9210635</v>
      </c>
      <c r="T2461" s="3">
        <v>1144626670</v>
      </c>
      <c r="U2461" s="3" t="s">
        <v>29</v>
      </c>
    </row>
    <row r="2462" spans="1:21" ht="13.2" x14ac:dyDescent="0.25">
      <c r="A2462" s="14">
        <v>172291000103</v>
      </c>
      <c r="B2462" s="15" t="str">
        <f t="shared" si="38"/>
        <v>00.172.291/0001-03</v>
      </c>
      <c r="C2462" s="12"/>
      <c r="D2462" s="3" t="s">
        <v>9008</v>
      </c>
      <c r="E2462" s="3" t="s">
        <v>9009</v>
      </c>
      <c r="F2462" s="3" t="s">
        <v>20</v>
      </c>
      <c r="G2462" s="4">
        <v>34551</v>
      </c>
      <c r="H2462" s="3" t="s">
        <v>21</v>
      </c>
      <c r="I2462" s="3" t="s">
        <v>47</v>
      </c>
      <c r="J2462" s="5">
        <v>200000</v>
      </c>
      <c r="K2462" s="3">
        <v>4645101</v>
      </c>
      <c r="L2462" s="3" t="s">
        <v>135</v>
      </c>
      <c r="M2462" s="3" t="s">
        <v>7837</v>
      </c>
      <c r="N2462" s="3">
        <v>644</v>
      </c>
      <c r="P2462" s="3" t="s">
        <v>256</v>
      </c>
      <c r="Q2462" s="3" t="s">
        <v>27</v>
      </c>
      <c r="R2462" s="3" t="s">
        <v>28</v>
      </c>
      <c r="S2462" s="3">
        <v>4221060</v>
      </c>
      <c r="T2462" s="3">
        <v>1129144006</v>
      </c>
      <c r="U2462" s="3" t="s">
        <v>29</v>
      </c>
    </row>
    <row r="2463" spans="1:21" ht="13.2" x14ac:dyDescent="0.25">
      <c r="A2463" s="14">
        <v>735260000105</v>
      </c>
      <c r="B2463" s="15" t="str">
        <f t="shared" si="38"/>
        <v>00.735.260/0001-05</v>
      </c>
      <c r="C2463" s="12"/>
      <c r="D2463" s="3" t="s">
        <v>9010</v>
      </c>
      <c r="E2463" s="3" t="s">
        <v>9011</v>
      </c>
      <c r="F2463" s="3" t="s">
        <v>20</v>
      </c>
      <c r="G2463" s="4">
        <v>34911</v>
      </c>
      <c r="H2463" s="3" t="s">
        <v>21</v>
      </c>
      <c r="I2463" s="3" t="s">
        <v>33</v>
      </c>
      <c r="J2463" s="5">
        <v>3800000</v>
      </c>
      <c r="K2463" s="3">
        <v>4645101</v>
      </c>
      <c r="L2463" s="3" t="s">
        <v>135</v>
      </c>
      <c r="M2463" s="3" t="s">
        <v>1077</v>
      </c>
      <c r="N2463" s="3">
        <v>6</v>
      </c>
      <c r="P2463" s="3" t="s">
        <v>9012</v>
      </c>
      <c r="Q2463" s="3" t="s">
        <v>2063</v>
      </c>
      <c r="R2463" s="3" t="s">
        <v>382</v>
      </c>
      <c r="S2463" s="3">
        <v>65065430</v>
      </c>
      <c r="T2463" s="3">
        <v>9832483888</v>
      </c>
      <c r="U2463" s="3" t="s">
        <v>29</v>
      </c>
    </row>
    <row r="2464" spans="1:21" ht="13.2" x14ac:dyDescent="0.25">
      <c r="A2464" s="14">
        <v>14967710000108</v>
      </c>
      <c r="B2464" s="15" t="str">
        <f t="shared" si="38"/>
        <v>14.967.710/0001-08</v>
      </c>
      <c r="C2464" s="12"/>
      <c r="D2464" s="3" t="s">
        <v>9013</v>
      </c>
      <c r="E2464" s="3" t="s">
        <v>9013</v>
      </c>
      <c r="F2464" s="3" t="s">
        <v>20</v>
      </c>
      <c r="G2464" s="4">
        <v>40893</v>
      </c>
      <c r="H2464" s="3" t="s">
        <v>21</v>
      </c>
      <c r="I2464" s="3" t="s">
        <v>33</v>
      </c>
      <c r="J2464" s="5">
        <v>100000</v>
      </c>
      <c r="K2464" s="3">
        <v>3315500</v>
      </c>
      <c r="L2464" s="3" t="s">
        <v>9014</v>
      </c>
      <c r="M2464" s="3" t="s">
        <v>9015</v>
      </c>
      <c r="N2464" s="3">
        <v>979</v>
      </c>
      <c r="O2464" s="3" t="s">
        <v>9016</v>
      </c>
      <c r="P2464" s="3" t="s">
        <v>9017</v>
      </c>
      <c r="Q2464" s="3" t="s">
        <v>27</v>
      </c>
      <c r="R2464" s="3" t="s">
        <v>28</v>
      </c>
      <c r="S2464" s="3">
        <v>2554000</v>
      </c>
      <c r="T2464" s="3">
        <v>1139651931</v>
      </c>
      <c r="U2464" s="3" t="s">
        <v>29</v>
      </c>
    </row>
    <row r="2465" spans="1:21" ht="13.2" x14ac:dyDescent="0.25">
      <c r="A2465" s="14">
        <v>48939276000166</v>
      </c>
      <c r="B2465" s="15" t="str">
        <f t="shared" si="38"/>
        <v>48.939.276/0001-66</v>
      </c>
      <c r="C2465" s="12"/>
      <c r="D2465" s="3" t="s">
        <v>9018</v>
      </c>
      <c r="E2465" s="3" t="s">
        <v>9018</v>
      </c>
      <c r="F2465" s="3" t="s">
        <v>20</v>
      </c>
      <c r="G2465" s="4">
        <v>28460</v>
      </c>
      <c r="H2465" s="3" t="s">
        <v>21</v>
      </c>
      <c r="I2465" s="3" t="s">
        <v>33</v>
      </c>
      <c r="J2465" s="5">
        <v>1000000</v>
      </c>
      <c r="K2465" s="3">
        <v>3250705</v>
      </c>
      <c r="L2465" s="3" t="s">
        <v>2420</v>
      </c>
      <c r="M2465" s="3" t="s">
        <v>2737</v>
      </c>
      <c r="N2465" s="3">
        <v>1158</v>
      </c>
      <c r="P2465" s="3" t="s">
        <v>2739</v>
      </c>
      <c r="Q2465" s="3" t="s">
        <v>27</v>
      </c>
      <c r="R2465" s="3" t="s">
        <v>28</v>
      </c>
      <c r="S2465" s="3">
        <v>3109000</v>
      </c>
      <c r="T2465" s="3">
        <v>1162136476</v>
      </c>
      <c r="U2465" s="3" t="s">
        <v>29</v>
      </c>
    </row>
    <row r="2466" spans="1:21" ht="13.2" x14ac:dyDescent="0.25">
      <c r="A2466" s="14">
        <v>2563570000115</v>
      </c>
      <c r="B2466" s="15" t="str">
        <f t="shared" si="38"/>
        <v>02.563.570/0001-15</v>
      </c>
      <c r="C2466" s="12" t="str">
        <f>VLOOKUP(B2466,[1]Planilha1!$A:$B,2,0)</f>
        <v>Mariane Nascimento</v>
      </c>
      <c r="D2466" s="3" t="s">
        <v>9019</v>
      </c>
      <c r="E2466" s="3" t="s">
        <v>9020</v>
      </c>
      <c r="F2466" s="3" t="s">
        <v>20</v>
      </c>
      <c r="G2466" s="4">
        <v>35950</v>
      </c>
      <c r="H2466" s="3" t="s">
        <v>21</v>
      </c>
      <c r="I2466" s="3" t="s">
        <v>33</v>
      </c>
      <c r="J2466" s="5">
        <v>500000</v>
      </c>
      <c r="K2466" s="3">
        <v>3250702</v>
      </c>
      <c r="L2466" s="3" t="s">
        <v>2159</v>
      </c>
      <c r="M2466" s="3" t="s">
        <v>9021</v>
      </c>
      <c r="N2466" s="3" t="s">
        <v>82</v>
      </c>
      <c r="O2466" s="3" t="s">
        <v>9022</v>
      </c>
      <c r="P2466" s="3" t="s">
        <v>572</v>
      </c>
      <c r="Q2466" s="3" t="s">
        <v>573</v>
      </c>
      <c r="R2466" s="3" t="s">
        <v>274</v>
      </c>
      <c r="S2466" s="3">
        <v>74905790</v>
      </c>
      <c r="T2466" s="3">
        <v>6230851899</v>
      </c>
      <c r="U2466" s="3" t="s">
        <v>29</v>
      </c>
    </row>
    <row r="2467" spans="1:21" ht="13.2" x14ac:dyDescent="0.25">
      <c r="A2467" s="14">
        <v>66541889000122</v>
      </c>
      <c r="B2467" s="15" t="str">
        <f t="shared" si="38"/>
        <v>66.541.889/0001-22</v>
      </c>
      <c r="C2467" s="12"/>
      <c r="D2467" s="3" t="s">
        <v>9023</v>
      </c>
      <c r="E2467" s="3" t="s">
        <v>9024</v>
      </c>
      <c r="F2467" s="3" t="s">
        <v>20</v>
      </c>
      <c r="G2467" s="4">
        <v>33430</v>
      </c>
      <c r="H2467" s="3" t="s">
        <v>21</v>
      </c>
      <c r="I2467" s="3" t="s">
        <v>47</v>
      </c>
      <c r="J2467" s="5">
        <v>750000</v>
      </c>
      <c r="K2467" s="3">
        <v>4664800</v>
      </c>
      <c r="L2467" s="3" t="s">
        <v>691</v>
      </c>
      <c r="M2467" s="3" t="s">
        <v>9025</v>
      </c>
      <c r="N2467" s="3">
        <v>570</v>
      </c>
      <c r="P2467" s="3" t="s">
        <v>9026</v>
      </c>
      <c r="Q2467" s="3" t="s">
        <v>27</v>
      </c>
      <c r="R2467" s="3" t="s">
        <v>28</v>
      </c>
      <c r="S2467" s="3">
        <v>5052000</v>
      </c>
      <c r="T2467" s="3">
        <v>1122732583</v>
      </c>
      <c r="U2467" s="3" t="s">
        <v>29</v>
      </c>
    </row>
    <row r="2468" spans="1:21" ht="13.2" x14ac:dyDescent="0.25">
      <c r="A2468" s="14">
        <v>4752020000170</v>
      </c>
      <c r="B2468" s="15" t="str">
        <f t="shared" si="38"/>
        <v>04.752.020/0001-70</v>
      </c>
      <c r="C2468" s="12"/>
      <c r="D2468" s="3" t="s">
        <v>9027</v>
      </c>
      <c r="E2468" s="3" t="s">
        <v>9028</v>
      </c>
      <c r="F2468" s="3" t="s">
        <v>20</v>
      </c>
      <c r="G2468" s="4">
        <v>37189</v>
      </c>
      <c r="H2468" s="3" t="s">
        <v>21</v>
      </c>
      <c r="I2468" s="3" t="s">
        <v>22</v>
      </c>
      <c r="J2468" s="5" t="s">
        <v>9029</v>
      </c>
      <c r="K2468" s="3">
        <v>8630501</v>
      </c>
      <c r="L2468" s="3" t="s">
        <v>9030</v>
      </c>
      <c r="M2468" s="3" t="s">
        <v>9031</v>
      </c>
      <c r="N2468" s="3">
        <v>767</v>
      </c>
      <c r="P2468" s="3" t="s">
        <v>3793</v>
      </c>
      <c r="Q2468" s="3" t="s">
        <v>883</v>
      </c>
      <c r="R2468" s="3" t="s">
        <v>951</v>
      </c>
      <c r="S2468" s="3">
        <v>64049200</v>
      </c>
      <c r="T2468" s="3">
        <v>8632336612</v>
      </c>
      <c r="U2468" s="3" t="s">
        <v>29</v>
      </c>
    </row>
    <row r="2469" spans="1:21" ht="13.2" x14ac:dyDescent="0.25">
      <c r="A2469" s="14">
        <v>7133384000160</v>
      </c>
      <c r="B2469" s="15" t="str">
        <f t="shared" si="38"/>
        <v>07.133.384/0001-60</v>
      </c>
      <c r="C2469" s="12" t="str">
        <f>VLOOKUP(B2469,[1]Planilha1!$A:$B,2,0)</f>
        <v>Mariane Nascimento</v>
      </c>
      <c r="D2469" s="3" t="s">
        <v>9032</v>
      </c>
      <c r="E2469" s="3" t="s">
        <v>9032</v>
      </c>
      <c r="F2469" s="3" t="s">
        <v>20</v>
      </c>
      <c r="G2469" s="4">
        <v>38187</v>
      </c>
      <c r="H2469" s="3" t="s">
        <v>21</v>
      </c>
      <c r="I2469" s="3" t="s">
        <v>33</v>
      </c>
      <c r="J2469" s="5">
        <v>2500000</v>
      </c>
      <c r="K2469" s="3">
        <v>4645101</v>
      </c>
      <c r="L2469" s="3" t="s">
        <v>135</v>
      </c>
      <c r="M2469" s="3" t="s">
        <v>9033</v>
      </c>
      <c r="N2469" s="3">
        <v>96</v>
      </c>
      <c r="O2469" s="3" t="s">
        <v>9034</v>
      </c>
      <c r="P2469" s="3" t="s">
        <v>9035</v>
      </c>
      <c r="Q2469" s="3" t="s">
        <v>253</v>
      </c>
      <c r="R2469" s="3" t="s">
        <v>78</v>
      </c>
      <c r="S2469" s="3">
        <v>21940005</v>
      </c>
      <c r="T2469" s="3">
        <v>2125161177</v>
      </c>
      <c r="U2469" s="3" t="s">
        <v>29</v>
      </c>
    </row>
    <row r="2470" spans="1:21" ht="13.2" x14ac:dyDescent="0.25">
      <c r="A2470" s="14">
        <v>18308561000118</v>
      </c>
      <c r="B2470" s="15" t="str">
        <f t="shared" si="38"/>
        <v>18.308.561/0001-18</v>
      </c>
      <c r="C2470" s="12"/>
      <c r="D2470" s="3" t="s">
        <v>9036</v>
      </c>
      <c r="E2470" s="3" t="s">
        <v>9037</v>
      </c>
      <c r="F2470" s="3" t="s">
        <v>20</v>
      </c>
      <c r="G2470" s="4">
        <v>41435</v>
      </c>
      <c r="H2470" s="3" t="s">
        <v>21</v>
      </c>
      <c r="I2470" s="3" t="s">
        <v>33</v>
      </c>
      <c r="J2470" s="5">
        <v>70000000</v>
      </c>
      <c r="K2470" s="3">
        <v>2759701</v>
      </c>
      <c r="L2470" s="3" t="s">
        <v>9038</v>
      </c>
      <c r="M2470" s="3" t="s">
        <v>9039</v>
      </c>
      <c r="N2470" s="3">
        <v>2030</v>
      </c>
      <c r="O2470" s="3" t="s">
        <v>9040</v>
      </c>
      <c r="P2470" s="3" t="s">
        <v>9041</v>
      </c>
      <c r="Q2470" s="3" t="s">
        <v>5251</v>
      </c>
      <c r="R2470" s="3" t="s">
        <v>53</v>
      </c>
      <c r="S2470" s="3">
        <v>95880000</v>
      </c>
      <c r="T2470" s="3">
        <v>5137202837</v>
      </c>
      <c r="U2470" s="3" t="s">
        <v>29</v>
      </c>
    </row>
    <row r="2471" spans="1:21" ht="13.2" x14ac:dyDescent="0.25">
      <c r="A2471" s="14">
        <v>20092174000309</v>
      </c>
      <c r="B2471" s="15" t="str">
        <f t="shared" si="38"/>
        <v>20.092.174/0003-09</v>
      </c>
      <c r="C2471" s="12"/>
      <c r="D2471" s="3" t="s">
        <v>9042</v>
      </c>
      <c r="E2471" s="3" t="s">
        <v>9042</v>
      </c>
      <c r="F2471" s="3" t="s">
        <v>20</v>
      </c>
      <c r="G2471" s="4">
        <v>44658</v>
      </c>
      <c r="H2471" s="3" t="s">
        <v>21</v>
      </c>
      <c r="I2471" s="3" t="s">
        <v>33</v>
      </c>
      <c r="J2471" s="5">
        <v>8806370</v>
      </c>
      <c r="K2471" s="3">
        <v>4693100</v>
      </c>
      <c r="L2471" s="3" t="s">
        <v>238</v>
      </c>
      <c r="M2471" s="3" t="s">
        <v>9043</v>
      </c>
      <c r="N2471" s="3">
        <v>740</v>
      </c>
      <c r="O2471" s="3" t="s">
        <v>9044</v>
      </c>
      <c r="P2471" s="3" t="s">
        <v>1688</v>
      </c>
      <c r="Q2471" s="3" t="s">
        <v>27</v>
      </c>
      <c r="R2471" s="3" t="s">
        <v>28</v>
      </c>
      <c r="S2471" s="3">
        <v>5465070</v>
      </c>
      <c r="T2471" s="3">
        <v>1126206675</v>
      </c>
      <c r="U2471" s="3" t="s">
        <v>29</v>
      </c>
    </row>
    <row r="2472" spans="1:21" ht="13.2" x14ac:dyDescent="0.25">
      <c r="A2472" s="14">
        <v>96827563000127</v>
      </c>
      <c r="B2472" s="15" t="str">
        <f t="shared" si="38"/>
        <v>96.827.563/0001-27</v>
      </c>
      <c r="C2472" s="12"/>
      <c r="D2472" s="3" t="s">
        <v>9045</v>
      </c>
      <c r="E2472" s="3" t="s">
        <v>9046</v>
      </c>
      <c r="F2472" s="3" t="s">
        <v>20</v>
      </c>
      <c r="G2472" s="4">
        <v>34183</v>
      </c>
      <c r="H2472" s="3" t="s">
        <v>21</v>
      </c>
      <c r="I2472" s="3" t="s">
        <v>33</v>
      </c>
      <c r="J2472" s="5">
        <v>5000000</v>
      </c>
      <c r="K2472" s="3">
        <v>4644301</v>
      </c>
      <c r="L2472" s="3" t="s">
        <v>326</v>
      </c>
      <c r="M2472" s="3" t="s">
        <v>9047</v>
      </c>
      <c r="N2472" s="3">
        <v>223</v>
      </c>
      <c r="O2472" s="3" t="s">
        <v>9048</v>
      </c>
      <c r="P2472" s="3" t="s">
        <v>9049</v>
      </c>
      <c r="Q2472" s="3" t="s">
        <v>280</v>
      </c>
      <c r="R2472" s="3" t="s">
        <v>281</v>
      </c>
      <c r="S2472" s="3">
        <v>41230195</v>
      </c>
      <c r="T2472" s="3">
        <v>7134178103</v>
      </c>
      <c r="U2472" s="3" t="s">
        <v>29</v>
      </c>
    </row>
    <row r="2473" spans="1:21" ht="13.2" x14ac:dyDescent="0.25">
      <c r="A2473" s="14">
        <v>10268780000109</v>
      </c>
      <c r="B2473" s="15" t="str">
        <f t="shared" si="38"/>
        <v>10.268.780/0001-09</v>
      </c>
      <c r="C2473" s="12"/>
      <c r="D2473" s="3" t="s">
        <v>9050</v>
      </c>
      <c r="E2473" s="3" t="s">
        <v>9051</v>
      </c>
      <c r="F2473" s="3" t="s">
        <v>20</v>
      </c>
      <c r="G2473" s="4">
        <v>39673</v>
      </c>
      <c r="H2473" s="3" t="s">
        <v>21</v>
      </c>
      <c r="I2473" s="3" t="s">
        <v>47</v>
      </c>
      <c r="J2473" s="5">
        <v>1000000</v>
      </c>
      <c r="K2473" s="3">
        <v>4645101</v>
      </c>
      <c r="L2473" s="3" t="s">
        <v>135</v>
      </c>
      <c r="M2473" s="3" t="s">
        <v>6555</v>
      </c>
      <c r="N2473" s="3">
        <v>1791</v>
      </c>
      <c r="P2473" s="3" t="s">
        <v>70</v>
      </c>
      <c r="Q2473" s="3" t="s">
        <v>211</v>
      </c>
      <c r="R2473" s="3" t="s">
        <v>187</v>
      </c>
      <c r="S2473" s="3">
        <v>85812010</v>
      </c>
      <c r="T2473" s="3">
        <v>4530394242</v>
      </c>
      <c r="U2473" s="3" t="s">
        <v>29</v>
      </c>
    </row>
    <row r="2474" spans="1:21" ht="13.2" x14ac:dyDescent="0.25">
      <c r="A2474" s="14">
        <v>18234459000115</v>
      </c>
      <c r="B2474" s="15" t="str">
        <f t="shared" si="38"/>
        <v>18.234.459/0001-15</v>
      </c>
      <c r="C2474" s="12"/>
      <c r="D2474" s="3" t="s">
        <v>9052</v>
      </c>
      <c r="E2474" s="3" t="s">
        <v>9053</v>
      </c>
      <c r="F2474" s="3" t="s">
        <v>20</v>
      </c>
      <c r="G2474" s="4">
        <v>41429</v>
      </c>
      <c r="H2474" s="3" t="s">
        <v>21</v>
      </c>
      <c r="I2474" s="3" t="s">
        <v>33</v>
      </c>
      <c r="J2474" s="5">
        <v>2404500</v>
      </c>
      <c r="K2474" s="3">
        <v>3312103</v>
      </c>
      <c r="L2474" s="3" t="s">
        <v>4694</v>
      </c>
      <c r="M2474" s="3" t="s">
        <v>2196</v>
      </c>
      <c r="N2474" s="3">
        <v>181</v>
      </c>
      <c r="P2474" s="3" t="s">
        <v>2197</v>
      </c>
      <c r="Q2474" s="3" t="s">
        <v>2198</v>
      </c>
      <c r="R2474" s="3" t="s">
        <v>28</v>
      </c>
      <c r="S2474" s="3">
        <v>13803330</v>
      </c>
      <c r="T2474" s="3">
        <v>1938057665</v>
      </c>
      <c r="U2474" s="3" t="s">
        <v>29</v>
      </c>
    </row>
    <row r="2475" spans="1:21" ht="13.2" x14ac:dyDescent="0.25">
      <c r="A2475" s="14">
        <v>5343029000190</v>
      </c>
      <c r="B2475" s="15" t="str">
        <f t="shared" si="38"/>
        <v>05.343.029/0001-90</v>
      </c>
      <c r="C2475" s="12" t="str">
        <f>VLOOKUP(B2475,[1]Planilha1!$A:$B,2,0)</f>
        <v>Malu Montesino</v>
      </c>
      <c r="D2475" s="3" t="s">
        <v>9054</v>
      </c>
      <c r="E2475" s="3" t="s">
        <v>9055</v>
      </c>
      <c r="F2475" s="3" t="s">
        <v>20</v>
      </c>
      <c r="G2475" s="4">
        <v>37524</v>
      </c>
      <c r="H2475" s="3" t="s">
        <v>21</v>
      </c>
      <c r="I2475" s="3" t="s">
        <v>33</v>
      </c>
      <c r="J2475" s="5">
        <v>1500000</v>
      </c>
      <c r="K2475" s="3">
        <v>4645101</v>
      </c>
      <c r="L2475" s="3" t="s">
        <v>135</v>
      </c>
      <c r="M2475" s="3" t="s">
        <v>9056</v>
      </c>
      <c r="N2475" s="3" t="s">
        <v>82</v>
      </c>
      <c r="O2475" s="3" t="s">
        <v>9057</v>
      </c>
      <c r="P2475" s="3" t="s">
        <v>6376</v>
      </c>
      <c r="Q2475" s="3" t="s">
        <v>4528</v>
      </c>
      <c r="R2475" s="3" t="s">
        <v>765</v>
      </c>
      <c r="S2475" s="3">
        <v>29168030</v>
      </c>
      <c r="T2475" s="3">
        <v>2733380756</v>
      </c>
      <c r="U2475" s="3" t="s">
        <v>29</v>
      </c>
    </row>
    <row r="2476" spans="1:21" ht="13.2" x14ac:dyDescent="0.25">
      <c r="A2476" s="14">
        <v>16553940000148</v>
      </c>
      <c r="B2476" s="15" t="str">
        <f t="shared" si="38"/>
        <v>16.553.940/0001-48</v>
      </c>
      <c r="C2476" s="12" t="str">
        <f>VLOOKUP(B2476,[1]Planilha1!$A:$B,2,0)</f>
        <v>Malu Montesino</v>
      </c>
      <c r="D2476" s="3" t="s">
        <v>9058</v>
      </c>
      <c r="E2476" s="3" t="s">
        <v>9059</v>
      </c>
      <c r="F2476" s="3" t="s">
        <v>20</v>
      </c>
      <c r="G2476" s="4">
        <v>41100</v>
      </c>
      <c r="H2476" s="3" t="s">
        <v>21</v>
      </c>
      <c r="I2476" s="3" t="s">
        <v>22</v>
      </c>
      <c r="J2476" s="5">
        <v>150000</v>
      </c>
      <c r="K2476" s="3">
        <v>4644301</v>
      </c>
      <c r="L2476" s="3" t="s">
        <v>326</v>
      </c>
      <c r="M2476" s="3" t="s">
        <v>9060</v>
      </c>
      <c r="N2476" s="3">
        <v>2017</v>
      </c>
      <c r="P2476" s="3" t="s">
        <v>9061</v>
      </c>
      <c r="Q2476" s="3" t="s">
        <v>3865</v>
      </c>
      <c r="R2476" s="3" t="s">
        <v>53</v>
      </c>
      <c r="S2476" s="3">
        <v>99704320</v>
      </c>
      <c r="T2476" s="3">
        <v>5431948660</v>
      </c>
      <c r="U2476" s="3" t="s">
        <v>29</v>
      </c>
    </row>
    <row r="2477" spans="1:21" ht="13.2" x14ac:dyDescent="0.25">
      <c r="A2477" s="14">
        <v>3155958000140</v>
      </c>
      <c r="B2477" s="15" t="str">
        <f t="shared" si="38"/>
        <v>03.155.958/0001-40</v>
      </c>
      <c r="C2477" s="12"/>
      <c r="D2477" s="3" t="s">
        <v>9062</v>
      </c>
      <c r="E2477" s="3" t="s">
        <v>9062</v>
      </c>
      <c r="F2477" s="3" t="s">
        <v>20</v>
      </c>
      <c r="G2477" s="4">
        <v>36294</v>
      </c>
      <c r="H2477" s="3" t="s">
        <v>21</v>
      </c>
      <c r="I2477" s="3" t="s">
        <v>33</v>
      </c>
      <c r="J2477" s="5">
        <v>300000</v>
      </c>
      <c r="K2477" s="3">
        <v>2660400</v>
      </c>
      <c r="L2477" s="3" t="s">
        <v>953</v>
      </c>
      <c r="M2477" s="3" t="s">
        <v>65</v>
      </c>
      <c r="N2477" s="3">
        <v>2248</v>
      </c>
      <c r="P2477" s="3" t="s">
        <v>9063</v>
      </c>
      <c r="Q2477" s="3" t="s">
        <v>524</v>
      </c>
      <c r="R2477" s="3" t="s">
        <v>28</v>
      </c>
      <c r="S2477" s="3">
        <v>14075070</v>
      </c>
      <c r="T2477" s="3">
        <v>166336689</v>
      </c>
      <c r="U2477" s="3" t="s">
        <v>29</v>
      </c>
    </row>
    <row r="2478" spans="1:21" ht="13.2" x14ac:dyDescent="0.25">
      <c r="A2478" s="14">
        <v>17875154000120</v>
      </c>
      <c r="B2478" s="15" t="str">
        <f t="shared" si="38"/>
        <v>17.875.154/0001-20</v>
      </c>
      <c r="C2478" s="12"/>
      <c r="D2478" s="3" t="s">
        <v>9064</v>
      </c>
      <c r="E2478" s="3" t="s">
        <v>9064</v>
      </c>
      <c r="F2478" s="3" t="s">
        <v>20</v>
      </c>
      <c r="G2478" s="4">
        <v>27603</v>
      </c>
      <c r="H2478" s="3" t="s">
        <v>21</v>
      </c>
      <c r="I2478" s="3" t="s">
        <v>33</v>
      </c>
      <c r="J2478" s="5">
        <v>269738270</v>
      </c>
      <c r="K2478" s="3">
        <v>2121101</v>
      </c>
      <c r="L2478" s="3" t="s">
        <v>233</v>
      </c>
      <c r="M2478" s="3" t="s">
        <v>9065</v>
      </c>
      <c r="N2478" s="3">
        <v>255</v>
      </c>
      <c r="O2478" s="3" t="s">
        <v>1251</v>
      </c>
      <c r="P2478" s="3" t="s">
        <v>153</v>
      </c>
      <c r="Q2478" s="3" t="s">
        <v>9066</v>
      </c>
      <c r="R2478" s="3" t="s">
        <v>100</v>
      </c>
      <c r="S2478" s="3">
        <v>36092030</v>
      </c>
      <c r="T2478" s="3">
        <v>3221014000</v>
      </c>
      <c r="U2478" s="3" t="s">
        <v>29</v>
      </c>
    </row>
    <row r="2479" spans="1:21" ht="13.2" x14ac:dyDescent="0.25">
      <c r="A2479" s="14">
        <v>54541915000133</v>
      </c>
      <c r="B2479" s="15" t="str">
        <f t="shared" si="38"/>
        <v>54.541.915/0001-33</v>
      </c>
      <c r="C2479" s="12" t="str">
        <f>VLOOKUP(B2479,[1]Planilha1!$A:$B,2,0)</f>
        <v>Mariane Nascimento</v>
      </c>
      <c r="D2479" s="3" t="s">
        <v>9067</v>
      </c>
      <c r="E2479" s="3" t="s">
        <v>9068</v>
      </c>
      <c r="F2479" s="3" t="s">
        <v>20</v>
      </c>
      <c r="G2479" s="4">
        <v>45383</v>
      </c>
      <c r="H2479" s="3" t="s">
        <v>21</v>
      </c>
      <c r="I2479" s="3" t="s">
        <v>47</v>
      </c>
      <c r="J2479" s="5">
        <v>300000</v>
      </c>
      <c r="K2479" s="3">
        <v>4645101</v>
      </c>
      <c r="L2479" s="3" t="s">
        <v>135</v>
      </c>
      <c r="M2479" s="3" t="s">
        <v>9069</v>
      </c>
      <c r="N2479" s="3" t="s">
        <v>82</v>
      </c>
      <c r="O2479" s="3" t="s">
        <v>9070</v>
      </c>
      <c r="P2479" s="3" t="s">
        <v>9071</v>
      </c>
      <c r="Q2479" s="3" t="s">
        <v>573</v>
      </c>
      <c r="R2479" s="3" t="s">
        <v>274</v>
      </c>
      <c r="S2479" s="3">
        <v>74915100</v>
      </c>
      <c r="T2479" s="3">
        <v>6281220562</v>
      </c>
      <c r="U2479" s="3" t="s">
        <v>29</v>
      </c>
    </row>
    <row r="2480" spans="1:21" ht="13.2" x14ac:dyDescent="0.25">
      <c r="A2480" s="14">
        <v>52911182000156</v>
      </c>
      <c r="B2480" s="15" t="str">
        <f t="shared" si="38"/>
        <v>52.911.182/0001-56</v>
      </c>
      <c r="C2480" s="12"/>
      <c r="D2480" s="3" t="s">
        <v>9072</v>
      </c>
      <c r="E2480" s="3" t="s">
        <v>9073</v>
      </c>
      <c r="F2480" s="3" t="s">
        <v>20</v>
      </c>
      <c r="G2480" s="4">
        <v>45246</v>
      </c>
      <c r="H2480" s="3" t="s">
        <v>21</v>
      </c>
      <c r="I2480" s="3" t="s">
        <v>22</v>
      </c>
      <c r="J2480" s="5">
        <v>300000</v>
      </c>
      <c r="K2480" s="3">
        <v>4644301</v>
      </c>
      <c r="L2480" s="3" t="s">
        <v>326</v>
      </c>
      <c r="M2480" s="3" t="s">
        <v>9074</v>
      </c>
      <c r="N2480" s="3">
        <v>70</v>
      </c>
      <c r="P2480" s="3" t="s">
        <v>9075</v>
      </c>
      <c r="Q2480" s="3" t="s">
        <v>1581</v>
      </c>
      <c r="R2480" s="3" t="s">
        <v>187</v>
      </c>
      <c r="S2480" s="3">
        <v>83430000</v>
      </c>
      <c r="T2480" s="3">
        <v>7799641896</v>
      </c>
      <c r="U2480" s="3" t="s">
        <v>29</v>
      </c>
    </row>
    <row r="2481" spans="1:21" ht="13.2" x14ac:dyDescent="0.25">
      <c r="A2481" s="14">
        <v>16646281000194</v>
      </c>
      <c r="B2481" s="15" t="str">
        <f t="shared" si="38"/>
        <v>16.646.281/0001-94</v>
      </c>
      <c r="C2481" s="12"/>
      <c r="D2481" s="3" t="s">
        <v>9076</v>
      </c>
      <c r="E2481" s="3" t="s">
        <v>9073</v>
      </c>
      <c r="F2481" s="3" t="s">
        <v>20</v>
      </c>
      <c r="G2481" s="4">
        <v>41121</v>
      </c>
      <c r="H2481" s="3" t="s">
        <v>21</v>
      </c>
      <c r="I2481" s="3" t="s">
        <v>33</v>
      </c>
      <c r="J2481" s="5">
        <v>600000</v>
      </c>
      <c r="K2481" s="3">
        <v>4645101</v>
      </c>
      <c r="L2481" s="3" t="s">
        <v>135</v>
      </c>
      <c r="M2481" s="3">
        <v>27</v>
      </c>
      <c r="N2481" s="10">
        <v>45670</v>
      </c>
      <c r="O2481" s="3" t="s">
        <v>9077</v>
      </c>
      <c r="P2481" s="3" t="s">
        <v>9078</v>
      </c>
      <c r="Q2481" s="3" t="s">
        <v>883</v>
      </c>
      <c r="R2481" s="3" t="s">
        <v>951</v>
      </c>
      <c r="S2481" s="3">
        <v>64034804</v>
      </c>
      <c r="T2481" s="3">
        <v>8699443622</v>
      </c>
      <c r="U2481" s="3" t="s">
        <v>29</v>
      </c>
    </row>
    <row r="2482" spans="1:21" ht="13.2" x14ac:dyDescent="0.25">
      <c r="A2482" s="14">
        <v>4211341000167</v>
      </c>
      <c r="B2482" s="15" t="str">
        <f t="shared" si="38"/>
        <v>04.211.341/0001-67</v>
      </c>
      <c r="C2482" s="12"/>
      <c r="D2482" s="3" t="s">
        <v>9079</v>
      </c>
      <c r="E2482" s="3" t="s">
        <v>9080</v>
      </c>
      <c r="F2482" s="3" t="s">
        <v>20</v>
      </c>
      <c r="G2482" s="4">
        <v>36880</v>
      </c>
      <c r="H2482" s="3" t="s">
        <v>21</v>
      </c>
      <c r="I2482" s="3" t="s">
        <v>33</v>
      </c>
      <c r="J2482" s="5">
        <v>1000000</v>
      </c>
      <c r="K2482" s="3">
        <v>7112000</v>
      </c>
      <c r="L2482" s="3" t="s">
        <v>276</v>
      </c>
      <c r="M2482" s="3" t="s">
        <v>9081</v>
      </c>
      <c r="N2482" s="3" t="s">
        <v>9082</v>
      </c>
      <c r="O2482" s="3" t="s">
        <v>9083</v>
      </c>
      <c r="P2482" s="3" t="s">
        <v>9084</v>
      </c>
      <c r="Q2482" s="3" t="s">
        <v>9085</v>
      </c>
      <c r="R2482" s="3" t="s">
        <v>78</v>
      </c>
      <c r="S2482" s="3">
        <v>28994816</v>
      </c>
      <c r="T2482" s="3">
        <v>2137136654</v>
      </c>
      <c r="U2482" s="3" t="s">
        <v>29</v>
      </c>
    </row>
    <row r="2483" spans="1:21" ht="13.2" x14ac:dyDescent="0.25">
      <c r="A2483" s="14">
        <v>1772798000233</v>
      </c>
      <c r="B2483" s="15" t="str">
        <f t="shared" si="38"/>
        <v>01.772.798/0002-33</v>
      </c>
      <c r="C2483" s="12" t="str">
        <f>VLOOKUP(B2483,[1]Planilha1!$A:$B,2,0)</f>
        <v>Malu Montesino</v>
      </c>
      <c r="D2483" s="3" t="s">
        <v>9086</v>
      </c>
      <c r="E2483" s="3" t="s">
        <v>9086</v>
      </c>
      <c r="F2483" s="3" t="s">
        <v>20</v>
      </c>
      <c r="G2483" s="4">
        <v>38289</v>
      </c>
      <c r="H2483" s="3" t="s">
        <v>21</v>
      </c>
      <c r="I2483" s="3" t="s">
        <v>33</v>
      </c>
      <c r="J2483" s="5">
        <v>206327980</v>
      </c>
      <c r="K2483" s="3">
        <v>4664800</v>
      </c>
      <c r="L2483" s="3" t="s">
        <v>691</v>
      </c>
      <c r="M2483" s="3" t="s">
        <v>9087</v>
      </c>
      <c r="N2483" s="3" t="s">
        <v>3309</v>
      </c>
      <c r="O2483" s="3" t="s">
        <v>9088</v>
      </c>
      <c r="P2483" s="3" t="s">
        <v>153</v>
      </c>
      <c r="Q2483" s="3" t="s">
        <v>488</v>
      </c>
      <c r="R2483" s="3" t="s">
        <v>28</v>
      </c>
      <c r="S2483" s="3">
        <v>13280001</v>
      </c>
      <c r="T2483" s="3">
        <v>1121876204</v>
      </c>
      <c r="U2483" s="3" t="s">
        <v>29</v>
      </c>
    </row>
    <row r="2484" spans="1:21" ht="13.2" x14ac:dyDescent="0.25">
      <c r="A2484" s="14">
        <v>49272362000120</v>
      </c>
      <c r="B2484" s="15" t="str">
        <f t="shared" si="38"/>
        <v>49.272.362/0001-20</v>
      </c>
      <c r="C2484" s="12" t="str">
        <f>VLOOKUP(B2484,[1]Planilha1!$A:$B,2,0)</f>
        <v>Malu Montesino</v>
      </c>
      <c r="D2484" s="3" t="s">
        <v>9089</v>
      </c>
      <c r="E2484" s="3" t="s">
        <v>9089</v>
      </c>
      <c r="F2484" s="3" t="s">
        <v>20</v>
      </c>
      <c r="G2484" s="4">
        <v>30021</v>
      </c>
      <c r="H2484" s="3" t="s">
        <v>21</v>
      </c>
      <c r="I2484" s="3" t="s">
        <v>33</v>
      </c>
      <c r="J2484" s="5">
        <v>180000</v>
      </c>
      <c r="K2484" s="3">
        <v>2651500</v>
      </c>
      <c r="L2484" s="3" t="s">
        <v>600</v>
      </c>
      <c r="M2484" s="3" t="s">
        <v>9090</v>
      </c>
      <c r="N2484" s="3">
        <v>172</v>
      </c>
      <c r="P2484" s="3" t="s">
        <v>241</v>
      </c>
      <c r="Q2484" s="3" t="s">
        <v>27</v>
      </c>
      <c r="R2484" s="3" t="s">
        <v>28</v>
      </c>
      <c r="S2484" s="3">
        <v>4755070</v>
      </c>
      <c r="T2484" s="3">
        <v>1156418111</v>
      </c>
      <c r="U2484" s="3" t="s">
        <v>29</v>
      </c>
    </row>
    <row r="2485" spans="1:21" ht="13.2" x14ac:dyDescent="0.25">
      <c r="A2485" s="14">
        <v>7642862000167</v>
      </c>
      <c r="B2485" s="15" t="str">
        <f t="shared" si="38"/>
        <v>07.642.862/0001-67</v>
      </c>
      <c r="C2485" s="12" t="str">
        <f>VLOOKUP(B2485,[1]Planilha1!$A:$B,2,0)</f>
        <v>Malu Montesino</v>
      </c>
      <c r="D2485" s="3" t="s">
        <v>9091</v>
      </c>
      <c r="E2485" s="3" t="s">
        <v>9092</v>
      </c>
      <c r="F2485" s="3" t="s">
        <v>20</v>
      </c>
      <c r="G2485" s="4">
        <v>38644</v>
      </c>
      <c r="H2485" s="3" t="s">
        <v>21</v>
      </c>
      <c r="I2485" s="3" t="s">
        <v>33</v>
      </c>
      <c r="J2485" s="5">
        <v>6420300</v>
      </c>
      <c r="K2485" s="3">
        <v>2733300</v>
      </c>
      <c r="L2485" s="3" t="s">
        <v>2719</v>
      </c>
      <c r="M2485" s="3" t="s">
        <v>9093</v>
      </c>
      <c r="N2485" s="3">
        <v>175</v>
      </c>
      <c r="P2485" s="3" t="s">
        <v>9094</v>
      </c>
      <c r="Q2485" s="3" t="s">
        <v>6863</v>
      </c>
      <c r="R2485" s="3" t="s">
        <v>100</v>
      </c>
      <c r="S2485" s="3">
        <v>37545000</v>
      </c>
      <c r="T2485" s="3">
        <v>3534723000</v>
      </c>
      <c r="U2485" s="3" t="s">
        <v>29</v>
      </c>
    </row>
    <row r="2486" spans="1:21" ht="13.2" x14ac:dyDescent="0.25">
      <c r="A2486" s="14">
        <v>2782071000119</v>
      </c>
      <c r="B2486" s="15" t="str">
        <f t="shared" si="38"/>
        <v>02.782.071/0001-19</v>
      </c>
      <c r="C2486" s="12"/>
      <c r="D2486" s="3" t="s">
        <v>9095</v>
      </c>
      <c r="E2486" s="3" t="s">
        <v>9095</v>
      </c>
      <c r="F2486" s="3" t="s">
        <v>20</v>
      </c>
      <c r="G2486" s="4">
        <v>36070</v>
      </c>
      <c r="H2486" s="3" t="s">
        <v>21</v>
      </c>
      <c r="I2486" s="3" t="s">
        <v>33</v>
      </c>
      <c r="J2486" s="5">
        <v>11892000</v>
      </c>
      <c r="K2486" s="3">
        <v>8211300</v>
      </c>
      <c r="L2486" s="3" t="s">
        <v>166</v>
      </c>
      <c r="M2486" s="3" t="s">
        <v>7776</v>
      </c>
      <c r="N2486" s="3">
        <v>159</v>
      </c>
      <c r="O2486" s="3" t="s">
        <v>9096</v>
      </c>
      <c r="P2486" s="3" t="s">
        <v>5585</v>
      </c>
      <c r="Q2486" s="3" t="s">
        <v>1701</v>
      </c>
      <c r="R2486" s="3" t="s">
        <v>100</v>
      </c>
      <c r="S2486" s="3">
        <v>32146003</v>
      </c>
      <c r="T2486" s="3">
        <v>3191162460</v>
      </c>
      <c r="U2486" s="3" t="s">
        <v>29</v>
      </c>
    </row>
    <row r="2487" spans="1:21" ht="13.2" x14ac:dyDescent="0.25">
      <c r="A2487" s="14">
        <v>8614279000105</v>
      </c>
      <c r="B2487" s="15" t="str">
        <f t="shared" si="38"/>
        <v>08.614.279/0001-05</v>
      </c>
      <c r="C2487" s="12"/>
      <c r="D2487" s="3" t="s">
        <v>9097</v>
      </c>
      <c r="E2487" s="3" t="s">
        <v>9097</v>
      </c>
      <c r="F2487" s="3" t="s">
        <v>20</v>
      </c>
      <c r="G2487" s="4">
        <v>39038</v>
      </c>
      <c r="H2487" s="3" t="s">
        <v>21</v>
      </c>
      <c r="I2487" s="3" t="s">
        <v>33</v>
      </c>
      <c r="J2487" s="5">
        <v>4661318</v>
      </c>
      <c r="K2487" s="3">
        <v>2829199</v>
      </c>
      <c r="L2487" s="3" t="s">
        <v>1514</v>
      </c>
      <c r="M2487" s="3" t="s">
        <v>9098</v>
      </c>
      <c r="N2487" s="3">
        <v>325</v>
      </c>
      <c r="P2487" s="3" t="s">
        <v>9099</v>
      </c>
      <c r="Q2487" s="3" t="s">
        <v>1054</v>
      </c>
      <c r="R2487" s="3" t="s">
        <v>28</v>
      </c>
      <c r="S2487" s="3">
        <v>13368106</v>
      </c>
      <c r="T2487" s="3">
        <v>1934924242</v>
      </c>
      <c r="U2487" s="3" t="s">
        <v>29</v>
      </c>
    </row>
    <row r="2488" spans="1:21" ht="13.2" x14ac:dyDescent="0.25">
      <c r="A2488" s="14">
        <v>19811675000149</v>
      </c>
      <c r="B2488" s="15" t="str">
        <f t="shared" si="38"/>
        <v>19.811.675/0001-49</v>
      </c>
      <c r="C2488" s="12"/>
      <c r="D2488" s="3" t="s">
        <v>9100</v>
      </c>
      <c r="E2488" s="3" t="s">
        <v>9100</v>
      </c>
      <c r="F2488" s="3" t="s">
        <v>20</v>
      </c>
      <c r="G2488" s="4">
        <v>41698</v>
      </c>
      <c r="H2488" s="3" t="s">
        <v>21</v>
      </c>
      <c r="I2488" s="3" t="s">
        <v>22</v>
      </c>
      <c r="J2488" s="5">
        <v>10000</v>
      </c>
      <c r="K2488" s="3">
        <v>7490199</v>
      </c>
      <c r="L2488" s="3" t="s">
        <v>1091</v>
      </c>
      <c r="M2488" s="3" t="s">
        <v>2207</v>
      </c>
      <c r="N2488" s="3">
        <v>274</v>
      </c>
      <c r="P2488" s="3" t="s">
        <v>70</v>
      </c>
      <c r="Q2488" s="3" t="s">
        <v>1312</v>
      </c>
      <c r="R2488" s="3" t="s">
        <v>28</v>
      </c>
      <c r="S2488" s="3">
        <v>13300220</v>
      </c>
      <c r="T2488" s="3">
        <v>1140236695</v>
      </c>
      <c r="U2488" s="3" t="s">
        <v>29</v>
      </c>
    </row>
    <row r="2489" spans="1:21" ht="13.2" x14ac:dyDescent="0.25">
      <c r="A2489" s="14">
        <v>48429823000163</v>
      </c>
      <c r="B2489" s="15" t="str">
        <f t="shared" si="38"/>
        <v>48.429.823/0001-63</v>
      </c>
      <c r="C2489" s="12"/>
      <c r="D2489" s="3" t="s">
        <v>9101</v>
      </c>
      <c r="E2489" s="3" t="s">
        <v>9101</v>
      </c>
      <c r="F2489" s="3" t="s">
        <v>20</v>
      </c>
      <c r="G2489" s="4">
        <v>28282</v>
      </c>
      <c r="H2489" s="3" t="s">
        <v>21</v>
      </c>
      <c r="I2489" s="3" t="s">
        <v>33</v>
      </c>
      <c r="J2489" s="5">
        <v>10402905</v>
      </c>
      <c r="K2489" s="3">
        <v>4511105</v>
      </c>
      <c r="L2489" s="3" t="s">
        <v>9102</v>
      </c>
      <c r="M2489" s="3" t="s">
        <v>7681</v>
      </c>
      <c r="N2489" s="3" t="s">
        <v>82</v>
      </c>
      <c r="O2489" s="3" t="s">
        <v>9103</v>
      </c>
      <c r="P2489" s="3" t="s">
        <v>6412</v>
      </c>
      <c r="Q2489" s="3" t="s">
        <v>3350</v>
      </c>
      <c r="R2489" s="3" t="s">
        <v>28</v>
      </c>
      <c r="S2489" s="3">
        <v>16018805</v>
      </c>
      <c r="T2489" s="3">
        <v>1821032021</v>
      </c>
      <c r="U2489" s="3" t="s">
        <v>29</v>
      </c>
    </row>
    <row r="2490" spans="1:21" ht="13.2" x14ac:dyDescent="0.25">
      <c r="A2490" s="14">
        <v>7103262000120</v>
      </c>
      <c r="B2490" s="15" t="str">
        <f t="shared" si="38"/>
        <v>07.103.262/0001-20</v>
      </c>
      <c r="C2490" s="12"/>
      <c r="D2490" s="3" t="s">
        <v>9104</v>
      </c>
      <c r="E2490" s="3" t="s">
        <v>9105</v>
      </c>
      <c r="F2490" s="3" t="s">
        <v>20</v>
      </c>
      <c r="G2490" s="4">
        <v>38309</v>
      </c>
      <c r="H2490" s="3" t="s">
        <v>21</v>
      </c>
      <c r="I2490" s="3" t="s">
        <v>33</v>
      </c>
      <c r="J2490" s="5">
        <v>3504000</v>
      </c>
      <c r="K2490" s="3">
        <v>8011101</v>
      </c>
      <c r="L2490" s="3" t="s">
        <v>943</v>
      </c>
      <c r="M2490" s="3" t="s">
        <v>9106</v>
      </c>
      <c r="N2490" s="3">
        <v>2909</v>
      </c>
      <c r="P2490" s="3" t="s">
        <v>4892</v>
      </c>
      <c r="Q2490" s="3" t="s">
        <v>27</v>
      </c>
      <c r="R2490" s="3" t="s">
        <v>28</v>
      </c>
      <c r="S2490" s="3">
        <v>4060004</v>
      </c>
      <c r="T2490" s="3">
        <v>1150510800</v>
      </c>
      <c r="U2490" s="3" t="s">
        <v>29</v>
      </c>
    </row>
    <row r="2491" spans="1:21" ht="13.2" x14ac:dyDescent="0.25">
      <c r="A2491" s="14">
        <v>4351954000108</v>
      </c>
      <c r="B2491" s="15" t="str">
        <f t="shared" si="38"/>
        <v>04.351.954/0001-08</v>
      </c>
      <c r="C2491" s="12"/>
      <c r="D2491" s="3" t="s">
        <v>9107</v>
      </c>
      <c r="E2491" s="3" t="s">
        <v>9108</v>
      </c>
      <c r="F2491" s="3" t="s">
        <v>20</v>
      </c>
      <c r="G2491" s="4">
        <v>36972</v>
      </c>
      <c r="H2491" s="3" t="s">
        <v>21</v>
      </c>
      <c r="I2491" s="3" t="s">
        <v>33</v>
      </c>
      <c r="J2491" s="5">
        <v>35203268</v>
      </c>
      <c r="K2491" s="3">
        <v>6202300</v>
      </c>
      <c r="L2491" s="3" t="s">
        <v>103</v>
      </c>
      <c r="M2491" s="3" t="s">
        <v>4182</v>
      </c>
      <c r="N2491" s="3">
        <v>955</v>
      </c>
      <c r="O2491" s="3" t="s">
        <v>9109</v>
      </c>
      <c r="P2491" s="3" t="s">
        <v>1252</v>
      </c>
      <c r="Q2491" s="3" t="s">
        <v>1253</v>
      </c>
      <c r="R2491" s="3" t="s">
        <v>765</v>
      </c>
      <c r="S2491" s="3">
        <v>29050256</v>
      </c>
      <c r="T2491" s="3">
        <v>2730227950</v>
      </c>
      <c r="U2491" s="3" t="s">
        <v>29</v>
      </c>
    </row>
    <row r="2492" spans="1:21" ht="13.2" x14ac:dyDescent="0.25">
      <c r="A2492" s="14">
        <v>14274717000136</v>
      </c>
      <c r="B2492" s="15" t="str">
        <f t="shared" si="38"/>
        <v>14.274.717/0001-36</v>
      </c>
      <c r="C2492" s="12"/>
      <c r="D2492" s="3" t="s">
        <v>9110</v>
      </c>
      <c r="E2492" s="3" t="s">
        <v>9111</v>
      </c>
      <c r="F2492" s="3" t="s">
        <v>20</v>
      </c>
      <c r="G2492" s="4">
        <v>40750</v>
      </c>
      <c r="H2492" s="3" t="s">
        <v>21</v>
      </c>
      <c r="I2492" s="3" t="s">
        <v>33</v>
      </c>
      <c r="J2492" s="5">
        <v>861692</v>
      </c>
      <c r="K2492" s="3">
        <v>4663000</v>
      </c>
      <c r="L2492" s="3" t="s">
        <v>128</v>
      </c>
      <c r="M2492" s="3" t="s">
        <v>9112</v>
      </c>
      <c r="N2492" s="3">
        <v>220</v>
      </c>
      <c r="O2492" s="3" t="s">
        <v>9113</v>
      </c>
      <c r="P2492" s="3" t="s">
        <v>2261</v>
      </c>
      <c r="Q2492" s="3" t="s">
        <v>27</v>
      </c>
      <c r="R2492" s="3" t="s">
        <v>28</v>
      </c>
      <c r="S2492" s="3">
        <v>3305000</v>
      </c>
      <c r="T2492" s="3">
        <v>4130901300</v>
      </c>
      <c r="U2492" s="3" t="s">
        <v>29</v>
      </c>
    </row>
    <row r="2493" spans="1:21" ht="13.2" x14ac:dyDescent="0.25">
      <c r="A2493" s="14">
        <v>62000278000116</v>
      </c>
      <c r="B2493" s="15" t="str">
        <f t="shared" si="38"/>
        <v>62.000.278/0001-16</v>
      </c>
      <c r="C2493" s="12"/>
      <c r="D2493" s="3" t="s">
        <v>9114</v>
      </c>
      <c r="E2493" s="3" t="s">
        <v>9115</v>
      </c>
      <c r="F2493" s="3" t="s">
        <v>20</v>
      </c>
      <c r="G2493" s="4">
        <v>24916</v>
      </c>
      <c r="H2493" s="3" t="s">
        <v>21</v>
      </c>
      <c r="I2493" s="3" t="s">
        <v>33</v>
      </c>
      <c r="J2493" s="5">
        <v>26629776</v>
      </c>
      <c r="K2493" s="3">
        <v>1081302</v>
      </c>
      <c r="L2493" s="3" t="s">
        <v>7463</v>
      </c>
      <c r="M2493" s="3" t="s">
        <v>308</v>
      </c>
      <c r="N2493" s="3">
        <v>14401</v>
      </c>
      <c r="O2493" s="3" t="s">
        <v>9116</v>
      </c>
      <c r="P2493" s="3" t="s">
        <v>310</v>
      </c>
      <c r="Q2493" s="3" t="s">
        <v>27</v>
      </c>
      <c r="R2493" s="3" t="s">
        <v>28</v>
      </c>
      <c r="S2493" s="3">
        <v>4794000</v>
      </c>
      <c r="T2493" s="3">
        <v>1127661245</v>
      </c>
      <c r="U2493" s="3" t="s">
        <v>29</v>
      </c>
    </row>
    <row r="2494" spans="1:21" ht="13.2" x14ac:dyDescent="0.25">
      <c r="A2494" s="14">
        <v>3187279000152</v>
      </c>
      <c r="B2494" s="15" t="str">
        <f t="shared" si="38"/>
        <v>03.187.279/0001-52</v>
      </c>
      <c r="C2494" s="12"/>
      <c r="D2494" s="3" t="s">
        <v>9117</v>
      </c>
      <c r="E2494" s="3" t="s">
        <v>9118</v>
      </c>
      <c r="F2494" s="3" t="s">
        <v>20</v>
      </c>
      <c r="G2494" s="4">
        <v>36312</v>
      </c>
      <c r="H2494" s="3" t="s">
        <v>21</v>
      </c>
      <c r="I2494" s="3" t="s">
        <v>22</v>
      </c>
      <c r="J2494" s="5">
        <v>50000</v>
      </c>
      <c r="K2494" s="3">
        <v>4120400</v>
      </c>
      <c r="L2494" s="3" t="s">
        <v>87</v>
      </c>
      <c r="M2494" s="3" t="s">
        <v>9119</v>
      </c>
      <c r="N2494" s="3" t="s">
        <v>111</v>
      </c>
      <c r="O2494" s="3" t="s">
        <v>3606</v>
      </c>
      <c r="P2494" s="3" t="s">
        <v>9120</v>
      </c>
      <c r="Q2494" s="3" t="s">
        <v>631</v>
      </c>
      <c r="R2494" s="3" t="s">
        <v>632</v>
      </c>
      <c r="S2494" s="3">
        <v>71250100</v>
      </c>
      <c r="T2494" s="3">
        <v>613867704</v>
      </c>
      <c r="U2494" s="3" t="s">
        <v>29</v>
      </c>
    </row>
    <row r="2495" spans="1:21" ht="13.2" x14ac:dyDescent="0.25">
      <c r="A2495" s="14">
        <v>32390073000123</v>
      </c>
      <c r="B2495" s="15" t="str">
        <f t="shared" si="38"/>
        <v>32.390.073/0001-23</v>
      </c>
      <c r="C2495" s="12"/>
      <c r="D2495" s="3" t="s">
        <v>9121</v>
      </c>
      <c r="E2495" s="3" t="s">
        <v>9121</v>
      </c>
      <c r="F2495" s="3" t="s">
        <v>20</v>
      </c>
      <c r="G2495" s="4">
        <v>43474</v>
      </c>
      <c r="H2495" s="3" t="s">
        <v>21</v>
      </c>
      <c r="I2495" s="3" t="s">
        <v>22</v>
      </c>
      <c r="J2495" s="5">
        <v>300000</v>
      </c>
      <c r="K2495" s="3">
        <v>7820500</v>
      </c>
      <c r="L2495" s="3" t="s">
        <v>481</v>
      </c>
      <c r="M2495" s="3" t="s">
        <v>9122</v>
      </c>
      <c r="N2495" s="3">
        <v>375</v>
      </c>
      <c r="O2495" s="3" t="s">
        <v>9123</v>
      </c>
      <c r="P2495" s="3" t="s">
        <v>1019</v>
      </c>
      <c r="Q2495" s="3" t="s">
        <v>27</v>
      </c>
      <c r="R2495" s="3" t="s">
        <v>28</v>
      </c>
      <c r="S2495" s="3">
        <v>4571938</v>
      </c>
      <c r="T2495" s="3">
        <v>1155054640</v>
      </c>
      <c r="U2495" s="3" t="s">
        <v>29</v>
      </c>
    </row>
    <row r="2496" spans="1:21" ht="13.2" x14ac:dyDescent="0.25">
      <c r="A2496" s="14">
        <v>17812882000192</v>
      </c>
      <c r="B2496" s="15" t="str">
        <f t="shared" si="38"/>
        <v>17.812.882/0001-92</v>
      </c>
      <c r="C2496" s="12"/>
      <c r="D2496" s="3" t="s">
        <v>9124</v>
      </c>
      <c r="E2496" s="3" t="s">
        <v>9125</v>
      </c>
      <c r="F2496" s="3" t="s">
        <v>20</v>
      </c>
      <c r="G2496" s="4">
        <v>41345</v>
      </c>
      <c r="H2496" s="3" t="s">
        <v>21</v>
      </c>
      <c r="I2496" s="3" t="s">
        <v>47</v>
      </c>
      <c r="J2496" s="5">
        <v>150000</v>
      </c>
      <c r="K2496" s="3">
        <v>4761003</v>
      </c>
      <c r="L2496" s="3" t="s">
        <v>2086</v>
      </c>
      <c r="M2496" s="3" t="s">
        <v>9126</v>
      </c>
      <c r="N2496" s="3">
        <v>2399</v>
      </c>
      <c r="P2496" s="3" t="s">
        <v>9127</v>
      </c>
      <c r="Q2496" s="3" t="s">
        <v>211</v>
      </c>
      <c r="R2496" s="3" t="s">
        <v>187</v>
      </c>
      <c r="S2496" s="3">
        <v>85802230</v>
      </c>
      <c r="T2496" s="3">
        <v>4530356657</v>
      </c>
      <c r="U2496" s="3" t="s">
        <v>29</v>
      </c>
    </row>
    <row r="2497" spans="1:21" ht="13.2" x14ac:dyDescent="0.25">
      <c r="A2497" s="14">
        <v>90157108000185</v>
      </c>
      <c r="B2497" s="15" t="str">
        <f t="shared" si="38"/>
        <v>90.157.108/0001-85</v>
      </c>
      <c r="C2497" s="12"/>
      <c r="D2497" s="3" t="s">
        <v>9128</v>
      </c>
      <c r="E2497" s="3" t="s">
        <v>9128</v>
      </c>
      <c r="F2497" s="3" t="s">
        <v>20</v>
      </c>
      <c r="G2497" s="4">
        <v>25371</v>
      </c>
      <c r="H2497" s="3" t="s">
        <v>21</v>
      </c>
      <c r="I2497" s="3" t="s">
        <v>33</v>
      </c>
      <c r="J2497" s="5">
        <v>4000000</v>
      </c>
      <c r="K2497" s="3">
        <v>2822402</v>
      </c>
      <c r="L2497" s="3" t="s">
        <v>4317</v>
      </c>
      <c r="M2497" s="3" t="s">
        <v>9129</v>
      </c>
      <c r="N2497" s="3">
        <v>327</v>
      </c>
      <c r="P2497" s="3" t="s">
        <v>70</v>
      </c>
      <c r="Q2497" s="3" t="s">
        <v>2707</v>
      </c>
      <c r="R2497" s="3" t="s">
        <v>53</v>
      </c>
      <c r="S2497" s="3">
        <v>99930000</v>
      </c>
      <c r="T2497" s="3">
        <v>5433373700</v>
      </c>
      <c r="U2497" s="3" t="s">
        <v>29</v>
      </c>
    </row>
    <row r="2498" spans="1:21" ht="13.2" x14ac:dyDescent="0.25">
      <c r="A2498" s="14">
        <v>10126000147</v>
      </c>
      <c r="B2498" s="15" t="str">
        <f t="shared" si="38"/>
        <v>00.010.126/0001-47</v>
      </c>
      <c r="C2498" s="12"/>
      <c r="D2498" s="3" t="s">
        <v>9130</v>
      </c>
      <c r="E2498" s="3" t="s">
        <v>9130</v>
      </c>
      <c r="F2498" s="3" t="s">
        <v>20</v>
      </c>
      <c r="G2498" s="4">
        <v>34480</v>
      </c>
      <c r="H2498" s="3" t="s">
        <v>21</v>
      </c>
      <c r="I2498" s="3" t="s">
        <v>33</v>
      </c>
      <c r="J2498" s="5">
        <v>5010000</v>
      </c>
      <c r="K2498" s="3">
        <v>4661300</v>
      </c>
      <c r="L2498" s="3" t="s">
        <v>595</v>
      </c>
      <c r="M2498" s="3" t="s">
        <v>9131</v>
      </c>
      <c r="N2498" s="3">
        <v>6300</v>
      </c>
      <c r="P2498" s="3" t="s">
        <v>9132</v>
      </c>
      <c r="Q2498" s="3" t="s">
        <v>148</v>
      </c>
      <c r="R2498" s="3" t="s">
        <v>28</v>
      </c>
      <c r="S2498" s="3">
        <v>15020350</v>
      </c>
      <c r="T2498" s="3">
        <v>1732168055</v>
      </c>
      <c r="U2498" s="3" t="s">
        <v>29</v>
      </c>
    </row>
    <row r="2499" spans="1:21" ht="13.2" x14ac:dyDescent="0.25">
      <c r="A2499" s="14">
        <v>9167072000100</v>
      </c>
      <c r="B2499" s="15" t="str">
        <f t="shared" ref="B2499:B2562" si="39">TEXT(A2499,"00\.000\.000\/0000\-00")</f>
        <v>09.167.072/0001-00</v>
      </c>
      <c r="C2499" s="12"/>
      <c r="D2499" s="3" t="s">
        <v>9133</v>
      </c>
      <c r="E2499" s="3" t="s">
        <v>9134</v>
      </c>
      <c r="F2499" s="3" t="s">
        <v>45</v>
      </c>
      <c r="G2499" s="4">
        <v>39372</v>
      </c>
      <c r="H2499" s="3" t="s">
        <v>21</v>
      </c>
      <c r="I2499" s="3" t="s">
        <v>47</v>
      </c>
      <c r="J2499" s="5">
        <v>500000</v>
      </c>
      <c r="K2499" s="3">
        <v>7020400</v>
      </c>
      <c r="L2499" s="3" t="s">
        <v>170</v>
      </c>
      <c r="M2499" s="3" t="s">
        <v>246</v>
      </c>
      <c r="N2499" s="3">
        <v>171</v>
      </c>
      <c r="O2499" s="3" t="s">
        <v>9135</v>
      </c>
      <c r="P2499" s="3" t="s">
        <v>248</v>
      </c>
      <c r="Q2499" s="3" t="s">
        <v>27</v>
      </c>
      <c r="R2499" s="3" t="s">
        <v>28</v>
      </c>
      <c r="S2499" s="3">
        <v>1311904</v>
      </c>
      <c r="T2499" s="3">
        <v>1122222222</v>
      </c>
      <c r="U2499" s="3" t="s">
        <v>29</v>
      </c>
    </row>
    <row r="2500" spans="1:21" ht="13.2" x14ac:dyDescent="0.25">
      <c r="A2500" s="14">
        <v>10573521000191</v>
      </c>
      <c r="B2500" s="15" t="str">
        <f t="shared" si="39"/>
        <v>10.573.521/0001-91</v>
      </c>
      <c r="C2500" s="12"/>
      <c r="D2500" s="3" t="s">
        <v>9136</v>
      </c>
      <c r="E2500" s="3" t="s">
        <v>9136</v>
      </c>
      <c r="F2500" s="3" t="s">
        <v>20</v>
      </c>
      <c r="G2500" s="4">
        <v>39804</v>
      </c>
      <c r="H2500" s="3" t="s">
        <v>21</v>
      </c>
      <c r="I2500" s="3" t="s">
        <v>33</v>
      </c>
      <c r="J2500" s="5">
        <v>1247340000</v>
      </c>
      <c r="K2500" s="3">
        <v>8291100</v>
      </c>
      <c r="L2500" s="3" t="s">
        <v>1502</v>
      </c>
      <c r="M2500" s="3" t="s">
        <v>9137</v>
      </c>
      <c r="N2500" s="3">
        <v>3003</v>
      </c>
      <c r="O2500" s="3" t="s">
        <v>9138</v>
      </c>
      <c r="P2500" s="3" t="s">
        <v>261</v>
      </c>
      <c r="Q2500" s="3" t="s">
        <v>262</v>
      </c>
      <c r="R2500" s="3" t="s">
        <v>28</v>
      </c>
      <c r="S2500" s="3">
        <v>6233903</v>
      </c>
      <c r="T2500" s="3">
        <v>1121211212</v>
      </c>
      <c r="U2500" s="3" t="s">
        <v>29</v>
      </c>
    </row>
    <row r="2501" spans="1:21" ht="13.2" x14ac:dyDescent="0.25">
      <c r="A2501" s="14">
        <v>42356002000168</v>
      </c>
      <c r="B2501" s="15" t="str">
        <f t="shared" si="39"/>
        <v>42.356.002/0001-68</v>
      </c>
      <c r="C2501" s="12" t="str">
        <f>VLOOKUP(B2501,[1]Planilha1!$A:$B,2,0)</f>
        <v>Malu Montesino</v>
      </c>
      <c r="D2501" s="3" t="s">
        <v>9139</v>
      </c>
      <c r="E2501" s="3" t="s">
        <v>9140</v>
      </c>
      <c r="F2501" s="3" t="s">
        <v>20</v>
      </c>
      <c r="G2501" s="4">
        <v>44363</v>
      </c>
      <c r="H2501" s="3" t="s">
        <v>21</v>
      </c>
      <c r="I2501" s="3" t="s">
        <v>33</v>
      </c>
      <c r="J2501" s="5">
        <v>3061225</v>
      </c>
      <c r="K2501" s="3">
        <v>6203100</v>
      </c>
      <c r="L2501" s="3" t="s">
        <v>2268</v>
      </c>
      <c r="M2501" s="3" t="s">
        <v>9141</v>
      </c>
      <c r="N2501" s="3">
        <v>544</v>
      </c>
      <c r="O2501" s="3" t="s">
        <v>9142</v>
      </c>
      <c r="P2501" s="3" t="s">
        <v>6672</v>
      </c>
      <c r="Q2501" s="3" t="s">
        <v>27</v>
      </c>
      <c r="R2501" s="3" t="s">
        <v>28</v>
      </c>
      <c r="S2501" s="3">
        <v>2512010</v>
      </c>
      <c r="T2501" s="3">
        <v>1152212939</v>
      </c>
      <c r="U2501" s="3" t="s">
        <v>29</v>
      </c>
    </row>
    <row r="2502" spans="1:21" ht="13.2" x14ac:dyDescent="0.25">
      <c r="A2502" s="14">
        <v>31715616000172</v>
      </c>
      <c r="B2502" s="15" t="str">
        <f t="shared" si="39"/>
        <v>31.715.616/0001-72</v>
      </c>
      <c r="C2502" s="12" t="str">
        <f>VLOOKUP(B2502,[1]Planilha1!$A:$B,2,0)</f>
        <v>Malu Montesino</v>
      </c>
      <c r="D2502" s="3" t="s">
        <v>9143</v>
      </c>
      <c r="E2502" s="3" t="s">
        <v>9144</v>
      </c>
      <c r="F2502" s="3" t="s">
        <v>20</v>
      </c>
      <c r="G2502" s="4">
        <v>43381</v>
      </c>
      <c r="H2502" s="3" t="s">
        <v>21</v>
      </c>
      <c r="I2502" s="3" t="s">
        <v>33</v>
      </c>
      <c r="J2502" s="5">
        <v>1094491500</v>
      </c>
      <c r="K2502" s="3">
        <v>4511103</v>
      </c>
      <c r="L2502" s="3" t="s">
        <v>6275</v>
      </c>
      <c r="M2502" s="3" t="s">
        <v>9145</v>
      </c>
      <c r="N2502" s="3">
        <v>277</v>
      </c>
      <c r="O2502" s="3" t="s">
        <v>9146</v>
      </c>
      <c r="P2502" s="3" t="s">
        <v>9147</v>
      </c>
      <c r="Q2502" s="3" t="s">
        <v>27</v>
      </c>
      <c r="R2502" s="3" t="s">
        <v>28</v>
      </c>
      <c r="S2502" s="3">
        <v>4311900</v>
      </c>
      <c r="T2502" s="3">
        <v>1127946332</v>
      </c>
      <c r="U2502" s="3" t="s">
        <v>29</v>
      </c>
    </row>
    <row r="2503" spans="1:21" ht="13.2" x14ac:dyDescent="0.25">
      <c r="A2503" s="14">
        <v>59104273000129</v>
      </c>
      <c r="B2503" s="15" t="str">
        <f t="shared" si="39"/>
        <v>59.104.273/0001-29</v>
      </c>
      <c r="C2503" s="12" t="str">
        <f>VLOOKUP(B2503,[1]Planilha1!$A:$B,2,0)</f>
        <v>Malu Montesino</v>
      </c>
      <c r="D2503" s="3" t="s">
        <v>9148</v>
      </c>
      <c r="E2503" s="3" t="s">
        <v>9148</v>
      </c>
      <c r="F2503" s="3" t="s">
        <v>20</v>
      </c>
      <c r="G2503" s="4">
        <v>18993</v>
      </c>
      <c r="H2503" s="3" t="s">
        <v>21</v>
      </c>
      <c r="I2503" s="3" t="s">
        <v>33</v>
      </c>
      <c r="J2503" s="5">
        <v>9888718000</v>
      </c>
      <c r="K2503" s="3">
        <v>2920401</v>
      </c>
      <c r="L2503" s="3" t="s">
        <v>4553</v>
      </c>
      <c r="M2503" s="3" t="s">
        <v>9149</v>
      </c>
      <c r="N2503" s="3">
        <v>562</v>
      </c>
      <c r="P2503" s="3" t="s">
        <v>1661</v>
      </c>
      <c r="Q2503" s="3" t="s">
        <v>217</v>
      </c>
      <c r="R2503" s="3" t="s">
        <v>28</v>
      </c>
      <c r="S2503" s="3">
        <v>9680900</v>
      </c>
      <c r="T2503" s="3">
        <v>1141736060</v>
      </c>
      <c r="U2503" s="3" t="s">
        <v>29</v>
      </c>
    </row>
    <row r="2504" spans="1:21" ht="13.2" x14ac:dyDescent="0.25">
      <c r="A2504" s="14">
        <v>33069212000184</v>
      </c>
      <c r="B2504" s="15" t="str">
        <f t="shared" si="39"/>
        <v>33.069.212/0001-84</v>
      </c>
      <c r="C2504" s="12" t="str">
        <f>VLOOKUP(B2504,[1]Planilha1!$A:$B,2,0)</f>
        <v>Malu Montesino</v>
      </c>
      <c r="D2504" s="3" t="s">
        <v>9150</v>
      </c>
      <c r="E2504" s="3" t="s">
        <v>9150</v>
      </c>
      <c r="F2504" s="3" t="s">
        <v>20</v>
      </c>
      <c r="G2504" s="4">
        <v>26480</v>
      </c>
      <c r="H2504" s="3" t="s">
        <v>94</v>
      </c>
      <c r="I2504" s="3" t="s">
        <v>33</v>
      </c>
      <c r="J2504" s="5">
        <v>729161200</v>
      </c>
      <c r="K2504" s="3">
        <v>2121101</v>
      </c>
      <c r="L2504" s="3" t="s">
        <v>233</v>
      </c>
      <c r="M2504" s="3" t="s">
        <v>4680</v>
      </c>
      <c r="N2504" s="3">
        <v>1099</v>
      </c>
      <c r="P2504" s="3" t="s">
        <v>1136</v>
      </c>
      <c r="Q2504" s="3" t="s">
        <v>253</v>
      </c>
      <c r="R2504" s="3" t="s">
        <v>78</v>
      </c>
      <c r="S2504" s="3">
        <v>22710571</v>
      </c>
      <c r="U2504" s="3" t="s">
        <v>29</v>
      </c>
    </row>
    <row r="2505" spans="1:21" ht="13.2" x14ac:dyDescent="0.25">
      <c r="A2505" s="14">
        <v>5912018000183</v>
      </c>
      <c r="B2505" s="15" t="str">
        <f t="shared" si="39"/>
        <v>05.912.018/0001-83</v>
      </c>
      <c r="C2505" s="12"/>
      <c r="D2505" s="3" t="s">
        <v>9151</v>
      </c>
      <c r="E2505" s="3" t="s">
        <v>9152</v>
      </c>
      <c r="F2505" s="3" t="s">
        <v>20</v>
      </c>
      <c r="G2505" s="4">
        <v>37881</v>
      </c>
      <c r="H2505" s="3" t="s">
        <v>94</v>
      </c>
      <c r="I2505" s="3" t="s">
        <v>33</v>
      </c>
      <c r="J2505" s="5">
        <v>6100000</v>
      </c>
      <c r="K2505" s="3">
        <v>4644301</v>
      </c>
      <c r="L2505" s="3" t="s">
        <v>326</v>
      </c>
      <c r="M2505" s="3" t="s">
        <v>9153</v>
      </c>
      <c r="N2505" s="3">
        <v>184</v>
      </c>
      <c r="O2505" s="3" t="s">
        <v>1536</v>
      </c>
      <c r="P2505" s="3" t="s">
        <v>881</v>
      </c>
      <c r="Q2505" s="3" t="s">
        <v>3558</v>
      </c>
      <c r="R2505" s="3" t="s">
        <v>187</v>
      </c>
      <c r="S2505" s="3">
        <v>83413575</v>
      </c>
      <c r="T2505" s="3">
        <v>4131393800</v>
      </c>
      <c r="U2505" s="3" t="s">
        <v>29</v>
      </c>
    </row>
    <row r="2506" spans="1:21" ht="13.2" x14ac:dyDescent="0.25">
      <c r="A2506" s="14">
        <v>153376000136</v>
      </c>
      <c r="B2506" s="15" t="str">
        <f t="shared" si="39"/>
        <v>00.153.376/0001-36</v>
      </c>
      <c r="C2506" s="12"/>
      <c r="D2506" s="3" t="s">
        <v>9154</v>
      </c>
      <c r="E2506" s="3" t="s">
        <v>9154</v>
      </c>
      <c r="F2506" s="3" t="s">
        <v>20</v>
      </c>
      <c r="G2506" s="4">
        <v>34564</v>
      </c>
      <c r="H2506" s="3" t="s">
        <v>21</v>
      </c>
      <c r="I2506" s="3" t="s">
        <v>22</v>
      </c>
      <c r="J2506" s="5">
        <v>16823492</v>
      </c>
      <c r="K2506" s="3">
        <v>2219600</v>
      </c>
      <c r="L2506" s="3" t="s">
        <v>613</v>
      </c>
      <c r="M2506" s="3" t="s">
        <v>9155</v>
      </c>
      <c r="N2506" s="3">
        <v>3500</v>
      </c>
      <c r="P2506" s="3" t="s">
        <v>9156</v>
      </c>
      <c r="Q2506" s="3" t="s">
        <v>875</v>
      </c>
      <c r="R2506" s="3" t="s">
        <v>53</v>
      </c>
      <c r="S2506" s="3">
        <v>93140000</v>
      </c>
      <c r="T2506" s="3">
        <v>5135541010</v>
      </c>
      <c r="U2506" s="3" t="s">
        <v>29</v>
      </c>
    </row>
    <row r="2507" spans="1:21" ht="13.2" x14ac:dyDescent="0.25">
      <c r="A2507" s="14">
        <v>11258338000164</v>
      </c>
      <c r="B2507" s="15" t="str">
        <f t="shared" si="39"/>
        <v>11.258.338/0001-64</v>
      </c>
      <c r="C2507" s="12" t="str">
        <f>VLOOKUP(B2507,[1]Planilha1!$A:$B,2,0)</f>
        <v>Malu Montesino</v>
      </c>
      <c r="D2507" s="3" t="s">
        <v>9157</v>
      </c>
      <c r="E2507" s="3" t="s">
        <v>9158</v>
      </c>
      <c r="F2507" s="3" t="s">
        <v>20</v>
      </c>
      <c r="G2507" s="4">
        <v>40105</v>
      </c>
      <c r="H2507" s="3" t="s">
        <v>21</v>
      </c>
      <c r="I2507" s="3" t="s">
        <v>22</v>
      </c>
      <c r="J2507" s="5">
        <v>100000</v>
      </c>
      <c r="K2507" s="3">
        <v>4683400</v>
      </c>
      <c r="L2507" s="3" t="s">
        <v>3002</v>
      </c>
      <c r="M2507" s="3" t="s">
        <v>9159</v>
      </c>
      <c r="N2507" s="3" t="s">
        <v>111</v>
      </c>
      <c r="O2507" s="3" t="s">
        <v>9160</v>
      </c>
      <c r="P2507" s="3" t="s">
        <v>9161</v>
      </c>
      <c r="Q2507" s="3" t="s">
        <v>211</v>
      </c>
      <c r="R2507" s="3" t="s">
        <v>187</v>
      </c>
      <c r="S2507" s="3">
        <v>85823000</v>
      </c>
      <c r="T2507" s="3">
        <v>4599427849</v>
      </c>
      <c r="U2507" s="3" t="s">
        <v>29</v>
      </c>
    </row>
    <row r="2508" spans="1:21" ht="13.2" x14ac:dyDescent="0.25">
      <c r="A2508" s="14">
        <v>93896397000122</v>
      </c>
      <c r="B2508" s="15" t="str">
        <f t="shared" si="39"/>
        <v>93.896.397/0001-22</v>
      </c>
      <c r="C2508" s="12"/>
      <c r="D2508" s="3" t="s">
        <v>9162</v>
      </c>
      <c r="E2508" s="3" t="s">
        <v>9162</v>
      </c>
      <c r="F2508" s="3" t="s">
        <v>20</v>
      </c>
      <c r="G2508" s="4">
        <v>33297</v>
      </c>
      <c r="H2508" s="3" t="s">
        <v>94</v>
      </c>
      <c r="I2508" s="3" t="s">
        <v>33</v>
      </c>
      <c r="J2508" s="5">
        <v>88745260</v>
      </c>
      <c r="K2508" s="3">
        <v>2219600</v>
      </c>
      <c r="L2508" s="3" t="s">
        <v>613</v>
      </c>
      <c r="M2508" s="3" t="s">
        <v>8839</v>
      </c>
      <c r="N2508" s="3">
        <v>53</v>
      </c>
      <c r="P2508" s="3" t="s">
        <v>70</v>
      </c>
      <c r="Q2508" s="3" t="s">
        <v>9163</v>
      </c>
      <c r="R2508" s="3" t="s">
        <v>53</v>
      </c>
      <c r="S2508" s="3">
        <v>96825010</v>
      </c>
      <c r="U2508" s="3" t="s">
        <v>29</v>
      </c>
    </row>
    <row r="2509" spans="1:21" ht="13.2" x14ac:dyDescent="0.25">
      <c r="A2509" s="14">
        <v>13200579000188</v>
      </c>
      <c r="B2509" s="15" t="str">
        <f t="shared" si="39"/>
        <v>13.200.579/0001-88</v>
      </c>
      <c r="C2509" s="12"/>
      <c r="D2509" s="3" t="s">
        <v>9164</v>
      </c>
      <c r="E2509" s="3" t="s">
        <v>9165</v>
      </c>
      <c r="F2509" s="3" t="s">
        <v>20</v>
      </c>
      <c r="G2509" s="4">
        <v>40577</v>
      </c>
      <c r="H2509" s="3" t="s">
        <v>21</v>
      </c>
      <c r="I2509" s="3" t="s">
        <v>33</v>
      </c>
      <c r="J2509" s="5">
        <v>7161808</v>
      </c>
      <c r="K2509" s="3">
        <v>4645101</v>
      </c>
      <c r="L2509" s="3" t="s">
        <v>135</v>
      </c>
      <c r="M2509" s="3" t="s">
        <v>3586</v>
      </c>
      <c r="N2509" s="3">
        <v>8300</v>
      </c>
      <c r="O2509" s="3" t="s">
        <v>9166</v>
      </c>
      <c r="P2509" s="3" t="s">
        <v>5247</v>
      </c>
      <c r="Q2509" s="3" t="s">
        <v>423</v>
      </c>
      <c r="R2509" s="3" t="s">
        <v>91</v>
      </c>
      <c r="S2509" s="3">
        <v>89219600</v>
      </c>
      <c r="T2509" s="3">
        <v>4734258791</v>
      </c>
      <c r="U2509" s="3" t="s">
        <v>29</v>
      </c>
    </row>
    <row r="2510" spans="1:21" ht="13.2" x14ac:dyDescent="0.25">
      <c r="A2510" s="14">
        <v>11681446000145</v>
      </c>
      <c r="B2510" s="15" t="str">
        <f t="shared" si="39"/>
        <v>11.681.446/0001-45</v>
      </c>
      <c r="C2510" s="12"/>
      <c r="D2510" s="3" t="s">
        <v>9167</v>
      </c>
      <c r="E2510" s="3" t="s">
        <v>9167</v>
      </c>
      <c r="F2510" s="3" t="s">
        <v>20</v>
      </c>
      <c r="G2510" s="4">
        <v>40231</v>
      </c>
      <c r="H2510" s="3" t="s">
        <v>21</v>
      </c>
      <c r="I2510" s="3" t="s">
        <v>33</v>
      </c>
      <c r="J2510" s="5">
        <v>258925980</v>
      </c>
      <c r="K2510" s="3">
        <v>4644301</v>
      </c>
      <c r="L2510" s="3" t="s">
        <v>326</v>
      </c>
      <c r="M2510" s="3" t="s">
        <v>2915</v>
      </c>
      <c r="N2510" s="3">
        <v>1184</v>
      </c>
      <c r="O2510" s="3" t="s">
        <v>9168</v>
      </c>
      <c r="P2510" s="3" t="s">
        <v>316</v>
      </c>
      <c r="Q2510" s="3" t="s">
        <v>27</v>
      </c>
      <c r="R2510" s="3" t="s">
        <v>28</v>
      </c>
      <c r="S2510" s="3">
        <v>4548004</v>
      </c>
      <c r="T2510" s="3">
        <v>1143499200</v>
      </c>
      <c r="U2510" s="3" t="s">
        <v>29</v>
      </c>
    </row>
    <row r="2511" spans="1:21" ht="13.2" x14ac:dyDescent="0.25">
      <c r="A2511" s="14">
        <v>8783191000117</v>
      </c>
      <c r="B2511" s="15" t="str">
        <f t="shared" si="39"/>
        <v>08.783.191/0001-17</v>
      </c>
      <c r="C2511" s="12"/>
      <c r="D2511" s="3" t="s">
        <v>9169</v>
      </c>
      <c r="E2511" s="3" t="s">
        <v>9170</v>
      </c>
      <c r="F2511" s="3" t="s">
        <v>20</v>
      </c>
      <c r="G2511" s="4">
        <v>39098</v>
      </c>
      <c r="H2511" s="3" t="s">
        <v>21</v>
      </c>
      <c r="I2511" s="3" t="s">
        <v>33</v>
      </c>
      <c r="J2511" s="5">
        <v>17209762</v>
      </c>
      <c r="K2511" s="3">
        <v>2840200</v>
      </c>
      <c r="L2511" s="3" t="s">
        <v>2053</v>
      </c>
      <c r="M2511" s="3" t="s">
        <v>9171</v>
      </c>
      <c r="N2511" s="3">
        <v>2500</v>
      </c>
      <c r="O2511" s="3" t="s">
        <v>9172</v>
      </c>
      <c r="P2511" s="3" t="s">
        <v>9173</v>
      </c>
      <c r="Q2511" s="3" t="s">
        <v>567</v>
      </c>
      <c r="R2511" s="3" t="s">
        <v>28</v>
      </c>
      <c r="S2511" s="3">
        <v>13212354</v>
      </c>
      <c r="T2511" s="3">
        <v>1145256680</v>
      </c>
      <c r="U2511" s="3" t="s">
        <v>29</v>
      </c>
    </row>
    <row r="2512" spans="1:21" ht="13.2" x14ac:dyDescent="0.25">
      <c r="A2512" s="14">
        <v>60619202000148</v>
      </c>
      <c r="B2512" s="15" t="str">
        <f t="shared" si="39"/>
        <v>60.619.202/0001-48</v>
      </c>
      <c r="C2512" s="12" t="str">
        <f>VLOOKUP(B2512,[1]Planilha1!$A:$B,2,0)</f>
        <v>Malu Montesino</v>
      </c>
      <c r="D2512" s="3" t="s">
        <v>9174</v>
      </c>
      <c r="E2512" s="3" t="s">
        <v>9175</v>
      </c>
      <c r="F2512" s="3" t="s">
        <v>20</v>
      </c>
      <c r="G2512" s="4">
        <v>24337</v>
      </c>
      <c r="H2512" s="3" t="s">
        <v>21</v>
      </c>
      <c r="I2512" s="3" t="s">
        <v>33</v>
      </c>
      <c r="J2512" s="5">
        <v>766485570</v>
      </c>
      <c r="K2512" s="3">
        <v>2014200</v>
      </c>
      <c r="L2512" s="3" t="s">
        <v>833</v>
      </c>
      <c r="M2512" s="3" t="s">
        <v>938</v>
      </c>
      <c r="N2512" s="3">
        <v>350</v>
      </c>
      <c r="O2512" s="3" t="s">
        <v>9176</v>
      </c>
      <c r="P2512" s="3" t="s">
        <v>681</v>
      </c>
      <c r="Q2512" s="3" t="s">
        <v>617</v>
      </c>
      <c r="R2512" s="3" t="s">
        <v>28</v>
      </c>
      <c r="S2512" s="3">
        <v>6455911</v>
      </c>
      <c r="T2512" s="3">
        <v>1135941660</v>
      </c>
      <c r="U2512" s="3" t="s">
        <v>29</v>
      </c>
    </row>
    <row r="2513" spans="1:21" ht="13.2" x14ac:dyDescent="0.25">
      <c r="A2513" s="14">
        <v>1866388000170</v>
      </c>
      <c r="B2513" s="15" t="str">
        <f t="shared" si="39"/>
        <v>01.866.388/0001-70</v>
      </c>
      <c r="C2513" s="12" t="str">
        <f>VLOOKUP(B2513,[1]Planilha1!$A:$B,2,0)</f>
        <v>Malu Montesino</v>
      </c>
      <c r="D2513" s="3" t="s">
        <v>9177</v>
      </c>
      <c r="E2513" s="3" t="s">
        <v>9177</v>
      </c>
      <c r="F2513" s="3" t="s">
        <v>20</v>
      </c>
      <c r="G2513" s="4">
        <v>35555</v>
      </c>
      <c r="H2513" s="3" t="s">
        <v>21</v>
      </c>
      <c r="I2513" s="3" t="s">
        <v>33</v>
      </c>
      <c r="J2513" s="5">
        <v>1000000</v>
      </c>
      <c r="K2513" s="3">
        <v>3102100</v>
      </c>
      <c r="L2513" s="3" t="s">
        <v>2301</v>
      </c>
      <c r="M2513" s="3" t="s">
        <v>9178</v>
      </c>
      <c r="N2513" s="3" t="s">
        <v>111</v>
      </c>
      <c r="O2513" s="3" t="s">
        <v>9179</v>
      </c>
      <c r="P2513" s="3" t="s">
        <v>9180</v>
      </c>
      <c r="Q2513" s="3" t="s">
        <v>573</v>
      </c>
      <c r="R2513" s="3" t="s">
        <v>274</v>
      </c>
      <c r="S2513" s="3">
        <v>74993535</v>
      </c>
      <c r="T2513" s="3">
        <v>6232423356</v>
      </c>
      <c r="U2513" s="3" t="s">
        <v>29</v>
      </c>
    </row>
    <row r="2514" spans="1:21" ht="13.2" x14ac:dyDescent="0.25">
      <c r="A2514" s="14">
        <v>25195565000100</v>
      </c>
      <c r="B2514" s="15" t="str">
        <f t="shared" si="39"/>
        <v>25.195.565/0001-00</v>
      </c>
      <c r="C2514" s="12"/>
      <c r="D2514" s="3" t="s">
        <v>9181</v>
      </c>
      <c r="E2514" s="3" t="s">
        <v>9182</v>
      </c>
      <c r="F2514" s="3" t="s">
        <v>20</v>
      </c>
      <c r="G2514" s="4">
        <v>42529</v>
      </c>
      <c r="H2514" s="3" t="s">
        <v>32</v>
      </c>
      <c r="I2514" s="3" t="s">
        <v>33</v>
      </c>
      <c r="J2514" s="5">
        <v>10000</v>
      </c>
      <c r="K2514" s="3">
        <v>8630501</v>
      </c>
      <c r="L2514" s="3" t="s">
        <v>9030</v>
      </c>
      <c r="M2514" s="3" t="s">
        <v>9183</v>
      </c>
      <c r="N2514" s="3">
        <v>775</v>
      </c>
      <c r="P2514" s="3" t="s">
        <v>6094</v>
      </c>
      <c r="Q2514" s="3" t="s">
        <v>27</v>
      </c>
      <c r="R2514" s="3" t="s">
        <v>28</v>
      </c>
      <c r="S2514" s="3">
        <v>3132020</v>
      </c>
      <c r="T2514" s="3">
        <v>1733059030</v>
      </c>
      <c r="U2514" s="3" t="s">
        <v>29</v>
      </c>
    </row>
    <row r="2515" spans="1:21" ht="13.2" x14ac:dyDescent="0.25">
      <c r="A2515" s="14">
        <v>2435617000165</v>
      </c>
      <c r="B2515" s="15" t="str">
        <f t="shared" si="39"/>
        <v>02.435.617/0001-65</v>
      </c>
      <c r="C2515" s="12"/>
      <c r="D2515" s="3" t="s">
        <v>9184</v>
      </c>
      <c r="E2515" s="3" t="s">
        <v>9185</v>
      </c>
      <c r="F2515" s="3" t="s">
        <v>20</v>
      </c>
      <c r="G2515" s="4">
        <v>35828</v>
      </c>
      <c r="H2515" s="3" t="s">
        <v>21</v>
      </c>
      <c r="I2515" s="3" t="s">
        <v>22</v>
      </c>
      <c r="J2515" s="5">
        <v>350000</v>
      </c>
      <c r="K2515" s="3">
        <v>4789099</v>
      </c>
      <c r="L2515" s="3" t="s">
        <v>774</v>
      </c>
      <c r="M2515" s="3" t="s">
        <v>9186</v>
      </c>
      <c r="N2515" s="3">
        <v>35</v>
      </c>
      <c r="P2515" s="3" t="s">
        <v>9187</v>
      </c>
      <c r="Q2515" s="3" t="s">
        <v>1339</v>
      </c>
      <c r="R2515" s="3" t="s">
        <v>456</v>
      </c>
      <c r="S2515" s="3">
        <v>50800295</v>
      </c>
      <c r="T2515" s="3">
        <v>8130480594</v>
      </c>
      <c r="U2515" s="3" t="s">
        <v>29</v>
      </c>
    </row>
    <row r="2516" spans="1:21" ht="13.2" x14ac:dyDescent="0.25">
      <c r="A2516" s="14">
        <v>88041454000151</v>
      </c>
      <c r="B2516" s="15" t="str">
        <f t="shared" si="39"/>
        <v>88.041.454/0001-51</v>
      </c>
      <c r="C2516" s="12"/>
      <c r="D2516" s="3" t="s">
        <v>9188</v>
      </c>
      <c r="E2516" s="3" t="s">
        <v>9188</v>
      </c>
      <c r="F2516" s="3" t="s">
        <v>20</v>
      </c>
      <c r="G2516" s="4">
        <v>27729</v>
      </c>
      <c r="H2516" s="3" t="s">
        <v>21</v>
      </c>
      <c r="I2516" s="3" t="s">
        <v>33</v>
      </c>
      <c r="J2516" s="5">
        <v>6000000</v>
      </c>
      <c r="K2516" s="3">
        <v>2829199</v>
      </c>
      <c r="L2516" s="3" t="s">
        <v>1514</v>
      </c>
      <c r="M2516" s="3" t="s">
        <v>9189</v>
      </c>
      <c r="N2516" s="3">
        <v>415</v>
      </c>
      <c r="P2516" s="3" t="s">
        <v>9156</v>
      </c>
      <c r="Q2516" s="3" t="s">
        <v>875</v>
      </c>
      <c r="R2516" s="3" t="s">
        <v>53</v>
      </c>
      <c r="S2516" s="3">
        <v>93120590</v>
      </c>
      <c r="T2516" s="3">
        <v>5135907100</v>
      </c>
      <c r="U2516" s="3" t="s">
        <v>29</v>
      </c>
    </row>
    <row r="2517" spans="1:21" ht="13.2" x14ac:dyDescent="0.25">
      <c r="A2517" s="14">
        <v>19844288000109</v>
      </c>
      <c r="B2517" s="15" t="str">
        <f t="shared" si="39"/>
        <v>19.844.288/0001-09</v>
      </c>
      <c r="C2517" s="12"/>
      <c r="D2517" s="3" t="s">
        <v>9190</v>
      </c>
      <c r="E2517" s="3" t="s">
        <v>9190</v>
      </c>
      <c r="F2517" s="3" t="s">
        <v>20</v>
      </c>
      <c r="G2517" s="4">
        <v>41697</v>
      </c>
      <c r="H2517" s="3" t="s">
        <v>21</v>
      </c>
      <c r="I2517" s="3" t="s">
        <v>33</v>
      </c>
      <c r="J2517" s="5">
        <v>1716013</v>
      </c>
      <c r="K2517" s="3">
        <v>3101200</v>
      </c>
      <c r="L2517" s="3" t="s">
        <v>359</v>
      </c>
      <c r="M2517" s="3" t="s">
        <v>9191</v>
      </c>
      <c r="N2517" s="3">
        <v>1802</v>
      </c>
      <c r="O2517" s="3" t="s">
        <v>9192</v>
      </c>
      <c r="P2517" s="3" t="s">
        <v>9193</v>
      </c>
      <c r="Q2517" s="3" t="s">
        <v>2374</v>
      </c>
      <c r="R2517" s="3" t="s">
        <v>53</v>
      </c>
      <c r="S2517" s="3">
        <v>95270000</v>
      </c>
      <c r="T2517" s="3">
        <v>5432926480</v>
      </c>
      <c r="U2517" s="3" t="s">
        <v>29</v>
      </c>
    </row>
    <row r="2518" spans="1:21" ht="13.2" x14ac:dyDescent="0.25">
      <c r="A2518" s="14">
        <v>1629891000102</v>
      </c>
      <c r="B2518" s="15" t="str">
        <f t="shared" si="39"/>
        <v>01.629.891/0001-02</v>
      </c>
      <c r="C2518" s="12" t="str">
        <f>VLOOKUP(B2518,[1]Planilha1!$A:$B,2,0)</f>
        <v>Malu Montesino</v>
      </c>
      <c r="D2518" s="3" t="s">
        <v>9194</v>
      </c>
      <c r="E2518" s="3" t="s">
        <v>9195</v>
      </c>
      <c r="F2518" s="3" t="s">
        <v>20</v>
      </c>
      <c r="G2518" s="4">
        <v>35450</v>
      </c>
      <c r="H2518" s="3" t="s">
        <v>21</v>
      </c>
      <c r="I2518" s="3" t="s">
        <v>33</v>
      </c>
      <c r="J2518" s="5">
        <v>8398270</v>
      </c>
      <c r="K2518" s="3">
        <v>2930101</v>
      </c>
      <c r="L2518" s="3" t="s">
        <v>856</v>
      </c>
      <c r="M2518" s="3" t="s">
        <v>9196</v>
      </c>
      <c r="N2518" s="3" t="s">
        <v>82</v>
      </c>
      <c r="O2518" s="3" t="s">
        <v>9197</v>
      </c>
      <c r="P2518" s="3" t="s">
        <v>9198</v>
      </c>
      <c r="Q2518" s="3" t="s">
        <v>9199</v>
      </c>
      <c r="R2518" s="3" t="s">
        <v>187</v>
      </c>
      <c r="S2518" s="3">
        <v>83543400</v>
      </c>
      <c r="T2518" s="3">
        <v>4136521419</v>
      </c>
      <c r="U2518" s="3" t="s">
        <v>29</v>
      </c>
    </row>
    <row r="2519" spans="1:21" ht="13.2" x14ac:dyDescent="0.25">
      <c r="A2519" s="14">
        <v>4821041000108</v>
      </c>
      <c r="B2519" s="15" t="str">
        <f t="shared" si="39"/>
        <v>04.821.041/0001-08</v>
      </c>
      <c r="C2519" s="12"/>
      <c r="D2519" s="3" t="s">
        <v>9200</v>
      </c>
      <c r="E2519" s="3" t="s">
        <v>9200</v>
      </c>
      <c r="F2519" s="3" t="s">
        <v>20</v>
      </c>
      <c r="G2519" s="4">
        <v>37244</v>
      </c>
      <c r="H2519" s="3" t="s">
        <v>377</v>
      </c>
      <c r="I2519" s="3" t="s">
        <v>33</v>
      </c>
      <c r="J2519" s="5">
        <v>487043680</v>
      </c>
      <c r="K2519" s="3">
        <v>2751100</v>
      </c>
      <c r="L2519" s="3" t="s">
        <v>5780</v>
      </c>
      <c r="M2519" s="3" t="s">
        <v>9201</v>
      </c>
      <c r="N2519" s="3">
        <v>412</v>
      </c>
      <c r="O2519" s="3" t="s">
        <v>9202</v>
      </c>
      <c r="P2519" s="3" t="s">
        <v>9203</v>
      </c>
      <c r="Q2519" s="3" t="s">
        <v>27</v>
      </c>
      <c r="R2519" s="3" t="s">
        <v>28</v>
      </c>
      <c r="S2519" s="3">
        <v>4186220</v>
      </c>
      <c r="T2519" s="3">
        <v>1126279076</v>
      </c>
      <c r="U2519" s="3" t="s">
        <v>29</v>
      </c>
    </row>
    <row r="2520" spans="1:21" ht="13.2" x14ac:dyDescent="0.25">
      <c r="A2520" s="14">
        <v>46307989000181</v>
      </c>
      <c r="B2520" s="15" t="str">
        <f t="shared" si="39"/>
        <v>46.307.989/0001-81</v>
      </c>
      <c r="C2520" s="12"/>
      <c r="D2520" s="3" t="s">
        <v>9204</v>
      </c>
      <c r="E2520" s="3" t="s">
        <v>9204</v>
      </c>
      <c r="F2520" s="3" t="s">
        <v>45</v>
      </c>
      <c r="G2520" s="4">
        <v>27521</v>
      </c>
      <c r="H2520" s="3" t="s">
        <v>94</v>
      </c>
      <c r="I2520" s="3" t="s">
        <v>33</v>
      </c>
      <c r="J2520" s="5">
        <v>860000</v>
      </c>
      <c r="K2520" s="3">
        <v>2512800</v>
      </c>
      <c r="L2520" s="3" t="s">
        <v>9205</v>
      </c>
      <c r="M2520" s="3" t="s">
        <v>9206</v>
      </c>
      <c r="N2520" s="3" t="s">
        <v>82</v>
      </c>
      <c r="O2520" s="3" t="s">
        <v>9207</v>
      </c>
      <c r="P2520" s="3" t="s">
        <v>1529</v>
      </c>
      <c r="Q2520" s="3" t="s">
        <v>915</v>
      </c>
      <c r="R2520" s="3" t="s">
        <v>28</v>
      </c>
      <c r="S2520" s="3">
        <v>14140000</v>
      </c>
      <c r="T2520" s="3">
        <v>1635187171</v>
      </c>
      <c r="U2520" s="3" t="s">
        <v>29</v>
      </c>
    </row>
    <row r="2521" spans="1:21" ht="13.2" x14ac:dyDescent="0.25">
      <c r="A2521" s="14">
        <v>76673151000172</v>
      </c>
      <c r="B2521" s="15" t="str">
        <f t="shared" si="39"/>
        <v>76.673.151/0001-72</v>
      </c>
      <c r="C2521" s="12"/>
      <c r="D2521" s="3" t="s">
        <v>9208</v>
      </c>
      <c r="E2521" s="3" t="s">
        <v>9208</v>
      </c>
      <c r="F2521" s="3" t="s">
        <v>20</v>
      </c>
      <c r="G2521" s="4">
        <v>25486</v>
      </c>
      <c r="H2521" s="3" t="s">
        <v>21</v>
      </c>
      <c r="I2521" s="3" t="s">
        <v>33</v>
      </c>
      <c r="J2521" s="5">
        <v>650000</v>
      </c>
      <c r="K2521" s="3">
        <v>2861500</v>
      </c>
      <c r="L2521" s="3" t="s">
        <v>4376</v>
      </c>
      <c r="M2521" s="3" t="s">
        <v>9209</v>
      </c>
      <c r="N2521" s="3">
        <v>1358</v>
      </c>
      <c r="P2521" s="3" t="s">
        <v>2753</v>
      </c>
      <c r="Q2521" s="3" t="s">
        <v>1317</v>
      </c>
      <c r="R2521" s="3" t="s">
        <v>187</v>
      </c>
      <c r="S2521" s="3">
        <v>83321030</v>
      </c>
      <c r="T2521" s="3">
        <v>4136672525</v>
      </c>
      <c r="U2521" s="3" t="s">
        <v>29</v>
      </c>
    </row>
    <row r="2522" spans="1:21" ht="13.2" x14ac:dyDescent="0.25">
      <c r="A2522" s="14">
        <v>4161612000117</v>
      </c>
      <c r="B2522" s="15" t="str">
        <f t="shared" si="39"/>
        <v>04.161.612/0001-17</v>
      </c>
      <c r="C2522" s="12"/>
      <c r="D2522" s="3" t="s">
        <v>9210</v>
      </c>
      <c r="E2522" s="3" t="s">
        <v>9210</v>
      </c>
      <c r="F2522" s="3" t="s">
        <v>20</v>
      </c>
      <c r="G2522" s="4">
        <v>36851</v>
      </c>
      <c r="H2522" s="3" t="s">
        <v>21</v>
      </c>
      <c r="I2522" s="3" t="s">
        <v>33</v>
      </c>
      <c r="J2522" s="5">
        <v>390000</v>
      </c>
      <c r="K2522" s="3">
        <v>2949299</v>
      </c>
      <c r="L2522" s="3" t="s">
        <v>1083</v>
      </c>
      <c r="M2522" s="3" t="s">
        <v>9211</v>
      </c>
      <c r="N2522" s="3">
        <v>132</v>
      </c>
      <c r="P2522" s="3" t="s">
        <v>4015</v>
      </c>
      <c r="Q2522" s="3" t="s">
        <v>1132</v>
      </c>
      <c r="R2522" s="3" t="s">
        <v>28</v>
      </c>
      <c r="S2522" s="3">
        <v>8534300</v>
      </c>
      <c r="U2522" s="3" t="s">
        <v>29</v>
      </c>
    </row>
    <row r="2523" spans="1:21" ht="13.2" x14ac:dyDescent="0.25">
      <c r="A2523" s="14">
        <v>2926801000108</v>
      </c>
      <c r="B2523" s="15" t="str">
        <f t="shared" si="39"/>
        <v>02.926.801/0001-08</v>
      </c>
      <c r="C2523" s="12"/>
      <c r="D2523" s="3" t="s">
        <v>9212</v>
      </c>
      <c r="E2523" s="3" t="s">
        <v>9212</v>
      </c>
      <c r="F2523" s="3" t="s">
        <v>20</v>
      </c>
      <c r="G2523" s="4">
        <v>36151</v>
      </c>
      <c r="H2523" s="3" t="s">
        <v>21</v>
      </c>
      <c r="I2523" s="3" t="s">
        <v>33</v>
      </c>
      <c r="J2523" s="5">
        <v>10000</v>
      </c>
      <c r="K2523" s="3">
        <v>4744001</v>
      </c>
      <c r="L2523" s="3" t="s">
        <v>396</v>
      </c>
      <c r="M2523" s="3" t="s">
        <v>9213</v>
      </c>
      <c r="N2523" s="3">
        <v>16</v>
      </c>
      <c r="O2523" s="3" t="s">
        <v>505</v>
      </c>
      <c r="P2523" s="3" t="s">
        <v>9214</v>
      </c>
      <c r="Q2523" s="3" t="s">
        <v>881</v>
      </c>
      <c r="R2523" s="3" t="s">
        <v>28</v>
      </c>
      <c r="S2523" s="3">
        <v>9360485</v>
      </c>
      <c r="T2523" s="3">
        <v>1140539085</v>
      </c>
      <c r="U2523" s="3" t="s">
        <v>29</v>
      </c>
    </row>
    <row r="2524" spans="1:21" ht="13.2" x14ac:dyDescent="0.25">
      <c r="A2524" s="14">
        <v>61174652000137</v>
      </c>
      <c r="B2524" s="15" t="str">
        <f t="shared" si="39"/>
        <v>61.174.652/0001-37</v>
      </c>
      <c r="C2524" s="12"/>
      <c r="D2524" s="3" t="s">
        <v>9215</v>
      </c>
      <c r="E2524" s="3" t="s">
        <v>9216</v>
      </c>
      <c r="F2524" s="3" t="s">
        <v>20</v>
      </c>
      <c r="G2524" s="4">
        <v>24309</v>
      </c>
      <c r="H2524" s="3" t="s">
        <v>21</v>
      </c>
      <c r="I2524" s="3" t="s">
        <v>33</v>
      </c>
      <c r="J2524" s="5">
        <v>1900000</v>
      </c>
      <c r="K2524" s="3">
        <v>2822402</v>
      </c>
      <c r="L2524" s="3" t="s">
        <v>4317</v>
      </c>
      <c r="M2524" s="3" t="s">
        <v>9217</v>
      </c>
      <c r="N2524" s="3">
        <v>284</v>
      </c>
      <c r="P2524" s="3" t="s">
        <v>3970</v>
      </c>
      <c r="Q2524" s="3" t="s">
        <v>27</v>
      </c>
      <c r="R2524" s="3" t="s">
        <v>28</v>
      </c>
      <c r="S2524" s="3">
        <v>4217010</v>
      </c>
      <c r="U2524" s="3" t="s">
        <v>29</v>
      </c>
    </row>
    <row r="2525" spans="1:21" ht="13.2" x14ac:dyDescent="0.25">
      <c r="A2525" s="14">
        <v>61129268000112</v>
      </c>
      <c r="B2525" s="15" t="str">
        <f t="shared" si="39"/>
        <v>61.129.268/0001-12</v>
      </c>
      <c r="C2525" s="12"/>
      <c r="D2525" s="3" t="s">
        <v>9218</v>
      </c>
      <c r="E2525" s="3" t="s">
        <v>9218</v>
      </c>
      <c r="F2525" s="3" t="s">
        <v>20</v>
      </c>
      <c r="G2525" s="4">
        <v>26172</v>
      </c>
      <c r="H2525" s="3" t="s">
        <v>21</v>
      </c>
      <c r="I2525" s="3" t="s">
        <v>33</v>
      </c>
      <c r="J2525" s="5">
        <v>2736000</v>
      </c>
      <c r="K2525" s="3">
        <v>2823200</v>
      </c>
      <c r="L2525" s="3" t="s">
        <v>1667</v>
      </c>
      <c r="M2525" s="3" t="s">
        <v>9219</v>
      </c>
      <c r="N2525" s="3">
        <v>770</v>
      </c>
      <c r="P2525" s="3" t="s">
        <v>2739</v>
      </c>
      <c r="Q2525" s="3" t="s">
        <v>27</v>
      </c>
      <c r="R2525" s="3" t="s">
        <v>28</v>
      </c>
      <c r="S2525" s="3">
        <v>3126007</v>
      </c>
      <c r="T2525" s="3">
        <v>1126022400</v>
      </c>
      <c r="U2525" s="3" t="s">
        <v>29</v>
      </c>
    </row>
    <row r="2526" spans="1:21" ht="13.2" x14ac:dyDescent="0.25">
      <c r="A2526" s="14">
        <v>8766992000174</v>
      </c>
      <c r="B2526" s="15" t="str">
        <f t="shared" si="39"/>
        <v>08.766.992/0001-74</v>
      </c>
      <c r="C2526" s="12"/>
      <c r="D2526" s="3" t="s">
        <v>9220</v>
      </c>
      <c r="E2526" s="3" t="s">
        <v>9220</v>
      </c>
      <c r="F2526" s="3" t="s">
        <v>20</v>
      </c>
      <c r="G2526" s="4">
        <v>39174</v>
      </c>
      <c r="H2526" s="3" t="s">
        <v>21</v>
      </c>
      <c r="I2526" s="3" t="s">
        <v>33</v>
      </c>
      <c r="J2526" s="5">
        <v>500000</v>
      </c>
      <c r="K2526" s="3">
        <v>4644301</v>
      </c>
      <c r="L2526" s="3" t="s">
        <v>326</v>
      </c>
      <c r="M2526" s="3" t="s">
        <v>5652</v>
      </c>
      <c r="N2526" s="3" t="s">
        <v>82</v>
      </c>
      <c r="O2526" s="3" t="s">
        <v>9221</v>
      </c>
      <c r="P2526" s="3" t="s">
        <v>1456</v>
      </c>
      <c r="Q2526" s="3" t="s">
        <v>631</v>
      </c>
      <c r="R2526" s="3" t="s">
        <v>632</v>
      </c>
      <c r="S2526" s="3">
        <v>71200030</v>
      </c>
      <c r="T2526" s="3">
        <v>6130522525</v>
      </c>
      <c r="U2526" s="3" t="s">
        <v>29</v>
      </c>
    </row>
    <row r="2527" spans="1:21" ht="13.2" x14ac:dyDescent="0.25">
      <c r="A2527" s="14">
        <v>65295172000185</v>
      </c>
      <c r="B2527" s="15" t="str">
        <f t="shared" si="39"/>
        <v>65.295.172/0001-85</v>
      </c>
      <c r="C2527" s="12"/>
      <c r="D2527" s="3" t="s">
        <v>9222</v>
      </c>
      <c r="E2527" s="3" t="s">
        <v>9222</v>
      </c>
      <c r="F2527" s="3" t="s">
        <v>20</v>
      </c>
      <c r="G2527" s="4">
        <v>33333</v>
      </c>
      <c r="H2527" s="3" t="s">
        <v>21</v>
      </c>
      <c r="I2527" s="3" t="s">
        <v>33</v>
      </c>
      <c r="J2527" s="5">
        <v>6500000</v>
      </c>
      <c r="K2527" s="3">
        <v>4752100</v>
      </c>
      <c r="L2527" s="3" t="s">
        <v>1263</v>
      </c>
      <c r="M2527" s="3" t="s">
        <v>9223</v>
      </c>
      <c r="N2527" s="3">
        <v>3382</v>
      </c>
      <c r="O2527" s="3" t="s">
        <v>222</v>
      </c>
      <c r="P2527" s="3" t="s">
        <v>2655</v>
      </c>
      <c r="Q2527" s="3" t="s">
        <v>476</v>
      </c>
      <c r="R2527" s="3" t="s">
        <v>100</v>
      </c>
      <c r="S2527" s="3">
        <v>30494270</v>
      </c>
      <c r="T2527" s="3">
        <v>3121021100</v>
      </c>
      <c r="U2527" s="3" t="s">
        <v>29</v>
      </c>
    </row>
    <row r="2528" spans="1:21" ht="13.2" x14ac:dyDescent="0.25">
      <c r="A2528" s="14">
        <v>3301925000160</v>
      </c>
      <c r="B2528" s="15" t="str">
        <f t="shared" si="39"/>
        <v>03.301.925/0001-60</v>
      </c>
      <c r="C2528" s="12"/>
      <c r="D2528" s="3" t="s">
        <v>9224</v>
      </c>
      <c r="E2528" s="3" t="s">
        <v>9224</v>
      </c>
      <c r="F2528" s="3" t="s">
        <v>20</v>
      </c>
      <c r="G2528" s="4">
        <v>36354</v>
      </c>
      <c r="H2528" s="3" t="s">
        <v>21</v>
      </c>
      <c r="I2528" s="3" t="s">
        <v>33</v>
      </c>
      <c r="J2528" s="5">
        <v>11400000</v>
      </c>
      <c r="K2528" s="3">
        <v>5211799</v>
      </c>
      <c r="L2528" s="3" t="s">
        <v>425</v>
      </c>
      <c r="M2528" s="3" t="s">
        <v>2737</v>
      </c>
      <c r="N2528" s="3">
        <v>177</v>
      </c>
      <c r="O2528" s="3" t="s">
        <v>9225</v>
      </c>
      <c r="P2528" s="3" t="s">
        <v>4811</v>
      </c>
      <c r="Q2528" s="3" t="s">
        <v>262</v>
      </c>
      <c r="R2528" s="3" t="s">
        <v>28</v>
      </c>
      <c r="S2528" s="3">
        <v>6210100</v>
      </c>
      <c r="T2528" s="3">
        <v>1172954866</v>
      </c>
      <c r="U2528" s="3" t="s">
        <v>29</v>
      </c>
    </row>
    <row r="2529" spans="1:21" ht="13.2" x14ac:dyDescent="0.25">
      <c r="A2529" s="14">
        <v>7748837000162</v>
      </c>
      <c r="B2529" s="15" t="str">
        <f t="shared" si="39"/>
        <v>07.748.837/0001-62</v>
      </c>
      <c r="C2529" s="12"/>
      <c r="D2529" s="3" t="s">
        <v>9226</v>
      </c>
      <c r="E2529" s="3" t="s">
        <v>9226</v>
      </c>
      <c r="F2529" s="3" t="s">
        <v>20</v>
      </c>
      <c r="G2529" s="4">
        <v>38693</v>
      </c>
      <c r="H2529" s="3" t="s">
        <v>21</v>
      </c>
      <c r="I2529" s="3" t="s">
        <v>33</v>
      </c>
      <c r="J2529" s="5">
        <v>24449600</v>
      </c>
      <c r="K2529" s="3">
        <v>4663000</v>
      </c>
      <c r="L2529" s="3" t="s">
        <v>128</v>
      </c>
      <c r="M2529" s="3" t="s">
        <v>9227</v>
      </c>
      <c r="N2529" s="3">
        <v>161</v>
      </c>
      <c r="P2529" s="3" t="s">
        <v>4157</v>
      </c>
      <c r="Q2529" s="3" t="s">
        <v>27</v>
      </c>
      <c r="R2529" s="3" t="s">
        <v>28</v>
      </c>
      <c r="S2529" s="3">
        <v>5007030</v>
      </c>
      <c r="T2529" s="3">
        <v>1138685433</v>
      </c>
      <c r="U2529" s="3" t="s">
        <v>29</v>
      </c>
    </row>
    <row r="2530" spans="1:21" ht="13.2" x14ac:dyDescent="0.25">
      <c r="A2530" s="14">
        <v>58762956000100</v>
      </c>
      <c r="B2530" s="15" t="str">
        <f t="shared" si="39"/>
        <v>58.762.956/0001-00</v>
      </c>
      <c r="C2530" s="12" t="str">
        <f>VLOOKUP(B2530,[1]Planilha1!$A:$B,2,0)</f>
        <v>Malu Montesino</v>
      </c>
      <c r="D2530" s="3" t="s">
        <v>9228</v>
      </c>
      <c r="E2530" s="3" t="s">
        <v>9228</v>
      </c>
      <c r="F2530" s="3" t="s">
        <v>20</v>
      </c>
      <c r="G2530" s="4">
        <v>32227</v>
      </c>
      <c r="H2530" s="3" t="s">
        <v>21</v>
      </c>
      <c r="I2530" s="3" t="s">
        <v>33</v>
      </c>
      <c r="J2530" s="5">
        <v>29000000</v>
      </c>
      <c r="K2530" s="3">
        <v>2869100</v>
      </c>
      <c r="L2530" s="3" t="s">
        <v>1416</v>
      </c>
      <c r="M2530" s="3" t="s">
        <v>9229</v>
      </c>
      <c r="N2530" s="3">
        <v>819</v>
      </c>
      <c r="P2530" s="3" t="s">
        <v>9230</v>
      </c>
      <c r="Q2530" s="3" t="s">
        <v>4802</v>
      </c>
      <c r="R2530" s="3" t="s">
        <v>28</v>
      </c>
      <c r="S2530" s="3">
        <v>13380296</v>
      </c>
      <c r="T2530" s="3">
        <v>1921279443</v>
      </c>
      <c r="U2530" s="3" t="s">
        <v>29</v>
      </c>
    </row>
    <row r="2531" spans="1:21" ht="13.2" x14ac:dyDescent="0.25">
      <c r="A2531" s="14">
        <v>58514928000174</v>
      </c>
      <c r="B2531" s="15" t="str">
        <f t="shared" si="39"/>
        <v>58.514.928/0001-74</v>
      </c>
      <c r="C2531" s="12" t="str">
        <f>VLOOKUP(B2531,[1]Planilha1!$A:$B,2,0)</f>
        <v>Malu Montesino</v>
      </c>
      <c r="D2531" s="3" t="s">
        <v>9231</v>
      </c>
      <c r="E2531" s="3" t="s">
        <v>9232</v>
      </c>
      <c r="F2531" s="3" t="s">
        <v>20</v>
      </c>
      <c r="G2531" s="4">
        <v>32150</v>
      </c>
      <c r="H2531" s="3" t="s">
        <v>21</v>
      </c>
      <c r="I2531" s="3" t="s">
        <v>33</v>
      </c>
      <c r="J2531" s="5">
        <v>549521340</v>
      </c>
      <c r="K2531" s="3">
        <v>2223400</v>
      </c>
      <c r="L2531" s="3" t="s">
        <v>868</v>
      </c>
      <c r="M2531" s="3" t="s">
        <v>3104</v>
      </c>
      <c r="N2531" s="3">
        <v>100</v>
      </c>
      <c r="O2531" s="3" t="s">
        <v>9233</v>
      </c>
      <c r="P2531" s="3" t="s">
        <v>2757</v>
      </c>
      <c r="Q2531" s="3" t="s">
        <v>423</v>
      </c>
      <c r="R2531" s="3" t="s">
        <v>91</v>
      </c>
      <c r="S2531" s="3">
        <v>89211730</v>
      </c>
      <c r="T2531" s="3">
        <v>4734617100</v>
      </c>
      <c r="U2531" s="3" t="s">
        <v>29</v>
      </c>
    </row>
    <row r="2532" spans="1:21" ht="13.2" x14ac:dyDescent="0.25">
      <c r="A2532" s="14">
        <v>4196223000127</v>
      </c>
      <c r="B2532" s="15" t="str">
        <f t="shared" si="39"/>
        <v>04.196.223/0001-27</v>
      </c>
      <c r="C2532" s="12"/>
      <c r="D2532" s="3" t="s">
        <v>9234</v>
      </c>
      <c r="E2532" s="3" t="s">
        <v>9234</v>
      </c>
      <c r="F2532" s="3" t="s">
        <v>20</v>
      </c>
      <c r="G2532" s="4">
        <v>36874</v>
      </c>
      <c r="H2532" s="3" t="s">
        <v>21</v>
      </c>
      <c r="I2532" s="3" t="s">
        <v>33</v>
      </c>
      <c r="J2532" s="5">
        <v>20000</v>
      </c>
      <c r="K2532" s="3">
        <v>1413403</v>
      </c>
      <c r="L2532" s="3" t="s">
        <v>9235</v>
      </c>
      <c r="M2532" s="3" t="s">
        <v>9236</v>
      </c>
      <c r="N2532" s="3">
        <v>115</v>
      </c>
      <c r="P2532" s="3" t="s">
        <v>9237</v>
      </c>
      <c r="Q2532" s="3" t="s">
        <v>476</v>
      </c>
      <c r="R2532" s="3" t="s">
        <v>100</v>
      </c>
      <c r="S2532" s="3">
        <v>30285120</v>
      </c>
      <c r="T2532" s="3">
        <v>3132267625</v>
      </c>
      <c r="U2532" s="3" t="s">
        <v>29</v>
      </c>
    </row>
    <row r="2533" spans="1:21" ht="13.2" x14ac:dyDescent="0.25">
      <c r="A2533" s="14">
        <v>31292372000162</v>
      </c>
      <c r="B2533" s="15" t="str">
        <f t="shared" si="39"/>
        <v>31.292.372/0001-62</v>
      </c>
      <c r="C2533" s="12" t="str">
        <f>VLOOKUP(B2533,[1]Planilha1!$A:$B,2,0)</f>
        <v>Malu Montesino</v>
      </c>
      <c r="D2533" s="3" t="s">
        <v>9238</v>
      </c>
      <c r="E2533" s="3" t="s">
        <v>9239</v>
      </c>
      <c r="F2533" s="3" t="s">
        <v>20</v>
      </c>
      <c r="G2533" s="4">
        <v>43333</v>
      </c>
      <c r="H2533" s="3" t="s">
        <v>21</v>
      </c>
      <c r="I2533" s="3" t="s">
        <v>33</v>
      </c>
      <c r="J2533" s="5">
        <v>1100000</v>
      </c>
      <c r="K2533" s="3">
        <v>2823200</v>
      </c>
      <c r="L2533" s="3" t="s">
        <v>1667</v>
      </c>
      <c r="M2533" s="3" t="s">
        <v>9240</v>
      </c>
      <c r="N2533" s="3">
        <v>83284</v>
      </c>
      <c r="O2533" s="3" t="s">
        <v>2013</v>
      </c>
      <c r="P2533" s="3" t="s">
        <v>1708</v>
      </c>
      <c r="Q2533" s="3" t="s">
        <v>1709</v>
      </c>
      <c r="R2533" s="3" t="s">
        <v>28</v>
      </c>
      <c r="S2533" s="3">
        <v>13317204</v>
      </c>
      <c r="T2533" s="3">
        <v>1145295285</v>
      </c>
      <c r="U2533" s="3" t="s">
        <v>29</v>
      </c>
    </row>
    <row r="2534" spans="1:21" ht="13.2" x14ac:dyDescent="0.25">
      <c r="A2534" s="14">
        <v>4676906000181</v>
      </c>
      <c r="B2534" s="15" t="str">
        <f t="shared" si="39"/>
        <v>04.676.906/0001-81</v>
      </c>
      <c r="C2534" s="12" t="str">
        <f>VLOOKUP(B2534,[1]Planilha1!$A:$B,2,0)</f>
        <v>Malu Montesino</v>
      </c>
      <c r="D2534" s="3" t="s">
        <v>9241</v>
      </c>
      <c r="E2534" s="3" t="s">
        <v>9241</v>
      </c>
      <c r="F2534" s="3" t="s">
        <v>20</v>
      </c>
      <c r="G2534" s="4">
        <v>37074</v>
      </c>
      <c r="H2534" s="3" t="s">
        <v>21</v>
      </c>
      <c r="I2534" s="3" t="s">
        <v>33</v>
      </c>
      <c r="J2534" s="5">
        <v>4539800</v>
      </c>
      <c r="K2534" s="3">
        <v>7732201</v>
      </c>
      <c r="L2534" s="3" t="s">
        <v>1620</v>
      </c>
      <c r="M2534" s="3" t="s">
        <v>9242</v>
      </c>
      <c r="N2534" s="7">
        <v>1831</v>
      </c>
      <c r="O2534" s="3" t="s">
        <v>2013</v>
      </c>
      <c r="P2534" s="3" t="s">
        <v>9243</v>
      </c>
      <c r="Q2534" s="3" t="s">
        <v>27</v>
      </c>
      <c r="R2534" s="3" t="s">
        <v>28</v>
      </c>
      <c r="S2534" s="3">
        <v>2995000</v>
      </c>
      <c r="T2534" s="3">
        <v>1139428216</v>
      </c>
      <c r="U2534" s="3" t="s">
        <v>29</v>
      </c>
    </row>
    <row r="2535" spans="1:21" ht="13.2" x14ac:dyDescent="0.25">
      <c r="A2535" s="14">
        <v>8245855000194</v>
      </c>
      <c r="B2535" s="15" t="str">
        <f t="shared" si="39"/>
        <v>08.245.855/0001-94</v>
      </c>
      <c r="C2535" s="12" t="str">
        <f>VLOOKUP(B2535,[1]Planilha1!$A:$B,2,0)</f>
        <v>Mariane Nascimento</v>
      </c>
      <c r="D2535" s="3" t="s">
        <v>9244</v>
      </c>
      <c r="E2535" s="3" t="s">
        <v>9245</v>
      </c>
      <c r="F2535" s="3" t="s">
        <v>20</v>
      </c>
      <c r="G2535" s="4">
        <v>38911</v>
      </c>
      <c r="H2535" s="3" t="s">
        <v>21</v>
      </c>
      <c r="I2535" s="3" t="s">
        <v>33</v>
      </c>
      <c r="J2535" s="5">
        <v>8500000</v>
      </c>
      <c r="K2535" s="3">
        <v>4645101</v>
      </c>
      <c r="L2535" s="3" t="s">
        <v>135</v>
      </c>
      <c r="M2535" s="3" t="s">
        <v>9246</v>
      </c>
      <c r="N2535" s="3">
        <v>251</v>
      </c>
      <c r="O2535" s="3" t="s">
        <v>9247</v>
      </c>
      <c r="P2535" s="3" t="s">
        <v>9248</v>
      </c>
      <c r="Q2535" s="3" t="s">
        <v>476</v>
      </c>
      <c r="R2535" s="3" t="s">
        <v>100</v>
      </c>
      <c r="S2535" s="3">
        <v>30390070</v>
      </c>
      <c r="T2535" s="3">
        <v>3132142620</v>
      </c>
      <c r="U2535" s="3" t="s">
        <v>29</v>
      </c>
    </row>
    <row r="2536" spans="1:21" ht="13.2" x14ac:dyDescent="0.25">
      <c r="A2536" s="14">
        <v>9225497000110</v>
      </c>
      <c r="B2536" s="15" t="str">
        <f t="shared" si="39"/>
        <v>09.225.497/0001-10</v>
      </c>
      <c r="C2536" s="12"/>
      <c r="D2536" s="3" t="s">
        <v>9249</v>
      </c>
      <c r="E2536" s="3" t="s">
        <v>9250</v>
      </c>
      <c r="F2536" s="3" t="s">
        <v>20</v>
      </c>
      <c r="G2536" s="4">
        <v>39378</v>
      </c>
      <c r="H2536" s="3" t="s">
        <v>21</v>
      </c>
      <c r="I2536" s="3" t="s">
        <v>33</v>
      </c>
      <c r="J2536" s="5">
        <v>6513000</v>
      </c>
      <c r="K2536" s="3">
        <v>151201</v>
      </c>
      <c r="L2536" s="3" t="s">
        <v>9251</v>
      </c>
      <c r="M2536" s="3" t="s">
        <v>543</v>
      </c>
      <c r="N2536" s="3">
        <v>1811</v>
      </c>
      <c r="O2536" s="3" t="s">
        <v>9252</v>
      </c>
      <c r="P2536" s="3" t="s">
        <v>545</v>
      </c>
      <c r="Q2536" s="3" t="s">
        <v>27</v>
      </c>
      <c r="R2536" s="3" t="s">
        <v>28</v>
      </c>
      <c r="S2536" s="3">
        <v>1452001</v>
      </c>
      <c r="T2536" s="3">
        <v>1138166658</v>
      </c>
      <c r="U2536" s="3" t="s">
        <v>29</v>
      </c>
    </row>
    <row r="2537" spans="1:21" ht="13.2" x14ac:dyDescent="0.25">
      <c r="A2537" s="14">
        <v>20087055000198</v>
      </c>
      <c r="B2537" s="15" t="str">
        <f t="shared" si="39"/>
        <v>20.087.055/0001-98</v>
      </c>
      <c r="C2537" s="12"/>
      <c r="D2537" s="3" t="s">
        <v>9253</v>
      </c>
      <c r="E2537" s="3" t="s">
        <v>9254</v>
      </c>
      <c r="F2537" s="3" t="s">
        <v>20</v>
      </c>
      <c r="G2537" s="4">
        <v>41744</v>
      </c>
      <c r="H2537" s="3" t="s">
        <v>21</v>
      </c>
      <c r="I2537" s="3" t="s">
        <v>22</v>
      </c>
      <c r="J2537" s="5">
        <v>88000</v>
      </c>
      <c r="K2537" s="3">
        <v>1813001</v>
      </c>
      <c r="L2537" s="3" t="s">
        <v>177</v>
      </c>
      <c r="M2537" s="3" t="s">
        <v>9255</v>
      </c>
      <c r="N2537" s="3">
        <v>399</v>
      </c>
      <c r="P2537" s="3" t="s">
        <v>9256</v>
      </c>
      <c r="Q2537" s="3" t="s">
        <v>27</v>
      </c>
      <c r="R2537" s="3" t="s">
        <v>28</v>
      </c>
      <c r="S2537" s="3">
        <v>4634011</v>
      </c>
      <c r="T2537" s="3">
        <v>1150334800</v>
      </c>
      <c r="U2537" s="3" t="s">
        <v>29</v>
      </c>
    </row>
    <row r="2538" spans="1:21" ht="13.2" x14ac:dyDescent="0.25">
      <c r="A2538" s="14">
        <v>72096100000174</v>
      </c>
      <c r="B2538" s="15" t="str">
        <f t="shared" si="39"/>
        <v>72.096.100/0001-74</v>
      </c>
      <c r="C2538" s="12"/>
      <c r="D2538" s="3" t="s">
        <v>9257</v>
      </c>
      <c r="E2538" s="3" t="s">
        <v>9257</v>
      </c>
      <c r="F2538" s="3" t="s">
        <v>20</v>
      </c>
      <c r="G2538" s="4">
        <v>34066</v>
      </c>
      <c r="H2538" s="3" t="s">
        <v>21</v>
      </c>
      <c r="I2538" s="3" t="s">
        <v>33</v>
      </c>
      <c r="J2538" s="5">
        <v>9000000</v>
      </c>
      <c r="K2538" s="3">
        <v>2813500</v>
      </c>
      <c r="L2538" s="3" t="s">
        <v>1383</v>
      </c>
      <c r="M2538" s="3" t="s">
        <v>9258</v>
      </c>
      <c r="N2538" s="3">
        <v>1040</v>
      </c>
      <c r="O2538" s="3" t="s">
        <v>9259</v>
      </c>
      <c r="P2538" s="3" t="s">
        <v>9260</v>
      </c>
      <c r="Q2538" s="3" t="s">
        <v>9261</v>
      </c>
      <c r="R2538" s="3" t="s">
        <v>53</v>
      </c>
      <c r="S2538" s="3">
        <v>95334000</v>
      </c>
      <c r="T2538" s="3">
        <v>5434472700</v>
      </c>
      <c r="U2538" s="3" t="s">
        <v>29</v>
      </c>
    </row>
    <row r="2539" spans="1:21" ht="13.2" x14ac:dyDescent="0.25">
      <c r="A2539" s="14">
        <v>29182018000133</v>
      </c>
      <c r="B2539" s="15" t="str">
        <f t="shared" si="39"/>
        <v>29.182.018/0001-33</v>
      </c>
      <c r="C2539" s="12"/>
      <c r="D2539" s="3" t="s">
        <v>9262</v>
      </c>
      <c r="E2539" s="3" t="s">
        <v>9262</v>
      </c>
      <c r="F2539" s="3" t="s">
        <v>20</v>
      </c>
      <c r="G2539" s="4">
        <v>43069</v>
      </c>
      <c r="H2539" s="3" t="s">
        <v>21</v>
      </c>
      <c r="I2539" s="3" t="s">
        <v>33</v>
      </c>
      <c r="J2539" s="5">
        <v>45885760</v>
      </c>
      <c r="K2539" s="3">
        <v>4645101</v>
      </c>
      <c r="L2539" s="3" t="s">
        <v>135</v>
      </c>
      <c r="M2539" s="3" t="s">
        <v>2223</v>
      </c>
      <c r="N2539" s="3">
        <v>40</v>
      </c>
      <c r="O2539" s="3" t="s">
        <v>9263</v>
      </c>
      <c r="P2539" s="3" t="s">
        <v>1019</v>
      </c>
      <c r="Q2539" s="3" t="s">
        <v>27</v>
      </c>
      <c r="R2539" s="3" t="s">
        <v>28</v>
      </c>
      <c r="S2539" s="3">
        <v>4571100</v>
      </c>
      <c r="T2539" s="3">
        <v>1143013617</v>
      </c>
      <c r="U2539" s="3" t="s">
        <v>29</v>
      </c>
    </row>
    <row r="2540" spans="1:21" ht="13.2" x14ac:dyDescent="0.25">
      <c r="A2540" s="14">
        <v>5720854000166</v>
      </c>
      <c r="B2540" s="15" t="str">
        <f t="shared" si="39"/>
        <v>05.720.854/0001-66</v>
      </c>
      <c r="C2540" s="12"/>
      <c r="D2540" s="3" t="s">
        <v>9264</v>
      </c>
      <c r="E2540" s="3" t="s">
        <v>9264</v>
      </c>
      <c r="F2540" s="3" t="s">
        <v>20</v>
      </c>
      <c r="G2540" s="4">
        <v>37797</v>
      </c>
      <c r="H2540" s="3" t="s">
        <v>2634</v>
      </c>
      <c r="I2540" s="3" t="s">
        <v>33</v>
      </c>
      <c r="J2540" s="5">
        <v>0</v>
      </c>
      <c r="K2540" s="3">
        <v>6462000</v>
      </c>
      <c r="L2540" s="3" t="s">
        <v>250</v>
      </c>
      <c r="M2540" s="3" t="s">
        <v>9265</v>
      </c>
      <c r="N2540" s="3" t="s">
        <v>82</v>
      </c>
      <c r="R2540" s="3" t="s">
        <v>2637</v>
      </c>
      <c r="U2540" s="3" t="s">
        <v>29</v>
      </c>
    </row>
    <row r="2541" spans="1:21" ht="13.2" x14ac:dyDescent="0.25">
      <c r="A2541" s="14">
        <v>1590728000183</v>
      </c>
      <c r="B2541" s="15" t="str">
        <f t="shared" si="39"/>
        <v>01.590.728/0001-83</v>
      </c>
      <c r="C2541" s="12"/>
      <c r="D2541" s="3" t="s">
        <v>9266</v>
      </c>
      <c r="E2541" s="3" t="s">
        <v>9266</v>
      </c>
      <c r="F2541" s="3" t="s">
        <v>20</v>
      </c>
      <c r="G2541" s="4">
        <v>31350</v>
      </c>
      <c r="H2541" s="3" t="s">
        <v>21</v>
      </c>
      <c r="I2541" s="3" t="s">
        <v>33</v>
      </c>
      <c r="J2541" s="5">
        <v>6230000</v>
      </c>
      <c r="K2541" s="3">
        <v>4649401</v>
      </c>
      <c r="L2541" s="3" t="s">
        <v>2257</v>
      </c>
      <c r="M2541" s="3" t="s">
        <v>9267</v>
      </c>
      <c r="N2541" s="3" t="s">
        <v>111</v>
      </c>
      <c r="P2541" s="3" t="s">
        <v>2699</v>
      </c>
      <c r="Q2541" s="3" t="s">
        <v>631</v>
      </c>
      <c r="R2541" s="3" t="s">
        <v>632</v>
      </c>
      <c r="S2541" s="3">
        <v>70632100</v>
      </c>
      <c r="T2541" s="3">
        <v>6133276666</v>
      </c>
      <c r="U2541" s="3" t="s">
        <v>29</v>
      </c>
    </row>
    <row r="2542" spans="1:21" ht="13.2" x14ac:dyDescent="0.25">
      <c r="A2542" s="14">
        <v>7848463000157</v>
      </c>
      <c r="B2542" s="15" t="str">
        <f t="shared" si="39"/>
        <v>07.848.463/0001-57</v>
      </c>
      <c r="C2542" s="12"/>
      <c r="D2542" s="3" t="s">
        <v>9268</v>
      </c>
      <c r="E2542" s="3" t="s">
        <v>9268</v>
      </c>
      <c r="F2542" s="3" t="s">
        <v>20</v>
      </c>
      <c r="G2542" s="4">
        <v>38596</v>
      </c>
      <c r="H2542" s="3" t="s">
        <v>1550</v>
      </c>
      <c r="I2542" s="3" t="s">
        <v>33</v>
      </c>
      <c r="J2542" s="5">
        <v>150000</v>
      </c>
      <c r="K2542" s="3">
        <v>6911701</v>
      </c>
      <c r="L2542" s="3" t="s">
        <v>1551</v>
      </c>
      <c r="M2542" s="3" t="s">
        <v>805</v>
      </c>
      <c r="N2542" s="3">
        <v>1754</v>
      </c>
      <c r="O2542" s="3" t="s">
        <v>6752</v>
      </c>
      <c r="P2542" s="3" t="s">
        <v>1585</v>
      </c>
      <c r="Q2542" s="3" t="s">
        <v>27</v>
      </c>
      <c r="R2542" s="3" t="s">
        <v>28</v>
      </c>
      <c r="S2542" s="3">
        <v>1420002</v>
      </c>
      <c r="T2542" s="3">
        <v>1131152282</v>
      </c>
      <c r="U2542" s="3" t="s">
        <v>29</v>
      </c>
    </row>
    <row r="2543" spans="1:21" ht="13.2" x14ac:dyDescent="0.25">
      <c r="A2543" s="14">
        <v>25400600000178</v>
      </c>
      <c r="B2543" s="15" t="str">
        <f t="shared" si="39"/>
        <v>25.400.600/0001-78</v>
      </c>
      <c r="C2543" s="12"/>
      <c r="D2543" s="3" t="s">
        <v>9269</v>
      </c>
      <c r="E2543" s="3" t="s">
        <v>9269</v>
      </c>
      <c r="F2543" s="3" t="s">
        <v>20</v>
      </c>
      <c r="G2543" s="4">
        <v>42590</v>
      </c>
      <c r="H2543" s="3" t="s">
        <v>21</v>
      </c>
      <c r="I2543" s="3" t="s">
        <v>33</v>
      </c>
      <c r="J2543" s="5">
        <v>50000</v>
      </c>
      <c r="K2543" s="3">
        <v>2833000</v>
      </c>
      <c r="L2543" s="3" t="s">
        <v>151</v>
      </c>
      <c r="M2543" s="3" t="s">
        <v>9270</v>
      </c>
      <c r="N2543" s="3">
        <v>122</v>
      </c>
      <c r="P2543" s="3" t="s">
        <v>4558</v>
      </c>
      <c r="Q2543" s="3" t="s">
        <v>417</v>
      </c>
      <c r="R2543" s="3" t="s">
        <v>53</v>
      </c>
      <c r="S2543" s="3">
        <v>95176430</v>
      </c>
      <c r="T2543" s="3">
        <v>5432617203</v>
      </c>
      <c r="U2543" s="3" t="s">
        <v>29</v>
      </c>
    </row>
    <row r="2544" spans="1:21" ht="13.2" x14ac:dyDescent="0.25">
      <c r="A2544" s="14">
        <v>4440706000125</v>
      </c>
      <c r="B2544" s="15" t="str">
        <f t="shared" si="39"/>
        <v>04.440.706/0001-25</v>
      </c>
      <c r="C2544" s="12"/>
      <c r="D2544" s="3" t="s">
        <v>9271</v>
      </c>
      <c r="E2544" s="3" t="s">
        <v>9272</v>
      </c>
      <c r="F2544" s="3" t="s">
        <v>20</v>
      </c>
      <c r="G2544" s="4">
        <v>37011</v>
      </c>
      <c r="H2544" s="3" t="s">
        <v>21</v>
      </c>
      <c r="I2544" s="3" t="s">
        <v>33</v>
      </c>
      <c r="J2544" s="5">
        <v>11418972</v>
      </c>
      <c r="K2544" s="3">
        <v>2399199</v>
      </c>
      <c r="L2544" s="3" t="s">
        <v>3272</v>
      </c>
      <c r="M2544" s="3" t="s">
        <v>9273</v>
      </c>
      <c r="N2544" s="3" t="s">
        <v>82</v>
      </c>
      <c r="O2544" s="3" t="s">
        <v>9274</v>
      </c>
      <c r="P2544" s="3" t="s">
        <v>911</v>
      </c>
      <c r="Q2544" s="3" t="s">
        <v>9275</v>
      </c>
      <c r="R2544" s="3" t="s">
        <v>100</v>
      </c>
      <c r="S2544" s="3">
        <v>35770000</v>
      </c>
      <c r="T2544" s="3">
        <v>3196311760</v>
      </c>
      <c r="U2544" s="3" t="s">
        <v>29</v>
      </c>
    </row>
    <row r="2545" spans="1:21" ht="13.2" x14ac:dyDescent="0.25">
      <c r="A2545" s="14">
        <v>24209655000132</v>
      </c>
      <c r="B2545" s="15" t="str">
        <f t="shared" si="39"/>
        <v>24.209.655/0001-32</v>
      </c>
      <c r="C2545" s="12"/>
      <c r="D2545" s="3" t="s">
        <v>9276</v>
      </c>
      <c r="E2545" s="3" t="s">
        <v>9276</v>
      </c>
      <c r="F2545" s="3" t="s">
        <v>20</v>
      </c>
      <c r="G2545" s="4">
        <v>42419</v>
      </c>
      <c r="H2545" s="3" t="s">
        <v>21</v>
      </c>
      <c r="I2545" s="3" t="s">
        <v>33</v>
      </c>
      <c r="J2545" s="5">
        <v>7200000</v>
      </c>
      <c r="K2545" s="3">
        <v>4789005</v>
      </c>
      <c r="L2545" s="3" t="s">
        <v>2831</v>
      </c>
      <c r="M2545" s="3" t="s">
        <v>9277</v>
      </c>
      <c r="N2545" s="3">
        <v>6757</v>
      </c>
      <c r="O2545" s="3" t="s">
        <v>9278</v>
      </c>
      <c r="P2545" s="3" t="s">
        <v>9279</v>
      </c>
      <c r="Q2545" s="3" t="s">
        <v>2556</v>
      </c>
      <c r="R2545" s="3" t="s">
        <v>28</v>
      </c>
      <c r="S2545" s="3">
        <v>12091000</v>
      </c>
      <c r="T2545" s="3">
        <v>1236252200</v>
      </c>
      <c r="U2545" s="3" t="s">
        <v>29</v>
      </c>
    </row>
    <row r="2546" spans="1:21" ht="13.2" x14ac:dyDescent="0.25">
      <c r="A2546" s="14">
        <v>74644170000145</v>
      </c>
      <c r="B2546" s="15" t="str">
        <f t="shared" si="39"/>
        <v>74.644.170/0001-45</v>
      </c>
      <c r="C2546" s="12"/>
      <c r="D2546" s="3" t="s">
        <v>9280</v>
      </c>
      <c r="E2546" s="3" t="s">
        <v>9281</v>
      </c>
      <c r="F2546" s="3" t="s">
        <v>20</v>
      </c>
      <c r="G2546" s="4">
        <v>34438</v>
      </c>
      <c r="H2546" s="3" t="s">
        <v>21</v>
      </c>
      <c r="I2546" s="3" t="s">
        <v>33</v>
      </c>
      <c r="J2546" s="5">
        <v>45984070</v>
      </c>
      <c r="K2546" s="3">
        <v>4684299</v>
      </c>
      <c r="L2546" s="3" t="s">
        <v>419</v>
      </c>
      <c r="M2546" s="3" t="s">
        <v>9282</v>
      </c>
      <c r="N2546" s="3">
        <v>12551</v>
      </c>
      <c r="O2546" s="3" t="s">
        <v>9283</v>
      </c>
      <c r="P2546" s="3" t="s">
        <v>1397</v>
      </c>
      <c r="Q2546" s="3" t="s">
        <v>27</v>
      </c>
      <c r="R2546" s="3" t="s">
        <v>28</v>
      </c>
      <c r="S2546" s="3">
        <v>4578903</v>
      </c>
      <c r="T2546" s="3">
        <v>1130437944</v>
      </c>
      <c r="U2546" s="3" t="s">
        <v>29</v>
      </c>
    </row>
    <row r="2547" spans="1:21" ht="13.2" x14ac:dyDescent="0.25">
      <c r="A2547" s="14">
        <v>3220836000190</v>
      </c>
      <c r="B2547" s="15" t="str">
        <f t="shared" si="39"/>
        <v>03.220.836/0001-90</v>
      </c>
      <c r="C2547" s="12"/>
      <c r="D2547" s="3" t="s">
        <v>9284</v>
      </c>
      <c r="E2547" s="3" t="s">
        <v>9285</v>
      </c>
      <c r="F2547" s="3" t="s">
        <v>20</v>
      </c>
      <c r="G2547" s="4">
        <v>36325</v>
      </c>
      <c r="H2547" s="3" t="s">
        <v>21</v>
      </c>
      <c r="I2547" s="3" t="s">
        <v>47</v>
      </c>
      <c r="J2547" s="5">
        <v>110000</v>
      </c>
      <c r="K2547" s="3">
        <v>4930202</v>
      </c>
      <c r="L2547" s="3" t="s">
        <v>2603</v>
      </c>
      <c r="M2547" s="3" t="s">
        <v>9286</v>
      </c>
      <c r="N2547" s="3">
        <v>644</v>
      </c>
      <c r="P2547" s="3" t="s">
        <v>2207</v>
      </c>
      <c r="Q2547" s="3" t="s">
        <v>27</v>
      </c>
      <c r="R2547" s="3" t="s">
        <v>28</v>
      </c>
      <c r="S2547" s="3">
        <v>2403010</v>
      </c>
      <c r="T2547" s="3">
        <v>1199769808</v>
      </c>
      <c r="U2547" s="3" t="s">
        <v>29</v>
      </c>
    </row>
    <row r="2548" spans="1:21" ht="13.2" x14ac:dyDescent="0.25">
      <c r="A2548" s="14">
        <v>54505052000149</v>
      </c>
      <c r="B2548" s="15" t="str">
        <f t="shared" si="39"/>
        <v>54.505.052/0001-49</v>
      </c>
      <c r="C2548" s="12"/>
      <c r="D2548" s="3" t="s">
        <v>9287</v>
      </c>
      <c r="E2548" s="3" t="s">
        <v>9287</v>
      </c>
      <c r="F2548" s="3" t="s">
        <v>20</v>
      </c>
      <c r="G2548" s="4">
        <v>31215</v>
      </c>
      <c r="H2548" s="3" t="s">
        <v>21</v>
      </c>
      <c r="I2548" s="3" t="s">
        <v>33</v>
      </c>
      <c r="J2548" s="5">
        <v>58014600</v>
      </c>
      <c r="K2548" s="3">
        <v>1121600</v>
      </c>
      <c r="L2548" s="3" t="s">
        <v>795</v>
      </c>
      <c r="M2548" s="3" t="s">
        <v>5781</v>
      </c>
      <c r="N2548" s="3" t="s">
        <v>82</v>
      </c>
      <c r="P2548" s="3" t="s">
        <v>4428</v>
      </c>
      <c r="Q2548" s="3" t="s">
        <v>667</v>
      </c>
      <c r="R2548" s="3" t="s">
        <v>301</v>
      </c>
      <c r="S2548" s="3">
        <v>60135690</v>
      </c>
      <c r="T2548" s="3">
        <v>8534668540</v>
      </c>
      <c r="U2548" s="3" t="s">
        <v>29</v>
      </c>
    </row>
    <row r="2549" spans="1:21" ht="13.2" x14ac:dyDescent="0.25">
      <c r="A2549" s="14">
        <v>19425487000182</v>
      </c>
      <c r="B2549" s="15" t="str">
        <f t="shared" si="39"/>
        <v>19.425.487/0001-82</v>
      </c>
      <c r="C2549" s="12"/>
      <c r="D2549" s="3" t="s">
        <v>9288</v>
      </c>
      <c r="E2549" s="3" t="s">
        <v>9288</v>
      </c>
      <c r="F2549" s="3" t="s">
        <v>20</v>
      </c>
      <c r="G2549" s="4">
        <v>30700</v>
      </c>
      <c r="H2549" s="3" t="s">
        <v>21</v>
      </c>
      <c r="I2549" s="3" t="s">
        <v>33</v>
      </c>
      <c r="J2549" s="5">
        <v>5925000</v>
      </c>
      <c r="K2549" s="3">
        <v>7733100</v>
      </c>
      <c r="L2549" s="3" t="s">
        <v>2690</v>
      </c>
      <c r="M2549" s="3" t="s">
        <v>9289</v>
      </c>
      <c r="N2549" s="3">
        <v>160</v>
      </c>
      <c r="P2549" s="3" t="s">
        <v>8134</v>
      </c>
      <c r="Q2549" s="3" t="s">
        <v>99</v>
      </c>
      <c r="R2549" s="3" t="s">
        <v>100</v>
      </c>
      <c r="S2549" s="3">
        <v>34007654</v>
      </c>
      <c r="T2549" s="3">
        <v>3125321400</v>
      </c>
      <c r="U2549" s="3" t="s">
        <v>29</v>
      </c>
    </row>
    <row r="2550" spans="1:21" ht="13.2" x14ac:dyDescent="0.25">
      <c r="A2550" s="14">
        <v>2759365000120</v>
      </c>
      <c r="B2550" s="15" t="str">
        <f t="shared" si="39"/>
        <v>02.759.365/0001-20</v>
      </c>
      <c r="C2550" s="12"/>
      <c r="D2550" s="3" t="s">
        <v>9290</v>
      </c>
      <c r="E2550" s="3" t="s">
        <v>9290</v>
      </c>
      <c r="F2550" s="3" t="s">
        <v>20</v>
      </c>
      <c r="G2550" s="4">
        <v>36032</v>
      </c>
      <c r="H2550" s="3" t="s">
        <v>21</v>
      </c>
      <c r="I2550" s="3" t="s">
        <v>22</v>
      </c>
      <c r="J2550" s="5">
        <v>180000</v>
      </c>
      <c r="K2550" s="3">
        <v>6622300</v>
      </c>
      <c r="L2550" s="3" t="s">
        <v>1324</v>
      </c>
      <c r="M2550" s="3" t="s">
        <v>9291</v>
      </c>
      <c r="N2550" s="3">
        <v>400</v>
      </c>
      <c r="O2550" s="3" t="s">
        <v>9292</v>
      </c>
      <c r="P2550" s="3" t="s">
        <v>3402</v>
      </c>
      <c r="Q2550" s="3" t="s">
        <v>27</v>
      </c>
      <c r="R2550" s="3" t="s">
        <v>28</v>
      </c>
      <c r="S2550" s="3">
        <v>5508170</v>
      </c>
      <c r="T2550" s="3">
        <v>1131040646</v>
      </c>
      <c r="U2550" s="3" t="s">
        <v>29</v>
      </c>
    </row>
    <row r="2551" spans="1:21" ht="13.2" x14ac:dyDescent="0.25">
      <c r="A2551" s="14">
        <v>9058456000187</v>
      </c>
      <c r="B2551" s="15" t="str">
        <f t="shared" si="39"/>
        <v>09.058.456/0001-87</v>
      </c>
      <c r="C2551" s="12"/>
      <c r="D2551" s="3" t="s">
        <v>9293</v>
      </c>
      <c r="E2551" s="3" t="s">
        <v>9294</v>
      </c>
      <c r="F2551" s="3" t="s">
        <v>20</v>
      </c>
      <c r="G2551" s="4">
        <v>39316</v>
      </c>
      <c r="H2551" s="3" t="s">
        <v>21</v>
      </c>
      <c r="I2551" s="3" t="s">
        <v>33</v>
      </c>
      <c r="J2551" s="5">
        <v>7013740</v>
      </c>
      <c r="K2551" s="3">
        <v>4645101</v>
      </c>
      <c r="L2551" s="3" t="s">
        <v>135</v>
      </c>
      <c r="M2551" s="3" t="s">
        <v>8847</v>
      </c>
      <c r="N2551" s="3">
        <v>634</v>
      </c>
      <c r="O2551" s="3" t="s">
        <v>9295</v>
      </c>
      <c r="P2551" s="3" t="s">
        <v>9296</v>
      </c>
      <c r="Q2551" s="3" t="s">
        <v>27</v>
      </c>
      <c r="R2551" s="3" t="s">
        <v>28</v>
      </c>
      <c r="S2551" s="3">
        <v>5022000</v>
      </c>
      <c r="T2551" s="3">
        <v>1131248026</v>
      </c>
      <c r="U2551" s="3" t="s">
        <v>29</v>
      </c>
    </row>
    <row r="2552" spans="1:21" ht="13.2" x14ac:dyDescent="0.25">
      <c r="A2552" s="14">
        <v>42509257000113</v>
      </c>
      <c r="B2552" s="15" t="str">
        <f t="shared" si="39"/>
        <v>42.509.257/0001-13</v>
      </c>
      <c r="C2552" s="12"/>
      <c r="D2552" s="3" t="s">
        <v>9297</v>
      </c>
      <c r="E2552" s="3" t="s">
        <v>9298</v>
      </c>
      <c r="F2552" s="3" t="s">
        <v>20</v>
      </c>
      <c r="G2552" s="4">
        <v>27722</v>
      </c>
      <c r="H2552" s="3" t="s">
        <v>94</v>
      </c>
      <c r="I2552" s="3" t="s">
        <v>33</v>
      </c>
      <c r="J2552" s="5">
        <v>317219680</v>
      </c>
      <c r="K2552" s="3">
        <v>729404</v>
      </c>
      <c r="L2552" s="3" t="s">
        <v>9299</v>
      </c>
      <c r="M2552" s="3" t="s">
        <v>9300</v>
      </c>
      <c r="N2552" s="3" t="s">
        <v>111</v>
      </c>
      <c r="P2552" s="3" t="s">
        <v>9301</v>
      </c>
      <c r="Q2552" s="3" t="s">
        <v>2475</v>
      </c>
      <c r="R2552" s="3" t="s">
        <v>281</v>
      </c>
      <c r="S2552" s="3">
        <v>48960000</v>
      </c>
      <c r="T2552" s="3">
        <v>7435328311</v>
      </c>
      <c r="U2552" s="3" t="s">
        <v>29</v>
      </c>
    </row>
    <row r="2553" spans="1:21" ht="13.2" x14ac:dyDescent="0.25">
      <c r="A2553" s="14">
        <v>4115912000160</v>
      </c>
      <c r="B2553" s="15" t="str">
        <f t="shared" si="39"/>
        <v>04.115.912/0001-60</v>
      </c>
      <c r="C2553" s="12"/>
      <c r="D2553" s="3" t="s">
        <v>9302</v>
      </c>
      <c r="E2553" s="3" t="s">
        <v>9302</v>
      </c>
      <c r="F2553" s="3" t="s">
        <v>20</v>
      </c>
      <c r="G2553" s="4">
        <v>36710</v>
      </c>
      <c r="H2553" s="3" t="s">
        <v>21</v>
      </c>
      <c r="I2553" s="3" t="s">
        <v>33</v>
      </c>
      <c r="J2553" s="5">
        <v>1610000</v>
      </c>
      <c r="K2553" s="3">
        <v>721901</v>
      </c>
      <c r="L2553" s="3" t="s">
        <v>9303</v>
      </c>
      <c r="M2553" s="3" t="s">
        <v>9304</v>
      </c>
      <c r="N2553" s="3" t="s">
        <v>82</v>
      </c>
      <c r="O2553" s="3" t="s">
        <v>9305</v>
      </c>
      <c r="P2553" s="3" t="s">
        <v>1740</v>
      </c>
      <c r="Q2553" s="3" t="s">
        <v>9306</v>
      </c>
      <c r="R2553" s="3" t="s">
        <v>28</v>
      </c>
      <c r="S2553" s="3">
        <v>12760000</v>
      </c>
      <c r="T2553" s="3">
        <v>1131413000</v>
      </c>
      <c r="U2553" s="3" t="s">
        <v>29</v>
      </c>
    </row>
    <row r="2554" spans="1:21" ht="13.2" x14ac:dyDescent="0.25">
      <c r="A2554" s="14">
        <v>31430899000106</v>
      </c>
      <c r="B2554" s="15" t="str">
        <f t="shared" si="39"/>
        <v>31.430.899/0001-06</v>
      </c>
      <c r="C2554" s="12"/>
      <c r="D2554" s="3" t="s">
        <v>9307</v>
      </c>
      <c r="E2554" s="3" t="s">
        <v>9308</v>
      </c>
      <c r="F2554" s="3" t="s">
        <v>31</v>
      </c>
      <c r="G2554" s="4">
        <v>43348</v>
      </c>
      <c r="H2554" s="3" t="s">
        <v>21</v>
      </c>
      <c r="I2554" s="3" t="s">
        <v>22</v>
      </c>
      <c r="J2554" s="5">
        <v>150000</v>
      </c>
      <c r="K2554" s="3">
        <v>1121600</v>
      </c>
      <c r="L2554" s="3" t="s">
        <v>795</v>
      </c>
      <c r="M2554" s="3" t="s">
        <v>246</v>
      </c>
      <c r="N2554" s="3">
        <v>3000</v>
      </c>
      <c r="P2554" s="3" t="s">
        <v>9309</v>
      </c>
      <c r="Q2554" s="3" t="s">
        <v>9310</v>
      </c>
      <c r="R2554" s="3" t="s">
        <v>28</v>
      </c>
      <c r="S2554" s="3">
        <v>13940000</v>
      </c>
      <c r="T2554" s="3">
        <v>1150440040</v>
      </c>
      <c r="U2554" s="3" t="s">
        <v>29</v>
      </c>
    </row>
    <row r="2555" spans="1:21" ht="13.2" x14ac:dyDescent="0.25">
      <c r="A2555" s="14">
        <v>67620377000114</v>
      </c>
      <c r="B2555" s="15" t="str">
        <f t="shared" si="39"/>
        <v>67.620.377/0001-14</v>
      </c>
      <c r="C2555" s="12"/>
      <c r="D2555" s="3" t="s">
        <v>9311</v>
      </c>
      <c r="E2555" s="3" t="s">
        <v>9311</v>
      </c>
      <c r="F2555" s="3" t="s">
        <v>20</v>
      </c>
      <c r="G2555" s="4">
        <v>33674</v>
      </c>
      <c r="H2555" s="3" t="s">
        <v>377</v>
      </c>
      <c r="I2555" s="3" t="s">
        <v>33</v>
      </c>
      <c r="J2555" s="5">
        <v>3103577000</v>
      </c>
      <c r="K2555" s="3">
        <v>1013901</v>
      </c>
      <c r="L2555" s="3" t="s">
        <v>1008</v>
      </c>
      <c r="M2555" s="3" t="s">
        <v>9312</v>
      </c>
      <c r="N2555" s="3" t="s">
        <v>82</v>
      </c>
      <c r="P2555" s="3" t="s">
        <v>9313</v>
      </c>
      <c r="Q2555" s="3" t="s">
        <v>9314</v>
      </c>
      <c r="R2555" s="3" t="s">
        <v>28</v>
      </c>
      <c r="S2555" s="3">
        <v>14781545</v>
      </c>
      <c r="T2555" s="3">
        <v>1733213355</v>
      </c>
      <c r="U2555" s="3" t="s">
        <v>29</v>
      </c>
    </row>
    <row r="2556" spans="1:21" ht="13.2" x14ac:dyDescent="0.25">
      <c r="A2556" s="14">
        <v>44949804000107</v>
      </c>
      <c r="B2556" s="15" t="str">
        <f t="shared" si="39"/>
        <v>44.949.804/0001-07</v>
      </c>
      <c r="C2556" s="12"/>
      <c r="D2556" s="3" t="s">
        <v>9315</v>
      </c>
      <c r="E2556" s="3" t="s">
        <v>9315</v>
      </c>
      <c r="F2556" s="3" t="s">
        <v>20</v>
      </c>
      <c r="G2556" s="4">
        <v>44581</v>
      </c>
      <c r="H2556" s="3" t="s">
        <v>94</v>
      </c>
      <c r="I2556" s="3" t="s">
        <v>33</v>
      </c>
      <c r="J2556" s="5">
        <v>100</v>
      </c>
      <c r="K2556" s="3">
        <v>3313999</v>
      </c>
      <c r="L2556" s="3" t="s">
        <v>1670</v>
      </c>
      <c r="M2556" s="3" t="s">
        <v>294</v>
      </c>
      <c r="N2556" s="3">
        <v>1293</v>
      </c>
      <c r="O2556" s="3" t="s">
        <v>9316</v>
      </c>
      <c r="P2556" s="3" t="s">
        <v>296</v>
      </c>
      <c r="Q2556" s="3" t="s">
        <v>27</v>
      </c>
      <c r="R2556" s="3" t="s">
        <v>28</v>
      </c>
      <c r="S2556" s="3">
        <v>1419904</v>
      </c>
      <c r="T2556" s="3">
        <v>1199999999</v>
      </c>
      <c r="U2556" s="3" t="s">
        <v>29</v>
      </c>
    </row>
    <row r="2557" spans="1:21" ht="13.2" x14ac:dyDescent="0.25">
      <c r="A2557" s="14">
        <v>43802040000160</v>
      </c>
      <c r="B2557" s="15" t="str">
        <f t="shared" si="39"/>
        <v>43.802.040/0001-60</v>
      </c>
      <c r="C2557" s="12"/>
      <c r="D2557" s="3" t="s">
        <v>9317</v>
      </c>
      <c r="E2557" s="3" t="s">
        <v>9317</v>
      </c>
      <c r="F2557" s="3" t="s">
        <v>20</v>
      </c>
      <c r="G2557" s="4">
        <v>26840</v>
      </c>
      <c r="H2557" s="3" t="s">
        <v>21</v>
      </c>
      <c r="I2557" s="3" t="s">
        <v>22</v>
      </c>
      <c r="J2557" s="5">
        <v>200000</v>
      </c>
      <c r="K2557" s="3">
        <v>4530703</v>
      </c>
      <c r="L2557" s="3" t="s">
        <v>768</v>
      </c>
      <c r="M2557" s="3" t="s">
        <v>9318</v>
      </c>
      <c r="N2557" s="3">
        <v>590</v>
      </c>
      <c r="P2557" s="3" t="s">
        <v>9319</v>
      </c>
      <c r="Q2557" s="3" t="s">
        <v>27</v>
      </c>
      <c r="R2557" s="3" t="s">
        <v>28</v>
      </c>
      <c r="S2557" s="3">
        <v>4287010</v>
      </c>
      <c r="T2557" s="3">
        <v>1136932722</v>
      </c>
      <c r="U2557" s="3" t="s">
        <v>29</v>
      </c>
    </row>
    <row r="2558" spans="1:21" ht="13.2" x14ac:dyDescent="0.25">
      <c r="A2558" s="14">
        <v>3341024000100</v>
      </c>
      <c r="B2558" s="15" t="str">
        <f t="shared" si="39"/>
        <v>03.341.024/0001-00</v>
      </c>
      <c r="C2558" s="12"/>
      <c r="D2558" s="3" t="s">
        <v>9320</v>
      </c>
      <c r="E2558" s="3" t="s">
        <v>9321</v>
      </c>
      <c r="F2558" s="3" t="s">
        <v>20</v>
      </c>
      <c r="G2558" s="4">
        <v>36389</v>
      </c>
      <c r="H2558" s="3" t="s">
        <v>21</v>
      </c>
      <c r="I2558" s="3" t="s">
        <v>33</v>
      </c>
      <c r="J2558" s="5">
        <v>2400000</v>
      </c>
      <c r="K2558" s="3">
        <v>4753900</v>
      </c>
      <c r="L2558" s="3" t="s">
        <v>214</v>
      </c>
      <c r="M2558" s="3" t="s">
        <v>5685</v>
      </c>
      <c r="N2558" s="3">
        <v>25</v>
      </c>
      <c r="P2558" s="3" t="s">
        <v>467</v>
      </c>
      <c r="Q2558" s="3" t="s">
        <v>448</v>
      </c>
      <c r="R2558" s="3" t="s">
        <v>449</v>
      </c>
      <c r="S2558" s="3">
        <v>69058830</v>
      </c>
      <c r="T2558" s="3">
        <v>9221214300</v>
      </c>
      <c r="U2558" s="3" t="s">
        <v>29</v>
      </c>
    </row>
    <row r="2559" spans="1:21" ht="13.2" x14ac:dyDescent="0.25">
      <c r="A2559" s="14">
        <v>13198683000185</v>
      </c>
      <c r="B2559" s="15" t="str">
        <f t="shared" si="39"/>
        <v>13.198.683/0001-85</v>
      </c>
      <c r="C2559" s="12"/>
      <c r="D2559" s="3" t="s">
        <v>9322</v>
      </c>
      <c r="E2559" s="3" t="s">
        <v>9323</v>
      </c>
      <c r="F2559" s="3" t="s">
        <v>20</v>
      </c>
      <c r="G2559" s="4">
        <v>40577</v>
      </c>
      <c r="H2559" s="3" t="s">
        <v>21</v>
      </c>
      <c r="I2559" s="3" t="s">
        <v>47</v>
      </c>
      <c r="J2559" s="5">
        <v>30000</v>
      </c>
      <c r="K2559" s="3">
        <v>4511102</v>
      </c>
      <c r="L2559" s="3" t="s">
        <v>9324</v>
      </c>
      <c r="M2559" s="3" t="s">
        <v>9325</v>
      </c>
      <c r="N2559" s="3">
        <v>80</v>
      </c>
      <c r="P2559" s="3" t="s">
        <v>9326</v>
      </c>
      <c r="Q2559" s="3" t="s">
        <v>9327</v>
      </c>
      <c r="R2559" s="3" t="s">
        <v>100</v>
      </c>
      <c r="S2559" s="3">
        <v>35170050</v>
      </c>
      <c r="T2559" s="3">
        <v>3188398833</v>
      </c>
      <c r="U2559" s="3" t="s">
        <v>29</v>
      </c>
    </row>
    <row r="2560" spans="1:21" ht="13.2" x14ac:dyDescent="0.25">
      <c r="A2560" s="14">
        <v>3529311000130</v>
      </c>
      <c r="B2560" s="15" t="str">
        <f t="shared" si="39"/>
        <v>03.529.311/0001-30</v>
      </c>
      <c r="C2560" s="12"/>
      <c r="D2560" s="3" t="s">
        <v>9328</v>
      </c>
      <c r="E2560" s="3" t="s">
        <v>9328</v>
      </c>
      <c r="F2560" s="3" t="s">
        <v>45</v>
      </c>
      <c r="G2560" s="4">
        <v>36462</v>
      </c>
      <c r="H2560" s="3" t="s">
        <v>21</v>
      </c>
      <c r="I2560" s="3" t="s">
        <v>33</v>
      </c>
      <c r="J2560" s="5">
        <v>102817736</v>
      </c>
      <c r="K2560" s="3">
        <v>2222600</v>
      </c>
      <c r="L2560" s="3" t="s">
        <v>183</v>
      </c>
      <c r="M2560" s="3" t="s">
        <v>9329</v>
      </c>
      <c r="N2560" s="3">
        <v>280</v>
      </c>
      <c r="O2560" s="3" t="s">
        <v>9330</v>
      </c>
      <c r="P2560" s="3" t="s">
        <v>1708</v>
      </c>
      <c r="Q2560" s="3" t="s">
        <v>1709</v>
      </c>
      <c r="R2560" s="3" t="s">
        <v>28</v>
      </c>
      <c r="S2560" s="3">
        <v>13317208</v>
      </c>
      <c r="T2560" s="3">
        <v>1144090100</v>
      </c>
      <c r="U2560" s="3" t="s">
        <v>29</v>
      </c>
    </row>
    <row r="2561" spans="1:21" ht="13.2" x14ac:dyDescent="0.25">
      <c r="A2561" s="14">
        <v>31766485000152</v>
      </c>
      <c r="B2561" s="15" t="str">
        <f t="shared" si="39"/>
        <v>31.766.485/0001-52</v>
      </c>
      <c r="C2561" s="12"/>
      <c r="D2561" s="3" t="s">
        <v>9331</v>
      </c>
      <c r="E2561" s="3" t="s">
        <v>9332</v>
      </c>
      <c r="F2561" s="3" t="s">
        <v>20</v>
      </c>
      <c r="G2561" s="4">
        <v>43388</v>
      </c>
      <c r="H2561" s="3" t="s">
        <v>21</v>
      </c>
      <c r="I2561" s="3" t="s">
        <v>33</v>
      </c>
      <c r="J2561" s="5">
        <v>250000</v>
      </c>
      <c r="K2561" s="3">
        <v>7020400</v>
      </c>
      <c r="L2561" s="3" t="s">
        <v>170</v>
      </c>
      <c r="M2561" s="3" t="s">
        <v>805</v>
      </c>
      <c r="N2561" s="3">
        <v>48</v>
      </c>
      <c r="O2561" s="3" t="s">
        <v>9333</v>
      </c>
      <c r="P2561" s="3" t="s">
        <v>1585</v>
      </c>
      <c r="Q2561" s="3" t="s">
        <v>27</v>
      </c>
      <c r="R2561" s="3" t="s">
        <v>28</v>
      </c>
      <c r="S2561" s="3">
        <v>1420000</v>
      </c>
      <c r="T2561" s="3">
        <v>1136435600</v>
      </c>
      <c r="U2561" s="3" t="s">
        <v>29</v>
      </c>
    </row>
    <row r="2562" spans="1:21" ht="13.2" x14ac:dyDescent="0.25">
      <c r="A2562" s="14">
        <v>45019553000124</v>
      </c>
      <c r="B2562" s="15" t="str">
        <f t="shared" si="39"/>
        <v>45.019.553/0001-24</v>
      </c>
      <c r="C2562" s="12"/>
      <c r="D2562" s="3" t="s">
        <v>9334</v>
      </c>
      <c r="E2562" s="3" t="s">
        <v>9334</v>
      </c>
      <c r="F2562" s="3" t="s">
        <v>20</v>
      </c>
      <c r="G2562" s="4">
        <v>44587</v>
      </c>
      <c r="H2562" s="3" t="s">
        <v>21</v>
      </c>
      <c r="I2562" s="3" t="s">
        <v>33</v>
      </c>
      <c r="J2562" s="5">
        <v>20000</v>
      </c>
      <c r="K2562" s="3">
        <v>4753900</v>
      </c>
      <c r="L2562" s="3" t="s">
        <v>214</v>
      </c>
      <c r="M2562" s="3" t="s">
        <v>9335</v>
      </c>
      <c r="N2562" s="3">
        <v>1481</v>
      </c>
      <c r="O2562" s="3" t="s">
        <v>1844</v>
      </c>
      <c r="P2562" s="3" t="s">
        <v>4444</v>
      </c>
      <c r="Q2562" s="3" t="s">
        <v>730</v>
      </c>
      <c r="R2562" s="3" t="s">
        <v>53</v>
      </c>
      <c r="S2562" s="3">
        <v>95098390</v>
      </c>
      <c r="T2562" s="3">
        <v>5484293347</v>
      </c>
      <c r="U2562" s="3" t="s">
        <v>29</v>
      </c>
    </row>
    <row r="2563" spans="1:21" ht="13.2" x14ac:dyDescent="0.25">
      <c r="A2563" s="14">
        <v>46550505000120</v>
      </c>
      <c r="B2563" s="15" t="str">
        <f t="shared" ref="B2563:B2626" si="40">TEXT(A2563,"00\.000\.000\/0000\-00")</f>
        <v>46.550.505/0001-20</v>
      </c>
      <c r="C2563" s="12" t="str">
        <f>VLOOKUP(B2563,[1]Planilha1!$A:$B,2,0)</f>
        <v>Malu Montesino</v>
      </c>
      <c r="D2563" s="3" t="s">
        <v>9336</v>
      </c>
      <c r="E2563" s="3" t="s">
        <v>9336</v>
      </c>
      <c r="F2563" s="3" t="s">
        <v>20</v>
      </c>
      <c r="G2563" s="4">
        <v>27520</v>
      </c>
      <c r="H2563" s="3" t="s">
        <v>21</v>
      </c>
      <c r="I2563" s="3" t="s">
        <v>33</v>
      </c>
      <c r="J2563" s="5">
        <v>16542856</v>
      </c>
      <c r="K2563" s="3">
        <v>4669999</v>
      </c>
      <c r="L2563" s="3" t="s">
        <v>558</v>
      </c>
      <c r="M2563" s="3" t="s">
        <v>9337</v>
      </c>
      <c r="N2563" s="3">
        <v>293</v>
      </c>
      <c r="O2563" s="3" t="s">
        <v>9338</v>
      </c>
      <c r="P2563" s="3" t="s">
        <v>70</v>
      </c>
      <c r="Q2563" s="3" t="s">
        <v>617</v>
      </c>
      <c r="R2563" s="3" t="s">
        <v>28</v>
      </c>
      <c r="S2563" s="3">
        <v>6401147</v>
      </c>
      <c r="T2563" s="3">
        <v>1132098933</v>
      </c>
      <c r="U2563" s="3" t="s">
        <v>29</v>
      </c>
    </row>
    <row r="2564" spans="1:21" ht="13.2" x14ac:dyDescent="0.25">
      <c r="A2564" s="14">
        <v>59408005000109</v>
      </c>
      <c r="B2564" s="15" t="str">
        <f t="shared" si="40"/>
        <v>59.408.005/0001-09</v>
      </c>
      <c r="C2564" s="12" t="str">
        <f>VLOOKUP(B2564,[1]Planilha1!$A:$B,2,0)</f>
        <v>Malu Montesino</v>
      </c>
      <c r="D2564" s="3" t="s">
        <v>9339</v>
      </c>
      <c r="E2564" s="3" t="s">
        <v>9339</v>
      </c>
      <c r="F2564" s="3" t="s">
        <v>20</v>
      </c>
      <c r="G2564" s="4">
        <v>32386</v>
      </c>
      <c r="H2564" s="3" t="s">
        <v>21</v>
      </c>
      <c r="I2564" s="3" t="s">
        <v>33</v>
      </c>
      <c r="J2564" s="5">
        <v>18217160</v>
      </c>
      <c r="K2564" s="3">
        <v>4669999</v>
      </c>
      <c r="L2564" s="3" t="s">
        <v>558</v>
      </c>
      <c r="M2564" s="3" t="s">
        <v>9340</v>
      </c>
      <c r="N2564" s="3">
        <v>25</v>
      </c>
      <c r="O2564" s="3" t="s">
        <v>9341</v>
      </c>
      <c r="P2564" s="3" t="s">
        <v>9342</v>
      </c>
      <c r="Q2564" s="3" t="s">
        <v>567</v>
      </c>
      <c r="R2564" s="3" t="s">
        <v>28</v>
      </c>
      <c r="S2564" s="3">
        <v>13212216</v>
      </c>
      <c r="T2564" s="3">
        <v>1147465858</v>
      </c>
      <c r="U2564" s="3" t="s">
        <v>29</v>
      </c>
    </row>
    <row r="2565" spans="1:21" ht="13.2" x14ac:dyDescent="0.25">
      <c r="A2565" s="14">
        <v>16897295000180</v>
      </c>
      <c r="B2565" s="15" t="str">
        <f t="shared" si="40"/>
        <v>16.897.295/0001-80</v>
      </c>
      <c r="C2565" s="12"/>
      <c r="D2565" s="3" t="s">
        <v>9343</v>
      </c>
      <c r="E2565" s="3" t="s">
        <v>9344</v>
      </c>
      <c r="F2565" s="3" t="s">
        <v>20</v>
      </c>
      <c r="G2565" s="4">
        <v>41176</v>
      </c>
      <c r="H2565" s="3" t="s">
        <v>21</v>
      </c>
      <c r="I2565" s="3" t="s">
        <v>22</v>
      </c>
      <c r="J2565" s="5">
        <v>50000</v>
      </c>
      <c r="K2565" s="3">
        <v>7733100</v>
      </c>
      <c r="L2565" s="3" t="s">
        <v>2690</v>
      </c>
      <c r="M2565" s="3" t="s">
        <v>9345</v>
      </c>
      <c r="N2565" s="3">
        <v>550</v>
      </c>
      <c r="P2565" s="3" t="s">
        <v>70</v>
      </c>
      <c r="Q2565" s="3" t="s">
        <v>1346</v>
      </c>
      <c r="R2565" s="3" t="s">
        <v>28</v>
      </c>
      <c r="S2565" s="3">
        <v>16900005</v>
      </c>
      <c r="T2565" s="3">
        <v>1837231797</v>
      </c>
      <c r="U2565" s="3" t="s">
        <v>29</v>
      </c>
    </row>
    <row r="2566" spans="1:21" ht="13.2" x14ac:dyDescent="0.25">
      <c r="A2566" s="14">
        <v>13571969000164</v>
      </c>
      <c r="B2566" s="15" t="str">
        <f t="shared" si="40"/>
        <v>13.571.969/0001-64</v>
      </c>
      <c r="C2566" s="12"/>
      <c r="D2566" s="3" t="s">
        <v>9346</v>
      </c>
      <c r="E2566" s="3" t="s">
        <v>9347</v>
      </c>
      <c r="F2566" s="3" t="s">
        <v>20</v>
      </c>
      <c r="G2566" s="4">
        <v>40651</v>
      </c>
      <c r="H2566" s="3" t="s">
        <v>21</v>
      </c>
      <c r="I2566" s="3" t="s">
        <v>33</v>
      </c>
      <c r="J2566" s="5">
        <v>900000</v>
      </c>
      <c r="K2566" s="3">
        <v>4673700</v>
      </c>
      <c r="L2566" s="3" t="s">
        <v>861</v>
      </c>
      <c r="M2566" s="3" t="s">
        <v>9348</v>
      </c>
      <c r="N2566" s="3">
        <v>500</v>
      </c>
      <c r="P2566" s="3" t="s">
        <v>5766</v>
      </c>
      <c r="Q2566" s="3" t="s">
        <v>27</v>
      </c>
      <c r="R2566" s="3" t="s">
        <v>28</v>
      </c>
      <c r="S2566" s="3">
        <v>3950015</v>
      </c>
      <c r="T2566" s="3">
        <v>1120595959</v>
      </c>
      <c r="U2566" s="3" t="s">
        <v>29</v>
      </c>
    </row>
    <row r="2567" spans="1:21" ht="13.2" x14ac:dyDescent="0.25">
      <c r="A2567" s="14">
        <v>97127559000119</v>
      </c>
      <c r="B2567" s="15" t="str">
        <f t="shared" si="40"/>
        <v>97.127.559/0001-19</v>
      </c>
      <c r="C2567" s="12"/>
      <c r="D2567" s="3" t="s">
        <v>9349</v>
      </c>
      <c r="E2567" s="3" t="s">
        <v>9349</v>
      </c>
      <c r="F2567" s="3" t="s">
        <v>20</v>
      </c>
      <c r="G2567" s="4">
        <v>34333</v>
      </c>
      <c r="H2567" s="3" t="s">
        <v>21</v>
      </c>
      <c r="I2567" s="3" t="s">
        <v>33</v>
      </c>
      <c r="J2567" s="5">
        <v>50000</v>
      </c>
      <c r="K2567" s="3">
        <v>3250705</v>
      </c>
      <c r="L2567" s="3" t="s">
        <v>2420</v>
      </c>
      <c r="M2567" s="3" t="s">
        <v>9350</v>
      </c>
      <c r="N2567" s="3">
        <v>476</v>
      </c>
      <c r="P2567" s="3" t="s">
        <v>9351</v>
      </c>
      <c r="Q2567" s="3" t="s">
        <v>437</v>
      </c>
      <c r="R2567" s="3" t="s">
        <v>53</v>
      </c>
      <c r="S2567" s="3">
        <v>91040470</v>
      </c>
      <c r="T2567" s="3">
        <v>5133627828</v>
      </c>
      <c r="U2567" s="3" t="s">
        <v>29</v>
      </c>
    </row>
    <row r="2568" spans="1:21" ht="13.2" x14ac:dyDescent="0.25">
      <c r="A2568" s="14">
        <v>92315332000183</v>
      </c>
      <c r="B2568" s="15" t="str">
        <f t="shared" si="40"/>
        <v>92.315.332/0001-83</v>
      </c>
      <c r="C2568" s="12"/>
      <c r="D2568" s="3" t="s">
        <v>9352</v>
      </c>
      <c r="E2568" s="3" t="s">
        <v>9352</v>
      </c>
      <c r="F2568" s="3" t="s">
        <v>20</v>
      </c>
      <c r="G2568" s="4">
        <v>32392</v>
      </c>
      <c r="H2568" s="3" t="s">
        <v>21</v>
      </c>
      <c r="I2568" s="3" t="s">
        <v>33</v>
      </c>
      <c r="J2568" s="5">
        <v>30000000</v>
      </c>
      <c r="K2568" s="3">
        <v>2029100</v>
      </c>
      <c r="L2568" s="3" t="s">
        <v>3615</v>
      </c>
      <c r="M2568" s="3" t="s">
        <v>370</v>
      </c>
      <c r="N2568" s="3">
        <v>2064</v>
      </c>
      <c r="P2568" s="3" t="s">
        <v>9353</v>
      </c>
      <c r="Q2568" s="3" t="s">
        <v>3499</v>
      </c>
      <c r="R2568" s="3" t="s">
        <v>53</v>
      </c>
      <c r="S2568" s="3">
        <v>93180000</v>
      </c>
      <c r="T2568" s="3">
        <v>5121011900</v>
      </c>
      <c r="U2568" s="3" t="s">
        <v>29</v>
      </c>
    </row>
    <row r="2569" spans="1:21" ht="13.2" x14ac:dyDescent="0.25">
      <c r="A2569" s="14">
        <v>20871301000106</v>
      </c>
      <c r="B2569" s="15" t="str">
        <f t="shared" si="40"/>
        <v>20.871.301/0001-06</v>
      </c>
      <c r="C2569" s="12"/>
      <c r="D2569" s="3" t="s">
        <v>9354</v>
      </c>
      <c r="E2569" s="3" t="s">
        <v>9355</v>
      </c>
      <c r="F2569" s="3" t="s">
        <v>20</v>
      </c>
      <c r="G2569" s="4">
        <v>41871</v>
      </c>
      <c r="H2569" s="3" t="s">
        <v>21</v>
      </c>
      <c r="I2569" s="3" t="s">
        <v>47</v>
      </c>
      <c r="J2569" s="5">
        <v>5000</v>
      </c>
      <c r="K2569" s="3">
        <v>5620102</v>
      </c>
      <c r="L2569" s="3" t="s">
        <v>6472</v>
      </c>
      <c r="M2569" s="3" t="s">
        <v>9356</v>
      </c>
      <c r="N2569" s="3">
        <v>1760</v>
      </c>
      <c r="P2569" s="3" t="s">
        <v>5656</v>
      </c>
      <c r="Q2569" s="3" t="s">
        <v>2822</v>
      </c>
      <c r="R2569" s="3" t="s">
        <v>28</v>
      </c>
      <c r="S2569" s="3">
        <v>12240000</v>
      </c>
      <c r="T2569" s="3">
        <v>1232071690</v>
      </c>
      <c r="U2569" s="3" t="s">
        <v>29</v>
      </c>
    </row>
    <row r="2570" spans="1:21" ht="13.2" x14ac:dyDescent="0.25">
      <c r="A2570" s="14">
        <v>19244514000110</v>
      </c>
      <c r="B2570" s="15" t="str">
        <f t="shared" si="40"/>
        <v>19.244.514/0001-10</v>
      </c>
      <c r="C2570" s="12"/>
      <c r="D2570" s="3" t="s">
        <v>9357</v>
      </c>
      <c r="E2570" s="3" t="s">
        <v>9358</v>
      </c>
      <c r="F2570" s="3" t="s">
        <v>20</v>
      </c>
      <c r="G2570" s="4">
        <v>41590</v>
      </c>
      <c r="H2570" s="3" t="s">
        <v>21</v>
      </c>
      <c r="I2570" s="3" t="s">
        <v>47</v>
      </c>
      <c r="J2570" s="5">
        <v>30000</v>
      </c>
      <c r="K2570" s="3">
        <v>6391700</v>
      </c>
      <c r="L2570" s="3" t="s">
        <v>9359</v>
      </c>
      <c r="M2570" s="3" t="s">
        <v>9360</v>
      </c>
      <c r="N2570" s="3">
        <v>333</v>
      </c>
      <c r="O2570" s="3" t="s">
        <v>9361</v>
      </c>
      <c r="P2570" s="3" t="s">
        <v>1799</v>
      </c>
      <c r="Q2570" s="3" t="s">
        <v>688</v>
      </c>
      <c r="R2570" s="3" t="s">
        <v>28</v>
      </c>
      <c r="S2570" s="3">
        <v>6709150</v>
      </c>
      <c r="T2570" s="3">
        <v>1130457481</v>
      </c>
      <c r="U2570" s="3" t="s">
        <v>29</v>
      </c>
    </row>
    <row r="2571" spans="1:21" ht="13.2" x14ac:dyDescent="0.25">
      <c r="A2571" s="14">
        <v>2466212000194</v>
      </c>
      <c r="B2571" s="15" t="str">
        <f t="shared" si="40"/>
        <v>02.466.212/0001-94</v>
      </c>
      <c r="C2571" s="12"/>
      <c r="D2571" s="3" t="s">
        <v>9362</v>
      </c>
      <c r="E2571" s="3" t="s">
        <v>9362</v>
      </c>
      <c r="F2571" s="3" t="s">
        <v>20</v>
      </c>
      <c r="G2571" s="4">
        <v>35867</v>
      </c>
      <c r="H2571" s="3" t="s">
        <v>21</v>
      </c>
      <c r="I2571" s="3" t="s">
        <v>33</v>
      </c>
      <c r="J2571" s="5">
        <v>1400000</v>
      </c>
      <c r="K2571" s="3">
        <v>2670101</v>
      </c>
      <c r="L2571" s="3" t="s">
        <v>8586</v>
      </c>
      <c r="M2571" s="3" t="s">
        <v>9363</v>
      </c>
      <c r="N2571" s="3">
        <v>143</v>
      </c>
      <c r="P2571" s="3" t="s">
        <v>5390</v>
      </c>
      <c r="Q2571" s="3" t="s">
        <v>2406</v>
      </c>
      <c r="R2571" s="3" t="s">
        <v>28</v>
      </c>
      <c r="S2571" s="3">
        <v>13560641</v>
      </c>
      <c r="T2571" s="3">
        <v>1634115060</v>
      </c>
      <c r="U2571" s="3" t="s">
        <v>29</v>
      </c>
    </row>
    <row r="2572" spans="1:21" ht="13.2" x14ac:dyDescent="0.25">
      <c r="A2572" s="14">
        <v>13851664000106</v>
      </c>
      <c r="B2572" s="15" t="str">
        <f t="shared" si="40"/>
        <v>13.851.664/0001-06</v>
      </c>
      <c r="C2572" s="12" t="str">
        <f>VLOOKUP(B2572,[1]Planilha1!$A:$B,2,0)</f>
        <v>Malu Montesino</v>
      </c>
      <c r="D2572" s="3" t="s">
        <v>9364</v>
      </c>
      <c r="E2572" s="3" t="s">
        <v>9364</v>
      </c>
      <c r="F2572" s="3" t="s">
        <v>20</v>
      </c>
      <c r="G2572" s="4">
        <v>40709</v>
      </c>
      <c r="H2572" s="3" t="s">
        <v>21</v>
      </c>
      <c r="I2572" s="3" t="s">
        <v>33</v>
      </c>
      <c r="J2572" s="5">
        <v>460000</v>
      </c>
      <c r="K2572" s="3">
        <v>4211102</v>
      </c>
      <c r="L2572" s="3" t="s">
        <v>9365</v>
      </c>
      <c r="M2572" s="3" t="s">
        <v>9366</v>
      </c>
      <c r="N2572" s="3">
        <v>482</v>
      </c>
      <c r="P2572" s="3" t="s">
        <v>9367</v>
      </c>
      <c r="Q2572" s="3" t="s">
        <v>1581</v>
      </c>
      <c r="R2572" s="3" t="s">
        <v>187</v>
      </c>
      <c r="S2572" s="3">
        <v>83430000</v>
      </c>
      <c r="T2572" s="3">
        <v>4136796752</v>
      </c>
      <c r="U2572" s="3" t="s">
        <v>29</v>
      </c>
    </row>
    <row r="2573" spans="1:21" ht="13.2" x14ac:dyDescent="0.25">
      <c r="A2573" s="14">
        <v>9255540000190</v>
      </c>
      <c r="B2573" s="15" t="str">
        <f t="shared" si="40"/>
        <v>09.255.540/0001-90</v>
      </c>
      <c r="C2573" s="12"/>
      <c r="D2573" s="3" t="s">
        <v>9368</v>
      </c>
      <c r="E2573" s="3" t="s">
        <v>9368</v>
      </c>
      <c r="F2573" s="3" t="s">
        <v>20</v>
      </c>
      <c r="G2573" s="4">
        <v>39394</v>
      </c>
      <c r="H2573" s="3" t="s">
        <v>21</v>
      </c>
      <c r="I2573" s="3" t="s">
        <v>22</v>
      </c>
      <c r="J2573" s="5">
        <v>80000</v>
      </c>
      <c r="K2573" s="3">
        <v>7490104</v>
      </c>
      <c r="L2573" s="3" t="s">
        <v>1597</v>
      </c>
      <c r="M2573" s="3" t="s">
        <v>9369</v>
      </c>
      <c r="N2573" s="3">
        <v>1203</v>
      </c>
      <c r="P2573" s="3" t="s">
        <v>3748</v>
      </c>
      <c r="Q2573" s="3" t="s">
        <v>253</v>
      </c>
      <c r="R2573" s="3" t="s">
        <v>78</v>
      </c>
      <c r="S2573" s="3">
        <v>21021370</v>
      </c>
      <c r="T2573" s="3">
        <v>2191424552</v>
      </c>
      <c r="U2573" s="3" t="s">
        <v>29</v>
      </c>
    </row>
    <row r="2574" spans="1:21" ht="13.2" x14ac:dyDescent="0.25">
      <c r="A2574" s="14">
        <v>4706714000170</v>
      </c>
      <c r="B2574" s="15" t="str">
        <f t="shared" si="40"/>
        <v>04.706.714/0001-70</v>
      </c>
      <c r="C2574" s="12"/>
      <c r="D2574" s="3" t="s">
        <v>9370</v>
      </c>
      <c r="E2574" s="3" t="s">
        <v>9371</v>
      </c>
      <c r="F2574" s="3" t="s">
        <v>31</v>
      </c>
      <c r="G2574" s="4">
        <v>37075</v>
      </c>
      <c r="H2574" s="3" t="s">
        <v>21</v>
      </c>
      <c r="I2574" s="3" t="s">
        <v>47</v>
      </c>
      <c r="J2574" s="5">
        <v>800000</v>
      </c>
      <c r="K2574" s="3">
        <v>4754701</v>
      </c>
      <c r="L2574" s="3" t="s">
        <v>2125</v>
      </c>
      <c r="M2574" s="3" t="s">
        <v>8074</v>
      </c>
      <c r="N2574" s="3">
        <v>77</v>
      </c>
      <c r="O2574" s="3" t="s">
        <v>9372</v>
      </c>
      <c r="P2574" s="3" t="s">
        <v>70</v>
      </c>
      <c r="Q2574" s="3" t="s">
        <v>253</v>
      </c>
      <c r="R2574" s="3" t="s">
        <v>78</v>
      </c>
      <c r="S2574" s="3">
        <v>20081000</v>
      </c>
      <c r="T2574" s="3">
        <v>2124738111</v>
      </c>
      <c r="U2574" s="3" t="s">
        <v>29</v>
      </c>
    </row>
    <row r="2575" spans="1:21" ht="13.2" x14ac:dyDescent="0.25">
      <c r="A2575" s="14">
        <v>11670605000106</v>
      </c>
      <c r="B2575" s="15" t="str">
        <f t="shared" si="40"/>
        <v>11.670.605/0001-06</v>
      </c>
      <c r="C2575" s="12"/>
      <c r="D2575" s="3" t="s">
        <v>9373</v>
      </c>
      <c r="E2575" s="3" t="s">
        <v>9373</v>
      </c>
      <c r="F2575" s="3" t="s">
        <v>20</v>
      </c>
      <c r="G2575" s="4">
        <v>40248</v>
      </c>
      <c r="H2575" s="3" t="s">
        <v>21</v>
      </c>
      <c r="I2575" s="3" t="s">
        <v>33</v>
      </c>
      <c r="J2575" s="5">
        <v>6373009</v>
      </c>
      <c r="K2575" s="3">
        <v>2829199</v>
      </c>
      <c r="L2575" s="3" t="s">
        <v>1514</v>
      </c>
      <c r="M2575" s="3" t="s">
        <v>9374</v>
      </c>
      <c r="N2575" s="3" t="s">
        <v>82</v>
      </c>
      <c r="O2575" s="3" t="s">
        <v>858</v>
      </c>
      <c r="P2575" s="3" t="s">
        <v>9375</v>
      </c>
      <c r="Q2575" s="3" t="s">
        <v>9376</v>
      </c>
      <c r="R2575" s="3" t="s">
        <v>187</v>
      </c>
      <c r="S2575" s="3">
        <v>85575000</v>
      </c>
      <c r="T2575" s="3">
        <v>4635348030</v>
      </c>
      <c r="U2575" s="3" t="s">
        <v>29</v>
      </c>
    </row>
    <row r="2576" spans="1:21" ht="13.2" x14ac:dyDescent="0.25">
      <c r="A2576" s="14">
        <v>1862295000178</v>
      </c>
      <c r="B2576" s="15" t="str">
        <f t="shared" si="40"/>
        <v>01.862.295/0001-78</v>
      </c>
      <c r="C2576" s="12"/>
      <c r="D2576" s="3" t="s">
        <v>9377</v>
      </c>
      <c r="E2576" s="3" t="s">
        <v>9378</v>
      </c>
      <c r="F2576" s="3" t="s">
        <v>20</v>
      </c>
      <c r="G2576" s="4">
        <v>35572</v>
      </c>
      <c r="H2576" s="3" t="s">
        <v>21</v>
      </c>
      <c r="I2576" s="3" t="s">
        <v>33</v>
      </c>
      <c r="J2576" s="5">
        <v>175076640</v>
      </c>
      <c r="K2576" s="3">
        <v>6209100</v>
      </c>
      <c r="L2576" s="3" t="s">
        <v>303</v>
      </c>
      <c r="M2576" s="3" t="s">
        <v>9379</v>
      </c>
      <c r="N2576" s="3">
        <v>888</v>
      </c>
      <c r="O2576" s="3" t="s">
        <v>9380</v>
      </c>
      <c r="P2576" s="3" t="s">
        <v>70</v>
      </c>
      <c r="Q2576" s="3" t="s">
        <v>476</v>
      </c>
      <c r="R2576" s="3" t="s">
        <v>100</v>
      </c>
      <c r="S2576" s="3">
        <v>30160011</v>
      </c>
      <c r="T2576" s="3">
        <v>3135165222</v>
      </c>
      <c r="U2576" s="3" t="s">
        <v>29</v>
      </c>
    </row>
    <row r="2577" spans="1:21" ht="13.2" x14ac:dyDescent="0.25">
      <c r="A2577" s="14">
        <v>10457188000155</v>
      </c>
      <c r="B2577" s="15" t="str">
        <f t="shared" si="40"/>
        <v>10.457.188/0001-55</v>
      </c>
      <c r="C2577" s="12"/>
      <c r="D2577" s="3" t="s">
        <v>9381</v>
      </c>
      <c r="E2577" s="3" t="s">
        <v>9381</v>
      </c>
      <c r="F2577" s="3" t="s">
        <v>20</v>
      </c>
      <c r="G2577" s="4">
        <v>39741</v>
      </c>
      <c r="H2577" s="3" t="s">
        <v>21</v>
      </c>
      <c r="I2577" s="3" t="s">
        <v>22</v>
      </c>
      <c r="J2577" s="5">
        <v>650000</v>
      </c>
      <c r="K2577" s="3">
        <v>8230001</v>
      </c>
      <c r="L2577" s="3" t="s">
        <v>2141</v>
      </c>
      <c r="M2577" s="3" t="s">
        <v>9382</v>
      </c>
      <c r="N2577" s="3">
        <v>213</v>
      </c>
      <c r="O2577" s="3" t="s">
        <v>9383</v>
      </c>
      <c r="P2577" s="3" t="s">
        <v>4811</v>
      </c>
      <c r="Q2577" s="3" t="s">
        <v>262</v>
      </c>
      <c r="R2577" s="3" t="s">
        <v>28</v>
      </c>
      <c r="S2577" s="3">
        <v>6213080</v>
      </c>
      <c r="T2577" s="3">
        <v>1136094422</v>
      </c>
      <c r="U2577" s="3" t="s">
        <v>29</v>
      </c>
    </row>
    <row r="2578" spans="1:21" ht="13.2" x14ac:dyDescent="0.25">
      <c r="A2578" s="14">
        <v>61157723000193</v>
      </c>
      <c r="B2578" s="15" t="str">
        <f t="shared" si="40"/>
        <v>61.157.723/0001-93</v>
      </c>
      <c r="C2578" s="12"/>
      <c r="D2578" s="3" t="s">
        <v>9384</v>
      </c>
      <c r="E2578" s="3" t="s">
        <v>9384</v>
      </c>
      <c r="F2578" s="3" t="s">
        <v>20</v>
      </c>
      <c r="G2578" s="4">
        <v>24316</v>
      </c>
      <c r="H2578" s="3" t="s">
        <v>94</v>
      </c>
      <c r="I2578" s="3" t="s">
        <v>33</v>
      </c>
      <c r="J2578" s="5">
        <v>0</v>
      </c>
      <c r="K2578" s="3">
        <v>1062700</v>
      </c>
      <c r="L2578" s="3" t="s">
        <v>8679</v>
      </c>
      <c r="M2578" s="3" t="s">
        <v>6784</v>
      </c>
      <c r="N2578" s="3">
        <v>833</v>
      </c>
      <c r="O2578" s="3" t="s">
        <v>2029</v>
      </c>
      <c r="P2578" s="3" t="s">
        <v>4571</v>
      </c>
      <c r="Q2578" s="3" t="s">
        <v>27</v>
      </c>
      <c r="R2578" s="3" t="s">
        <v>28</v>
      </c>
      <c r="S2578" s="3">
        <v>5345000</v>
      </c>
      <c r="T2578" s="3">
        <v>1137186400</v>
      </c>
      <c r="U2578" s="3" t="s">
        <v>29</v>
      </c>
    </row>
    <row r="2579" spans="1:21" ht="13.2" x14ac:dyDescent="0.25">
      <c r="A2579" s="14">
        <v>4471609000108</v>
      </c>
      <c r="B2579" s="15" t="str">
        <f t="shared" si="40"/>
        <v>04.471.609/0001-08</v>
      </c>
      <c r="C2579" s="12"/>
      <c r="D2579" s="3" t="s">
        <v>9385</v>
      </c>
      <c r="E2579" s="3" t="s">
        <v>9385</v>
      </c>
      <c r="F2579" s="3" t="s">
        <v>20</v>
      </c>
      <c r="G2579" s="4">
        <v>37027</v>
      </c>
      <c r="H2579" s="3" t="s">
        <v>21</v>
      </c>
      <c r="I2579" s="3" t="s">
        <v>47</v>
      </c>
      <c r="J2579" s="5">
        <v>547700</v>
      </c>
      <c r="K2579" s="3">
        <v>8660700</v>
      </c>
      <c r="L2579" s="3" t="s">
        <v>5311</v>
      </c>
      <c r="M2579" s="3" t="s">
        <v>2340</v>
      </c>
      <c r="N2579" s="3">
        <v>1478</v>
      </c>
      <c r="O2579" s="3" t="s">
        <v>9386</v>
      </c>
      <c r="P2579" s="3" t="s">
        <v>545</v>
      </c>
      <c r="Q2579" s="3" t="s">
        <v>27</v>
      </c>
      <c r="R2579" s="3" t="s">
        <v>28</v>
      </c>
      <c r="S2579" s="3">
        <v>1472900</v>
      </c>
      <c r="T2579" s="3">
        <v>1130342817</v>
      </c>
      <c r="U2579" s="3" t="s">
        <v>29</v>
      </c>
    </row>
    <row r="2580" spans="1:21" ht="13.2" x14ac:dyDescent="0.25">
      <c r="A2580" s="14">
        <v>33033028000184</v>
      </c>
      <c r="B2580" s="15" t="str">
        <f t="shared" si="40"/>
        <v>33.033.028/0001-84</v>
      </c>
      <c r="C2580" s="12"/>
      <c r="D2580" s="3" t="s">
        <v>9387</v>
      </c>
      <c r="E2580" s="3" t="s">
        <v>9388</v>
      </c>
      <c r="F2580" s="3" t="s">
        <v>20</v>
      </c>
      <c r="G2580" s="4">
        <v>26688</v>
      </c>
      <c r="H2580" s="3" t="s">
        <v>21</v>
      </c>
      <c r="I2580" s="3" t="s">
        <v>33</v>
      </c>
      <c r="J2580" s="5">
        <v>1597720300</v>
      </c>
      <c r="K2580" s="3">
        <v>8299799</v>
      </c>
      <c r="L2580" s="3" t="s">
        <v>532</v>
      </c>
      <c r="M2580" s="3" t="s">
        <v>3690</v>
      </c>
      <c r="N2580" s="3">
        <v>13300</v>
      </c>
      <c r="O2580" s="3" t="s">
        <v>9389</v>
      </c>
      <c r="P2580" s="3" t="s">
        <v>2254</v>
      </c>
      <c r="Q2580" s="3" t="s">
        <v>204</v>
      </c>
      <c r="R2580" s="3" t="s">
        <v>187</v>
      </c>
      <c r="S2580" s="3">
        <v>81460000</v>
      </c>
      <c r="T2580" s="3">
        <v>4132128115</v>
      </c>
      <c r="U2580" s="3" t="s">
        <v>29</v>
      </c>
    </row>
    <row r="2581" spans="1:21" ht="13.2" x14ac:dyDescent="0.25">
      <c r="A2581" s="14">
        <v>19363524000175</v>
      </c>
      <c r="B2581" s="15" t="str">
        <f t="shared" si="40"/>
        <v>19.363.524/0001-75</v>
      </c>
      <c r="C2581" s="12" t="str">
        <f>VLOOKUP(B2581,[1]Planilha1!$A:$B,2,0)</f>
        <v>Malu Montesino</v>
      </c>
      <c r="D2581" s="3" t="s">
        <v>9390</v>
      </c>
      <c r="E2581" s="3" t="s">
        <v>9391</v>
      </c>
      <c r="F2581" s="3" t="s">
        <v>20</v>
      </c>
      <c r="G2581" s="4">
        <v>41612</v>
      </c>
      <c r="H2581" s="3" t="s">
        <v>21</v>
      </c>
      <c r="I2581" s="3" t="s">
        <v>22</v>
      </c>
      <c r="J2581" s="5">
        <v>100000</v>
      </c>
      <c r="K2581" s="3">
        <v>2832100</v>
      </c>
      <c r="L2581" s="3" t="s">
        <v>2184</v>
      </c>
      <c r="M2581" s="3" t="s">
        <v>9392</v>
      </c>
      <c r="N2581" s="3">
        <v>118</v>
      </c>
      <c r="P2581" s="3" t="s">
        <v>9393</v>
      </c>
      <c r="Q2581" s="3" t="s">
        <v>488</v>
      </c>
      <c r="R2581" s="3" t="s">
        <v>28</v>
      </c>
      <c r="S2581" s="3">
        <v>13285326</v>
      </c>
      <c r="T2581" s="3">
        <v>1938263550</v>
      </c>
      <c r="U2581" s="3" t="s">
        <v>29</v>
      </c>
    </row>
    <row r="2582" spans="1:21" ht="13.2" x14ac:dyDescent="0.25">
      <c r="A2582" s="14">
        <v>5889593000102</v>
      </c>
      <c r="B2582" s="15" t="str">
        <f t="shared" si="40"/>
        <v>05.889.593/0001-02</v>
      </c>
      <c r="C2582" s="12"/>
      <c r="D2582" s="3" t="s">
        <v>9394</v>
      </c>
      <c r="E2582" s="3" t="s">
        <v>9395</v>
      </c>
      <c r="F2582" s="3" t="s">
        <v>20</v>
      </c>
      <c r="G2582" s="4">
        <v>37880</v>
      </c>
      <c r="H2582" s="3" t="s">
        <v>21</v>
      </c>
      <c r="I2582" s="3" t="s">
        <v>22</v>
      </c>
      <c r="J2582" s="5">
        <v>20000</v>
      </c>
      <c r="K2582" s="3">
        <v>8122200</v>
      </c>
      <c r="L2582" s="3" t="s">
        <v>2910</v>
      </c>
      <c r="M2582" s="3" t="s">
        <v>9396</v>
      </c>
      <c r="N2582" s="3">
        <v>549</v>
      </c>
      <c r="P2582" s="3" t="s">
        <v>9397</v>
      </c>
      <c r="Q2582" s="3" t="s">
        <v>262</v>
      </c>
      <c r="R2582" s="3" t="s">
        <v>28</v>
      </c>
      <c r="S2582" s="3">
        <v>6230110</v>
      </c>
      <c r="T2582" s="3">
        <v>1136092014</v>
      </c>
      <c r="U2582" s="3" t="s">
        <v>29</v>
      </c>
    </row>
    <row r="2583" spans="1:21" ht="13.2" x14ac:dyDescent="0.25">
      <c r="A2583" s="14">
        <v>21718991000112</v>
      </c>
      <c r="B2583" s="15" t="str">
        <f t="shared" si="40"/>
        <v>21.718.991/0001-12</v>
      </c>
      <c r="C2583" s="12"/>
      <c r="D2583" s="3" t="s">
        <v>9398</v>
      </c>
      <c r="E2583" s="3" t="s">
        <v>9398</v>
      </c>
      <c r="F2583" s="3" t="s">
        <v>20</v>
      </c>
      <c r="G2583" s="4">
        <v>42025</v>
      </c>
      <c r="H2583" s="3" t="s">
        <v>21</v>
      </c>
      <c r="I2583" s="3" t="s">
        <v>47</v>
      </c>
      <c r="J2583" s="5">
        <v>200000</v>
      </c>
      <c r="K2583" s="3">
        <v>6622300</v>
      </c>
      <c r="L2583" s="3" t="s">
        <v>1324</v>
      </c>
      <c r="M2583" s="3" t="s">
        <v>9399</v>
      </c>
      <c r="N2583" s="3">
        <v>492</v>
      </c>
      <c r="O2583" s="3" t="s">
        <v>9400</v>
      </c>
      <c r="P2583" s="3" t="s">
        <v>9401</v>
      </c>
      <c r="Q2583" s="3" t="s">
        <v>262</v>
      </c>
      <c r="R2583" s="3" t="s">
        <v>28</v>
      </c>
      <c r="S2583" s="3">
        <v>6010170</v>
      </c>
      <c r="T2583" s="3">
        <v>1126209571</v>
      </c>
      <c r="U2583" s="3" t="s">
        <v>29</v>
      </c>
    </row>
    <row r="2584" spans="1:21" ht="13.2" x14ac:dyDescent="0.25">
      <c r="A2584" s="14">
        <v>4078043000140</v>
      </c>
      <c r="B2584" s="15" t="str">
        <f t="shared" si="40"/>
        <v>04.078.043/0001-40</v>
      </c>
      <c r="C2584" s="12" t="str">
        <f>VLOOKUP(B2584,[1]Planilha1!$A:$B,2,0)</f>
        <v>Mariane Nascimento</v>
      </c>
      <c r="D2584" s="3" t="s">
        <v>9402</v>
      </c>
      <c r="E2584" s="3" t="s">
        <v>9403</v>
      </c>
      <c r="F2584" s="3" t="s">
        <v>20</v>
      </c>
      <c r="G2584" s="4">
        <v>36788</v>
      </c>
      <c r="H2584" s="3" t="s">
        <v>94</v>
      </c>
      <c r="I2584" s="3" t="s">
        <v>33</v>
      </c>
      <c r="J2584" s="5">
        <v>9323711</v>
      </c>
      <c r="K2584" s="3">
        <v>4645101</v>
      </c>
      <c r="L2584" s="3" t="s">
        <v>135</v>
      </c>
      <c r="M2584" s="3" t="s">
        <v>9404</v>
      </c>
      <c r="N2584" s="3">
        <v>102</v>
      </c>
      <c r="P2584" s="3" t="s">
        <v>2207</v>
      </c>
      <c r="Q2584" s="3" t="s">
        <v>437</v>
      </c>
      <c r="R2584" s="3" t="s">
        <v>53</v>
      </c>
      <c r="S2584" s="3">
        <v>90620160</v>
      </c>
      <c r="T2584" s="3">
        <v>5130298385</v>
      </c>
      <c r="U2584" s="3" t="s">
        <v>29</v>
      </c>
    </row>
    <row r="2585" spans="1:21" ht="13.2" x14ac:dyDescent="0.25">
      <c r="A2585" s="14">
        <v>66581935000117</v>
      </c>
      <c r="B2585" s="15" t="str">
        <f t="shared" si="40"/>
        <v>66.581.935/0001-17</v>
      </c>
      <c r="C2585" s="12"/>
      <c r="D2585" s="3" t="s">
        <v>9405</v>
      </c>
      <c r="E2585" s="3" t="s">
        <v>9405</v>
      </c>
      <c r="F2585" s="3" t="s">
        <v>20</v>
      </c>
      <c r="G2585" s="4">
        <v>33441</v>
      </c>
      <c r="H2585" s="3" t="s">
        <v>21</v>
      </c>
      <c r="I2585" s="3" t="s">
        <v>22</v>
      </c>
      <c r="J2585" s="5">
        <v>50000</v>
      </c>
      <c r="K2585" s="3">
        <v>4645101</v>
      </c>
      <c r="L2585" s="3" t="s">
        <v>135</v>
      </c>
      <c r="M2585" s="3" t="s">
        <v>9406</v>
      </c>
      <c r="N2585" s="3">
        <v>591</v>
      </c>
      <c r="O2585" s="3" t="s">
        <v>9407</v>
      </c>
      <c r="P2585" s="3" t="s">
        <v>2056</v>
      </c>
      <c r="Q2585" s="3" t="s">
        <v>217</v>
      </c>
      <c r="R2585" s="3" t="s">
        <v>28</v>
      </c>
      <c r="S2585" s="3">
        <v>9633000</v>
      </c>
      <c r="T2585" s="3">
        <v>1141775453</v>
      </c>
      <c r="U2585" s="3" t="s">
        <v>29</v>
      </c>
    </row>
    <row r="2586" spans="1:21" ht="13.2" x14ac:dyDescent="0.25">
      <c r="A2586" s="14">
        <v>33736180000123</v>
      </c>
      <c r="B2586" s="15" t="str">
        <f t="shared" si="40"/>
        <v>33.736.180/0001-23</v>
      </c>
      <c r="C2586" s="12"/>
      <c r="D2586" s="3" t="s">
        <v>9408</v>
      </c>
      <c r="E2586" s="3" t="s">
        <v>9408</v>
      </c>
      <c r="F2586" s="3" t="s">
        <v>20</v>
      </c>
      <c r="G2586" s="4">
        <v>43612</v>
      </c>
      <c r="H2586" s="3" t="s">
        <v>21</v>
      </c>
      <c r="I2586" s="3" t="s">
        <v>47</v>
      </c>
      <c r="J2586" s="5">
        <v>10000</v>
      </c>
      <c r="K2586" s="3">
        <v>6201501</v>
      </c>
      <c r="L2586" s="3" t="s">
        <v>298</v>
      </c>
      <c r="M2586" s="3" t="s">
        <v>9409</v>
      </c>
      <c r="N2586" s="3">
        <v>83</v>
      </c>
      <c r="P2586" s="3" t="s">
        <v>388</v>
      </c>
      <c r="Q2586" s="3" t="s">
        <v>2313</v>
      </c>
      <c r="R2586" s="3" t="s">
        <v>28</v>
      </c>
      <c r="S2586" s="3">
        <v>12919370</v>
      </c>
      <c r="T2586" s="3">
        <v>1140342009</v>
      </c>
      <c r="U2586" s="3" t="s">
        <v>29</v>
      </c>
    </row>
    <row r="2587" spans="1:21" ht="13.2" x14ac:dyDescent="0.25">
      <c r="A2587" s="14">
        <v>23143024000103</v>
      </c>
      <c r="B2587" s="15" t="str">
        <f t="shared" si="40"/>
        <v>23.143.024/0001-03</v>
      </c>
      <c r="C2587" s="12"/>
      <c r="D2587" s="3" t="s">
        <v>9410</v>
      </c>
      <c r="E2587" s="3" t="s">
        <v>9411</v>
      </c>
      <c r="F2587" s="3" t="s">
        <v>20</v>
      </c>
      <c r="G2587" s="4">
        <v>42241</v>
      </c>
      <c r="H2587" s="3" t="s">
        <v>32</v>
      </c>
      <c r="I2587" s="3" t="s">
        <v>22</v>
      </c>
      <c r="J2587" s="5">
        <v>500000</v>
      </c>
      <c r="K2587" s="3">
        <v>6920601</v>
      </c>
      <c r="L2587" s="3" t="s">
        <v>1507</v>
      </c>
      <c r="M2587" s="3" t="s">
        <v>9412</v>
      </c>
      <c r="N2587" s="3" t="s">
        <v>111</v>
      </c>
      <c r="O2587" s="3" t="s">
        <v>9413</v>
      </c>
      <c r="P2587" s="3" t="s">
        <v>1745</v>
      </c>
      <c r="Q2587" s="3" t="s">
        <v>631</v>
      </c>
      <c r="R2587" s="3" t="s">
        <v>632</v>
      </c>
      <c r="S2587" s="3">
        <v>70070120</v>
      </c>
      <c r="T2587" s="3">
        <v>6132236098</v>
      </c>
      <c r="U2587" s="3" t="s">
        <v>29</v>
      </c>
    </row>
    <row r="2588" spans="1:21" ht="13.2" x14ac:dyDescent="0.25">
      <c r="A2588" s="14">
        <v>9285766000134</v>
      </c>
      <c r="B2588" s="15" t="str">
        <f t="shared" si="40"/>
        <v>09.285.766/0001-34</v>
      </c>
      <c r="C2588" s="12"/>
      <c r="D2588" s="3" t="s">
        <v>9414</v>
      </c>
      <c r="E2588" s="3" t="s">
        <v>9414</v>
      </c>
      <c r="F2588" s="3" t="s">
        <v>20</v>
      </c>
      <c r="G2588" s="4">
        <v>39444</v>
      </c>
      <c r="H2588" s="3" t="s">
        <v>1550</v>
      </c>
      <c r="I2588" s="3" t="s">
        <v>22</v>
      </c>
      <c r="J2588" s="5">
        <v>1100000</v>
      </c>
      <c r="K2588" s="3">
        <v>6920601</v>
      </c>
      <c r="L2588" s="3" t="s">
        <v>1507</v>
      </c>
      <c r="M2588" s="3" t="s">
        <v>9415</v>
      </c>
      <c r="N2588" s="3">
        <v>1085</v>
      </c>
      <c r="P2588" s="3" t="s">
        <v>70</v>
      </c>
      <c r="Q2588" s="3" t="s">
        <v>875</v>
      </c>
      <c r="R2588" s="3" t="s">
        <v>53</v>
      </c>
      <c r="S2588" s="3">
        <v>93010190</v>
      </c>
      <c r="T2588" s="3">
        <v>5132108020</v>
      </c>
      <c r="U2588" s="3" t="s">
        <v>29</v>
      </c>
    </row>
    <row r="2589" spans="1:21" ht="13.2" x14ac:dyDescent="0.25">
      <c r="A2589" s="14">
        <v>14335393000107</v>
      </c>
      <c r="B2589" s="15" t="str">
        <f t="shared" si="40"/>
        <v>14.335.393/0001-07</v>
      </c>
      <c r="C2589" s="12"/>
      <c r="D2589" s="3" t="s">
        <v>9416</v>
      </c>
      <c r="E2589" s="3" t="s">
        <v>9417</v>
      </c>
      <c r="F2589" s="3" t="s">
        <v>20</v>
      </c>
      <c r="G2589" s="4">
        <v>40807</v>
      </c>
      <c r="H2589" s="3" t="s">
        <v>21</v>
      </c>
      <c r="I2589" s="3" t="s">
        <v>33</v>
      </c>
      <c r="J2589" s="5">
        <v>6000000</v>
      </c>
      <c r="K2589" s="3">
        <v>7112000</v>
      </c>
      <c r="L2589" s="3" t="s">
        <v>276</v>
      </c>
      <c r="M2589" s="3" t="s">
        <v>9418</v>
      </c>
      <c r="N2589" s="3">
        <v>2026</v>
      </c>
      <c r="P2589" s="3" t="s">
        <v>9419</v>
      </c>
      <c r="Q2589" s="3" t="s">
        <v>1141</v>
      </c>
      <c r="R2589" s="3" t="s">
        <v>1142</v>
      </c>
      <c r="S2589" s="3">
        <v>79006630</v>
      </c>
      <c r="T2589" s="3">
        <v>6733841217</v>
      </c>
      <c r="U2589" s="3" t="s">
        <v>29</v>
      </c>
    </row>
    <row r="2590" spans="1:21" ht="13.2" x14ac:dyDescent="0.25">
      <c r="A2590" s="14">
        <v>1991027000156</v>
      </c>
      <c r="B2590" s="15" t="str">
        <f t="shared" si="40"/>
        <v>01.991.027/0001-56</v>
      </c>
      <c r="C2590" s="12"/>
      <c r="D2590" s="3" t="s">
        <v>9420</v>
      </c>
      <c r="E2590" s="3" t="s">
        <v>9420</v>
      </c>
      <c r="F2590" s="3" t="s">
        <v>20</v>
      </c>
      <c r="G2590" s="4">
        <v>35597</v>
      </c>
      <c r="H2590" s="3" t="s">
        <v>1550</v>
      </c>
      <c r="I2590" s="3" t="s">
        <v>33</v>
      </c>
      <c r="J2590" s="5">
        <v>1000</v>
      </c>
      <c r="K2590" s="3">
        <v>6911701</v>
      </c>
      <c r="L2590" s="3" t="s">
        <v>1551</v>
      </c>
      <c r="M2590" s="3" t="s">
        <v>3295</v>
      </c>
      <c r="N2590" s="3">
        <v>348</v>
      </c>
      <c r="O2590" s="3" t="s">
        <v>9421</v>
      </c>
      <c r="P2590" s="3" t="s">
        <v>753</v>
      </c>
      <c r="Q2590" s="3" t="s">
        <v>27</v>
      </c>
      <c r="R2590" s="3" t="s">
        <v>28</v>
      </c>
      <c r="S2590" s="3">
        <v>5311000</v>
      </c>
      <c r="T2590" s="3">
        <v>1132775630</v>
      </c>
      <c r="U2590" s="3" t="s">
        <v>29</v>
      </c>
    </row>
    <row r="2591" spans="1:21" ht="13.2" x14ac:dyDescent="0.25">
      <c r="A2591" s="14">
        <v>47536856000140</v>
      </c>
      <c r="B2591" s="15" t="str">
        <f t="shared" si="40"/>
        <v>47.536.856/0001-40</v>
      </c>
      <c r="C2591" s="12"/>
      <c r="D2591" s="3" t="s">
        <v>9422</v>
      </c>
      <c r="E2591" s="3" t="s">
        <v>9423</v>
      </c>
      <c r="F2591" s="3" t="s">
        <v>20</v>
      </c>
      <c r="G2591" s="4">
        <v>44785</v>
      </c>
      <c r="H2591" s="3" t="s">
        <v>21</v>
      </c>
      <c r="I2591" s="3" t="s">
        <v>22</v>
      </c>
      <c r="J2591" s="5">
        <v>100000</v>
      </c>
      <c r="K2591" s="3">
        <v>7490104</v>
      </c>
      <c r="L2591" s="3" t="s">
        <v>1597</v>
      </c>
      <c r="M2591" s="3" t="s">
        <v>9424</v>
      </c>
      <c r="N2591" s="3">
        <v>53</v>
      </c>
      <c r="O2591" s="3" t="s">
        <v>8833</v>
      </c>
      <c r="P2591" s="3" t="s">
        <v>3565</v>
      </c>
      <c r="Q2591" s="3" t="s">
        <v>27</v>
      </c>
      <c r="R2591" s="3" t="s">
        <v>28</v>
      </c>
      <c r="S2591" s="3">
        <v>4004030</v>
      </c>
      <c r="T2591" s="3">
        <v>1132057263</v>
      </c>
      <c r="U2591" s="3" t="s">
        <v>29</v>
      </c>
    </row>
    <row r="2592" spans="1:21" ht="13.2" x14ac:dyDescent="0.25">
      <c r="A2592" s="14">
        <v>61156501000156</v>
      </c>
      <c r="B2592" s="15" t="str">
        <f t="shared" si="40"/>
        <v>61.156.501/0001-56</v>
      </c>
      <c r="C2592" s="12"/>
      <c r="D2592" s="3" t="s">
        <v>9425</v>
      </c>
      <c r="E2592" s="3" t="s">
        <v>9426</v>
      </c>
      <c r="F2592" s="3" t="s">
        <v>20</v>
      </c>
      <c r="G2592" s="4">
        <v>25344</v>
      </c>
      <c r="H2592" s="3" t="s">
        <v>21</v>
      </c>
      <c r="I2592" s="3" t="s">
        <v>33</v>
      </c>
      <c r="J2592" s="5">
        <v>737561400</v>
      </c>
      <c r="K2592" s="3">
        <v>2013402</v>
      </c>
      <c r="L2592" s="3" t="s">
        <v>732</v>
      </c>
      <c r="M2592" s="3" t="s">
        <v>2209</v>
      </c>
      <c r="N2592" s="3">
        <v>246</v>
      </c>
      <c r="O2592" s="3" t="s">
        <v>9427</v>
      </c>
      <c r="P2592" s="3" t="s">
        <v>9428</v>
      </c>
      <c r="Q2592" s="3" t="s">
        <v>27</v>
      </c>
      <c r="R2592" s="3" t="s">
        <v>28</v>
      </c>
      <c r="S2592" s="3">
        <v>4583916</v>
      </c>
      <c r="T2592" s="3">
        <v>3433522000</v>
      </c>
      <c r="U2592" s="3" t="s">
        <v>29</v>
      </c>
    </row>
    <row r="2593" spans="1:21" ht="13.2" x14ac:dyDescent="0.25">
      <c r="A2593" s="14">
        <v>2846056000197</v>
      </c>
      <c r="B2593" s="15" t="str">
        <f t="shared" si="40"/>
        <v>02.846.056/0001-97</v>
      </c>
      <c r="C2593" s="12"/>
      <c r="D2593" s="3" t="s">
        <v>9429</v>
      </c>
      <c r="E2593" s="3" t="s">
        <v>9429</v>
      </c>
      <c r="F2593" s="3" t="s">
        <v>20</v>
      </c>
      <c r="G2593" s="4">
        <v>36095</v>
      </c>
      <c r="H2593" s="3" t="s">
        <v>377</v>
      </c>
      <c r="I2593" s="3" t="s">
        <v>33</v>
      </c>
      <c r="J2593" s="5">
        <v>0</v>
      </c>
      <c r="K2593" s="3">
        <v>6462000</v>
      </c>
      <c r="L2593" s="3" t="s">
        <v>250</v>
      </c>
      <c r="M2593" s="3" t="s">
        <v>2281</v>
      </c>
      <c r="N2593" s="3">
        <v>8501</v>
      </c>
      <c r="O2593" s="3" t="s">
        <v>4818</v>
      </c>
      <c r="P2593" s="3" t="s">
        <v>1740</v>
      </c>
      <c r="Q2593" s="3" t="s">
        <v>27</v>
      </c>
      <c r="R2593" s="3" t="s">
        <v>28</v>
      </c>
      <c r="S2593" s="3">
        <v>5425070</v>
      </c>
      <c r="T2593" s="3">
        <v>1197394814</v>
      </c>
      <c r="U2593" s="3" t="s">
        <v>29</v>
      </c>
    </row>
    <row r="2594" spans="1:21" ht="13.2" x14ac:dyDescent="0.25">
      <c r="A2594" s="14">
        <v>18308422000194</v>
      </c>
      <c r="B2594" s="15" t="str">
        <f t="shared" si="40"/>
        <v>18.308.422/0001-94</v>
      </c>
      <c r="C2594" s="12"/>
      <c r="D2594" s="3" t="s">
        <v>9430</v>
      </c>
      <c r="E2594" s="3" t="s">
        <v>9431</v>
      </c>
      <c r="F2594" s="3" t="s">
        <v>31</v>
      </c>
      <c r="G2594" s="4">
        <v>41432</v>
      </c>
      <c r="H2594" s="3" t="s">
        <v>21</v>
      </c>
      <c r="I2594" s="3" t="s">
        <v>22</v>
      </c>
      <c r="J2594" s="5">
        <v>100000</v>
      </c>
      <c r="K2594" s="3">
        <v>3317101</v>
      </c>
      <c r="L2594" s="3" t="s">
        <v>9432</v>
      </c>
      <c r="M2594" s="3" t="s">
        <v>9433</v>
      </c>
      <c r="N2594" s="3">
        <v>83</v>
      </c>
      <c r="O2594" s="3" t="s">
        <v>9434</v>
      </c>
      <c r="P2594" s="3" t="s">
        <v>9435</v>
      </c>
      <c r="Q2594" s="3" t="s">
        <v>253</v>
      </c>
      <c r="R2594" s="3" t="s">
        <v>78</v>
      </c>
      <c r="S2594" s="3">
        <v>20785070</v>
      </c>
      <c r="T2594" s="3">
        <v>2132973905</v>
      </c>
      <c r="U2594" s="3" t="s">
        <v>29</v>
      </c>
    </row>
    <row r="2595" spans="1:21" ht="13.2" x14ac:dyDescent="0.25">
      <c r="A2595" s="14">
        <v>7804371000175</v>
      </c>
      <c r="B2595" s="15" t="str">
        <f t="shared" si="40"/>
        <v>07.804.371/0001-75</v>
      </c>
      <c r="C2595" s="12" t="str">
        <f>VLOOKUP(B2595,[1]Planilha1!$A:$B,2,0)</f>
        <v>Malu Montesino</v>
      </c>
      <c r="D2595" s="3" t="s">
        <v>9436</v>
      </c>
      <c r="E2595" s="3" t="s">
        <v>9436</v>
      </c>
      <c r="F2595" s="3" t="s">
        <v>20</v>
      </c>
      <c r="G2595" s="4">
        <v>38743</v>
      </c>
      <c r="H2595" s="3" t="s">
        <v>2634</v>
      </c>
      <c r="I2595" s="3" t="s">
        <v>33</v>
      </c>
      <c r="J2595" s="5">
        <v>0</v>
      </c>
      <c r="K2595" s="3">
        <v>6462000</v>
      </c>
      <c r="L2595" s="3" t="s">
        <v>250</v>
      </c>
      <c r="M2595" s="3" t="s">
        <v>9437</v>
      </c>
      <c r="N2595" s="3">
        <v>500</v>
      </c>
      <c r="P2595" s="3" t="s">
        <v>9438</v>
      </c>
      <c r="R2595" s="3" t="s">
        <v>2637</v>
      </c>
      <c r="U2595" s="3" t="s">
        <v>29</v>
      </c>
    </row>
    <row r="2596" spans="1:21" ht="13.2" x14ac:dyDescent="0.25">
      <c r="A2596" s="14">
        <v>12049631000184</v>
      </c>
      <c r="B2596" s="15" t="str">
        <f t="shared" si="40"/>
        <v>12.049.631/0001-84</v>
      </c>
      <c r="C2596" s="12"/>
      <c r="D2596" s="3" t="s">
        <v>9439</v>
      </c>
      <c r="E2596" s="3" t="s">
        <v>9439</v>
      </c>
      <c r="F2596" s="3" t="s">
        <v>20</v>
      </c>
      <c r="G2596" s="4">
        <v>32021</v>
      </c>
      <c r="H2596" s="3" t="s">
        <v>377</v>
      </c>
      <c r="I2596" s="3" t="s">
        <v>33</v>
      </c>
      <c r="J2596" s="5">
        <v>1391513300</v>
      </c>
      <c r="K2596" s="3">
        <v>4120400</v>
      </c>
      <c r="L2596" s="3" t="s">
        <v>87</v>
      </c>
      <c r="M2596" s="3" t="s">
        <v>9440</v>
      </c>
      <c r="N2596" s="3">
        <v>467</v>
      </c>
      <c r="O2596" s="3" t="s">
        <v>9441</v>
      </c>
      <c r="P2596" s="3" t="s">
        <v>9442</v>
      </c>
      <c r="Q2596" s="3" t="s">
        <v>1339</v>
      </c>
      <c r="R2596" s="3" t="s">
        <v>456</v>
      </c>
      <c r="S2596" s="3">
        <v>51011050</v>
      </c>
      <c r="T2596" s="3">
        <v>8133258000</v>
      </c>
      <c r="U2596" s="3" t="s">
        <v>29</v>
      </c>
    </row>
    <row r="2597" spans="1:21" ht="13.2" x14ac:dyDescent="0.25">
      <c r="A2597" s="14">
        <v>4910323000173</v>
      </c>
      <c r="B2597" s="15" t="str">
        <f t="shared" si="40"/>
        <v>04.910.323/0001-73</v>
      </c>
      <c r="C2597" s="12" t="str">
        <f>VLOOKUP(B2597,[1]Planilha1!$A:$B,2,0)</f>
        <v>Malu Montesino</v>
      </c>
      <c r="D2597" s="3" t="s">
        <v>9443</v>
      </c>
      <c r="E2597" s="3" t="s">
        <v>9444</v>
      </c>
      <c r="F2597" s="3" t="s">
        <v>20</v>
      </c>
      <c r="G2597" s="4">
        <v>37309</v>
      </c>
      <c r="H2597" s="3" t="s">
        <v>21</v>
      </c>
      <c r="I2597" s="3" t="s">
        <v>33</v>
      </c>
      <c r="J2597" s="5">
        <v>5385408</v>
      </c>
      <c r="K2597" s="3">
        <v>3102100</v>
      </c>
      <c r="L2597" s="3" t="s">
        <v>2301</v>
      </c>
      <c r="M2597" s="3" t="s">
        <v>3111</v>
      </c>
      <c r="N2597" s="3" t="s">
        <v>82</v>
      </c>
      <c r="O2597" s="3" t="s">
        <v>9445</v>
      </c>
      <c r="P2597" s="3" t="s">
        <v>9446</v>
      </c>
      <c r="Q2597" s="3" t="s">
        <v>573</v>
      </c>
      <c r="R2597" s="3" t="s">
        <v>274</v>
      </c>
      <c r="S2597" s="3">
        <v>74930600</v>
      </c>
      <c r="T2597" s="3">
        <v>6230935100</v>
      </c>
      <c r="U2597" s="3" t="s">
        <v>29</v>
      </c>
    </row>
    <row r="2598" spans="1:21" ht="13.2" x14ac:dyDescent="0.25">
      <c r="A2598" s="14">
        <v>2530351000130</v>
      </c>
      <c r="B2598" s="15" t="str">
        <f t="shared" si="40"/>
        <v>02.530.351/0001-30</v>
      </c>
      <c r="C2598" s="12"/>
      <c r="D2598" s="3" t="s">
        <v>9447</v>
      </c>
      <c r="E2598" s="3" t="s">
        <v>9448</v>
      </c>
      <c r="F2598" s="3" t="s">
        <v>20</v>
      </c>
      <c r="G2598" s="4">
        <v>35921</v>
      </c>
      <c r="H2598" s="3" t="s">
        <v>21</v>
      </c>
      <c r="I2598" s="3" t="s">
        <v>33</v>
      </c>
      <c r="J2598" s="5">
        <v>120000</v>
      </c>
      <c r="K2598" s="3">
        <v>3101200</v>
      </c>
      <c r="L2598" s="3" t="s">
        <v>359</v>
      </c>
      <c r="M2598" s="3" t="s">
        <v>9449</v>
      </c>
      <c r="N2598" s="3">
        <v>189</v>
      </c>
      <c r="P2598" s="3" t="s">
        <v>153</v>
      </c>
      <c r="Q2598" s="3" t="s">
        <v>8201</v>
      </c>
      <c r="R2598" s="3" t="s">
        <v>28</v>
      </c>
      <c r="S2598" s="3">
        <v>17232102</v>
      </c>
      <c r="T2598" s="3">
        <v>1436643600</v>
      </c>
      <c r="U2598" s="3" t="s">
        <v>29</v>
      </c>
    </row>
    <row r="2599" spans="1:21" ht="13.2" x14ac:dyDescent="0.25">
      <c r="A2599" s="14">
        <v>7976147000160</v>
      </c>
      <c r="B2599" s="15" t="str">
        <f t="shared" si="40"/>
        <v>07.976.147/0001-60</v>
      </c>
      <c r="C2599" s="12"/>
      <c r="D2599" s="3" t="s">
        <v>9450</v>
      </c>
      <c r="E2599" s="3" t="s">
        <v>9451</v>
      </c>
      <c r="F2599" s="3" t="s">
        <v>20</v>
      </c>
      <c r="G2599" s="4">
        <v>38834</v>
      </c>
      <c r="H2599" s="3" t="s">
        <v>377</v>
      </c>
      <c r="I2599" s="3" t="s">
        <v>33</v>
      </c>
      <c r="J2599" s="5" t="s">
        <v>9452</v>
      </c>
      <c r="K2599" s="3">
        <v>7711000</v>
      </c>
      <c r="L2599" s="3" t="s">
        <v>2763</v>
      </c>
      <c r="M2599" s="3" t="s">
        <v>1228</v>
      </c>
      <c r="N2599" s="3">
        <v>1017</v>
      </c>
      <c r="O2599" s="3" t="s">
        <v>1297</v>
      </c>
      <c r="P2599" s="3" t="s">
        <v>1230</v>
      </c>
      <c r="Q2599" s="3" t="s">
        <v>27</v>
      </c>
      <c r="R2599" s="3" t="s">
        <v>28</v>
      </c>
      <c r="S2599" s="3">
        <v>4530001</v>
      </c>
      <c r="T2599" s="3">
        <v>1123777000</v>
      </c>
      <c r="U2599" s="3" t="s">
        <v>29</v>
      </c>
    </row>
    <row r="2600" spans="1:21" ht="13.2" x14ac:dyDescent="0.25">
      <c r="A2600" s="14">
        <v>29695821000171</v>
      </c>
      <c r="B2600" s="15" t="str">
        <f t="shared" si="40"/>
        <v>29.695.821/0001-71</v>
      </c>
      <c r="C2600" s="12"/>
      <c r="D2600" s="3" t="s">
        <v>9453</v>
      </c>
      <c r="E2600" s="3" t="s">
        <v>9454</v>
      </c>
      <c r="F2600" s="3" t="s">
        <v>20</v>
      </c>
      <c r="G2600" s="4">
        <v>43147</v>
      </c>
      <c r="H2600" s="3" t="s">
        <v>21</v>
      </c>
      <c r="I2600" s="3" t="s">
        <v>47</v>
      </c>
      <c r="J2600" s="5">
        <v>100000</v>
      </c>
      <c r="K2600" s="3">
        <v>2423701</v>
      </c>
      <c r="L2600" s="3" t="s">
        <v>9455</v>
      </c>
      <c r="M2600" s="3" t="s">
        <v>9456</v>
      </c>
      <c r="N2600" s="3">
        <v>418</v>
      </c>
      <c r="P2600" s="3" t="s">
        <v>9457</v>
      </c>
      <c r="Q2600" s="3" t="s">
        <v>4440</v>
      </c>
      <c r="R2600" s="3" t="s">
        <v>187</v>
      </c>
      <c r="S2600" s="3">
        <v>87309185</v>
      </c>
      <c r="T2600" s="3">
        <v>4499303000</v>
      </c>
      <c r="U2600" s="3" t="s">
        <v>29</v>
      </c>
    </row>
    <row r="2601" spans="1:21" ht="13.2" x14ac:dyDescent="0.25">
      <c r="A2601" s="14">
        <v>34209835000178</v>
      </c>
      <c r="B2601" s="15" t="str">
        <f t="shared" si="40"/>
        <v>34.209.835/0001-78</v>
      </c>
      <c r="C2601" s="12"/>
      <c r="D2601" s="3" t="s">
        <v>9458</v>
      </c>
      <c r="E2601" s="3" t="s">
        <v>9458</v>
      </c>
      <c r="F2601" s="3" t="s">
        <v>20</v>
      </c>
      <c r="G2601" s="4">
        <v>43661</v>
      </c>
      <c r="H2601" s="3" t="s">
        <v>21</v>
      </c>
      <c r="I2601" s="3" t="s">
        <v>33</v>
      </c>
      <c r="J2601" s="5">
        <v>1000000</v>
      </c>
      <c r="K2601" s="3">
        <v>4120400</v>
      </c>
      <c r="L2601" s="3" t="s">
        <v>87</v>
      </c>
      <c r="M2601" s="3" t="s">
        <v>5492</v>
      </c>
      <c r="N2601" s="3">
        <v>615</v>
      </c>
      <c r="O2601" s="3" t="s">
        <v>9459</v>
      </c>
      <c r="P2601" s="3" t="s">
        <v>185</v>
      </c>
      <c r="Q2601" s="3" t="s">
        <v>476</v>
      </c>
      <c r="R2601" s="3" t="s">
        <v>100</v>
      </c>
      <c r="S2601" s="3">
        <v>30380103</v>
      </c>
      <c r="T2601" s="3">
        <v>3125192949</v>
      </c>
      <c r="U2601" s="3" t="s">
        <v>29</v>
      </c>
    </row>
    <row r="2602" spans="1:21" ht="13.2" x14ac:dyDescent="0.25">
      <c r="A2602" s="14">
        <v>4743858000105</v>
      </c>
      <c r="B2602" s="15" t="str">
        <f t="shared" si="40"/>
        <v>04.743.858/0001-05</v>
      </c>
      <c r="C2602" s="12" t="str">
        <f>VLOOKUP(B2602,[1]Planilha1!$A:$B,2,0)</f>
        <v>Malu Montesino</v>
      </c>
      <c r="D2602" s="3" t="s">
        <v>9460</v>
      </c>
      <c r="E2602" s="3" t="s">
        <v>9460</v>
      </c>
      <c r="F2602" s="3" t="s">
        <v>20</v>
      </c>
      <c r="G2602" s="4">
        <v>37144</v>
      </c>
      <c r="H2602" s="3" t="s">
        <v>94</v>
      </c>
      <c r="I2602" s="3" t="s">
        <v>33</v>
      </c>
      <c r="J2602" s="5">
        <v>300000000</v>
      </c>
      <c r="K2602" s="3">
        <v>4120400</v>
      </c>
      <c r="L2602" s="3" t="s">
        <v>87</v>
      </c>
      <c r="M2602" s="3" t="s">
        <v>3121</v>
      </c>
      <c r="N2602" s="3">
        <v>1629</v>
      </c>
      <c r="P2602" s="3" t="s">
        <v>316</v>
      </c>
      <c r="Q2602" s="3" t="s">
        <v>27</v>
      </c>
      <c r="R2602" s="3" t="s">
        <v>28</v>
      </c>
      <c r="S2602" s="3">
        <v>4547006</v>
      </c>
      <c r="T2602" s="3">
        <v>1131001250</v>
      </c>
      <c r="U2602" s="3" t="s">
        <v>29</v>
      </c>
    </row>
    <row r="2603" spans="1:21" ht="13.2" x14ac:dyDescent="0.25">
      <c r="A2603" s="14">
        <v>23212165000122</v>
      </c>
      <c r="B2603" s="15" t="str">
        <f t="shared" si="40"/>
        <v>23.212.165/0001-22</v>
      </c>
      <c r="C2603" s="12"/>
      <c r="D2603" s="3" t="s">
        <v>9461</v>
      </c>
      <c r="E2603" s="3" t="s">
        <v>9462</v>
      </c>
      <c r="F2603" s="3" t="s">
        <v>20</v>
      </c>
      <c r="G2603" s="4">
        <v>42250</v>
      </c>
      <c r="H2603" s="3" t="s">
        <v>21</v>
      </c>
      <c r="I2603" s="3" t="s">
        <v>33</v>
      </c>
      <c r="J2603" s="5">
        <v>9059718</v>
      </c>
      <c r="K2603" s="3">
        <v>1721400</v>
      </c>
      <c r="L2603" s="3" t="s">
        <v>820</v>
      </c>
      <c r="M2603" s="3" t="s">
        <v>9463</v>
      </c>
      <c r="N2603" s="3">
        <v>1210</v>
      </c>
      <c r="P2603" s="3" t="s">
        <v>70</v>
      </c>
      <c r="Q2603" s="3" t="s">
        <v>9464</v>
      </c>
      <c r="R2603" s="3" t="s">
        <v>91</v>
      </c>
      <c r="S2603" s="3">
        <v>89480000</v>
      </c>
      <c r="T2603" s="3">
        <v>4736551454</v>
      </c>
      <c r="U2603" s="3" t="s">
        <v>29</v>
      </c>
    </row>
    <row r="2604" spans="1:21" ht="13.2" x14ac:dyDescent="0.25">
      <c r="A2604" s="14">
        <v>25167421000132</v>
      </c>
      <c r="B2604" s="15" t="str">
        <f t="shared" si="40"/>
        <v>25.167.421/0001-32</v>
      </c>
      <c r="C2604" s="12"/>
      <c r="D2604" s="3" t="s">
        <v>9465</v>
      </c>
      <c r="E2604" s="3" t="s">
        <v>9466</v>
      </c>
      <c r="F2604" s="3" t="s">
        <v>45</v>
      </c>
      <c r="G2604" s="4">
        <v>42558</v>
      </c>
      <c r="H2604" s="3" t="s">
        <v>21</v>
      </c>
      <c r="I2604" s="3" t="s">
        <v>47</v>
      </c>
      <c r="J2604" s="5">
        <v>10000</v>
      </c>
      <c r="K2604" s="3">
        <v>4751201</v>
      </c>
      <c r="L2604" s="3" t="s">
        <v>23</v>
      </c>
      <c r="M2604" s="3" t="s">
        <v>6555</v>
      </c>
      <c r="N2604" s="3">
        <v>2426</v>
      </c>
      <c r="O2604" s="3" t="s">
        <v>4486</v>
      </c>
      <c r="P2604" s="3" t="s">
        <v>436</v>
      </c>
      <c r="Q2604" s="3" t="s">
        <v>437</v>
      </c>
      <c r="R2604" s="3" t="s">
        <v>53</v>
      </c>
      <c r="S2604" s="3">
        <v>90240602</v>
      </c>
      <c r="T2604" s="3">
        <v>5132265947</v>
      </c>
      <c r="U2604" s="3" t="s">
        <v>29</v>
      </c>
    </row>
    <row r="2605" spans="1:21" ht="13.2" x14ac:dyDescent="0.25">
      <c r="A2605" s="14">
        <v>1417222000177</v>
      </c>
      <c r="B2605" s="15" t="str">
        <f t="shared" si="40"/>
        <v>01.417.222/0001-77</v>
      </c>
      <c r="C2605" s="12" t="str">
        <f>VLOOKUP(B2605,[1]Planilha1!$A:$B,2,0)</f>
        <v>Malu Montesino</v>
      </c>
      <c r="D2605" s="3" t="s">
        <v>9467</v>
      </c>
      <c r="E2605" s="3" t="s">
        <v>9468</v>
      </c>
      <c r="F2605" s="3" t="s">
        <v>20</v>
      </c>
      <c r="G2605" s="4">
        <v>35312</v>
      </c>
      <c r="H2605" s="3" t="s">
        <v>377</v>
      </c>
      <c r="I2605" s="3" t="s">
        <v>33</v>
      </c>
      <c r="J2605" s="5">
        <v>4760878600</v>
      </c>
      <c r="K2605" s="3">
        <v>4911600</v>
      </c>
      <c r="L2605" s="3" t="s">
        <v>9469</v>
      </c>
      <c r="M2605" s="3" t="s">
        <v>3695</v>
      </c>
      <c r="N2605" s="3">
        <v>228</v>
      </c>
      <c r="O2605" s="3" t="s">
        <v>9470</v>
      </c>
      <c r="P2605" s="3" t="s">
        <v>3697</v>
      </c>
      <c r="Q2605" s="3" t="s">
        <v>253</v>
      </c>
      <c r="R2605" s="3" t="s">
        <v>78</v>
      </c>
      <c r="S2605" s="3">
        <v>22250906</v>
      </c>
      <c r="T2605" s="3">
        <v>3232393515</v>
      </c>
      <c r="U2605" s="3" t="s">
        <v>29</v>
      </c>
    </row>
    <row r="2606" spans="1:21" ht="13.2" x14ac:dyDescent="0.25">
      <c r="A2606" s="14">
        <v>8343492000120</v>
      </c>
      <c r="B2606" s="15" t="str">
        <f t="shared" si="40"/>
        <v>08.343.492/0001-20</v>
      </c>
      <c r="C2606" s="12"/>
      <c r="D2606" s="3" t="s">
        <v>9471</v>
      </c>
      <c r="E2606" s="3" t="s">
        <v>9471</v>
      </c>
      <c r="F2606" s="3" t="s">
        <v>20</v>
      </c>
      <c r="G2606" s="4">
        <v>38989</v>
      </c>
      <c r="H2606" s="3" t="s">
        <v>377</v>
      </c>
      <c r="I2606" s="3" t="s">
        <v>33</v>
      </c>
      <c r="J2606" s="5">
        <v>5980309000</v>
      </c>
      <c r="K2606" s="3">
        <v>4110700</v>
      </c>
      <c r="L2606" s="3" t="s">
        <v>4133</v>
      </c>
      <c r="M2606" s="3" t="s">
        <v>9472</v>
      </c>
      <c r="N2606" s="3">
        <v>621</v>
      </c>
      <c r="O2606" s="3" t="s">
        <v>9473</v>
      </c>
      <c r="P2606" s="3" t="s">
        <v>2655</v>
      </c>
      <c r="Q2606" s="3" t="s">
        <v>476</v>
      </c>
      <c r="R2606" s="3" t="s">
        <v>100</v>
      </c>
      <c r="S2606" s="3">
        <v>30455610</v>
      </c>
      <c r="T2606" s="3">
        <v>3136146968</v>
      </c>
      <c r="U2606" s="3" t="s">
        <v>29</v>
      </c>
    </row>
    <row r="2607" spans="1:21" ht="13.2" x14ac:dyDescent="0.25">
      <c r="A2607" s="14">
        <v>28531958000128</v>
      </c>
      <c r="B2607" s="15" t="str">
        <f t="shared" si="40"/>
        <v>28.531.958/0001-28</v>
      </c>
      <c r="C2607" s="12" t="str">
        <f>VLOOKUP(B2607,[1]Planilha1!$A:$B,2,0)</f>
        <v>Mariane Nascimento</v>
      </c>
      <c r="D2607" s="3" t="s">
        <v>9474</v>
      </c>
      <c r="E2607" s="3" t="s">
        <v>9475</v>
      </c>
      <c r="F2607" s="3" t="s">
        <v>20</v>
      </c>
      <c r="G2607" s="4">
        <v>42976</v>
      </c>
      <c r="H2607" s="3" t="s">
        <v>21</v>
      </c>
      <c r="I2607" s="3" t="s">
        <v>22</v>
      </c>
      <c r="J2607" s="5">
        <v>500000</v>
      </c>
      <c r="K2607" s="3">
        <v>4789099</v>
      </c>
      <c r="L2607" s="3" t="s">
        <v>774</v>
      </c>
      <c r="M2607" s="3" t="s">
        <v>2955</v>
      </c>
      <c r="N2607" s="3">
        <v>357</v>
      </c>
      <c r="P2607" s="3" t="s">
        <v>9476</v>
      </c>
      <c r="Q2607" s="3" t="s">
        <v>1410</v>
      </c>
      <c r="R2607" s="3" t="s">
        <v>28</v>
      </c>
      <c r="S2607" s="3">
        <v>9110150</v>
      </c>
      <c r="T2607" s="3">
        <v>1142510714</v>
      </c>
      <c r="U2607" s="3" t="s">
        <v>29</v>
      </c>
    </row>
    <row r="2608" spans="1:21" ht="13.2" x14ac:dyDescent="0.25">
      <c r="A2608" s="14">
        <v>1405834000140</v>
      </c>
      <c r="B2608" s="15" t="str">
        <f t="shared" si="40"/>
        <v>01.405.834/0001-40</v>
      </c>
      <c r="C2608" s="12" t="str">
        <f>VLOOKUP(B2608,[1]Planilha1!$A:$B,2,0)</f>
        <v>Mariane Nascimento</v>
      </c>
      <c r="D2608" s="3" t="s">
        <v>9477</v>
      </c>
      <c r="E2608" s="3" t="s">
        <v>9477</v>
      </c>
      <c r="F2608" s="3" t="s">
        <v>20</v>
      </c>
      <c r="G2608" s="4">
        <v>35310</v>
      </c>
      <c r="H2608" s="3" t="s">
        <v>21</v>
      </c>
      <c r="I2608" s="3" t="s">
        <v>22</v>
      </c>
      <c r="J2608" s="5">
        <v>1000000</v>
      </c>
      <c r="K2608" s="3">
        <v>2660400</v>
      </c>
      <c r="L2608" s="3" t="s">
        <v>953</v>
      </c>
      <c r="M2608" s="3" t="s">
        <v>9478</v>
      </c>
      <c r="N2608" s="3">
        <v>215</v>
      </c>
      <c r="O2608" s="3" t="s">
        <v>4696</v>
      </c>
      <c r="P2608" s="3" t="s">
        <v>7726</v>
      </c>
      <c r="Q2608" s="3" t="s">
        <v>6863</v>
      </c>
      <c r="R2608" s="3" t="s">
        <v>100</v>
      </c>
      <c r="S2608" s="3">
        <v>37545000</v>
      </c>
      <c r="T2608" s="3">
        <v>3534222189</v>
      </c>
      <c r="U2608" s="3" t="s">
        <v>29</v>
      </c>
    </row>
    <row r="2609" spans="1:21" ht="13.2" x14ac:dyDescent="0.25">
      <c r="A2609" s="14">
        <v>9229458000191</v>
      </c>
      <c r="B2609" s="15" t="str">
        <f t="shared" si="40"/>
        <v>09.229.458/0001-91</v>
      </c>
      <c r="C2609" s="12"/>
      <c r="D2609" s="3" t="s">
        <v>9479</v>
      </c>
      <c r="E2609" s="3" t="s">
        <v>9480</v>
      </c>
      <c r="F2609" s="3" t="s">
        <v>20</v>
      </c>
      <c r="G2609" s="4">
        <v>39415</v>
      </c>
      <c r="H2609" s="3" t="s">
        <v>21</v>
      </c>
      <c r="I2609" s="3" t="s">
        <v>33</v>
      </c>
      <c r="J2609" s="5">
        <v>1700000</v>
      </c>
      <c r="K2609" s="3">
        <v>4321500</v>
      </c>
      <c r="L2609" s="3" t="s">
        <v>964</v>
      </c>
      <c r="M2609" s="3" t="s">
        <v>9481</v>
      </c>
      <c r="N2609" s="3" t="s">
        <v>111</v>
      </c>
      <c r="O2609" s="3" t="s">
        <v>9482</v>
      </c>
      <c r="P2609" s="3" t="s">
        <v>1745</v>
      </c>
      <c r="Q2609" s="3" t="s">
        <v>631</v>
      </c>
      <c r="R2609" s="3" t="s">
        <v>632</v>
      </c>
      <c r="S2609" s="3">
        <v>70365540</v>
      </c>
      <c r="T2609" s="3">
        <v>6134653366</v>
      </c>
      <c r="U2609" s="3" t="s">
        <v>29</v>
      </c>
    </row>
    <row r="2610" spans="1:21" ht="13.2" x14ac:dyDescent="0.25">
      <c r="A2610" s="14">
        <v>15123568000177</v>
      </c>
      <c r="B2610" s="15" t="str">
        <f t="shared" si="40"/>
        <v>15.123.568/0001-77</v>
      </c>
      <c r="C2610" s="12"/>
      <c r="D2610" s="3" t="s">
        <v>9483</v>
      </c>
      <c r="E2610" s="3" t="s">
        <v>9484</v>
      </c>
      <c r="F2610" s="3" t="s">
        <v>20</v>
      </c>
      <c r="G2610" s="4">
        <v>40961</v>
      </c>
      <c r="H2610" s="3" t="s">
        <v>21</v>
      </c>
      <c r="I2610" s="3" t="s">
        <v>47</v>
      </c>
      <c r="J2610" s="5">
        <v>50000</v>
      </c>
      <c r="K2610" s="3">
        <v>4930204</v>
      </c>
      <c r="L2610" s="3" t="s">
        <v>9485</v>
      </c>
      <c r="M2610" s="3" t="s">
        <v>9486</v>
      </c>
      <c r="N2610" s="3" t="s">
        <v>111</v>
      </c>
      <c r="O2610" s="3" t="s">
        <v>9487</v>
      </c>
      <c r="P2610" s="3" t="s">
        <v>9488</v>
      </c>
      <c r="Q2610" s="3" t="s">
        <v>9489</v>
      </c>
      <c r="R2610" s="3" t="s">
        <v>274</v>
      </c>
      <c r="S2610" s="3">
        <v>72925471</v>
      </c>
      <c r="T2610" s="3">
        <v>6136186088</v>
      </c>
      <c r="U2610" s="3" t="s">
        <v>29</v>
      </c>
    </row>
    <row r="2611" spans="1:21" ht="13.2" x14ac:dyDescent="0.25">
      <c r="A2611" s="14">
        <v>11938604000108</v>
      </c>
      <c r="B2611" s="15" t="str">
        <f t="shared" si="40"/>
        <v>11.938.604/0001-08</v>
      </c>
      <c r="C2611" s="12" t="str">
        <f>VLOOKUP(B2611,[1]Planilha1!$A:$B,2,0)</f>
        <v>Malu Montesino</v>
      </c>
      <c r="D2611" s="3" t="s">
        <v>9490</v>
      </c>
      <c r="E2611" s="3" t="s">
        <v>9490</v>
      </c>
      <c r="F2611" s="3" t="s">
        <v>20</v>
      </c>
      <c r="G2611" s="4">
        <v>40309</v>
      </c>
      <c r="H2611" s="3" t="s">
        <v>21</v>
      </c>
      <c r="I2611" s="3" t="s">
        <v>33</v>
      </c>
      <c r="J2611" s="5">
        <v>6000000</v>
      </c>
      <c r="K2611" s="3">
        <v>2854200</v>
      </c>
      <c r="L2611" s="3" t="s">
        <v>5124</v>
      </c>
      <c r="M2611" s="3" t="s">
        <v>9491</v>
      </c>
      <c r="N2611" s="3">
        <v>5195</v>
      </c>
      <c r="O2611" s="3" t="s">
        <v>9492</v>
      </c>
      <c r="P2611" s="3" t="s">
        <v>9112</v>
      </c>
      <c r="Q2611" s="3" t="s">
        <v>603</v>
      </c>
      <c r="R2611" s="3" t="s">
        <v>53</v>
      </c>
      <c r="S2611" s="3">
        <v>94130390</v>
      </c>
      <c r="T2611" s="3">
        <v>5134883488</v>
      </c>
      <c r="U2611" s="3" t="s">
        <v>29</v>
      </c>
    </row>
    <row r="2612" spans="1:21" ht="13.2" x14ac:dyDescent="0.25">
      <c r="A2612" s="14">
        <v>62334156000166</v>
      </c>
      <c r="B2612" s="15" t="str">
        <f t="shared" si="40"/>
        <v>62.334.156/0001-66</v>
      </c>
      <c r="C2612" s="12" t="str">
        <f>VLOOKUP(B2612,[1]Planilha1!$A:$B,2,0)</f>
        <v>Malu Montesino</v>
      </c>
      <c r="D2612" s="3" t="s">
        <v>9493</v>
      </c>
      <c r="E2612" s="3" t="s">
        <v>9493</v>
      </c>
      <c r="F2612" s="3" t="s">
        <v>20</v>
      </c>
      <c r="G2612" s="4">
        <v>32909</v>
      </c>
      <c r="H2612" s="3" t="s">
        <v>21</v>
      </c>
      <c r="I2612" s="3" t="s">
        <v>33</v>
      </c>
      <c r="J2612" s="5">
        <v>100000</v>
      </c>
      <c r="K2612" s="3">
        <v>4664800</v>
      </c>
      <c r="L2612" s="3" t="s">
        <v>691</v>
      </c>
      <c r="M2612" s="3" t="s">
        <v>9494</v>
      </c>
      <c r="N2612" s="3">
        <v>160</v>
      </c>
      <c r="P2612" s="3" t="s">
        <v>9495</v>
      </c>
      <c r="Q2612" s="3" t="s">
        <v>231</v>
      </c>
      <c r="R2612" s="3" t="s">
        <v>28</v>
      </c>
      <c r="S2612" s="3">
        <v>18017008</v>
      </c>
      <c r="T2612" s="3">
        <v>1532374414</v>
      </c>
      <c r="U2612" s="3" t="s">
        <v>29</v>
      </c>
    </row>
    <row r="2613" spans="1:21" ht="13.2" x14ac:dyDescent="0.25">
      <c r="A2613" s="14">
        <v>7846117000130</v>
      </c>
      <c r="B2613" s="15" t="str">
        <f t="shared" si="40"/>
        <v>07.846.117/0001-30</v>
      </c>
      <c r="C2613" s="12"/>
      <c r="D2613" s="3" t="s">
        <v>9496</v>
      </c>
      <c r="E2613" s="3" t="s">
        <v>9496</v>
      </c>
      <c r="F2613" s="3" t="s">
        <v>20</v>
      </c>
      <c r="G2613" s="4">
        <v>38666</v>
      </c>
      <c r="H2613" s="3" t="s">
        <v>21</v>
      </c>
      <c r="I2613" s="3" t="s">
        <v>33</v>
      </c>
      <c r="J2613" s="5">
        <v>150000</v>
      </c>
      <c r="K2613" s="3">
        <v>3312102</v>
      </c>
      <c r="L2613" s="3" t="s">
        <v>3184</v>
      </c>
      <c r="M2613" s="3" t="s">
        <v>9497</v>
      </c>
      <c r="N2613" s="3">
        <v>5100</v>
      </c>
      <c r="P2613" s="3" t="s">
        <v>9498</v>
      </c>
      <c r="Q2613" s="3" t="s">
        <v>929</v>
      </c>
      <c r="R2613" s="3" t="s">
        <v>28</v>
      </c>
      <c r="S2613" s="3">
        <v>6515001</v>
      </c>
      <c r="T2613" s="3">
        <v>1130443332</v>
      </c>
      <c r="U2613" s="3" t="s">
        <v>29</v>
      </c>
    </row>
    <row r="2614" spans="1:21" ht="13.2" x14ac:dyDescent="0.25">
      <c r="A2614" s="14">
        <v>15457042000123</v>
      </c>
      <c r="B2614" s="15" t="str">
        <f t="shared" si="40"/>
        <v>15.457.042/0001-23</v>
      </c>
      <c r="C2614" s="12"/>
      <c r="D2614" s="3" t="s">
        <v>9499</v>
      </c>
      <c r="E2614" s="3" t="s">
        <v>9500</v>
      </c>
      <c r="F2614" s="3" t="s">
        <v>20</v>
      </c>
      <c r="G2614" s="4">
        <v>41017</v>
      </c>
      <c r="H2614" s="3" t="s">
        <v>21</v>
      </c>
      <c r="I2614" s="3" t="s">
        <v>33</v>
      </c>
      <c r="J2614" s="5">
        <v>740000</v>
      </c>
      <c r="K2614" s="3">
        <v>2833000</v>
      </c>
      <c r="L2614" s="3" t="s">
        <v>151</v>
      </c>
      <c r="M2614" s="3" t="s">
        <v>9501</v>
      </c>
      <c r="N2614" s="3">
        <v>352</v>
      </c>
      <c r="O2614" s="3" t="s">
        <v>9502</v>
      </c>
      <c r="P2614" s="3" t="s">
        <v>9503</v>
      </c>
      <c r="Q2614" s="3" t="s">
        <v>2198</v>
      </c>
      <c r="R2614" s="3" t="s">
        <v>28</v>
      </c>
      <c r="S2614" s="3">
        <v>13814000</v>
      </c>
      <c r="T2614" s="3">
        <v>1938065426</v>
      </c>
      <c r="U2614" s="3" t="s">
        <v>29</v>
      </c>
    </row>
    <row r="2615" spans="1:21" ht="13.2" x14ac:dyDescent="0.25">
      <c r="A2615" s="14">
        <v>1843692000100</v>
      </c>
      <c r="B2615" s="15" t="str">
        <f t="shared" si="40"/>
        <v>01.843.692/0001-00</v>
      </c>
      <c r="C2615" s="12"/>
      <c r="D2615" s="3" t="s">
        <v>9504</v>
      </c>
      <c r="E2615" s="3" t="s">
        <v>9504</v>
      </c>
      <c r="F2615" s="3" t="s">
        <v>20</v>
      </c>
      <c r="G2615" s="4">
        <v>35556</v>
      </c>
      <c r="H2615" s="3" t="s">
        <v>21</v>
      </c>
      <c r="I2615" s="3" t="s">
        <v>33</v>
      </c>
      <c r="J2615" s="5">
        <v>210000</v>
      </c>
      <c r="K2615" s="3">
        <v>8211300</v>
      </c>
      <c r="L2615" s="3" t="s">
        <v>166</v>
      </c>
      <c r="M2615" s="3" t="s">
        <v>6590</v>
      </c>
      <c r="N2615" s="3">
        <v>520</v>
      </c>
      <c r="O2615" s="3" t="s">
        <v>7170</v>
      </c>
      <c r="P2615" s="3" t="s">
        <v>6592</v>
      </c>
      <c r="Q2615" s="3" t="s">
        <v>99</v>
      </c>
      <c r="R2615" s="3" t="s">
        <v>100</v>
      </c>
      <c r="S2615" s="3">
        <v>34006042</v>
      </c>
      <c r="T2615" s="3">
        <v>3132230353</v>
      </c>
      <c r="U2615" s="3" t="s">
        <v>29</v>
      </c>
    </row>
    <row r="2616" spans="1:21" ht="13.2" x14ac:dyDescent="0.25">
      <c r="A2616" s="14">
        <v>639844000187</v>
      </c>
      <c r="B2616" s="15" t="str">
        <f t="shared" si="40"/>
        <v>00.639.844/0001-87</v>
      </c>
      <c r="C2616" s="12"/>
      <c r="D2616" s="3" t="s">
        <v>9505</v>
      </c>
      <c r="E2616" s="3" t="s">
        <v>9505</v>
      </c>
      <c r="F2616" s="3" t="s">
        <v>20</v>
      </c>
      <c r="G2616" s="4">
        <v>34856</v>
      </c>
      <c r="H2616" s="3" t="s">
        <v>21</v>
      </c>
      <c r="I2616" s="3" t="s">
        <v>33</v>
      </c>
      <c r="J2616" s="5">
        <v>14400000</v>
      </c>
      <c r="K2616" s="3">
        <v>4679604</v>
      </c>
      <c r="L2616" s="3" t="s">
        <v>4648</v>
      </c>
      <c r="M2616" s="3" t="s">
        <v>9506</v>
      </c>
      <c r="N2616" s="3">
        <v>126</v>
      </c>
      <c r="P2616" s="3" t="s">
        <v>1015</v>
      </c>
      <c r="Q2616" s="3" t="s">
        <v>27</v>
      </c>
      <c r="R2616" s="3" t="s">
        <v>28</v>
      </c>
      <c r="S2616" s="3">
        <v>3732060</v>
      </c>
      <c r="U2616" s="3" t="s">
        <v>29</v>
      </c>
    </row>
    <row r="2617" spans="1:21" ht="13.2" x14ac:dyDescent="0.25">
      <c r="A2617" s="14">
        <v>3089165000170</v>
      </c>
      <c r="B2617" s="15" t="str">
        <f t="shared" si="40"/>
        <v>03.089.165/0001-70</v>
      </c>
      <c r="C2617" s="12"/>
      <c r="D2617" s="3" t="s">
        <v>9507</v>
      </c>
      <c r="E2617" s="3" t="s">
        <v>9507</v>
      </c>
      <c r="F2617" s="3" t="s">
        <v>20</v>
      </c>
      <c r="G2617" s="4">
        <v>36264</v>
      </c>
      <c r="H2617" s="3" t="s">
        <v>21</v>
      </c>
      <c r="I2617" s="3" t="s">
        <v>33</v>
      </c>
      <c r="J2617" s="5">
        <v>100000</v>
      </c>
      <c r="K2617" s="3">
        <v>4789099</v>
      </c>
      <c r="L2617" s="3" t="s">
        <v>774</v>
      </c>
      <c r="M2617" s="3" t="s">
        <v>1707</v>
      </c>
      <c r="N2617" s="3">
        <v>3760</v>
      </c>
      <c r="P2617" s="3" t="s">
        <v>1708</v>
      </c>
      <c r="Q2617" s="3" t="s">
        <v>1709</v>
      </c>
      <c r="R2617" s="3" t="s">
        <v>28</v>
      </c>
      <c r="S2617" s="3">
        <v>13317212</v>
      </c>
      <c r="T2617" s="3">
        <v>1144090300</v>
      </c>
      <c r="U2617" s="3" t="s">
        <v>29</v>
      </c>
    </row>
    <row r="2618" spans="1:21" ht="13.2" x14ac:dyDescent="0.25">
      <c r="A2618" s="14">
        <v>58507468000157</v>
      </c>
      <c r="B2618" s="15" t="str">
        <f t="shared" si="40"/>
        <v>58.507.468/0001-57</v>
      </c>
      <c r="C2618" s="12"/>
      <c r="D2618" s="3" t="s">
        <v>9508</v>
      </c>
      <c r="E2618" s="3" t="s">
        <v>9508</v>
      </c>
      <c r="F2618" s="3" t="s">
        <v>20</v>
      </c>
      <c r="G2618" s="4">
        <v>32155</v>
      </c>
      <c r="H2618" s="3" t="s">
        <v>21</v>
      </c>
      <c r="I2618" s="3" t="s">
        <v>33</v>
      </c>
      <c r="J2618" s="5">
        <v>30000000</v>
      </c>
      <c r="K2618" s="3">
        <v>4511105</v>
      </c>
      <c r="L2618" s="3" t="s">
        <v>9102</v>
      </c>
      <c r="M2618" s="3" t="s">
        <v>9509</v>
      </c>
      <c r="N2618" s="3">
        <v>187</v>
      </c>
      <c r="P2618" s="3" t="s">
        <v>9510</v>
      </c>
      <c r="Q2618" s="3" t="s">
        <v>85</v>
      </c>
      <c r="R2618" s="3" t="s">
        <v>28</v>
      </c>
      <c r="S2618" s="3">
        <v>13178020</v>
      </c>
      <c r="T2618" s="3">
        <v>1921150909</v>
      </c>
      <c r="U2618" s="3" t="s">
        <v>29</v>
      </c>
    </row>
    <row r="2619" spans="1:21" ht="13.2" x14ac:dyDescent="0.25">
      <c r="A2619" s="14">
        <v>81067860000144</v>
      </c>
      <c r="B2619" s="15" t="str">
        <f t="shared" si="40"/>
        <v>81.067.860/0001-44</v>
      </c>
      <c r="C2619" s="12" t="str">
        <f>VLOOKUP(B2619,[1]Planilha1!$A:$B,2,0)</f>
        <v>Malu Montesino</v>
      </c>
      <c r="D2619" s="3" t="s">
        <v>9511</v>
      </c>
      <c r="E2619" s="3" t="s">
        <v>9511</v>
      </c>
      <c r="F2619" s="3" t="s">
        <v>20</v>
      </c>
      <c r="G2619" s="4">
        <v>32457</v>
      </c>
      <c r="H2619" s="3" t="s">
        <v>21</v>
      </c>
      <c r="I2619" s="3" t="s">
        <v>33</v>
      </c>
      <c r="J2619" s="5">
        <v>105217000</v>
      </c>
      <c r="K2619" s="3">
        <v>2229399</v>
      </c>
      <c r="L2619" s="3" t="s">
        <v>414</v>
      </c>
      <c r="M2619" s="3" t="s">
        <v>1655</v>
      </c>
      <c r="N2619" s="3">
        <v>3329</v>
      </c>
      <c r="O2619" s="3" t="s">
        <v>9512</v>
      </c>
      <c r="P2619" s="3" t="s">
        <v>9513</v>
      </c>
      <c r="Q2619" s="3" t="s">
        <v>186</v>
      </c>
      <c r="R2619" s="3" t="s">
        <v>187</v>
      </c>
      <c r="S2619" s="3">
        <v>83055320</v>
      </c>
      <c r="T2619" s="3">
        <v>4121692600</v>
      </c>
      <c r="U2619" s="3" t="s">
        <v>29</v>
      </c>
    </row>
    <row r="2620" spans="1:21" ht="13.2" x14ac:dyDescent="0.25">
      <c r="A2620" s="14">
        <v>15399354000128</v>
      </c>
      <c r="B2620" s="15" t="str">
        <f t="shared" si="40"/>
        <v>15.399.354/0001-28</v>
      </c>
      <c r="C2620" s="12"/>
      <c r="D2620" s="3" t="s">
        <v>9514</v>
      </c>
      <c r="E2620" s="3" t="s">
        <v>9514</v>
      </c>
      <c r="F2620" s="3" t="s">
        <v>20</v>
      </c>
      <c r="G2620" s="4">
        <v>40981</v>
      </c>
      <c r="H2620" s="3" t="s">
        <v>21</v>
      </c>
      <c r="I2620" s="3" t="s">
        <v>22</v>
      </c>
      <c r="J2620" s="5">
        <v>160000</v>
      </c>
      <c r="K2620" s="3">
        <v>4789005</v>
      </c>
      <c r="L2620" s="3" t="s">
        <v>2831</v>
      </c>
      <c r="M2620" s="3" t="s">
        <v>9515</v>
      </c>
      <c r="N2620" s="3">
        <v>4270</v>
      </c>
      <c r="O2620" s="3" t="s">
        <v>9516</v>
      </c>
      <c r="P2620" s="3" t="s">
        <v>9517</v>
      </c>
      <c r="Q2620" s="3" t="s">
        <v>1217</v>
      </c>
      <c r="R2620" s="3" t="s">
        <v>28</v>
      </c>
      <c r="S2620" s="3">
        <v>14405203</v>
      </c>
      <c r="T2620" s="3">
        <v>1637029025</v>
      </c>
      <c r="U2620" s="3" t="s">
        <v>29</v>
      </c>
    </row>
    <row r="2621" spans="1:21" ht="13.2" x14ac:dyDescent="0.25">
      <c r="A2621" s="14">
        <v>7816890000153</v>
      </c>
      <c r="B2621" s="15" t="str">
        <f t="shared" si="40"/>
        <v>07.816.890/0001-53</v>
      </c>
      <c r="C2621" s="12"/>
      <c r="D2621" s="3" t="s">
        <v>9518</v>
      </c>
      <c r="E2621" s="3" t="s">
        <v>9518</v>
      </c>
      <c r="F2621" s="3" t="s">
        <v>20</v>
      </c>
      <c r="G2621" s="4">
        <v>38741</v>
      </c>
      <c r="H2621" s="3" t="s">
        <v>377</v>
      </c>
      <c r="I2621" s="3" t="s">
        <v>33</v>
      </c>
      <c r="J2621" s="5">
        <v>3158062000</v>
      </c>
      <c r="K2621" s="3">
        <v>6810202</v>
      </c>
      <c r="L2621" s="3" t="s">
        <v>2714</v>
      </c>
      <c r="M2621" s="3" t="s">
        <v>2071</v>
      </c>
      <c r="N2621" s="3">
        <v>4200</v>
      </c>
      <c r="O2621" s="3" t="s">
        <v>9519</v>
      </c>
      <c r="P2621" s="3" t="s">
        <v>252</v>
      </c>
      <c r="Q2621" s="3" t="s">
        <v>253</v>
      </c>
      <c r="R2621" s="3" t="s">
        <v>78</v>
      </c>
      <c r="S2621" s="3">
        <v>22640102</v>
      </c>
      <c r="T2621" s="3">
        <v>2130315200</v>
      </c>
      <c r="U2621" s="3" t="s">
        <v>29</v>
      </c>
    </row>
    <row r="2622" spans="1:21" ht="13.2" x14ac:dyDescent="0.25">
      <c r="A2622" s="14">
        <v>29401298000123</v>
      </c>
      <c r="B2622" s="15" t="str">
        <f t="shared" si="40"/>
        <v>29.401.298/0001-23</v>
      </c>
      <c r="C2622" s="12"/>
      <c r="D2622" s="3" t="s">
        <v>9520</v>
      </c>
      <c r="E2622" s="3" t="s">
        <v>9520</v>
      </c>
      <c r="F2622" s="3" t="s">
        <v>20</v>
      </c>
      <c r="G2622" s="4">
        <v>43110</v>
      </c>
      <c r="H2622" s="3" t="s">
        <v>94</v>
      </c>
      <c r="I2622" s="3" t="s">
        <v>33</v>
      </c>
      <c r="J2622" s="5">
        <v>1170882200</v>
      </c>
      <c r="K2622" s="3">
        <v>6462000</v>
      </c>
      <c r="L2622" s="3" t="s">
        <v>250</v>
      </c>
      <c r="M2622" s="3" t="s">
        <v>2071</v>
      </c>
      <c r="N2622" s="3">
        <v>4200</v>
      </c>
      <c r="O2622" s="3" t="s">
        <v>9521</v>
      </c>
      <c r="P2622" s="3" t="s">
        <v>252</v>
      </c>
      <c r="Q2622" s="3" t="s">
        <v>253</v>
      </c>
      <c r="R2622" s="3" t="s">
        <v>78</v>
      </c>
      <c r="S2622" s="3">
        <v>22640102</v>
      </c>
      <c r="T2622" s="3">
        <v>2130315200</v>
      </c>
      <c r="U2622" s="3" t="s">
        <v>29</v>
      </c>
    </row>
    <row r="2623" spans="1:21" ht="13.2" x14ac:dyDescent="0.25">
      <c r="A2623" s="14">
        <v>60989654000111</v>
      </c>
      <c r="B2623" s="15" t="str">
        <f t="shared" si="40"/>
        <v>60.989.654/0001-11</v>
      </c>
      <c r="C2623" s="12"/>
      <c r="D2623" s="3" t="s">
        <v>9522</v>
      </c>
      <c r="E2623" s="3" t="s">
        <v>9523</v>
      </c>
      <c r="F2623" s="3" t="s">
        <v>20</v>
      </c>
      <c r="G2623" s="4">
        <v>24489</v>
      </c>
      <c r="H2623" s="3" t="s">
        <v>21</v>
      </c>
      <c r="I2623" s="3" t="s">
        <v>33</v>
      </c>
      <c r="J2623" s="5">
        <v>2500000</v>
      </c>
      <c r="K2623" s="3">
        <v>8121400</v>
      </c>
      <c r="L2623" s="3" t="s">
        <v>494</v>
      </c>
      <c r="M2623" s="3" t="s">
        <v>9524</v>
      </c>
      <c r="N2623" s="3">
        <v>492</v>
      </c>
      <c r="P2623" s="3" t="s">
        <v>4421</v>
      </c>
      <c r="Q2623" s="3" t="s">
        <v>27</v>
      </c>
      <c r="R2623" s="3" t="s">
        <v>28</v>
      </c>
      <c r="S2623" s="3">
        <v>3057000</v>
      </c>
      <c r="T2623" s="3">
        <v>1126964040</v>
      </c>
      <c r="U2623" s="3" t="s">
        <v>29</v>
      </c>
    </row>
    <row r="2624" spans="1:21" ht="13.2" x14ac:dyDescent="0.25">
      <c r="A2624" s="14">
        <v>9351462000128</v>
      </c>
      <c r="B2624" s="15" t="str">
        <f t="shared" si="40"/>
        <v>09.351.462/0001-28</v>
      </c>
      <c r="C2624" s="12"/>
      <c r="D2624" s="3" t="s">
        <v>9525</v>
      </c>
      <c r="E2624" s="3" t="s">
        <v>9526</v>
      </c>
      <c r="F2624" s="3" t="s">
        <v>20</v>
      </c>
      <c r="G2624" s="4">
        <v>39409</v>
      </c>
      <c r="H2624" s="3" t="s">
        <v>21</v>
      </c>
      <c r="I2624" s="3" t="s">
        <v>47</v>
      </c>
      <c r="J2624" s="5">
        <v>30000</v>
      </c>
      <c r="K2624" s="3">
        <v>4530703</v>
      </c>
      <c r="L2624" s="3" t="s">
        <v>768</v>
      </c>
      <c r="M2624" s="3" t="s">
        <v>2784</v>
      </c>
      <c r="N2624" s="3">
        <v>85</v>
      </c>
      <c r="P2624" s="3" t="s">
        <v>9527</v>
      </c>
      <c r="Q2624" s="3" t="s">
        <v>4962</v>
      </c>
      <c r="R2624" s="3" t="s">
        <v>100</v>
      </c>
      <c r="S2624" s="3">
        <v>37030355</v>
      </c>
      <c r="T2624" s="3">
        <v>3532215704</v>
      </c>
      <c r="U2624" s="3" t="s">
        <v>29</v>
      </c>
    </row>
    <row r="2625" spans="1:21" ht="13.2" x14ac:dyDescent="0.25">
      <c r="A2625" s="14">
        <v>45857250000180</v>
      </c>
      <c r="B2625" s="15" t="str">
        <f t="shared" si="40"/>
        <v>45.857.250/0001-80</v>
      </c>
      <c r="C2625" s="12"/>
      <c r="D2625" s="3" t="s">
        <v>9528</v>
      </c>
      <c r="E2625" s="3" t="s">
        <v>9529</v>
      </c>
      <c r="F2625" s="3" t="s">
        <v>20</v>
      </c>
      <c r="G2625" s="4">
        <v>44651</v>
      </c>
      <c r="H2625" s="3" t="s">
        <v>21</v>
      </c>
      <c r="I2625" s="3" t="s">
        <v>47</v>
      </c>
      <c r="J2625" s="5">
        <v>50000</v>
      </c>
      <c r="K2625" s="3">
        <v>7490104</v>
      </c>
      <c r="L2625" s="3" t="s">
        <v>1597</v>
      </c>
      <c r="M2625" s="3" t="s">
        <v>9530</v>
      </c>
      <c r="N2625" s="3">
        <v>20</v>
      </c>
      <c r="P2625" s="3" t="s">
        <v>5027</v>
      </c>
      <c r="Q2625" s="3" t="s">
        <v>27</v>
      </c>
      <c r="R2625" s="3" t="s">
        <v>28</v>
      </c>
      <c r="S2625" s="3">
        <v>5115040</v>
      </c>
      <c r="T2625" s="3">
        <v>1158122456</v>
      </c>
      <c r="U2625" s="3" t="s">
        <v>29</v>
      </c>
    </row>
    <row r="2626" spans="1:21" ht="13.2" x14ac:dyDescent="0.25">
      <c r="A2626" s="14">
        <v>21192337000118</v>
      </c>
      <c r="B2626" s="15" t="str">
        <f t="shared" si="40"/>
        <v>21.192.337/0001-18</v>
      </c>
      <c r="C2626" s="12"/>
      <c r="D2626" s="3" t="s">
        <v>9531</v>
      </c>
      <c r="E2626" s="3" t="s">
        <v>9531</v>
      </c>
      <c r="F2626" s="3" t="s">
        <v>20</v>
      </c>
      <c r="G2626" s="4">
        <v>41920</v>
      </c>
      <c r="H2626" s="3" t="s">
        <v>21</v>
      </c>
      <c r="I2626" s="3" t="s">
        <v>33</v>
      </c>
      <c r="J2626" s="5">
        <v>88000</v>
      </c>
      <c r="K2626" s="3">
        <v>4642702</v>
      </c>
      <c r="L2626" s="3" t="s">
        <v>1139</v>
      </c>
      <c r="M2626" s="3" t="s">
        <v>9532</v>
      </c>
      <c r="N2626" s="3">
        <v>173</v>
      </c>
      <c r="P2626" s="3" t="s">
        <v>9533</v>
      </c>
      <c r="Q2626" s="3" t="s">
        <v>4404</v>
      </c>
      <c r="R2626" s="3" t="s">
        <v>28</v>
      </c>
      <c r="S2626" s="3">
        <v>8584340</v>
      </c>
      <c r="T2626" s="3">
        <v>1143311785</v>
      </c>
      <c r="U2626" s="3" t="s">
        <v>29</v>
      </c>
    </row>
    <row r="2627" spans="1:21" ht="13.2" x14ac:dyDescent="0.25">
      <c r="A2627" s="14">
        <v>46137444000174</v>
      </c>
      <c r="B2627" s="15" t="str">
        <f t="shared" ref="B2627:B2690" si="41">TEXT(A2627,"00\.000\.000\/0000\-00")</f>
        <v>46.137.444/0001-74</v>
      </c>
      <c r="C2627" s="12"/>
      <c r="D2627" s="3" t="s">
        <v>9534</v>
      </c>
      <c r="E2627" s="3" t="s">
        <v>9534</v>
      </c>
      <c r="F2627" s="3" t="s">
        <v>20</v>
      </c>
      <c r="G2627" s="4">
        <v>27381</v>
      </c>
      <c r="H2627" s="3" t="s">
        <v>14</v>
      </c>
      <c r="I2627" s="3" t="s">
        <v>33</v>
      </c>
      <c r="J2627" s="5">
        <v>0</v>
      </c>
      <c r="K2627" s="3">
        <v>8411600</v>
      </c>
      <c r="L2627" s="3" t="s">
        <v>621</v>
      </c>
      <c r="M2627" s="3" t="s">
        <v>780</v>
      </c>
      <c r="N2627" s="3">
        <v>650</v>
      </c>
      <c r="P2627" s="3" t="s">
        <v>70</v>
      </c>
      <c r="Q2627" s="3" t="s">
        <v>2051</v>
      </c>
      <c r="R2627" s="3" t="s">
        <v>28</v>
      </c>
      <c r="S2627" s="3">
        <v>17120001</v>
      </c>
      <c r="U2627" s="3" t="s">
        <v>29</v>
      </c>
    </row>
    <row r="2628" spans="1:21" ht="13.2" x14ac:dyDescent="0.25">
      <c r="A2628" s="14">
        <v>45279635000108</v>
      </c>
      <c r="B2628" s="15" t="str">
        <f t="shared" si="41"/>
        <v>45.279.635/0001-08</v>
      </c>
      <c r="C2628" s="12"/>
      <c r="D2628" s="3" t="s">
        <v>9535</v>
      </c>
      <c r="E2628" s="3" t="s">
        <v>9536</v>
      </c>
      <c r="F2628" s="3" t="s">
        <v>20</v>
      </c>
      <c r="G2628" s="4">
        <v>27382</v>
      </c>
      <c r="H2628" s="3" t="s">
        <v>14</v>
      </c>
      <c r="I2628" s="3" t="s">
        <v>33</v>
      </c>
      <c r="J2628" s="5">
        <v>0</v>
      </c>
      <c r="K2628" s="3">
        <v>8411600</v>
      </c>
      <c r="L2628" s="3" t="s">
        <v>621</v>
      </c>
      <c r="M2628" s="3" t="s">
        <v>9537</v>
      </c>
      <c r="N2628" s="3">
        <v>252</v>
      </c>
      <c r="Q2628" s="3" t="s">
        <v>2905</v>
      </c>
      <c r="R2628" s="3" t="s">
        <v>28</v>
      </c>
      <c r="S2628" s="3">
        <v>12940560</v>
      </c>
      <c r="U2628" s="3" t="s">
        <v>29</v>
      </c>
    </row>
    <row r="2629" spans="1:21" ht="13.2" x14ac:dyDescent="0.25">
      <c r="A2629" s="14">
        <v>46634168000150</v>
      </c>
      <c r="B2629" s="15" t="str">
        <f t="shared" si="41"/>
        <v>46.634.168/0001-50</v>
      </c>
      <c r="C2629" s="12"/>
      <c r="D2629" s="3" t="s">
        <v>9538</v>
      </c>
      <c r="E2629" s="3" t="s">
        <v>9539</v>
      </c>
      <c r="F2629" s="3" t="s">
        <v>20</v>
      </c>
      <c r="G2629" s="4">
        <v>27386</v>
      </c>
      <c r="H2629" s="3" t="s">
        <v>14</v>
      </c>
      <c r="I2629" s="3" t="s">
        <v>33</v>
      </c>
      <c r="J2629" s="5">
        <v>0</v>
      </c>
      <c r="K2629" s="3">
        <v>8411600</v>
      </c>
      <c r="L2629" s="3" t="s">
        <v>621</v>
      </c>
      <c r="M2629" s="3" t="s">
        <v>9540</v>
      </c>
      <c r="N2629" s="3">
        <v>1169</v>
      </c>
      <c r="P2629" s="3" t="s">
        <v>70</v>
      </c>
      <c r="Q2629" s="3" t="s">
        <v>3990</v>
      </c>
      <c r="R2629" s="3" t="s">
        <v>28</v>
      </c>
      <c r="S2629" s="3">
        <v>18705900</v>
      </c>
      <c r="T2629" s="3">
        <v>1437112500</v>
      </c>
      <c r="U2629" s="3" t="s">
        <v>29</v>
      </c>
    </row>
    <row r="2630" spans="1:21" ht="13.2" x14ac:dyDescent="0.25">
      <c r="A2630" s="14">
        <v>46137410000180</v>
      </c>
      <c r="B2630" s="15" t="str">
        <f t="shared" si="41"/>
        <v>46.137.410/0001-80</v>
      </c>
      <c r="C2630" s="12"/>
      <c r="D2630" s="3" t="s">
        <v>9541</v>
      </c>
      <c r="E2630" s="3" t="s">
        <v>9542</v>
      </c>
      <c r="F2630" s="3" t="s">
        <v>20</v>
      </c>
      <c r="G2630" s="4">
        <v>27381</v>
      </c>
      <c r="H2630" s="3" t="s">
        <v>14</v>
      </c>
      <c r="I2630" s="3" t="s">
        <v>33</v>
      </c>
      <c r="J2630" s="5">
        <v>0</v>
      </c>
      <c r="K2630" s="3">
        <v>8411600</v>
      </c>
      <c r="L2630" s="3" t="s">
        <v>621</v>
      </c>
      <c r="M2630" s="3" t="s">
        <v>9543</v>
      </c>
      <c r="N2630" s="3" t="s">
        <v>9544</v>
      </c>
      <c r="P2630" s="3" t="s">
        <v>9545</v>
      </c>
      <c r="Q2630" s="3" t="s">
        <v>324</v>
      </c>
      <c r="R2630" s="3" t="s">
        <v>28</v>
      </c>
      <c r="S2630" s="3">
        <v>17014900</v>
      </c>
      <c r="T2630" s="3">
        <v>1432351472</v>
      </c>
      <c r="U2630" s="3" t="s">
        <v>29</v>
      </c>
    </row>
    <row r="2631" spans="1:21" ht="13.2" x14ac:dyDescent="0.25">
      <c r="A2631" s="14">
        <v>46634101000115</v>
      </c>
      <c r="B2631" s="15" t="str">
        <f t="shared" si="41"/>
        <v>46.634.101/0001-15</v>
      </c>
      <c r="C2631" s="12"/>
      <c r="D2631" s="3" t="s">
        <v>9546</v>
      </c>
      <c r="E2631" s="3" t="s">
        <v>9547</v>
      </c>
      <c r="F2631" s="3" t="s">
        <v>20</v>
      </c>
      <c r="G2631" s="4">
        <v>27386</v>
      </c>
      <c r="H2631" s="3" t="s">
        <v>14</v>
      </c>
      <c r="I2631" s="3" t="s">
        <v>33</v>
      </c>
      <c r="J2631" s="5">
        <v>0</v>
      </c>
      <c r="K2631" s="3">
        <v>8411600</v>
      </c>
      <c r="L2631" s="3" t="s">
        <v>621</v>
      </c>
      <c r="M2631" s="3" t="s">
        <v>9548</v>
      </c>
      <c r="N2631" s="3">
        <v>100</v>
      </c>
      <c r="P2631" s="3" t="s">
        <v>70</v>
      </c>
      <c r="Q2631" s="3" t="s">
        <v>3056</v>
      </c>
      <c r="R2631" s="3" t="s">
        <v>28</v>
      </c>
      <c r="S2631" s="3">
        <v>18600900</v>
      </c>
      <c r="U2631" s="3" t="s">
        <v>29</v>
      </c>
    </row>
    <row r="2632" spans="1:21" ht="13.2" x14ac:dyDescent="0.25">
      <c r="A2632" s="14">
        <v>46352746000165</v>
      </c>
      <c r="B2632" s="15" t="str">
        <f t="shared" si="41"/>
        <v>46.352.746/0001-65</v>
      </c>
      <c r="C2632" s="12"/>
      <c r="D2632" s="3" t="s">
        <v>9549</v>
      </c>
      <c r="E2632" s="3" t="s">
        <v>9549</v>
      </c>
      <c r="F2632" s="3" t="s">
        <v>20</v>
      </c>
      <c r="G2632" s="4">
        <v>26974</v>
      </c>
      <c r="H2632" s="3" t="s">
        <v>14</v>
      </c>
      <c r="I2632" s="3" t="s">
        <v>33</v>
      </c>
      <c r="J2632" s="5">
        <v>0</v>
      </c>
      <c r="K2632" s="3">
        <v>8411600</v>
      </c>
      <c r="L2632" s="3" t="s">
        <v>621</v>
      </c>
      <c r="M2632" s="3" t="s">
        <v>9550</v>
      </c>
      <c r="N2632" s="3">
        <v>2015</v>
      </c>
      <c r="P2632" s="3" t="s">
        <v>9551</v>
      </c>
      <c r="Q2632" s="3" t="s">
        <v>2313</v>
      </c>
      <c r="R2632" s="3" t="s">
        <v>28</v>
      </c>
      <c r="S2632" s="3">
        <v>12900011</v>
      </c>
      <c r="U2632" s="3" t="s">
        <v>29</v>
      </c>
    </row>
    <row r="2633" spans="1:21" ht="13.2" x14ac:dyDescent="0.25">
      <c r="A2633" s="14">
        <v>27165588000190</v>
      </c>
      <c r="B2633" s="15" t="str">
        <f t="shared" si="41"/>
        <v>27.165.588/0001-90</v>
      </c>
      <c r="C2633" s="12"/>
      <c r="D2633" s="3" t="s">
        <v>9552</v>
      </c>
      <c r="E2633" s="3" t="s">
        <v>9553</v>
      </c>
      <c r="F2633" s="3" t="s">
        <v>20</v>
      </c>
      <c r="G2633" s="4">
        <v>27393</v>
      </c>
      <c r="H2633" s="3" t="s">
        <v>14</v>
      </c>
      <c r="I2633" s="3" t="s">
        <v>33</v>
      </c>
      <c r="J2633" s="5">
        <v>0</v>
      </c>
      <c r="K2633" s="3">
        <v>8411600</v>
      </c>
      <c r="L2633" s="3" t="s">
        <v>621</v>
      </c>
      <c r="M2633" s="3" t="s">
        <v>9554</v>
      </c>
      <c r="N2633" s="3">
        <v>28</v>
      </c>
      <c r="P2633" s="3" t="s">
        <v>70</v>
      </c>
      <c r="Q2633" s="3" t="s">
        <v>7690</v>
      </c>
      <c r="R2633" s="3" t="s">
        <v>765</v>
      </c>
      <c r="S2633" s="3">
        <v>29300100</v>
      </c>
      <c r="U2633" s="3" t="s">
        <v>29</v>
      </c>
    </row>
    <row r="2634" spans="1:21" ht="13.2" x14ac:dyDescent="0.25">
      <c r="A2634" s="14">
        <v>51885242000140</v>
      </c>
      <c r="B2634" s="15" t="str">
        <f t="shared" si="41"/>
        <v>51.885.242/0001-40</v>
      </c>
      <c r="C2634" s="12"/>
      <c r="D2634" s="3" t="s">
        <v>9555</v>
      </c>
      <c r="E2634" s="3" t="s">
        <v>9556</v>
      </c>
      <c r="F2634" s="3" t="s">
        <v>20</v>
      </c>
      <c r="G2634" s="4">
        <v>29768</v>
      </c>
      <c r="H2634" s="3" t="s">
        <v>14</v>
      </c>
      <c r="I2634" s="3" t="s">
        <v>33</v>
      </c>
      <c r="J2634" s="5">
        <v>0</v>
      </c>
      <c r="K2634" s="3">
        <v>8411600</v>
      </c>
      <c r="L2634" s="3" t="s">
        <v>621</v>
      </c>
      <c r="M2634" s="3" t="s">
        <v>7583</v>
      </c>
      <c r="N2634" s="3">
        <v>200</v>
      </c>
      <c r="O2634" s="3" t="s">
        <v>3438</v>
      </c>
      <c r="P2634" s="3" t="s">
        <v>70</v>
      </c>
      <c r="Q2634" s="3" t="s">
        <v>65</v>
      </c>
      <c r="R2634" s="3" t="s">
        <v>28</v>
      </c>
      <c r="S2634" s="3">
        <v>13015904</v>
      </c>
      <c r="U2634" s="3" t="s">
        <v>29</v>
      </c>
    </row>
    <row r="2635" spans="1:21" ht="13.2" x14ac:dyDescent="0.25">
      <c r="A2635" s="14">
        <v>37464716000150</v>
      </c>
      <c r="B2635" s="15" t="str">
        <f t="shared" si="41"/>
        <v>37.464.716/0001-50</v>
      </c>
      <c r="C2635" s="12"/>
      <c r="D2635" s="3" t="s">
        <v>9557</v>
      </c>
      <c r="E2635" s="3" t="s">
        <v>9558</v>
      </c>
      <c r="F2635" s="3" t="s">
        <v>20</v>
      </c>
      <c r="G2635" s="4">
        <v>33903</v>
      </c>
      <c r="H2635" s="3" t="s">
        <v>14</v>
      </c>
      <c r="I2635" s="3" t="s">
        <v>33</v>
      </c>
      <c r="J2635" s="5">
        <v>0</v>
      </c>
      <c r="K2635" s="3">
        <v>8411600</v>
      </c>
      <c r="L2635" s="3" t="s">
        <v>621</v>
      </c>
      <c r="M2635" s="3" t="s">
        <v>9559</v>
      </c>
      <c r="N2635" s="3">
        <v>286</v>
      </c>
      <c r="P2635" s="3" t="s">
        <v>70</v>
      </c>
      <c r="Q2635" s="3" t="s">
        <v>9560</v>
      </c>
      <c r="R2635" s="3" t="s">
        <v>225</v>
      </c>
      <c r="S2635" s="3">
        <v>78652000</v>
      </c>
      <c r="T2635" s="3">
        <v>6635641818</v>
      </c>
      <c r="U2635" s="3" t="s">
        <v>29</v>
      </c>
    </row>
    <row r="2636" spans="1:21" ht="13.2" x14ac:dyDescent="0.25">
      <c r="A2636" s="14">
        <v>46189726000115</v>
      </c>
      <c r="B2636" s="15" t="str">
        <f t="shared" si="41"/>
        <v>46.189.726/0001-15</v>
      </c>
      <c r="C2636" s="12"/>
      <c r="D2636" s="3" t="s">
        <v>9561</v>
      </c>
      <c r="E2636" s="3" t="s">
        <v>9562</v>
      </c>
      <c r="F2636" s="3" t="s">
        <v>20</v>
      </c>
      <c r="G2636" s="4">
        <v>27386</v>
      </c>
      <c r="H2636" s="3" t="s">
        <v>14</v>
      </c>
      <c r="I2636" s="3" t="s">
        <v>33</v>
      </c>
      <c r="J2636" s="5">
        <v>0</v>
      </c>
      <c r="K2636" s="3">
        <v>8411600</v>
      </c>
      <c r="L2636" s="3" t="s">
        <v>621</v>
      </c>
      <c r="M2636" s="3" t="s">
        <v>9563</v>
      </c>
      <c r="N2636" s="3">
        <v>73</v>
      </c>
      <c r="P2636" s="3" t="s">
        <v>70</v>
      </c>
      <c r="Q2636" s="3" t="s">
        <v>8201</v>
      </c>
      <c r="R2636" s="3" t="s">
        <v>28</v>
      </c>
      <c r="S2636" s="3">
        <v>17230000</v>
      </c>
      <c r="T2636" s="3">
        <v>1436648040</v>
      </c>
      <c r="U2636" s="3" t="s">
        <v>29</v>
      </c>
    </row>
    <row r="2637" spans="1:21" ht="13.2" x14ac:dyDescent="0.25">
      <c r="A2637" s="14">
        <v>46195079000154</v>
      </c>
      <c r="B2637" s="15" t="str">
        <f t="shared" si="41"/>
        <v>46.195.079/0001-54</v>
      </c>
      <c r="C2637" s="12"/>
      <c r="D2637" s="3" t="s">
        <v>9564</v>
      </c>
      <c r="E2637" s="3" t="s">
        <v>9565</v>
      </c>
      <c r="F2637" s="3" t="s">
        <v>20</v>
      </c>
      <c r="G2637" s="4">
        <v>27389</v>
      </c>
      <c r="H2637" s="3" t="s">
        <v>14</v>
      </c>
      <c r="I2637" s="3" t="s">
        <v>33</v>
      </c>
      <c r="J2637" s="5">
        <v>0</v>
      </c>
      <c r="K2637" s="3">
        <v>8411600</v>
      </c>
      <c r="L2637" s="3" t="s">
        <v>621</v>
      </c>
      <c r="M2637" s="3" t="s">
        <v>9566</v>
      </c>
      <c r="N2637" s="3">
        <v>444</v>
      </c>
      <c r="P2637" s="3" t="s">
        <v>70</v>
      </c>
      <c r="Q2637" s="3" t="s">
        <v>805</v>
      </c>
      <c r="R2637" s="3" t="s">
        <v>28</v>
      </c>
      <c r="S2637" s="3">
        <v>17201900</v>
      </c>
      <c r="T2637" s="3">
        <v>146201777</v>
      </c>
      <c r="U2637" s="3" t="s">
        <v>29</v>
      </c>
    </row>
    <row r="2638" spans="1:21" ht="13.2" x14ac:dyDescent="0.25">
      <c r="A2638" s="14">
        <v>45780103000150</v>
      </c>
      <c r="B2638" s="15" t="str">
        <f t="shared" si="41"/>
        <v>45.780.103/0001-50</v>
      </c>
      <c r="C2638" s="12"/>
      <c r="D2638" s="3" t="s">
        <v>9567</v>
      </c>
      <c r="E2638" s="3" t="s">
        <v>9568</v>
      </c>
      <c r="F2638" s="3" t="s">
        <v>20</v>
      </c>
      <c r="G2638" s="4">
        <v>27383</v>
      </c>
      <c r="H2638" s="3" t="s">
        <v>14</v>
      </c>
      <c r="I2638" s="3" t="s">
        <v>33</v>
      </c>
      <c r="J2638" s="5">
        <v>0</v>
      </c>
      <c r="K2638" s="3">
        <v>8411600</v>
      </c>
      <c r="L2638" s="3" t="s">
        <v>621</v>
      </c>
      <c r="M2638" s="3" t="s">
        <v>9569</v>
      </c>
      <c r="N2638" s="3" t="s">
        <v>9570</v>
      </c>
      <c r="P2638" s="3" t="s">
        <v>2642</v>
      </c>
      <c r="Q2638" s="3" t="s">
        <v>567</v>
      </c>
      <c r="R2638" s="3" t="s">
        <v>28</v>
      </c>
      <c r="S2638" s="3">
        <v>13214900</v>
      </c>
      <c r="T2638" s="3">
        <v>1145898400</v>
      </c>
      <c r="U2638" s="3" t="s">
        <v>29</v>
      </c>
    </row>
    <row r="2639" spans="1:21" ht="13.2" x14ac:dyDescent="0.25">
      <c r="A2639" s="14">
        <v>45132495000140</v>
      </c>
      <c r="B2639" s="15" t="str">
        <f t="shared" si="41"/>
        <v>45.132.495/0001-40</v>
      </c>
      <c r="C2639" s="12"/>
      <c r="D2639" s="3" t="s">
        <v>9571</v>
      </c>
      <c r="E2639" s="3" t="s">
        <v>9572</v>
      </c>
      <c r="F2639" s="3" t="s">
        <v>20</v>
      </c>
      <c r="G2639" s="4">
        <v>27277</v>
      </c>
      <c r="H2639" s="3" t="s">
        <v>14</v>
      </c>
      <c r="I2639" s="3" t="s">
        <v>33</v>
      </c>
      <c r="J2639" s="5">
        <v>0</v>
      </c>
      <c r="K2639" s="3">
        <v>8411600</v>
      </c>
      <c r="L2639" s="3" t="s">
        <v>621</v>
      </c>
      <c r="M2639" s="3" t="s">
        <v>9573</v>
      </c>
      <c r="N2639" s="3">
        <v>179</v>
      </c>
      <c r="O2639" s="3" t="s">
        <v>9574</v>
      </c>
      <c r="P2639" s="3" t="s">
        <v>70</v>
      </c>
      <c r="Q2639" s="3" t="s">
        <v>854</v>
      </c>
      <c r="R2639" s="3" t="s">
        <v>28</v>
      </c>
      <c r="S2639" s="3">
        <v>13481900</v>
      </c>
      <c r="T2639" s="3">
        <v>1934049600</v>
      </c>
      <c r="U2639" s="3" t="s">
        <v>29</v>
      </c>
    </row>
    <row r="2640" spans="1:21" ht="13.2" x14ac:dyDescent="0.25">
      <c r="A2640" s="14">
        <v>46523270000188</v>
      </c>
      <c r="B2640" s="15" t="str">
        <f t="shared" si="41"/>
        <v>46.523.270/0001-88</v>
      </c>
      <c r="C2640" s="12"/>
      <c r="D2640" s="3" t="s">
        <v>9575</v>
      </c>
      <c r="E2640" s="3" t="s">
        <v>9576</v>
      </c>
      <c r="F2640" s="3" t="s">
        <v>20</v>
      </c>
      <c r="G2640" s="4">
        <v>27393</v>
      </c>
      <c r="H2640" s="3" t="s">
        <v>14</v>
      </c>
      <c r="I2640" s="3" t="s">
        <v>33</v>
      </c>
      <c r="J2640" s="5">
        <v>0</v>
      </c>
      <c r="K2640" s="3">
        <v>8411600</v>
      </c>
      <c r="L2640" s="3" t="s">
        <v>621</v>
      </c>
      <c r="M2640" s="3" t="s">
        <v>9577</v>
      </c>
      <c r="N2640" s="3">
        <v>277</v>
      </c>
      <c r="P2640" s="3" t="s">
        <v>2214</v>
      </c>
      <c r="Q2640" s="3" t="s">
        <v>3193</v>
      </c>
      <c r="R2640" s="3" t="s">
        <v>28</v>
      </c>
      <c r="S2640" s="3">
        <v>8780900</v>
      </c>
      <c r="U2640" s="3" t="s">
        <v>29</v>
      </c>
    </row>
    <row r="2641" spans="1:21" ht="13.2" x14ac:dyDescent="0.25">
      <c r="A2641" s="14">
        <v>46189718000179</v>
      </c>
      <c r="B2641" s="15" t="str">
        <f t="shared" si="41"/>
        <v>46.189.718/0001-79</v>
      </c>
      <c r="C2641" s="12"/>
      <c r="D2641" s="3" t="s">
        <v>9578</v>
      </c>
      <c r="E2641" s="3" t="s">
        <v>9579</v>
      </c>
      <c r="F2641" s="3" t="s">
        <v>20</v>
      </c>
      <c r="G2641" s="4">
        <v>27386</v>
      </c>
      <c r="H2641" s="3" t="s">
        <v>14</v>
      </c>
      <c r="I2641" s="3" t="s">
        <v>33</v>
      </c>
      <c r="J2641" s="5">
        <v>0</v>
      </c>
      <c r="K2641" s="3">
        <v>8411600</v>
      </c>
      <c r="L2641" s="3" t="s">
        <v>621</v>
      </c>
      <c r="M2641" s="3" t="s">
        <v>9580</v>
      </c>
      <c r="N2641" s="3" t="s">
        <v>9581</v>
      </c>
      <c r="P2641" s="3" t="s">
        <v>70</v>
      </c>
      <c r="Q2641" s="3" t="s">
        <v>3976</v>
      </c>
      <c r="R2641" s="3" t="s">
        <v>28</v>
      </c>
      <c r="S2641" s="3">
        <v>17280000</v>
      </c>
      <c r="T2641" s="3">
        <v>1432839570</v>
      </c>
      <c r="U2641" s="3" t="s">
        <v>29</v>
      </c>
    </row>
    <row r="2642" spans="1:21" ht="13.2" x14ac:dyDescent="0.25">
      <c r="A2642" s="14">
        <v>46341038000129</v>
      </c>
      <c r="B2642" s="15" t="str">
        <f t="shared" si="41"/>
        <v>46.341.038/0001-29</v>
      </c>
      <c r="C2642" s="12"/>
      <c r="D2642" s="3" t="s">
        <v>9582</v>
      </c>
      <c r="E2642" s="3" t="s">
        <v>9583</v>
      </c>
      <c r="F2642" s="3" t="s">
        <v>20</v>
      </c>
      <c r="G2642" s="4">
        <v>27394</v>
      </c>
      <c r="H2642" s="3" t="s">
        <v>14</v>
      </c>
      <c r="I2642" s="3" t="s">
        <v>33</v>
      </c>
      <c r="J2642" s="5">
        <v>0</v>
      </c>
      <c r="K2642" s="3">
        <v>8411600</v>
      </c>
      <c r="L2642" s="3" t="s">
        <v>621</v>
      </c>
      <c r="M2642" s="3" t="s">
        <v>9584</v>
      </c>
      <c r="N2642" s="3">
        <v>2233</v>
      </c>
      <c r="P2642" s="3" t="s">
        <v>9585</v>
      </c>
      <c r="Q2642" s="3" t="s">
        <v>367</v>
      </c>
      <c r="R2642" s="3" t="s">
        <v>28</v>
      </c>
      <c r="S2642" s="3">
        <v>13400900</v>
      </c>
      <c r="U2642" s="3" t="s">
        <v>29</v>
      </c>
    </row>
    <row r="2643" spans="1:21" ht="13.2" x14ac:dyDescent="0.25">
      <c r="A2643" s="14">
        <v>46177531000155</v>
      </c>
      <c r="B2643" s="15" t="str">
        <f t="shared" si="41"/>
        <v>46.177.531/0001-55</v>
      </c>
      <c r="C2643" s="12"/>
      <c r="D2643" s="3" t="s">
        <v>9586</v>
      </c>
      <c r="E2643" s="3" t="s">
        <v>9587</v>
      </c>
      <c r="F2643" s="3" t="s">
        <v>20</v>
      </c>
      <c r="G2643" s="4">
        <v>27393</v>
      </c>
      <c r="H2643" s="3" t="s">
        <v>14</v>
      </c>
      <c r="I2643" s="3" t="s">
        <v>33</v>
      </c>
      <c r="J2643" s="5">
        <v>0</v>
      </c>
      <c r="K2643" s="3">
        <v>8411600</v>
      </c>
      <c r="L2643" s="3" t="s">
        <v>621</v>
      </c>
      <c r="M2643" s="3" t="s">
        <v>3498</v>
      </c>
      <c r="N2643" s="3">
        <v>9000</v>
      </c>
      <c r="P2643" s="3" t="s">
        <v>9588</v>
      </c>
      <c r="Q2643" s="3" t="s">
        <v>6108</v>
      </c>
      <c r="R2643" s="3" t="s">
        <v>28</v>
      </c>
      <c r="S2643" s="3">
        <v>11704900</v>
      </c>
      <c r="T2643" s="3">
        <v>1334962172</v>
      </c>
      <c r="U2643" s="3" t="s">
        <v>29</v>
      </c>
    </row>
    <row r="2644" spans="1:21" ht="13.2" x14ac:dyDescent="0.25">
      <c r="A2644" s="14">
        <v>46522983000127</v>
      </c>
      <c r="B2644" s="15" t="str">
        <f t="shared" si="41"/>
        <v>46.522.983/0001-27</v>
      </c>
      <c r="C2644" s="12"/>
      <c r="D2644" s="3" t="s">
        <v>9589</v>
      </c>
      <c r="E2644" s="3" t="s">
        <v>9590</v>
      </c>
      <c r="F2644" s="3" t="s">
        <v>20</v>
      </c>
      <c r="G2644" s="4">
        <v>27383</v>
      </c>
      <c r="H2644" s="3" t="s">
        <v>14</v>
      </c>
      <c r="I2644" s="3" t="s">
        <v>33</v>
      </c>
      <c r="J2644" s="5">
        <v>0</v>
      </c>
      <c r="K2644" s="3">
        <v>8411600</v>
      </c>
      <c r="L2644" s="3" t="s">
        <v>621</v>
      </c>
      <c r="M2644" s="3" t="s">
        <v>9591</v>
      </c>
      <c r="N2644" s="3">
        <v>1283</v>
      </c>
      <c r="P2644" s="3" t="s">
        <v>928</v>
      </c>
      <c r="Q2644" s="3" t="s">
        <v>929</v>
      </c>
      <c r="R2644" s="3" t="s">
        <v>28</v>
      </c>
      <c r="S2644" s="3">
        <v>6517520</v>
      </c>
      <c r="T2644" s="3">
        <v>1146227530</v>
      </c>
      <c r="U2644" s="3" t="s">
        <v>29</v>
      </c>
    </row>
    <row r="2645" spans="1:21" ht="13.2" x14ac:dyDescent="0.25">
      <c r="A2645" s="14">
        <v>1612511000127</v>
      </c>
      <c r="B2645" s="15" t="str">
        <f t="shared" si="41"/>
        <v>01.612.511/0001-27</v>
      </c>
      <c r="C2645" s="12"/>
      <c r="D2645" s="3" t="s">
        <v>9592</v>
      </c>
      <c r="E2645" s="3" t="s">
        <v>9593</v>
      </c>
      <c r="F2645" s="3" t="s">
        <v>20</v>
      </c>
      <c r="G2645" s="4">
        <v>35432</v>
      </c>
      <c r="H2645" s="3" t="s">
        <v>14</v>
      </c>
      <c r="I2645" s="3" t="s">
        <v>33</v>
      </c>
      <c r="J2645" s="5">
        <v>0</v>
      </c>
      <c r="K2645" s="3">
        <v>8411600</v>
      </c>
      <c r="L2645" s="3" t="s">
        <v>621</v>
      </c>
      <c r="M2645" s="3" t="s">
        <v>9594</v>
      </c>
      <c r="N2645" s="3" t="s">
        <v>82</v>
      </c>
      <c r="P2645" s="3" t="s">
        <v>70</v>
      </c>
      <c r="Q2645" s="3" t="s">
        <v>1410</v>
      </c>
      <c r="R2645" s="3" t="s">
        <v>4623</v>
      </c>
      <c r="S2645" s="3">
        <v>58675000</v>
      </c>
      <c r="T2645" s="3">
        <v>833821265</v>
      </c>
      <c r="U2645" s="3" t="s">
        <v>29</v>
      </c>
    </row>
    <row r="2646" spans="1:21" ht="13.2" x14ac:dyDescent="0.25">
      <c r="A2646" s="14">
        <v>58200015000183</v>
      </c>
      <c r="B2646" s="15" t="str">
        <f t="shared" si="41"/>
        <v>58.200.015/0001-83</v>
      </c>
      <c r="C2646" s="12"/>
      <c r="D2646" s="3" t="s">
        <v>9595</v>
      </c>
      <c r="E2646" s="3" t="s">
        <v>9595</v>
      </c>
      <c r="F2646" s="3" t="s">
        <v>20</v>
      </c>
      <c r="G2646" s="4">
        <v>24483</v>
      </c>
      <c r="H2646" s="3" t="s">
        <v>14</v>
      </c>
      <c r="I2646" s="3" t="s">
        <v>33</v>
      </c>
      <c r="J2646" s="5">
        <v>0</v>
      </c>
      <c r="K2646" s="3">
        <v>8411600</v>
      </c>
      <c r="L2646" s="3" t="s">
        <v>621</v>
      </c>
      <c r="M2646" s="3" t="s">
        <v>881</v>
      </c>
      <c r="N2646" s="3" t="s">
        <v>111</v>
      </c>
      <c r="P2646" s="3" t="s">
        <v>70</v>
      </c>
      <c r="Q2646" s="3" t="s">
        <v>294</v>
      </c>
      <c r="R2646" s="3" t="s">
        <v>28</v>
      </c>
      <c r="S2646" s="3">
        <v>11010900</v>
      </c>
      <c r="U2646" s="3" t="s">
        <v>29</v>
      </c>
    </row>
    <row r="2647" spans="1:21" ht="13.2" x14ac:dyDescent="0.25">
      <c r="A2647" s="14">
        <v>46634523000190</v>
      </c>
      <c r="B2647" s="15" t="str">
        <f t="shared" si="41"/>
        <v>46.634.523/0001-90</v>
      </c>
      <c r="C2647" s="12"/>
      <c r="D2647" s="3" t="s">
        <v>9596</v>
      </c>
      <c r="E2647" s="3" t="s">
        <v>9597</v>
      </c>
      <c r="F2647" s="3" t="s">
        <v>20</v>
      </c>
      <c r="G2647" s="4">
        <v>27386</v>
      </c>
      <c r="H2647" s="3" t="s">
        <v>14</v>
      </c>
      <c r="I2647" s="3" t="s">
        <v>33</v>
      </c>
      <c r="J2647" s="5">
        <v>0</v>
      </c>
      <c r="K2647" s="3">
        <v>8411600</v>
      </c>
      <c r="L2647" s="3" t="s">
        <v>621</v>
      </c>
      <c r="M2647" s="3" t="s">
        <v>9598</v>
      </c>
      <c r="N2647" s="3">
        <v>518</v>
      </c>
      <c r="P2647" s="3" t="s">
        <v>70</v>
      </c>
      <c r="Q2647" s="3" t="s">
        <v>3943</v>
      </c>
      <c r="R2647" s="3" t="s">
        <v>28</v>
      </c>
      <c r="S2647" s="3">
        <v>18650000</v>
      </c>
      <c r="U2647" s="3" t="s">
        <v>29</v>
      </c>
    </row>
    <row r="2648" spans="1:21" ht="13.2" x14ac:dyDescent="0.25">
      <c r="A2648" s="14">
        <v>46395000000139</v>
      </c>
      <c r="B2648" s="15" t="str">
        <f t="shared" si="41"/>
        <v>46.395.000/0001-39</v>
      </c>
      <c r="C2648" s="12"/>
      <c r="D2648" s="3" t="s">
        <v>9599</v>
      </c>
      <c r="E2648" s="3" t="s">
        <v>9600</v>
      </c>
      <c r="F2648" s="3" t="s">
        <v>20</v>
      </c>
      <c r="G2648" s="4">
        <v>27375</v>
      </c>
      <c r="H2648" s="3" t="s">
        <v>14</v>
      </c>
      <c r="I2648" s="3" t="s">
        <v>33</v>
      </c>
      <c r="J2648" s="5">
        <v>0</v>
      </c>
      <c r="K2648" s="3">
        <v>8411600</v>
      </c>
      <c r="L2648" s="3" t="s">
        <v>621</v>
      </c>
      <c r="M2648" s="3" t="s">
        <v>9601</v>
      </c>
      <c r="N2648" s="3">
        <v>15</v>
      </c>
      <c r="O2648" s="3" t="s">
        <v>9602</v>
      </c>
      <c r="P2648" s="3" t="s">
        <v>70</v>
      </c>
      <c r="Q2648" s="3" t="s">
        <v>27</v>
      </c>
      <c r="R2648" s="3" t="s">
        <v>28</v>
      </c>
      <c r="S2648" s="3">
        <v>1002020</v>
      </c>
      <c r="T2648" s="3">
        <v>1131138000</v>
      </c>
      <c r="U2648" s="3" t="s">
        <v>29</v>
      </c>
    </row>
    <row r="2649" spans="1:21" ht="13.2" x14ac:dyDescent="0.25">
      <c r="A2649" s="14">
        <v>18240119000105</v>
      </c>
      <c r="B2649" s="15" t="str">
        <f t="shared" si="41"/>
        <v>18.240.119/0001-05</v>
      </c>
      <c r="C2649" s="12"/>
      <c r="D2649" s="3" t="s">
        <v>9603</v>
      </c>
      <c r="E2649" s="3" t="s">
        <v>9604</v>
      </c>
      <c r="F2649" s="3" t="s">
        <v>20</v>
      </c>
      <c r="G2649" s="4">
        <v>27381</v>
      </c>
      <c r="H2649" s="3" t="s">
        <v>14</v>
      </c>
      <c r="I2649" s="3" t="s">
        <v>33</v>
      </c>
      <c r="J2649" s="5">
        <v>0</v>
      </c>
      <c r="K2649" s="3">
        <v>8411600</v>
      </c>
      <c r="L2649" s="3" t="s">
        <v>621</v>
      </c>
      <c r="M2649" s="3" t="s">
        <v>9605</v>
      </c>
      <c r="N2649" s="3">
        <v>50</v>
      </c>
      <c r="P2649" s="3" t="s">
        <v>9606</v>
      </c>
      <c r="Q2649" s="3" t="s">
        <v>4962</v>
      </c>
      <c r="R2649" s="3" t="s">
        <v>100</v>
      </c>
      <c r="S2649" s="3">
        <v>37018050</v>
      </c>
      <c r="T2649" s="3">
        <v>3536902000</v>
      </c>
      <c r="U2649" s="3" t="s">
        <v>29</v>
      </c>
    </row>
    <row r="2650" spans="1:21" ht="13.2" x14ac:dyDescent="0.25">
      <c r="A2650" s="14">
        <v>61624156000138</v>
      </c>
      <c r="B2650" s="15" t="str">
        <f t="shared" si="41"/>
        <v>61.624.156/0001-38</v>
      </c>
      <c r="C2650" s="12" t="str">
        <f>VLOOKUP(B2650,[1]Planilha1!$A:$B,2,0)</f>
        <v>Malu Montesino</v>
      </c>
      <c r="D2650" s="3" t="s">
        <v>9607</v>
      </c>
      <c r="E2650" s="3" t="s">
        <v>9608</v>
      </c>
      <c r="F2650" s="3" t="s">
        <v>20</v>
      </c>
      <c r="G2650" s="4">
        <v>45845</v>
      </c>
      <c r="H2650" s="3" t="s">
        <v>21</v>
      </c>
      <c r="I2650" s="3" t="s">
        <v>47</v>
      </c>
      <c r="J2650" s="5">
        <v>100000</v>
      </c>
      <c r="K2650" s="3">
        <v>4789099</v>
      </c>
      <c r="L2650" s="3" t="s">
        <v>774</v>
      </c>
      <c r="M2650" s="3" t="s">
        <v>9609</v>
      </c>
      <c r="N2650" s="3">
        <v>868</v>
      </c>
      <c r="O2650" s="3" t="s">
        <v>9610</v>
      </c>
      <c r="P2650" s="3" t="s">
        <v>9611</v>
      </c>
      <c r="Q2650" s="3" t="s">
        <v>204</v>
      </c>
      <c r="R2650" s="3" t="s">
        <v>187</v>
      </c>
      <c r="S2650" s="3">
        <v>80230100</v>
      </c>
      <c r="T2650" s="3">
        <v>4133229098</v>
      </c>
      <c r="U2650" s="3" t="s">
        <v>29</v>
      </c>
    </row>
    <row r="2651" spans="1:21" ht="13.2" x14ac:dyDescent="0.25">
      <c r="A2651" s="14">
        <v>91879544000120</v>
      </c>
      <c r="B2651" s="15" t="str">
        <f t="shared" si="41"/>
        <v>91.879.544/0001-20</v>
      </c>
      <c r="C2651" s="12"/>
      <c r="D2651" s="3" t="s">
        <v>9612</v>
      </c>
      <c r="E2651" s="3" t="s">
        <v>9613</v>
      </c>
      <c r="F2651" s="3" t="s">
        <v>20</v>
      </c>
      <c r="G2651" s="4">
        <v>32002</v>
      </c>
      <c r="H2651" s="3" t="s">
        <v>21</v>
      </c>
      <c r="I2651" s="3" t="s">
        <v>33</v>
      </c>
      <c r="J2651" s="5">
        <v>3500000</v>
      </c>
      <c r="K2651" s="3">
        <v>6202300</v>
      </c>
      <c r="L2651" s="3" t="s">
        <v>103</v>
      </c>
      <c r="M2651" s="3" t="s">
        <v>9614</v>
      </c>
      <c r="N2651" s="3">
        <v>47</v>
      </c>
      <c r="O2651" s="3" t="s">
        <v>9615</v>
      </c>
      <c r="P2651" s="3" t="s">
        <v>999</v>
      </c>
      <c r="Q2651" s="3" t="s">
        <v>437</v>
      </c>
      <c r="R2651" s="3" t="s">
        <v>53</v>
      </c>
      <c r="S2651" s="3">
        <v>90670150</v>
      </c>
      <c r="T2651" s="3">
        <v>8139727028</v>
      </c>
      <c r="U2651" s="3" t="s">
        <v>29</v>
      </c>
    </row>
    <row r="2652" spans="1:21" ht="13.2" x14ac:dyDescent="0.25">
      <c r="A2652" s="14">
        <v>2162259000164</v>
      </c>
      <c r="B2652" s="15" t="str">
        <f t="shared" si="41"/>
        <v>02.162.259/0001-64</v>
      </c>
      <c r="C2652" s="12" t="str">
        <f>VLOOKUP(B2652,[1]Planilha1!$A:$B,2,0)</f>
        <v>Malu Montesino</v>
      </c>
      <c r="D2652" s="3" t="s">
        <v>9616</v>
      </c>
      <c r="E2652" s="3" t="s">
        <v>9617</v>
      </c>
      <c r="F2652" s="3" t="s">
        <v>20</v>
      </c>
      <c r="G2652" s="4">
        <v>35685</v>
      </c>
      <c r="H2652" s="3" t="s">
        <v>21</v>
      </c>
      <c r="I2652" s="3" t="s">
        <v>33</v>
      </c>
      <c r="J2652" s="5">
        <v>1006582200</v>
      </c>
      <c r="K2652" s="3">
        <v>8211300</v>
      </c>
      <c r="L2652" s="3" t="s">
        <v>166</v>
      </c>
      <c r="M2652" s="3" t="s">
        <v>9618</v>
      </c>
      <c r="N2652" s="3">
        <v>22002</v>
      </c>
      <c r="O2652" s="3" t="s">
        <v>9619</v>
      </c>
      <c r="P2652" s="3" t="s">
        <v>1418</v>
      </c>
      <c r="Q2652" s="3" t="s">
        <v>27</v>
      </c>
      <c r="R2652" s="3" t="s">
        <v>28</v>
      </c>
      <c r="S2652" s="3">
        <v>4795915</v>
      </c>
      <c r="T2652" s="3">
        <v>1138823200</v>
      </c>
      <c r="U2652" s="3" t="s">
        <v>29</v>
      </c>
    </row>
    <row r="2653" spans="1:21" ht="13.2" x14ac:dyDescent="0.25">
      <c r="A2653" s="14">
        <v>40276235000125</v>
      </c>
      <c r="B2653" s="15" t="str">
        <f t="shared" si="41"/>
        <v>40.276.235/0001-25</v>
      </c>
      <c r="C2653" s="12" t="str">
        <f>VLOOKUP(B2653,[1]Planilha1!$A:$B,2,0)</f>
        <v>Mariane Nascimento</v>
      </c>
      <c r="D2653" s="3" t="s">
        <v>9620</v>
      </c>
      <c r="E2653" s="3" t="s">
        <v>9621</v>
      </c>
      <c r="F2653" s="3" t="s">
        <v>20</v>
      </c>
      <c r="G2653" s="4">
        <v>44202</v>
      </c>
      <c r="H2653" s="3" t="s">
        <v>21</v>
      </c>
      <c r="I2653" s="3" t="s">
        <v>33</v>
      </c>
      <c r="J2653" s="5">
        <v>2000000</v>
      </c>
      <c r="K2653" s="3">
        <v>4645101</v>
      </c>
      <c r="L2653" s="3" t="s">
        <v>135</v>
      </c>
      <c r="M2653" s="3" t="s">
        <v>2969</v>
      </c>
      <c r="N2653" s="3">
        <v>327</v>
      </c>
      <c r="O2653" s="3" t="s">
        <v>9622</v>
      </c>
      <c r="P2653" s="3" t="s">
        <v>9623</v>
      </c>
      <c r="Q2653" s="3" t="s">
        <v>2287</v>
      </c>
      <c r="R2653" s="3" t="s">
        <v>91</v>
      </c>
      <c r="S2653" s="3">
        <v>88303320</v>
      </c>
      <c r="T2653" s="3">
        <v>4791878805</v>
      </c>
      <c r="U2653" s="3" t="s">
        <v>29</v>
      </c>
    </row>
    <row r="2654" spans="1:21" ht="13.2" x14ac:dyDescent="0.25">
      <c r="A2654" s="14">
        <v>17440261000125</v>
      </c>
      <c r="B2654" s="15" t="str">
        <f t="shared" si="41"/>
        <v>17.440.261/0001-25</v>
      </c>
      <c r="C2654" s="12"/>
      <c r="D2654" s="3" t="s">
        <v>9624</v>
      </c>
      <c r="E2654" s="3" t="s">
        <v>9625</v>
      </c>
      <c r="F2654" s="3" t="s">
        <v>20</v>
      </c>
      <c r="G2654" s="4">
        <v>41192</v>
      </c>
      <c r="H2654" s="3" t="s">
        <v>21</v>
      </c>
      <c r="I2654" s="3" t="s">
        <v>33</v>
      </c>
      <c r="J2654" s="5">
        <v>10278299</v>
      </c>
      <c r="K2654" s="3">
        <v>1099607</v>
      </c>
      <c r="L2654" s="3" t="s">
        <v>9626</v>
      </c>
      <c r="M2654" s="3" t="s">
        <v>9627</v>
      </c>
      <c r="N2654" s="3">
        <v>650</v>
      </c>
      <c r="P2654" s="3" t="s">
        <v>9628</v>
      </c>
      <c r="Q2654" s="3" t="s">
        <v>9629</v>
      </c>
      <c r="R2654" s="3" t="s">
        <v>28</v>
      </c>
      <c r="S2654" s="3">
        <v>13864304</v>
      </c>
      <c r="T2654" s="3">
        <v>1938295700</v>
      </c>
      <c r="U2654" s="3" t="s">
        <v>29</v>
      </c>
    </row>
    <row r="2655" spans="1:21" ht="13.2" x14ac:dyDescent="0.25">
      <c r="A2655" s="14">
        <v>13624934000146</v>
      </c>
      <c r="B2655" s="15" t="str">
        <f t="shared" si="41"/>
        <v>13.624.934/0001-46</v>
      </c>
      <c r="C2655" s="12"/>
      <c r="D2655" s="3" t="s">
        <v>9630</v>
      </c>
      <c r="E2655" s="3" t="s">
        <v>9630</v>
      </c>
      <c r="F2655" s="3" t="s">
        <v>20</v>
      </c>
      <c r="G2655" s="4">
        <v>40673</v>
      </c>
      <c r="H2655" s="3" t="s">
        <v>21</v>
      </c>
      <c r="I2655" s="3" t="s">
        <v>33</v>
      </c>
      <c r="J2655" s="5">
        <v>500000</v>
      </c>
      <c r="K2655" s="3">
        <v>8011101</v>
      </c>
      <c r="L2655" s="3" t="s">
        <v>943</v>
      </c>
      <c r="M2655" s="3" t="s">
        <v>9631</v>
      </c>
      <c r="N2655" s="3">
        <v>330</v>
      </c>
      <c r="P2655" s="3" t="s">
        <v>436</v>
      </c>
      <c r="Q2655" s="3" t="s">
        <v>437</v>
      </c>
      <c r="R2655" s="3" t="s">
        <v>53</v>
      </c>
      <c r="S2655" s="3">
        <v>90230200</v>
      </c>
      <c r="T2655" s="3">
        <v>5433118282</v>
      </c>
      <c r="U2655" s="3" t="s">
        <v>29</v>
      </c>
    </row>
    <row r="2656" spans="1:21" ht="13.2" x14ac:dyDescent="0.25">
      <c r="A2656" s="14">
        <v>52202744000192</v>
      </c>
      <c r="B2656" s="15" t="str">
        <f t="shared" si="41"/>
        <v>52.202.744/0001-92</v>
      </c>
      <c r="C2656" s="12"/>
      <c r="D2656" s="3" t="s">
        <v>9632</v>
      </c>
      <c r="E2656" s="3" t="s">
        <v>9632</v>
      </c>
      <c r="F2656" s="3" t="s">
        <v>20</v>
      </c>
      <c r="G2656" s="4">
        <v>30328</v>
      </c>
      <c r="H2656" s="3" t="s">
        <v>94</v>
      </c>
      <c r="I2656" s="3" t="s">
        <v>33</v>
      </c>
      <c r="J2656" s="5">
        <v>514263460</v>
      </c>
      <c r="K2656" s="3">
        <v>4644301</v>
      </c>
      <c r="L2656" s="3" t="s">
        <v>326</v>
      </c>
      <c r="M2656" s="3" t="s">
        <v>9633</v>
      </c>
      <c r="N2656" s="3">
        <v>170</v>
      </c>
      <c r="P2656" s="3" t="s">
        <v>9634</v>
      </c>
      <c r="Q2656" s="3" t="s">
        <v>524</v>
      </c>
      <c r="R2656" s="3" t="s">
        <v>28</v>
      </c>
      <c r="S2656" s="3">
        <v>14021140</v>
      </c>
      <c r="T2656" s="3">
        <v>8321062433</v>
      </c>
      <c r="U2656" s="3" t="s">
        <v>29</v>
      </c>
    </row>
    <row r="2657" spans="1:21" ht="13.2" x14ac:dyDescent="0.25">
      <c r="A2657" s="14">
        <v>6980064000182</v>
      </c>
      <c r="B2657" s="15" t="str">
        <f t="shared" si="41"/>
        <v>06.980.064/0001-82</v>
      </c>
      <c r="C2657" s="12" t="str">
        <f>VLOOKUP(B2657,[1]Planilha1!$A:$B,2,0)</f>
        <v>Malu Montesino</v>
      </c>
      <c r="D2657" s="3" t="s">
        <v>9635</v>
      </c>
      <c r="E2657" s="3" t="s">
        <v>9635</v>
      </c>
      <c r="F2657" s="3" t="s">
        <v>20</v>
      </c>
      <c r="G2657" s="4">
        <v>27823</v>
      </c>
      <c r="H2657" s="3" t="s">
        <v>21</v>
      </c>
      <c r="I2657" s="3" t="s">
        <v>33</v>
      </c>
      <c r="J2657" s="5">
        <v>592209900</v>
      </c>
      <c r="K2657" s="3">
        <v>4682600</v>
      </c>
      <c r="L2657" s="3" t="s">
        <v>1219</v>
      </c>
      <c r="M2657" s="3" t="s">
        <v>5781</v>
      </c>
      <c r="N2657" s="3" t="s">
        <v>82</v>
      </c>
      <c r="P2657" s="3" t="s">
        <v>4428</v>
      </c>
      <c r="Q2657" s="3" t="s">
        <v>667</v>
      </c>
      <c r="R2657" s="3" t="s">
        <v>301</v>
      </c>
      <c r="S2657" s="3">
        <v>60135690</v>
      </c>
      <c r="T2657" s="3">
        <v>8534668540</v>
      </c>
      <c r="U2657" s="3" t="s">
        <v>29</v>
      </c>
    </row>
    <row r="2658" spans="1:21" ht="13.2" x14ac:dyDescent="0.25">
      <c r="A2658" s="14">
        <v>2786624000292</v>
      </c>
      <c r="B2658" s="15" t="str">
        <f t="shared" si="41"/>
        <v>02.786.624/0002-92</v>
      </c>
      <c r="C2658" s="12" t="str">
        <f>VLOOKUP(B2658,[1]Planilha1!$A:$B,2,0)</f>
        <v>Malu Montesino</v>
      </c>
      <c r="D2658" s="3" t="s">
        <v>9636</v>
      </c>
      <c r="E2658" s="3" t="s">
        <v>9637</v>
      </c>
      <c r="F2658" s="3" t="s">
        <v>20</v>
      </c>
      <c r="G2658" s="4">
        <v>39861</v>
      </c>
      <c r="H2658" s="3" t="s">
        <v>21</v>
      </c>
      <c r="I2658" s="3" t="s">
        <v>22</v>
      </c>
      <c r="J2658" s="5">
        <v>150000</v>
      </c>
      <c r="K2658" s="3">
        <v>4530701</v>
      </c>
      <c r="L2658" s="3" t="s">
        <v>2176</v>
      </c>
      <c r="M2658" s="3" t="s">
        <v>4614</v>
      </c>
      <c r="N2658" s="3">
        <v>2660</v>
      </c>
      <c r="O2658" s="3" t="s">
        <v>496</v>
      </c>
      <c r="P2658" s="3" t="s">
        <v>8260</v>
      </c>
      <c r="Q2658" s="3" t="s">
        <v>1476</v>
      </c>
      <c r="R2658" s="3" t="s">
        <v>187</v>
      </c>
      <c r="S2658" s="3">
        <v>85856122</v>
      </c>
      <c r="T2658" s="3">
        <v>4532722020</v>
      </c>
      <c r="U2658" s="3" t="s">
        <v>29</v>
      </c>
    </row>
    <row r="2659" spans="1:21" ht="13.2" x14ac:dyDescent="0.25">
      <c r="A2659" s="14">
        <v>24402903000167</v>
      </c>
      <c r="B2659" s="15" t="str">
        <f t="shared" si="41"/>
        <v>24.402.903/0001-67</v>
      </c>
      <c r="C2659" s="12"/>
      <c r="D2659" s="3" t="s">
        <v>9638</v>
      </c>
      <c r="E2659" s="3" t="s">
        <v>9639</v>
      </c>
      <c r="F2659" s="3" t="s">
        <v>20</v>
      </c>
      <c r="G2659" s="4">
        <v>42446</v>
      </c>
      <c r="H2659" s="3" t="s">
        <v>21</v>
      </c>
      <c r="I2659" s="3" t="s">
        <v>22</v>
      </c>
      <c r="J2659" s="5">
        <v>200000</v>
      </c>
      <c r="K2659" s="3">
        <v>4642702</v>
      </c>
      <c r="L2659" s="3" t="s">
        <v>1139</v>
      </c>
      <c r="M2659" s="3" t="s">
        <v>869</v>
      </c>
      <c r="N2659" s="3">
        <v>4640</v>
      </c>
      <c r="O2659" s="3" t="s">
        <v>496</v>
      </c>
      <c r="P2659" s="3" t="s">
        <v>9640</v>
      </c>
      <c r="Q2659" s="3" t="s">
        <v>1289</v>
      </c>
      <c r="R2659" s="3" t="s">
        <v>187</v>
      </c>
      <c r="S2659" s="3">
        <v>87043720</v>
      </c>
      <c r="T2659" s="3">
        <v>4431232264</v>
      </c>
      <c r="U2659" s="3" t="s">
        <v>29</v>
      </c>
    </row>
    <row r="2660" spans="1:21" ht="13.2" x14ac:dyDescent="0.25">
      <c r="A2660" s="14">
        <v>10939413000190</v>
      </c>
      <c r="B2660" s="15" t="str">
        <f t="shared" si="41"/>
        <v>10.939.413/0001-90</v>
      </c>
      <c r="C2660" s="12"/>
      <c r="D2660" s="3" t="s">
        <v>9641</v>
      </c>
      <c r="E2660" s="3" t="s">
        <v>9641</v>
      </c>
      <c r="F2660" s="3" t="s">
        <v>20</v>
      </c>
      <c r="G2660" s="4">
        <v>39995</v>
      </c>
      <c r="H2660" s="3" t="s">
        <v>21</v>
      </c>
      <c r="I2660" s="3" t="s">
        <v>47</v>
      </c>
      <c r="J2660" s="5">
        <v>82000</v>
      </c>
      <c r="K2660" s="3">
        <v>4329104</v>
      </c>
      <c r="L2660" s="3" t="s">
        <v>7312</v>
      </c>
      <c r="M2660" s="3" t="s">
        <v>9642</v>
      </c>
      <c r="N2660" s="3">
        <v>15</v>
      </c>
      <c r="P2660" s="3" t="s">
        <v>7002</v>
      </c>
      <c r="Q2660" s="3" t="s">
        <v>476</v>
      </c>
      <c r="R2660" s="3" t="s">
        <v>100</v>
      </c>
      <c r="S2660" s="3">
        <v>31814690</v>
      </c>
      <c r="T2660" s="3">
        <v>3187477580</v>
      </c>
      <c r="U2660" s="3" t="s">
        <v>29</v>
      </c>
    </row>
    <row r="2661" spans="1:21" ht="13.2" x14ac:dyDescent="0.25">
      <c r="A2661" s="14">
        <v>61067161000197</v>
      </c>
      <c r="B2661" s="15" t="str">
        <f t="shared" si="41"/>
        <v>61.067.161/0001-97</v>
      </c>
      <c r="C2661" s="12"/>
      <c r="D2661" s="3" t="s">
        <v>9643</v>
      </c>
      <c r="E2661" s="3" t="s">
        <v>9643</v>
      </c>
      <c r="F2661" s="3" t="s">
        <v>20</v>
      </c>
      <c r="G2661" s="4">
        <v>24296</v>
      </c>
      <c r="H2661" s="3" t="s">
        <v>94</v>
      </c>
      <c r="I2661" s="3" t="s">
        <v>33</v>
      </c>
      <c r="J2661" s="5">
        <v>181486770</v>
      </c>
      <c r="K2661" s="3">
        <v>2319200</v>
      </c>
      <c r="L2661" s="3" t="s">
        <v>4506</v>
      </c>
      <c r="M2661" s="3" t="s">
        <v>9644</v>
      </c>
      <c r="N2661" s="3" t="s">
        <v>1802</v>
      </c>
      <c r="P2661" s="3" t="s">
        <v>9645</v>
      </c>
      <c r="Q2661" s="3" t="s">
        <v>2203</v>
      </c>
      <c r="R2661" s="3" t="s">
        <v>28</v>
      </c>
      <c r="S2661" s="3">
        <v>8613480</v>
      </c>
      <c r="T2661" s="3">
        <v>1141573173</v>
      </c>
      <c r="U2661" s="3" t="s">
        <v>29</v>
      </c>
    </row>
    <row r="2662" spans="1:21" ht="13.2" x14ac:dyDescent="0.25">
      <c r="A2662" s="14">
        <v>4156194000170</v>
      </c>
      <c r="B2662" s="15" t="str">
        <f t="shared" si="41"/>
        <v>04.156.194/0001-70</v>
      </c>
      <c r="C2662" s="12"/>
      <c r="D2662" s="3" t="s">
        <v>9646</v>
      </c>
      <c r="E2662" s="3" t="s">
        <v>9646</v>
      </c>
      <c r="F2662" s="3" t="s">
        <v>20</v>
      </c>
      <c r="G2662" s="4">
        <v>36831</v>
      </c>
      <c r="H2662" s="3" t="s">
        <v>21</v>
      </c>
      <c r="I2662" s="3" t="s">
        <v>33</v>
      </c>
      <c r="J2662" s="5">
        <v>104940850</v>
      </c>
      <c r="K2662" s="3">
        <v>8211300</v>
      </c>
      <c r="L2662" s="3" t="s">
        <v>166</v>
      </c>
      <c r="M2662" s="3" t="s">
        <v>9647</v>
      </c>
      <c r="N2662" s="3">
        <v>939</v>
      </c>
      <c r="O2662" s="3" t="s">
        <v>9648</v>
      </c>
      <c r="P2662" s="3" t="s">
        <v>9649</v>
      </c>
      <c r="Q2662" s="3" t="s">
        <v>262</v>
      </c>
      <c r="R2662" s="3" t="s">
        <v>28</v>
      </c>
      <c r="S2662" s="3">
        <v>6268000</v>
      </c>
      <c r="T2662" s="3">
        <v>1136028000</v>
      </c>
      <c r="U2662" s="3" t="s">
        <v>29</v>
      </c>
    </row>
    <row r="2663" spans="1:21" ht="13.2" x14ac:dyDescent="0.25">
      <c r="A2663" s="14">
        <v>62800446000158</v>
      </c>
      <c r="B2663" s="15" t="str">
        <f t="shared" si="41"/>
        <v>62.800.446/0001-58</v>
      </c>
      <c r="C2663" s="12" t="str">
        <f>VLOOKUP(B2663,[1]Planilha1!$A:$B,2,0)</f>
        <v>Malu Montesino</v>
      </c>
      <c r="D2663" s="3" t="s">
        <v>9650</v>
      </c>
      <c r="E2663" s="3" t="s">
        <v>9651</v>
      </c>
      <c r="F2663" s="3" t="s">
        <v>45</v>
      </c>
      <c r="G2663" s="4">
        <v>25694</v>
      </c>
      <c r="H2663" s="3" t="s">
        <v>21</v>
      </c>
      <c r="I2663" s="3" t="s">
        <v>33</v>
      </c>
      <c r="J2663" s="5">
        <v>76789190</v>
      </c>
      <c r="K2663" s="3">
        <v>8211300</v>
      </c>
      <c r="L2663" s="3" t="s">
        <v>166</v>
      </c>
      <c r="M2663" s="3" t="s">
        <v>308</v>
      </c>
      <c r="N2663" s="3">
        <v>17891</v>
      </c>
      <c r="O2663" s="3" t="s">
        <v>9652</v>
      </c>
      <c r="P2663" s="3" t="s">
        <v>1418</v>
      </c>
      <c r="Q2663" s="3" t="s">
        <v>27</v>
      </c>
      <c r="R2663" s="3" t="s">
        <v>28</v>
      </c>
      <c r="S2663" s="3">
        <v>4795100</v>
      </c>
      <c r="U2663" s="3" t="s">
        <v>29</v>
      </c>
    </row>
    <row r="2664" spans="1:21" ht="13.2" x14ac:dyDescent="0.25">
      <c r="A2664" s="14">
        <v>27673578000165</v>
      </c>
      <c r="B2664" s="15" t="str">
        <f t="shared" si="41"/>
        <v>27.673.578/0001-65</v>
      </c>
      <c r="C2664" s="12"/>
      <c r="D2664" s="3" t="s">
        <v>9653</v>
      </c>
      <c r="E2664" s="3" t="s">
        <v>9654</v>
      </c>
      <c r="F2664" s="3" t="s">
        <v>20</v>
      </c>
      <c r="G2664" s="4">
        <v>42863</v>
      </c>
      <c r="H2664" s="3" t="s">
        <v>21</v>
      </c>
      <c r="I2664" s="3" t="s">
        <v>33</v>
      </c>
      <c r="J2664" s="5">
        <v>100000</v>
      </c>
      <c r="K2664" s="3">
        <v>4222701</v>
      </c>
      <c r="L2664" s="3" t="s">
        <v>1909</v>
      </c>
      <c r="M2664" s="3" t="s">
        <v>4203</v>
      </c>
      <c r="N2664" s="3">
        <v>41</v>
      </c>
      <c r="O2664" s="3" t="s">
        <v>9655</v>
      </c>
      <c r="P2664" s="3" t="s">
        <v>70</v>
      </c>
      <c r="Q2664" s="3" t="s">
        <v>1943</v>
      </c>
      <c r="R2664" s="3" t="s">
        <v>28</v>
      </c>
      <c r="S2664" s="3">
        <v>9920650</v>
      </c>
      <c r="T2664" s="3">
        <v>1161701486</v>
      </c>
      <c r="U2664" s="3" t="s">
        <v>29</v>
      </c>
    </row>
    <row r="2665" spans="1:21" ht="13.2" x14ac:dyDescent="0.25">
      <c r="A2665" s="14">
        <v>24819027000179</v>
      </c>
      <c r="B2665" s="15" t="str">
        <f t="shared" si="41"/>
        <v>24.819.027/0001-79</v>
      </c>
      <c r="C2665" s="12"/>
      <c r="D2665" s="3" t="s">
        <v>9656</v>
      </c>
      <c r="E2665" s="3" t="s">
        <v>9657</v>
      </c>
      <c r="F2665" s="3" t="s">
        <v>20</v>
      </c>
      <c r="G2665" s="4">
        <v>42507</v>
      </c>
      <c r="H2665" s="3" t="s">
        <v>21</v>
      </c>
      <c r="I2665" s="3" t="s">
        <v>47</v>
      </c>
      <c r="J2665" s="5">
        <v>100000</v>
      </c>
      <c r="K2665" s="3">
        <v>4930202</v>
      </c>
      <c r="L2665" s="3" t="s">
        <v>2603</v>
      </c>
      <c r="M2665" s="3" t="s">
        <v>9658</v>
      </c>
      <c r="N2665" s="3">
        <v>881</v>
      </c>
      <c r="O2665" s="3" t="s">
        <v>9659</v>
      </c>
      <c r="P2665" s="3" t="s">
        <v>4664</v>
      </c>
      <c r="Q2665" s="3" t="s">
        <v>273</v>
      </c>
      <c r="R2665" s="3" t="s">
        <v>274</v>
      </c>
      <c r="S2665" s="3">
        <v>74543395</v>
      </c>
      <c r="T2665" s="3">
        <v>6239326526</v>
      </c>
      <c r="U2665" s="3" t="s">
        <v>29</v>
      </c>
    </row>
    <row r="2666" spans="1:21" ht="13.2" x14ac:dyDescent="0.25">
      <c r="A2666" s="14">
        <v>5234897000131</v>
      </c>
      <c r="B2666" s="15" t="str">
        <f t="shared" si="41"/>
        <v>05.234.897/0001-31</v>
      </c>
      <c r="C2666" s="12"/>
      <c r="D2666" s="3" t="s">
        <v>9660</v>
      </c>
      <c r="E2666" s="3" t="s">
        <v>9661</v>
      </c>
      <c r="F2666" s="3" t="s">
        <v>20</v>
      </c>
      <c r="G2666" s="4">
        <v>37487</v>
      </c>
      <c r="H2666" s="3" t="s">
        <v>21</v>
      </c>
      <c r="I2666" s="3" t="s">
        <v>22</v>
      </c>
      <c r="J2666" s="5">
        <v>2000000</v>
      </c>
      <c r="K2666" s="3">
        <v>2123800</v>
      </c>
      <c r="L2666" s="3" t="s">
        <v>2412</v>
      </c>
      <c r="M2666" s="3" t="s">
        <v>9662</v>
      </c>
      <c r="N2666" s="3" t="s">
        <v>111</v>
      </c>
      <c r="O2666" s="3" t="s">
        <v>9663</v>
      </c>
      <c r="P2666" s="3" t="s">
        <v>9664</v>
      </c>
      <c r="Q2666" s="3" t="s">
        <v>6023</v>
      </c>
      <c r="R2666" s="3" t="s">
        <v>4623</v>
      </c>
      <c r="S2666" s="3">
        <v>58058660</v>
      </c>
      <c r="T2666" s="3">
        <v>8387774696</v>
      </c>
      <c r="U2666" s="3" t="s">
        <v>29</v>
      </c>
    </row>
    <row r="2667" spans="1:21" ht="13.2" x14ac:dyDescent="0.25">
      <c r="A2667" s="14">
        <v>12558882000194</v>
      </c>
      <c r="B2667" s="15" t="str">
        <f t="shared" si="41"/>
        <v>12.558.882/0001-94</v>
      </c>
      <c r="C2667" s="12"/>
      <c r="D2667" s="3" t="s">
        <v>9665</v>
      </c>
      <c r="E2667" s="3" t="s">
        <v>9665</v>
      </c>
      <c r="F2667" s="3" t="s">
        <v>20</v>
      </c>
      <c r="G2667" s="4">
        <v>40402</v>
      </c>
      <c r="H2667" s="3" t="s">
        <v>21</v>
      </c>
      <c r="I2667" s="3" t="s">
        <v>47</v>
      </c>
      <c r="J2667" s="5">
        <v>100000</v>
      </c>
      <c r="K2667" s="3">
        <v>7830200</v>
      </c>
      <c r="L2667" s="3" t="s">
        <v>473</v>
      </c>
      <c r="M2667" s="3" t="s">
        <v>9666</v>
      </c>
      <c r="N2667" s="3">
        <v>725</v>
      </c>
      <c r="O2667" s="3" t="s">
        <v>9667</v>
      </c>
      <c r="P2667" s="3" t="s">
        <v>2207</v>
      </c>
      <c r="Q2667" s="3" t="s">
        <v>437</v>
      </c>
      <c r="R2667" s="3" t="s">
        <v>53</v>
      </c>
      <c r="S2667" s="3">
        <v>90610010</v>
      </c>
      <c r="T2667" s="3">
        <v>5182780818</v>
      </c>
      <c r="U2667" s="3" t="s">
        <v>29</v>
      </c>
    </row>
    <row r="2668" spans="1:21" ht="13.2" x14ac:dyDescent="0.25">
      <c r="A2668" s="14">
        <v>2456955000183</v>
      </c>
      <c r="B2668" s="15" t="str">
        <f t="shared" si="41"/>
        <v>02.456.955/0001-83</v>
      </c>
      <c r="C2668" s="12"/>
      <c r="D2668" s="3" t="s">
        <v>9668</v>
      </c>
      <c r="E2668" s="3" t="s">
        <v>9669</v>
      </c>
      <c r="F2668" s="3" t="s">
        <v>20</v>
      </c>
      <c r="G2668" s="4">
        <v>35884</v>
      </c>
      <c r="H2668" s="3" t="s">
        <v>94</v>
      </c>
      <c r="I2668" s="3" t="s">
        <v>33</v>
      </c>
      <c r="J2668" s="5">
        <v>471846660</v>
      </c>
      <c r="K2668" s="3">
        <v>2121101</v>
      </c>
      <c r="L2668" s="3" t="s">
        <v>233</v>
      </c>
      <c r="M2668" s="3" t="s">
        <v>9670</v>
      </c>
      <c r="N2668" s="3">
        <v>2</v>
      </c>
      <c r="O2668" s="3" t="s">
        <v>9671</v>
      </c>
      <c r="P2668" s="3" t="s">
        <v>9672</v>
      </c>
      <c r="Q2668" s="3" t="s">
        <v>2089</v>
      </c>
      <c r="R2668" s="3" t="s">
        <v>281</v>
      </c>
      <c r="S2668" s="3">
        <v>44444312</v>
      </c>
      <c r="T2668" s="3">
        <v>7533115555</v>
      </c>
      <c r="U2668" s="3" t="s">
        <v>29</v>
      </c>
    </row>
    <row r="2669" spans="1:21" ht="13.2" x14ac:dyDescent="0.25">
      <c r="A2669" s="14">
        <v>71673990000177</v>
      </c>
      <c r="B2669" s="15" t="str">
        <f t="shared" si="41"/>
        <v>71.673.990/0001-77</v>
      </c>
      <c r="C2669" s="12"/>
      <c r="D2669" s="3" t="s">
        <v>9673</v>
      </c>
      <c r="E2669" s="3" t="s">
        <v>9674</v>
      </c>
      <c r="F2669" s="3" t="s">
        <v>20</v>
      </c>
      <c r="G2669" s="4">
        <v>34128</v>
      </c>
      <c r="H2669" s="3" t="s">
        <v>377</v>
      </c>
      <c r="I2669" s="3" t="s">
        <v>33</v>
      </c>
      <c r="J2669" s="5">
        <v>6000000000</v>
      </c>
      <c r="K2669" s="3">
        <v>4646001</v>
      </c>
      <c r="L2669" s="3" t="s">
        <v>5257</v>
      </c>
      <c r="M2669" s="3" t="s">
        <v>9675</v>
      </c>
      <c r="N2669" s="3">
        <v>1188</v>
      </c>
      <c r="P2669" s="3" t="s">
        <v>9676</v>
      </c>
      <c r="Q2669" s="3" t="s">
        <v>27</v>
      </c>
      <c r="R2669" s="3" t="s">
        <v>28</v>
      </c>
      <c r="S2669" s="3">
        <v>5106000</v>
      </c>
      <c r="T2669" s="3">
        <v>1143897317</v>
      </c>
      <c r="U2669" s="3" t="s">
        <v>29</v>
      </c>
    </row>
    <row r="2670" spans="1:21" ht="13.2" x14ac:dyDescent="0.25">
      <c r="A2670" s="14">
        <v>34065417000154</v>
      </c>
      <c r="B2670" s="15" t="str">
        <f t="shared" si="41"/>
        <v>34.065.417/0001-54</v>
      </c>
      <c r="C2670" s="12"/>
      <c r="D2670" s="3" t="s">
        <v>9677</v>
      </c>
      <c r="E2670" s="3" t="s">
        <v>9677</v>
      </c>
      <c r="F2670" s="3" t="s">
        <v>20</v>
      </c>
      <c r="G2670" s="4">
        <v>33053</v>
      </c>
      <c r="H2670" s="3" t="s">
        <v>21</v>
      </c>
      <c r="I2670" s="3" t="s">
        <v>33</v>
      </c>
      <c r="J2670" s="5">
        <v>1500000</v>
      </c>
      <c r="K2670" s="3">
        <v>7112000</v>
      </c>
      <c r="L2670" s="3" t="s">
        <v>276</v>
      </c>
      <c r="M2670" s="3" t="s">
        <v>1606</v>
      </c>
      <c r="N2670" s="3">
        <v>3092</v>
      </c>
      <c r="O2670" s="3" t="s">
        <v>9678</v>
      </c>
      <c r="P2670" s="3" t="s">
        <v>9679</v>
      </c>
      <c r="Q2670" s="3" t="s">
        <v>5089</v>
      </c>
      <c r="R2670" s="3" t="s">
        <v>281</v>
      </c>
      <c r="S2670" s="3">
        <v>42700170</v>
      </c>
      <c r="T2670" s="3">
        <v>7198875621</v>
      </c>
      <c r="U2670" s="3" t="s">
        <v>29</v>
      </c>
    </row>
    <row r="2671" spans="1:21" ht="13.2" x14ac:dyDescent="0.25">
      <c r="A2671" s="14">
        <v>53476057000128</v>
      </c>
      <c r="B2671" s="15" t="str">
        <f t="shared" si="41"/>
        <v>53.476.057/0001-28</v>
      </c>
      <c r="C2671" s="12" t="str">
        <f>VLOOKUP(B2671,[1]Planilha1!$A:$B,2,0)</f>
        <v>Malu Montesino</v>
      </c>
      <c r="D2671" s="3" t="s">
        <v>9680</v>
      </c>
      <c r="E2671" s="3" t="s">
        <v>9680</v>
      </c>
      <c r="F2671" s="3" t="s">
        <v>20</v>
      </c>
      <c r="G2671" s="4">
        <v>30813</v>
      </c>
      <c r="H2671" s="3" t="s">
        <v>21</v>
      </c>
      <c r="I2671" s="3" t="s">
        <v>33</v>
      </c>
      <c r="J2671" s="5">
        <v>5161865</v>
      </c>
      <c r="K2671" s="3">
        <v>2812700</v>
      </c>
      <c r="L2671" s="3" t="s">
        <v>1534</v>
      </c>
      <c r="M2671" s="3" t="s">
        <v>9681</v>
      </c>
      <c r="N2671" s="3">
        <v>236</v>
      </c>
      <c r="O2671" s="3" t="s">
        <v>9682</v>
      </c>
      <c r="P2671" s="3" t="s">
        <v>9683</v>
      </c>
      <c r="Q2671" s="3" t="s">
        <v>9684</v>
      </c>
      <c r="R2671" s="3" t="s">
        <v>28</v>
      </c>
      <c r="S2671" s="3">
        <v>12960000</v>
      </c>
      <c r="T2671" s="3">
        <v>1144111488</v>
      </c>
      <c r="U2671" s="3" t="s">
        <v>29</v>
      </c>
    </row>
    <row r="2672" spans="1:21" ht="13.2" x14ac:dyDescent="0.25">
      <c r="A2672" s="14">
        <v>29599598000169</v>
      </c>
      <c r="B2672" s="15" t="str">
        <f t="shared" si="41"/>
        <v>29.599.598/0001-69</v>
      </c>
      <c r="C2672" s="12"/>
      <c r="D2672" s="3" t="s">
        <v>9685</v>
      </c>
      <c r="E2672" s="3" t="s">
        <v>9685</v>
      </c>
      <c r="F2672" s="3" t="s">
        <v>20</v>
      </c>
      <c r="G2672" s="4">
        <v>43084</v>
      </c>
      <c r="H2672" s="3" t="s">
        <v>8647</v>
      </c>
      <c r="I2672" s="3" t="s">
        <v>33</v>
      </c>
      <c r="J2672" s="5">
        <v>1000</v>
      </c>
      <c r="K2672" s="3">
        <v>6911701</v>
      </c>
      <c r="L2672" s="3" t="s">
        <v>1551</v>
      </c>
      <c r="M2672" s="3" t="s">
        <v>9686</v>
      </c>
      <c r="N2672" s="3">
        <v>52</v>
      </c>
      <c r="O2672" s="3" t="s">
        <v>9687</v>
      </c>
      <c r="P2672" s="3" t="s">
        <v>70</v>
      </c>
      <c r="Q2672" s="3" t="s">
        <v>27</v>
      </c>
      <c r="R2672" s="3" t="s">
        <v>28</v>
      </c>
      <c r="S2672" s="3">
        <v>1501000</v>
      </c>
      <c r="T2672" s="3">
        <v>1131120907</v>
      </c>
      <c r="U2672" s="3" t="s">
        <v>29</v>
      </c>
    </row>
    <row r="2673" spans="1:21" ht="13.2" x14ac:dyDescent="0.25">
      <c r="A2673" s="14">
        <v>16587151000128</v>
      </c>
      <c r="B2673" s="15" t="str">
        <f t="shared" si="41"/>
        <v>16.587.151/0001-28</v>
      </c>
      <c r="C2673" s="12"/>
      <c r="D2673" s="3" t="s">
        <v>9688</v>
      </c>
      <c r="E2673" s="3" t="s">
        <v>9688</v>
      </c>
      <c r="F2673" s="3" t="s">
        <v>20</v>
      </c>
      <c r="G2673" s="4">
        <v>41108</v>
      </c>
      <c r="H2673" s="3" t="s">
        <v>21</v>
      </c>
      <c r="I2673" s="3" t="s">
        <v>33</v>
      </c>
      <c r="J2673" s="5">
        <v>10000</v>
      </c>
      <c r="K2673" s="3">
        <v>7120100</v>
      </c>
      <c r="L2673" s="3" t="s">
        <v>2807</v>
      </c>
      <c r="M2673" s="3" t="s">
        <v>9689</v>
      </c>
      <c r="N2673" s="3">
        <v>360</v>
      </c>
      <c r="O2673" s="3" t="s">
        <v>9690</v>
      </c>
      <c r="P2673" s="3" t="s">
        <v>70</v>
      </c>
      <c r="Q2673" s="3" t="s">
        <v>65</v>
      </c>
      <c r="R2673" s="3" t="s">
        <v>28</v>
      </c>
      <c r="S2673" s="3">
        <v>13010211</v>
      </c>
      <c r="T2673" s="3">
        <v>1925179600</v>
      </c>
      <c r="U2673" s="3" t="s">
        <v>29</v>
      </c>
    </row>
    <row r="2674" spans="1:21" ht="13.2" x14ac:dyDescent="0.25">
      <c r="A2674" s="14">
        <v>18076538000145</v>
      </c>
      <c r="B2674" s="15" t="str">
        <f t="shared" si="41"/>
        <v>18.076.538/0001-45</v>
      </c>
      <c r="C2674" s="12"/>
      <c r="D2674" s="3" t="s">
        <v>9691</v>
      </c>
      <c r="E2674" s="3" t="s">
        <v>9691</v>
      </c>
      <c r="F2674" s="3" t="s">
        <v>20</v>
      </c>
      <c r="G2674" s="4">
        <v>41402</v>
      </c>
      <c r="H2674" s="3" t="s">
        <v>21</v>
      </c>
      <c r="I2674" s="3" t="s">
        <v>33</v>
      </c>
      <c r="J2674" s="5">
        <v>150000</v>
      </c>
      <c r="K2674" s="3">
        <v>4644301</v>
      </c>
      <c r="L2674" s="3" t="s">
        <v>326</v>
      </c>
      <c r="M2674" s="3" t="s">
        <v>9692</v>
      </c>
      <c r="N2674" s="3" t="s">
        <v>9693</v>
      </c>
      <c r="P2674" s="3" t="s">
        <v>9694</v>
      </c>
      <c r="Q2674" s="3" t="s">
        <v>324</v>
      </c>
      <c r="R2674" s="3" t="s">
        <v>28</v>
      </c>
      <c r="S2674" s="3">
        <v>17031381</v>
      </c>
      <c r="T2674" s="3">
        <v>1432451892</v>
      </c>
      <c r="U2674" s="3" t="s">
        <v>29</v>
      </c>
    </row>
    <row r="2675" spans="1:21" ht="13.2" x14ac:dyDescent="0.25">
      <c r="A2675" s="14">
        <v>49074412000165</v>
      </c>
      <c r="B2675" s="15" t="str">
        <f t="shared" si="41"/>
        <v>49.074.412/0001-65</v>
      </c>
      <c r="C2675" s="12" t="str">
        <f>VLOOKUP(B2675,[1]Planilha1!$A:$B,2,0)</f>
        <v>Malu Montesino</v>
      </c>
      <c r="D2675" s="3" t="s">
        <v>9695</v>
      </c>
      <c r="E2675" s="3" t="s">
        <v>9695</v>
      </c>
      <c r="F2675" s="3" t="s">
        <v>20</v>
      </c>
      <c r="G2675" s="4">
        <v>25177</v>
      </c>
      <c r="H2675" s="3" t="s">
        <v>94</v>
      </c>
      <c r="I2675" s="3" t="s">
        <v>33</v>
      </c>
      <c r="J2675" s="5">
        <v>401881860</v>
      </c>
      <c r="K2675" s="3">
        <v>4652400</v>
      </c>
      <c r="L2675" s="3" t="s">
        <v>1031</v>
      </c>
      <c r="M2675" s="3" t="s">
        <v>837</v>
      </c>
      <c r="N2675" s="3">
        <v>1350</v>
      </c>
      <c r="O2675" s="3" t="s">
        <v>9696</v>
      </c>
      <c r="P2675" s="3" t="s">
        <v>137</v>
      </c>
      <c r="Q2675" s="3" t="s">
        <v>27</v>
      </c>
      <c r="R2675" s="3" t="s">
        <v>28</v>
      </c>
      <c r="S2675" s="3">
        <v>5001100</v>
      </c>
      <c r="T2675" s="3">
        <v>1131517000</v>
      </c>
      <c r="U2675" s="3" t="s">
        <v>29</v>
      </c>
    </row>
    <row r="2676" spans="1:21" ht="13.2" x14ac:dyDescent="0.25">
      <c r="A2676" s="14">
        <v>23789721000128</v>
      </c>
      <c r="B2676" s="15" t="str">
        <f t="shared" si="41"/>
        <v>23.789.721/0001-28</v>
      </c>
      <c r="C2676" s="12"/>
      <c r="D2676" s="3" t="s">
        <v>9697</v>
      </c>
      <c r="E2676" s="3" t="s">
        <v>9697</v>
      </c>
      <c r="F2676" s="3" t="s">
        <v>20</v>
      </c>
      <c r="G2676" s="4">
        <v>42342</v>
      </c>
      <c r="H2676" s="3" t="s">
        <v>21</v>
      </c>
      <c r="I2676" s="3" t="s">
        <v>33</v>
      </c>
      <c r="J2676" s="5">
        <v>9740490</v>
      </c>
      <c r="K2676" s="3">
        <v>4661300</v>
      </c>
      <c r="L2676" s="3" t="s">
        <v>595</v>
      </c>
      <c r="M2676" s="3" t="s">
        <v>9698</v>
      </c>
      <c r="N2676" s="3">
        <v>110</v>
      </c>
      <c r="O2676" s="3" t="s">
        <v>9699</v>
      </c>
      <c r="P2676" s="3" t="s">
        <v>1639</v>
      </c>
      <c r="Q2676" s="3" t="s">
        <v>2198</v>
      </c>
      <c r="R2676" s="3" t="s">
        <v>28</v>
      </c>
      <c r="S2676" s="3">
        <v>13800443</v>
      </c>
      <c r="T2676" s="3">
        <v>1938041898</v>
      </c>
      <c r="U2676" s="3" t="s">
        <v>29</v>
      </c>
    </row>
    <row r="2677" spans="1:21" ht="13.2" x14ac:dyDescent="0.25">
      <c r="A2677" s="14">
        <v>92146505000187</v>
      </c>
      <c r="B2677" s="15" t="str">
        <f t="shared" si="41"/>
        <v>92.146.505/0001-87</v>
      </c>
      <c r="C2677" s="12"/>
      <c r="D2677" s="3" t="s">
        <v>9700</v>
      </c>
      <c r="E2677" s="3" t="s">
        <v>9701</v>
      </c>
      <c r="F2677" s="3" t="s">
        <v>20</v>
      </c>
      <c r="G2677" s="4">
        <v>32287</v>
      </c>
      <c r="H2677" s="3" t="s">
        <v>21</v>
      </c>
      <c r="I2677" s="3" t="s">
        <v>33</v>
      </c>
      <c r="J2677" s="5">
        <v>800000</v>
      </c>
      <c r="K2677" s="3">
        <v>4644301</v>
      </c>
      <c r="L2677" s="3" t="s">
        <v>326</v>
      </c>
      <c r="M2677" s="3" t="s">
        <v>2444</v>
      </c>
      <c r="N2677" s="3">
        <v>737</v>
      </c>
      <c r="P2677" s="3" t="s">
        <v>436</v>
      </c>
      <c r="Q2677" s="3" t="s">
        <v>437</v>
      </c>
      <c r="R2677" s="3" t="s">
        <v>53</v>
      </c>
      <c r="S2677" s="3">
        <v>90230041</v>
      </c>
      <c r="T2677" s="3">
        <v>5132305000</v>
      </c>
      <c r="U2677" s="3" t="s">
        <v>29</v>
      </c>
    </row>
    <row r="2678" spans="1:21" ht="13.2" x14ac:dyDescent="0.25">
      <c r="A2678" s="14">
        <v>1083200000118</v>
      </c>
      <c r="B2678" s="15" t="str">
        <f t="shared" si="41"/>
        <v>01.083.200/0001-18</v>
      </c>
      <c r="C2678" s="12"/>
      <c r="D2678" s="3" t="s">
        <v>9702</v>
      </c>
      <c r="E2678" s="3" t="s">
        <v>9702</v>
      </c>
      <c r="F2678" s="3" t="s">
        <v>20</v>
      </c>
      <c r="G2678" s="4">
        <v>35124</v>
      </c>
      <c r="H2678" s="3" t="s">
        <v>377</v>
      </c>
      <c r="I2678" s="3" t="s">
        <v>33</v>
      </c>
      <c r="J2678" s="5">
        <v>20919982000</v>
      </c>
      <c r="K2678" s="3">
        <v>6462000</v>
      </c>
      <c r="L2678" s="3" t="s">
        <v>250</v>
      </c>
      <c r="M2678" s="3" t="s">
        <v>9703</v>
      </c>
      <c r="N2678" s="3">
        <v>78</v>
      </c>
      <c r="O2678" s="3" t="s">
        <v>835</v>
      </c>
      <c r="P2678" s="3" t="s">
        <v>5959</v>
      </c>
      <c r="Q2678" s="3" t="s">
        <v>253</v>
      </c>
      <c r="R2678" s="3" t="s">
        <v>78</v>
      </c>
      <c r="S2678" s="3">
        <v>22210906</v>
      </c>
      <c r="T2678" s="3">
        <v>2132359800</v>
      </c>
      <c r="U2678" s="3" t="s">
        <v>29</v>
      </c>
    </row>
    <row r="2679" spans="1:21" ht="13.2" x14ac:dyDescent="0.25">
      <c r="A2679" s="14">
        <v>2955426000124</v>
      </c>
      <c r="B2679" s="15" t="str">
        <f t="shared" si="41"/>
        <v>02.955.426/0001-24</v>
      </c>
      <c r="C2679" s="12"/>
      <c r="D2679" s="3" t="s">
        <v>9704</v>
      </c>
      <c r="E2679" s="3" t="s">
        <v>9705</v>
      </c>
      <c r="F2679" s="3" t="s">
        <v>20</v>
      </c>
      <c r="G2679" s="4">
        <v>36180</v>
      </c>
      <c r="H2679" s="3" t="s">
        <v>21</v>
      </c>
      <c r="I2679" s="3" t="s">
        <v>33</v>
      </c>
      <c r="J2679" s="5">
        <v>87860970</v>
      </c>
      <c r="K2679" s="3">
        <v>4211101</v>
      </c>
      <c r="L2679" s="3" t="s">
        <v>313</v>
      </c>
      <c r="M2679" s="3" t="s">
        <v>9706</v>
      </c>
      <c r="N2679" s="3">
        <v>212</v>
      </c>
      <c r="O2679" s="3" t="s">
        <v>9707</v>
      </c>
      <c r="P2679" s="3" t="s">
        <v>4076</v>
      </c>
      <c r="Q2679" s="3" t="s">
        <v>204</v>
      </c>
      <c r="R2679" s="3" t="s">
        <v>187</v>
      </c>
      <c r="S2679" s="3">
        <v>80035010</v>
      </c>
      <c r="T2679" s="3">
        <v>4130759000</v>
      </c>
      <c r="U2679" s="3" t="s">
        <v>29</v>
      </c>
    </row>
    <row r="2680" spans="1:21" ht="13.2" x14ac:dyDescent="0.25">
      <c r="A2680" s="14">
        <v>14198700000147</v>
      </c>
      <c r="B2680" s="15" t="str">
        <f t="shared" si="41"/>
        <v>14.198.700/0001-47</v>
      </c>
      <c r="C2680" s="12"/>
      <c r="D2680" s="3" t="s">
        <v>9708</v>
      </c>
      <c r="E2680" s="3" t="s">
        <v>9708</v>
      </c>
      <c r="F2680" s="3" t="s">
        <v>20</v>
      </c>
      <c r="G2680" s="4">
        <v>40738</v>
      </c>
      <c r="H2680" s="3" t="s">
        <v>21</v>
      </c>
      <c r="I2680" s="3" t="s">
        <v>33</v>
      </c>
      <c r="J2680" s="5">
        <v>14441290</v>
      </c>
      <c r="K2680" s="3">
        <v>8299799</v>
      </c>
      <c r="L2680" s="3" t="s">
        <v>532</v>
      </c>
      <c r="M2680" s="3" t="s">
        <v>9709</v>
      </c>
      <c r="N2680" s="3">
        <v>500</v>
      </c>
      <c r="O2680" s="3" t="s">
        <v>9710</v>
      </c>
      <c r="P2680" s="3" t="s">
        <v>2825</v>
      </c>
      <c r="Q2680" s="3" t="s">
        <v>2128</v>
      </c>
      <c r="R2680" s="3" t="s">
        <v>28</v>
      </c>
      <c r="S2680" s="3">
        <v>13146038</v>
      </c>
      <c r="T2680" s="3">
        <v>1938332066</v>
      </c>
      <c r="U2680" s="3" t="s">
        <v>29</v>
      </c>
    </row>
    <row r="2681" spans="1:21" ht="13.2" x14ac:dyDescent="0.25">
      <c r="A2681" s="14">
        <v>60409075000152</v>
      </c>
      <c r="B2681" s="15" t="str">
        <f t="shared" si="41"/>
        <v>60.409.075/0001-52</v>
      </c>
      <c r="C2681" s="12"/>
      <c r="D2681" s="3" t="s">
        <v>9711</v>
      </c>
      <c r="E2681" s="3" t="s">
        <v>9711</v>
      </c>
      <c r="F2681" s="3" t="s">
        <v>20</v>
      </c>
      <c r="G2681" s="4">
        <v>24348</v>
      </c>
      <c r="H2681" s="3" t="s">
        <v>21</v>
      </c>
      <c r="I2681" s="3" t="s">
        <v>33</v>
      </c>
      <c r="J2681" s="5">
        <v>7992917000</v>
      </c>
      <c r="K2681" s="3">
        <v>1099699</v>
      </c>
      <c r="L2681" s="3" t="s">
        <v>3307</v>
      </c>
      <c r="M2681" s="3" t="s">
        <v>1448</v>
      </c>
      <c r="N2681" s="3">
        <v>691</v>
      </c>
      <c r="O2681" s="3" t="s">
        <v>9712</v>
      </c>
      <c r="P2681" s="3" t="s">
        <v>1450</v>
      </c>
      <c r="Q2681" s="3" t="s">
        <v>27</v>
      </c>
      <c r="R2681" s="3" t="s">
        <v>28</v>
      </c>
      <c r="S2681" s="3">
        <v>4730903</v>
      </c>
      <c r="T2681" s="3">
        <v>1155084400</v>
      </c>
      <c r="U2681" s="3" t="s">
        <v>29</v>
      </c>
    </row>
    <row r="2682" spans="1:21" ht="13.2" x14ac:dyDescent="0.25">
      <c r="A2682" s="14">
        <v>25136184000142</v>
      </c>
      <c r="B2682" s="15" t="str">
        <f t="shared" si="41"/>
        <v>25.136.184/0001-42</v>
      </c>
      <c r="C2682" s="12" t="str">
        <f>VLOOKUP(B2682,[1]Planilha1!$A:$B,2,0)</f>
        <v>Malu Montesino</v>
      </c>
      <c r="D2682" s="3" t="s">
        <v>9713</v>
      </c>
      <c r="E2682" s="3" t="s">
        <v>9713</v>
      </c>
      <c r="F2682" s="3" t="s">
        <v>20</v>
      </c>
      <c r="G2682" s="4">
        <v>42555</v>
      </c>
      <c r="H2682" s="3" t="s">
        <v>21</v>
      </c>
      <c r="I2682" s="3" t="s">
        <v>22</v>
      </c>
      <c r="J2682" s="5">
        <v>1758100</v>
      </c>
      <c r="K2682" s="3">
        <v>8299702</v>
      </c>
      <c r="L2682" s="3" t="s">
        <v>937</v>
      </c>
      <c r="M2682" s="3" t="s">
        <v>3977</v>
      </c>
      <c r="N2682" s="3">
        <v>306</v>
      </c>
      <c r="O2682" s="3" t="s">
        <v>9714</v>
      </c>
      <c r="P2682" s="3" t="s">
        <v>2207</v>
      </c>
      <c r="Q2682" s="3" t="s">
        <v>27</v>
      </c>
      <c r="R2682" s="3" t="s">
        <v>28</v>
      </c>
      <c r="S2682" s="3">
        <v>2037020</v>
      </c>
      <c r="T2682" s="3">
        <v>1129597327</v>
      </c>
      <c r="U2682" s="3" t="s">
        <v>29</v>
      </c>
    </row>
    <row r="2683" spans="1:21" ht="13.2" x14ac:dyDescent="0.25">
      <c r="A2683" s="14">
        <v>4597289000129</v>
      </c>
      <c r="B2683" s="15" t="str">
        <f t="shared" si="41"/>
        <v>04.597.289/0001-29</v>
      </c>
      <c r="C2683" s="12" t="str">
        <f>VLOOKUP(B2683,[1]Planilha1!$A:$B,2,0)</f>
        <v>Malu Montesino</v>
      </c>
      <c r="D2683" s="3" t="s">
        <v>9715</v>
      </c>
      <c r="E2683" s="3" t="s">
        <v>9715</v>
      </c>
      <c r="F2683" s="3" t="s">
        <v>20</v>
      </c>
      <c r="G2683" s="4">
        <v>37103</v>
      </c>
      <c r="H2683" s="3" t="s">
        <v>21</v>
      </c>
      <c r="I2683" s="3" t="s">
        <v>33</v>
      </c>
      <c r="J2683" s="5">
        <v>4000000</v>
      </c>
      <c r="K2683" s="3">
        <v>6209100</v>
      </c>
      <c r="L2683" s="3" t="s">
        <v>303</v>
      </c>
      <c r="M2683" s="3" t="s">
        <v>9716</v>
      </c>
      <c r="N2683" s="3">
        <v>520</v>
      </c>
      <c r="O2683" s="3" t="s">
        <v>9717</v>
      </c>
      <c r="P2683" s="3" t="s">
        <v>9718</v>
      </c>
      <c r="Q2683" s="3" t="s">
        <v>217</v>
      </c>
      <c r="R2683" s="3" t="s">
        <v>28</v>
      </c>
      <c r="S2683" s="3">
        <v>9760280</v>
      </c>
      <c r="T2683" s="3">
        <v>1141232224</v>
      </c>
      <c r="U2683" s="3" t="s">
        <v>29</v>
      </c>
    </row>
    <row r="2684" spans="1:21" ht="13.2" x14ac:dyDescent="0.25">
      <c r="A2684" s="14">
        <v>549740000181</v>
      </c>
      <c r="B2684" s="15" t="str">
        <f t="shared" si="41"/>
        <v>00.549.740/0001-81</v>
      </c>
      <c r="C2684" s="12" t="str">
        <f>VLOOKUP(B2684,[1]Planilha1!$A:$B,2,0)</f>
        <v>Malu Montesino</v>
      </c>
      <c r="D2684" s="3" t="s">
        <v>9719</v>
      </c>
      <c r="E2684" s="3" t="s">
        <v>9719</v>
      </c>
      <c r="F2684" s="3" t="s">
        <v>20</v>
      </c>
      <c r="G2684" s="4">
        <v>34794</v>
      </c>
      <c r="H2684" s="3" t="s">
        <v>21</v>
      </c>
      <c r="I2684" s="3" t="s">
        <v>33</v>
      </c>
      <c r="J2684" s="5">
        <v>54689736</v>
      </c>
      <c r="K2684" s="3">
        <v>2832100</v>
      </c>
      <c r="L2684" s="3" t="s">
        <v>2184</v>
      </c>
      <c r="M2684" s="3" t="s">
        <v>9720</v>
      </c>
      <c r="N2684" s="3">
        <v>135</v>
      </c>
      <c r="P2684" s="3" t="s">
        <v>9721</v>
      </c>
      <c r="Q2684" s="3" t="s">
        <v>524</v>
      </c>
      <c r="R2684" s="3" t="s">
        <v>28</v>
      </c>
      <c r="S2684" s="3">
        <v>14066446</v>
      </c>
      <c r="T2684" s="3">
        <v>1621118000</v>
      </c>
      <c r="U2684" s="3" t="s">
        <v>29</v>
      </c>
    </row>
    <row r="2685" spans="1:21" ht="13.2" x14ac:dyDescent="0.25">
      <c r="A2685" s="14">
        <v>545482000165</v>
      </c>
      <c r="B2685" s="15" t="str">
        <f t="shared" si="41"/>
        <v>00.545.482/0001-65</v>
      </c>
      <c r="C2685" s="12"/>
      <c r="D2685" s="3" t="s">
        <v>9722</v>
      </c>
      <c r="E2685" s="3" t="s">
        <v>9723</v>
      </c>
      <c r="F2685" s="3" t="s">
        <v>20</v>
      </c>
      <c r="G2685" s="4">
        <v>34802</v>
      </c>
      <c r="H2685" s="3" t="s">
        <v>21</v>
      </c>
      <c r="I2685" s="3" t="s">
        <v>33</v>
      </c>
      <c r="J2685" s="5">
        <v>1340000</v>
      </c>
      <c r="K2685" s="3">
        <v>6110803</v>
      </c>
      <c r="L2685" s="3" t="s">
        <v>339</v>
      </c>
      <c r="M2685" s="3" t="s">
        <v>7288</v>
      </c>
      <c r="N2685" s="3">
        <v>725</v>
      </c>
      <c r="O2685" s="3" t="s">
        <v>2743</v>
      </c>
      <c r="P2685" s="3" t="s">
        <v>2699</v>
      </c>
      <c r="Q2685" s="3" t="s">
        <v>631</v>
      </c>
      <c r="R2685" s="3" t="s">
        <v>632</v>
      </c>
      <c r="S2685" s="3">
        <v>70610410</v>
      </c>
      <c r="T2685" s="3">
        <v>6133223200</v>
      </c>
      <c r="U2685" s="3" t="s">
        <v>29</v>
      </c>
    </row>
    <row r="2686" spans="1:21" ht="13.2" x14ac:dyDescent="0.25">
      <c r="A2686" s="14">
        <v>82749987000106</v>
      </c>
      <c r="B2686" s="15" t="str">
        <f t="shared" si="41"/>
        <v>82.749.987/0001-06</v>
      </c>
      <c r="C2686" s="12" t="str">
        <f>VLOOKUP(B2686,[1]Planilha1!$A:$B,2,0)</f>
        <v>Malu Montesino</v>
      </c>
      <c r="D2686" s="3" t="s">
        <v>9724</v>
      </c>
      <c r="E2686" s="3" t="s">
        <v>9724</v>
      </c>
      <c r="F2686" s="3" t="s">
        <v>20</v>
      </c>
      <c r="G2686" s="4">
        <v>26875</v>
      </c>
      <c r="H2686" s="3" t="s">
        <v>21</v>
      </c>
      <c r="I2686" s="3" t="s">
        <v>33</v>
      </c>
      <c r="J2686" s="5">
        <v>37391188</v>
      </c>
      <c r="K2686" s="3">
        <v>2829199</v>
      </c>
      <c r="L2686" s="3" t="s">
        <v>1514</v>
      </c>
      <c r="M2686" s="3" t="s">
        <v>9725</v>
      </c>
      <c r="N2686" s="3">
        <v>2383</v>
      </c>
      <c r="P2686" s="3" t="s">
        <v>70</v>
      </c>
      <c r="Q2686" s="3" t="s">
        <v>3098</v>
      </c>
      <c r="R2686" s="3" t="s">
        <v>91</v>
      </c>
      <c r="S2686" s="3">
        <v>89107000</v>
      </c>
      <c r="T2686" s="3">
        <v>4733878222</v>
      </c>
      <c r="U2686" s="3" t="s">
        <v>29</v>
      </c>
    </row>
    <row r="2687" spans="1:21" ht="13.2" x14ac:dyDescent="0.25">
      <c r="A2687" s="14">
        <v>11416093000156</v>
      </c>
      <c r="B2687" s="15" t="str">
        <f t="shared" si="41"/>
        <v>11.416.093/0001-56</v>
      </c>
      <c r="C2687" s="12"/>
      <c r="D2687" s="3" t="s">
        <v>9726</v>
      </c>
      <c r="E2687" s="3" t="s">
        <v>8690</v>
      </c>
      <c r="F2687" s="3" t="s">
        <v>20</v>
      </c>
      <c r="G2687" s="4">
        <v>40164</v>
      </c>
      <c r="H2687" s="3" t="s">
        <v>21</v>
      </c>
      <c r="I2687" s="3" t="s">
        <v>33</v>
      </c>
      <c r="J2687" s="5">
        <v>20000</v>
      </c>
      <c r="K2687" s="3">
        <v>4773300</v>
      </c>
      <c r="L2687" s="3" t="s">
        <v>706</v>
      </c>
      <c r="M2687" s="3" t="s">
        <v>9727</v>
      </c>
      <c r="N2687" s="3">
        <v>57</v>
      </c>
      <c r="O2687" s="3" t="s">
        <v>1190</v>
      </c>
      <c r="P2687" s="3" t="s">
        <v>2279</v>
      </c>
      <c r="Q2687" s="3" t="s">
        <v>617</v>
      </c>
      <c r="R2687" s="3" t="s">
        <v>28</v>
      </c>
      <c r="S2687" s="3">
        <v>6455000</v>
      </c>
      <c r="T2687" s="3">
        <v>1141956006</v>
      </c>
      <c r="U2687" s="3" t="s">
        <v>29</v>
      </c>
    </row>
    <row r="2688" spans="1:21" ht="13.2" x14ac:dyDescent="0.25">
      <c r="A2688" s="14">
        <v>39715643000157</v>
      </c>
      <c r="B2688" s="15" t="str">
        <f t="shared" si="41"/>
        <v>39.715.643/0001-57</v>
      </c>
      <c r="C2688" s="12" t="str">
        <f>VLOOKUP(B2688,[1]Planilha1!$A:$B,2,0)</f>
        <v>Malu Montesino</v>
      </c>
      <c r="D2688" s="3" t="s">
        <v>9728</v>
      </c>
      <c r="E2688" s="3" t="s">
        <v>9729</v>
      </c>
      <c r="F2688" s="3" t="s">
        <v>20</v>
      </c>
      <c r="G2688" s="4">
        <v>44144</v>
      </c>
      <c r="H2688" s="3" t="s">
        <v>21</v>
      </c>
      <c r="I2688" s="3" t="s">
        <v>47</v>
      </c>
      <c r="J2688" s="5">
        <v>50000</v>
      </c>
      <c r="K2688" s="3">
        <v>2063100</v>
      </c>
      <c r="L2688" s="3" t="s">
        <v>4390</v>
      </c>
      <c r="M2688" s="3" t="s">
        <v>9730</v>
      </c>
      <c r="N2688" s="3">
        <v>563</v>
      </c>
      <c r="O2688" s="3" t="s">
        <v>9731</v>
      </c>
      <c r="P2688" s="3" t="s">
        <v>336</v>
      </c>
      <c r="Q2688" s="3" t="s">
        <v>27</v>
      </c>
      <c r="R2688" s="3" t="s">
        <v>28</v>
      </c>
      <c r="S2688" s="3">
        <v>3120000</v>
      </c>
      <c r="T2688" s="3">
        <v>1126944505</v>
      </c>
      <c r="U2688" s="3" t="s">
        <v>29</v>
      </c>
    </row>
    <row r="2689" spans="1:21" ht="13.2" x14ac:dyDescent="0.25">
      <c r="A2689" s="14">
        <v>3033615000102</v>
      </c>
      <c r="B2689" s="15" t="str">
        <f t="shared" si="41"/>
        <v>03.033.615/0001-02</v>
      </c>
      <c r="C2689" s="12"/>
      <c r="D2689" s="3" t="s">
        <v>9732</v>
      </c>
      <c r="E2689" s="3" t="s">
        <v>9733</v>
      </c>
      <c r="F2689" s="3" t="s">
        <v>20</v>
      </c>
      <c r="G2689" s="4">
        <v>35780</v>
      </c>
      <c r="H2689" s="3" t="s">
        <v>21</v>
      </c>
      <c r="I2689" s="3" t="s">
        <v>33</v>
      </c>
      <c r="J2689" s="5">
        <v>200000</v>
      </c>
      <c r="K2689" s="3">
        <v>2229301</v>
      </c>
      <c r="L2689" s="3" t="s">
        <v>1793</v>
      </c>
      <c r="M2689" s="3" t="s">
        <v>9734</v>
      </c>
      <c r="N2689" s="3">
        <v>488</v>
      </c>
      <c r="P2689" s="3" t="s">
        <v>7774</v>
      </c>
      <c r="Q2689" s="3" t="s">
        <v>27</v>
      </c>
      <c r="R2689" s="3" t="s">
        <v>28</v>
      </c>
      <c r="S2689" s="3">
        <v>8260050</v>
      </c>
      <c r="T2689" s="3">
        <v>1127838180</v>
      </c>
      <c r="U2689" s="3" t="s">
        <v>29</v>
      </c>
    </row>
    <row r="2690" spans="1:21" ht="13.2" x14ac:dyDescent="0.25">
      <c r="A2690" s="14">
        <v>12077181000133</v>
      </c>
      <c r="B2690" s="15" t="str">
        <f t="shared" si="41"/>
        <v>12.077.181/0001-33</v>
      </c>
      <c r="C2690" s="12" t="str">
        <f>VLOOKUP(B2690,[1]Planilha1!$A:$B,2,0)</f>
        <v>Malu Montesino</v>
      </c>
      <c r="D2690" s="3" t="s">
        <v>9735</v>
      </c>
      <c r="E2690" s="3" t="s">
        <v>9736</v>
      </c>
      <c r="F2690" s="3" t="s">
        <v>20</v>
      </c>
      <c r="G2690" s="4">
        <v>40196</v>
      </c>
      <c r="H2690" s="3" t="s">
        <v>21</v>
      </c>
      <c r="I2690" s="3" t="s">
        <v>33</v>
      </c>
      <c r="J2690" s="5">
        <v>16874920</v>
      </c>
      <c r="K2690" s="3">
        <v>2740602</v>
      </c>
      <c r="L2690" s="3" t="s">
        <v>1994</v>
      </c>
      <c r="M2690" s="3" t="s">
        <v>9737</v>
      </c>
      <c r="N2690" s="3">
        <v>101</v>
      </c>
      <c r="P2690" s="3" t="s">
        <v>3995</v>
      </c>
      <c r="Q2690" s="3" t="s">
        <v>2203</v>
      </c>
      <c r="R2690" s="3" t="s">
        <v>28</v>
      </c>
      <c r="S2690" s="3">
        <v>8616520</v>
      </c>
      <c r="T2690" s="3">
        <v>1147516350</v>
      </c>
      <c r="U2690" s="3" t="s">
        <v>29</v>
      </c>
    </row>
    <row r="2691" spans="1:21" ht="13.2" x14ac:dyDescent="0.25">
      <c r="A2691" s="14">
        <v>61817664000132</v>
      </c>
      <c r="B2691" s="15" t="str">
        <f t="shared" ref="B2691:B2754" si="42">TEXT(A2691,"00\.000\.000\/0000\-00")</f>
        <v>61.817.664/0001-32</v>
      </c>
      <c r="C2691" s="12" t="str">
        <f>VLOOKUP(B2691,[1]Planilha1!$A:$B,2,0)</f>
        <v>Mariane Nascimento</v>
      </c>
      <c r="D2691" s="3" t="s">
        <v>9738</v>
      </c>
      <c r="E2691" s="3" t="s">
        <v>9738</v>
      </c>
      <c r="F2691" s="3" t="s">
        <v>20</v>
      </c>
      <c r="G2691" s="4">
        <v>32806</v>
      </c>
      <c r="H2691" s="3" t="s">
        <v>21</v>
      </c>
      <c r="I2691" s="3" t="s">
        <v>33</v>
      </c>
      <c r="J2691" s="5">
        <v>113000</v>
      </c>
      <c r="K2691" s="3">
        <v>4664800</v>
      </c>
      <c r="L2691" s="3" t="s">
        <v>691</v>
      </c>
      <c r="M2691" s="3" t="s">
        <v>1639</v>
      </c>
      <c r="N2691" s="3">
        <v>2209</v>
      </c>
      <c r="P2691" s="3" t="s">
        <v>3025</v>
      </c>
      <c r="Q2691" s="3" t="s">
        <v>27</v>
      </c>
      <c r="R2691" s="3" t="s">
        <v>28</v>
      </c>
      <c r="S2691" s="3">
        <v>4121002</v>
      </c>
      <c r="U2691" s="3" t="s">
        <v>29</v>
      </c>
    </row>
    <row r="2692" spans="1:21" ht="13.2" x14ac:dyDescent="0.25">
      <c r="A2692" s="14">
        <v>42416651000107</v>
      </c>
      <c r="B2692" s="15" t="str">
        <f t="shared" si="42"/>
        <v>42.416.651/0001-07</v>
      </c>
      <c r="C2692" s="12"/>
      <c r="D2692" s="3" t="s">
        <v>9739</v>
      </c>
      <c r="E2692" s="3" t="s">
        <v>9739</v>
      </c>
      <c r="F2692" s="3" t="s">
        <v>20</v>
      </c>
      <c r="G2692" s="4">
        <v>27416</v>
      </c>
      <c r="H2692" s="3" t="s">
        <v>94</v>
      </c>
      <c r="I2692" s="3" t="s">
        <v>33</v>
      </c>
      <c r="J2692" s="5">
        <v>3584535000</v>
      </c>
      <c r="K2692" s="3">
        <v>2449101</v>
      </c>
      <c r="L2692" s="3" t="s">
        <v>9740</v>
      </c>
      <c r="M2692" s="3" t="s">
        <v>9741</v>
      </c>
      <c r="N2692" s="3" t="s">
        <v>82</v>
      </c>
      <c r="P2692" s="3" t="s">
        <v>9742</v>
      </c>
      <c r="Q2692" s="3" t="s">
        <v>9743</v>
      </c>
      <c r="R2692" s="3" t="s">
        <v>100</v>
      </c>
      <c r="S2692" s="3">
        <v>39205000</v>
      </c>
      <c r="U2692" s="3" t="s">
        <v>29</v>
      </c>
    </row>
    <row r="2693" spans="1:21" ht="13.2" x14ac:dyDescent="0.25">
      <c r="A2693" s="14">
        <v>22847640000174</v>
      </c>
      <c r="B2693" s="15" t="str">
        <f t="shared" si="42"/>
        <v>22.847.640/0001-74</v>
      </c>
      <c r="C2693" s="12"/>
      <c r="D2693" s="3" t="s">
        <v>9744</v>
      </c>
      <c r="E2693" s="3" t="s">
        <v>9745</v>
      </c>
      <c r="F2693" s="3" t="s">
        <v>20</v>
      </c>
      <c r="G2693" s="4">
        <v>42199</v>
      </c>
      <c r="H2693" s="3" t="s">
        <v>21</v>
      </c>
      <c r="I2693" s="3" t="s">
        <v>47</v>
      </c>
      <c r="J2693" s="5">
        <v>100000</v>
      </c>
      <c r="K2693" s="3">
        <v>4753900</v>
      </c>
      <c r="L2693" s="3" t="s">
        <v>214</v>
      </c>
      <c r="M2693" s="3" t="s">
        <v>9746</v>
      </c>
      <c r="N2693" s="3">
        <v>512</v>
      </c>
      <c r="O2693" s="3" t="s">
        <v>5316</v>
      </c>
      <c r="P2693" s="3" t="s">
        <v>9747</v>
      </c>
      <c r="Q2693" s="3" t="s">
        <v>280</v>
      </c>
      <c r="R2693" s="3" t="s">
        <v>281</v>
      </c>
      <c r="S2693" s="3">
        <v>41192031</v>
      </c>
      <c r="T2693" s="3">
        <v>7192520610</v>
      </c>
      <c r="U2693" s="3" t="s">
        <v>29</v>
      </c>
    </row>
    <row r="2694" spans="1:21" ht="13.2" x14ac:dyDescent="0.25">
      <c r="A2694" s="14">
        <v>25322949000139</v>
      </c>
      <c r="B2694" s="15" t="str">
        <f t="shared" si="42"/>
        <v>25.322.949/0001-39</v>
      </c>
      <c r="C2694" s="12"/>
      <c r="D2694" s="3" t="s">
        <v>9748</v>
      </c>
      <c r="E2694" s="3" t="s">
        <v>9749</v>
      </c>
      <c r="F2694" s="3" t="s">
        <v>20</v>
      </c>
      <c r="G2694" s="4">
        <v>42508</v>
      </c>
      <c r="H2694" s="3" t="s">
        <v>94</v>
      </c>
      <c r="I2694" s="3" t="s">
        <v>33</v>
      </c>
      <c r="J2694" s="5">
        <v>49900428</v>
      </c>
      <c r="K2694" s="3">
        <v>6203100</v>
      </c>
      <c r="L2694" s="3" t="s">
        <v>2268</v>
      </c>
      <c r="M2694" s="3" t="s">
        <v>2999</v>
      </c>
      <c r="N2694" s="3">
        <v>470</v>
      </c>
      <c r="O2694" s="3" t="s">
        <v>496</v>
      </c>
      <c r="P2694" s="3" t="s">
        <v>70</v>
      </c>
      <c r="Q2694" s="3" t="s">
        <v>536</v>
      </c>
      <c r="R2694" s="3" t="s">
        <v>91</v>
      </c>
      <c r="S2694" s="3">
        <v>88103400</v>
      </c>
      <c r="T2694" s="3">
        <v>4840202449</v>
      </c>
      <c r="U2694" s="3" t="s">
        <v>29</v>
      </c>
    </row>
    <row r="2695" spans="1:21" ht="13.2" x14ac:dyDescent="0.25">
      <c r="A2695" s="14">
        <v>26715703000190</v>
      </c>
      <c r="B2695" s="15" t="str">
        <f t="shared" si="42"/>
        <v>26.715.703/0001-90</v>
      </c>
      <c r="C2695" s="12"/>
      <c r="D2695" s="3" t="s">
        <v>9750</v>
      </c>
      <c r="E2695" s="3" t="s">
        <v>9750</v>
      </c>
      <c r="F2695" s="3" t="s">
        <v>20</v>
      </c>
      <c r="G2695" s="4">
        <v>42718</v>
      </c>
      <c r="H2695" s="3" t="s">
        <v>21</v>
      </c>
      <c r="I2695" s="3" t="s">
        <v>47</v>
      </c>
      <c r="J2695" s="5">
        <v>50000</v>
      </c>
      <c r="K2695" s="3">
        <v>4742300</v>
      </c>
      <c r="L2695" s="3" t="s">
        <v>1152</v>
      </c>
      <c r="M2695" s="3" t="s">
        <v>1981</v>
      </c>
      <c r="N2695" s="3">
        <v>445</v>
      </c>
      <c r="P2695" s="3" t="s">
        <v>70</v>
      </c>
      <c r="Q2695" s="3" t="s">
        <v>6193</v>
      </c>
      <c r="R2695" s="3" t="s">
        <v>28</v>
      </c>
      <c r="S2695" s="3">
        <v>17250089</v>
      </c>
      <c r="T2695" s="3">
        <v>1436248916</v>
      </c>
      <c r="U2695" s="3" t="s">
        <v>29</v>
      </c>
    </row>
    <row r="2696" spans="1:21" ht="13.2" x14ac:dyDescent="0.25">
      <c r="A2696" s="14">
        <v>37351011000126</v>
      </c>
      <c r="B2696" s="15" t="str">
        <f t="shared" si="42"/>
        <v>37.351.011/0001-26</v>
      </c>
      <c r="C2696" s="12"/>
      <c r="D2696" s="3" t="s">
        <v>9751</v>
      </c>
      <c r="E2696" s="3" t="s">
        <v>9751</v>
      </c>
      <c r="F2696" s="3" t="s">
        <v>45</v>
      </c>
      <c r="G2696" s="4">
        <v>43990</v>
      </c>
      <c r="H2696" s="3" t="s">
        <v>21</v>
      </c>
      <c r="I2696" s="3" t="s">
        <v>33</v>
      </c>
      <c r="J2696" s="5">
        <v>153141400</v>
      </c>
      <c r="K2696" s="3">
        <v>4682600</v>
      </c>
      <c r="L2696" s="3" t="s">
        <v>1219</v>
      </c>
      <c r="M2696" s="3" t="s">
        <v>5781</v>
      </c>
      <c r="N2696" s="3" t="s">
        <v>111</v>
      </c>
      <c r="P2696" s="3" t="s">
        <v>4428</v>
      </c>
      <c r="Q2696" s="3" t="s">
        <v>667</v>
      </c>
      <c r="R2696" s="3" t="s">
        <v>301</v>
      </c>
      <c r="S2696" s="3">
        <v>60135690</v>
      </c>
      <c r="T2696" s="3">
        <v>8534668704</v>
      </c>
      <c r="U2696" s="3" t="s">
        <v>29</v>
      </c>
    </row>
    <row r="2697" spans="1:21" ht="13.2" x14ac:dyDescent="0.25">
      <c r="A2697" s="14">
        <v>3090985000181</v>
      </c>
      <c r="B2697" s="15" t="str">
        <f t="shared" si="42"/>
        <v>03.090.985/0001-81</v>
      </c>
      <c r="C2697" s="12"/>
      <c r="D2697" s="3" t="s">
        <v>9752</v>
      </c>
      <c r="E2697" s="3" t="s">
        <v>9753</v>
      </c>
      <c r="F2697" s="3" t="s">
        <v>20</v>
      </c>
      <c r="G2697" s="4">
        <v>36264</v>
      </c>
      <c r="H2697" s="3" t="s">
        <v>21</v>
      </c>
      <c r="I2697" s="3" t="s">
        <v>33</v>
      </c>
      <c r="J2697" s="5">
        <v>760000</v>
      </c>
      <c r="K2697" s="3">
        <v>6204000</v>
      </c>
      <c r="L2697" s="3" t="s">
        <v>2081</v>
      </c>
      <c r="M2697" s="3" t="s">
        <v>9754</v>
      </c>
      <c r="N2697" s="3">
        <v>214</v>
      </c>
      <c r="O2697" s="3" t="s">
        <v>9755</v>
      </c>
      <c r="P2697" s="3" t="s">
        <v>9756</v>
      </c>
      <c r="Q2697" s="3" t="s">
        <v>65</v>
      </c>
      <c r="R2697" s="3" t="s">
        <v>28</v>
      </c>
      <c r="S2697" s="3">
        <v>13080650</v>
      </c>
      <c r="T2697" s="3">
        <v>1932090087</v>
      </c>
      <c r="U2697" s="3" t="s">
        <v>29</v>
      </c>
    </row>
    <row r="2698" spans="1:21" ht="13.2" x14ac:dyDescent="0.25">
      <c r="A2698" s="14">
        <v>14152403000160</v>
      </c>
      <c r="B2698" s="15" t="str">
        <f t="shared" si="42"/>
        <v>14.152.403/0001-60</v>
      </c>
      <c r="C2698" s="12"/>
      <c r="D2698" s="3" t="s">
        <v>9757</v>
      </c>
      <c r="E2698" s="3" t="s">
        <v>9758</v>
      </c>
      <c r="F2698" s="3" t="s">
        <v>20</v>
      </c>
      <c r="G2698" s="4">
        <v>40766</v>
      </c>
      <c r="H2698" s="3" t="s">
        <v>21</v>
      </c>
      <c r="I2698" s="3" t="s">
        <v>33</v>
      </c>
      <c r="J2698" s="5">
        <v>460000</v>
      </c>
      <c r="K2698" s="3">
        <v>4755501</v>
      </c>
      <c r="L2698" s="3" t="s">
        <v>3774</v>
      </c>
      <c r="M2698" s="3" t="s">
        <v>9759</v>
      </c>
      <c r="N2698" s="3">
        <v>607</v>
      </c>
      <c r="P2698" s="3" t="s">
        <v>70</v>
      </c>
      <c r="Q2698" s="3" t="s">
        <v>27</v>
      </c>
      <c r="R2698" s="3" t="s">
        <v>28</v>
      </c>
      <c r="S2698" s="3">
        <v>1021200</v>
      </c>
      <c r="T2698" s="3">
        <v>1133123312</v>
      </c>
      <c r="U2698" s="3" t="s">
        <v>29</v>
      </c>
    </row>
    <row r="2699" spans="1:21" ht="13.2" x14ac:dyDescent="0.25">
      <c r="A2699" s="14">
        <v>5653764000108</v>
      </c>
      <c r="B2699" s="15" t="str">
        <f t="shared" si="42"/>
        <v>05.653.764/0001-08</v>
      </c>
      <c r="C2699" s="12" t="str">
        <f>VLOOKUP(B2699,[1]Planilha1!$A:$B,2,0)</f>
        <v>Malu Montesino</v>
      </c>
      <c r="D2699" s="3" t="s">
        <v>9760</v>
      </c>
      <c r="E2699" s="3" t="s">
        <v>9760</v>
      </c>
      <c r="F2699" s="3" t="s">
        <v>20</v>
      </c>
      <c r="G2699" s="4">
        <v>37750</v>
      </c>
      <c r="H2699" s="3" t="s">
        <v>21</v>
      </c>
      <c r="I2699" s="3" t="s">
        <v>33</v>
      </c>
      <c r="J2699" s="5">
        <v>247038560</v>
      </c>
      <c r="K2699" s="3">
        <v>2790202</v>
      </c>
      <c r="L2699" s="3" t="s">
        <v>1703</v>
      </c>
      <c r="M2699" s="3" t="s">
        <v>9761</v>
      </c>
      <c r="N2699" s="3">
        <v>221</v>
      </c>
      <c r="O2699" s="3" t="s">
        <v>9762</v>
      </c>
      <c r="P2699" s="3" t="s">
        <v>2725</v>
      </c>
      <c r="Q2699" s="3" t="s">
        <v>2726</v>
      </c>
      <c r="R2699" s="3" t="s">
        <v>100</v>
      </c>
      <c r="S2699" s="3">
        <v>37540000</v>
      </c>
      <c r="T2699" s="3">
        <v>1921132727</v>
      </c>
      <c r="U2699" s="3" t="s">
        <v>29</v>
      </c>
    </row>
    <row r="2700" spans="1:21" ht="13.2" x14ac:dyDescent="0.25">
      <c r="A2700" s="14">
        <v>14365637000196</v>
      </c>
      <c r="B2700" s="15" t="str">
        <f t="shared" si="42"/>
        <v>14.365.637/0001-96</v>
      </c>
      <c r="C2700" s="12" t="str">
        <f>VLOOKUP(B2700,[1]Planilha1!$A:$B,2,0)</f>
        <v>Malu Montesino</v>
      </c>
      <c r="D2700" s="3" t="s">
        <v>9763</v>
      </c>
      <c r="E2700" s="3" t="s">
        <v>9763</v>
      </c>
      <c r="F2700" s="3" t="s">
        <v>20</v>
      </c>
      <c r="G2700" s="4">
        <v>40795</v>
      </c>
      <c r="H2700" s="3" t="s">
        <v>21</v>
      </c>
      <c r="I2700" s="3" t="s">
        <v>33</v>
      </c>
      <c r="J2700" s="5">
        <v>16728001</v>
      </c>
      <c r="K2700" s="3">
        <v>4664800</v>
      </c>
      <c r="L2700" s="3" t="s">
        <v>691</v>
      </c>
      <c r="M2700" s="3" t="s">
        <v>9764</v>
      </c>
      <c r="N2700" s="3">
        <v>634</v>
      </c>
      <c r="P2700" s="3" t="s">
        <v>1996</v>
      </c>
      <c r="Q2700" s="3" t="s">
        <v>1235</v>
      </c>
      <c r="R2700" s="3" t="s">
        <v>28</v>
      </c>
      <c r="S2700" s="3">
        <v>13347653</v>
      </c>
      <c r="T2700" s="3">
        <v>1142277076</v>
      </c>
      <c r="U2700" s="3" t="s">
        <v>29</v>
      </c>
    </row>
    <row r="2701" spans="1:21" ht="13.2" x14ac:dyDescent="0.25">
      <c r="A2701" s="14">
        <v>58551953000128</v>
      </c>
      <c r="B2701" s="15" t="str">
        <f t="shared" si="42"/>
        <v>58.551.953/0001-28</v>
      </c>
      <c r="C2701" s="12"/>
      <c r="D2701" s="3" t="s">
        <v>9765</v>
      </c>
      <c r="E2701" s="3" t="s">
        <v>9765</v>
      </c>
      <c r="F2701" s="3" t="s">
        <v>20</v>
      </c>
      <c r="G2701" s="4">
        <v>32182</v>
      </c>
      <c r="H2701" s="3" t="s">
        <v>21</v>
      </c>
      <c r="I2701" s="3" t="s">
        <v>33</v>
      </c>
      <c r="J2701" s="5">
        <v>49769900</v>
      </c>
      <c r="K2701" s="3">
        <v>4669999</v>
      </c>
      <c r="L2701" s="3" t="s">
        <v>558</v>
      </c>
      <c r="M2701" s="3" t="s">
        <v>9766</v>
      </c>
      <c r="N2701" s="3">
        <v>4300</v>
      </c>
      <c r="P2701" s="3" t="s">
        <v>153</v>
      </c>
      <c r="Q2701" s="3" t="s">
        <v>567</v>
      </c>
      <c r="R2701" s="3" t="s">
        <v>28</v>
      </c>
      <c r="S2701" s="3">
        <v>13213105</v>
      </c>
      <c r="T2701" s="3">
        <v>1139590300</v>
      </c>
      <c r="U2701" s="3" t="s">
        <v>29</v>
      </c>
    </row>
    <row r="2702" spans="1:21" ht="13.2" x14ac:dyDescent="0.25">
      <c r="A2702" s="14">
        <v>75086785000166</v>
      </c>
      <c r="B2702" s="15" t="str">
        <f t="shared" si="42"/>
        <v>75.086.785/0001-66</v>
      </c>
      <c r="C2702" s="12" t="str">
        <f>VLOOKUP(B2702,[1]Planilha1!$A:$B,2,0)</f>
        <v>Malu Montesino</v>
      </c>
      <c r="D2702" s="3" t="s">
        <v>9767</v>
      </c>
      <c r="E2702" s="3" t="s">
        <v>9767</v>
      </c>
      <c r="F2702" s="3" t="s">
        <v>20</v>
      </c>
      <c r="G2702" s="4">
        <v>29502</v>
      </c>
      <c r="H2702" s="3" t="s">
        <v>21</v>
      </c>
      <c r="I2702" s="3" t="s">
        <v>33</v>
      </c>
      <c r="J2702" s="5">
        <v>60000000</v>
      </c>
      <c r="K2702" s="3">
        <v>2631100</v>
      </c>
      <c r="L2702" s="3" t="s">
        <v>905</v>
      </c>
      <c r="M2702" s="3" t="s">
        <v>1289</v>
      </c>
      <c r="N2702" s="3">
        <v>1900</v>
      </c>
      <c r="O2702" s="3" t="s">
        <v>9768</v>
      </c>
      <c r="P2702" s="3" t="s">
        <v>6013</v>
      </c>
      <c r="Q2702" s="3" t="s">
        <v>1317</v>
      </c>
      <c r="R2702" s="3" t="s">
        <v>187</v>
      </c>
      <c r="S2702" s="3">
        <v>83325360</v>
      </c>
      <c r="T2702" s="3">
        <v>4136612200</v>
      </c>
      <c r="U2702" s="3" t="s">
        <v>29</v>
      </c>
    </row>
    <row r="2703" spans="1:21" ht="13.2" x14ac:dyDescent="0.25">
      <c r="A2703" s="14">
        <v>2890199000104</v>
      </c>
      <c r="B2703" s="15" t="str">
        <f t="shared" si="42"/>
        <v>02.890.199/0001-04</v>
      </c>
      <c r="C2703" s="12"/>
      <c r="D2703" s="3" t="s">
        <v>9769</v>
      </c>
      <c r="E2703" s="3" t="s">
        <v>9769</v>
      </c>
      <c r="F2703" s="3" t="s">
        <v>20</v>
      </c>
      <c r="G2703" s="4">
        <v>36138</v>
      </c>
      <c r="H2703" s="3" t="s">
        <v>94</v>
      </c>
      <c r="I2703" s="3" t="s">
        <v>33</v>
      </c>
      <c r="J2703" s="5">
        <v>239240540</v>
      </c>
      <c r="K2703" s="3">
        <v>6201501</v>
      </c>
      <c r="L2703" s="3" t="s">
        <v>298</v>
      </c>
      <c r="M2703" s="3" t="s">
        <v>2233</v>
      </c>
      <c r="N2703" s="3">
        <v>999</v>
      </c>
      <c r="O2703" s="3" t="s">
        <v>9333</v>
      </c>
      <c r="P2703" s="3" t="s">
        <v>310</v>
      </c>
      <c r="Q2703" s="3" t="s">
        <v>27</v>
      </c>
      <c r="R2703" s="3" t="s">
        <v>28</v>
      </c>
      <c r="S2703" s="3">
        <v>4707910</v>
      </c>
      <c r="T2703" s="3">
        <v>1131358000</v>
      </c>
      <c r="U2703" s="3" t="s">
        <v>29</v>
      </c>
    </row>
    <row r="2704" spans="1:21" ht="13.2" x14ac:dyDescent="0.25">
      <c r="A2704" s="14">
        <v>6862831000159</v>
      </c>
      <c r="B2704" s="15" t="str">
        <f t="shared" si="42"/>
        <v>06.862.831/0001-59</v>
      </c>
      <c r="C2704" s="12"/>
      <c r="D2704" s="3" t="s">
        <v>9770</v>
      </c>
      <c r="E2704" s="3" t="s">
        <v>9770</v>
      </c>
      <c r="F2704" s="3" t="s">
        <v>20</v>
      </c>
      <c r="G2704" s="4">
        <v>38180</v>
      </c>
      <c r="H2704" s="3" t="s">
        <v>21</v>
      </c>
      <c r="I2704" s="3" t="s">
        <v>22</v>
      </c>
      <c r="J2704" s="5">
        <v>200000</v>
      </c>
      <c r="K2704" s="3">
        <v>4530703</v>
      </c>
      <c r="L2704" s="3" t="s">
        <v>768</v>
      </c>
      <c r="M2704" s="3" t="s">
        <v>9771</v>
      </c>
      <c r="N2704" s="3">
        <v>412</v>
      </c>
      <c r="P2704" s="3" t="s">
        <v>9772</v>
      </c>
      <c r="Q2704" s="3" t="s">
        <v>357</v>
      </c>
      <c r="R2704" s="3" t="s">
        <v>28</v>
      </c>
      <c r="S2704" s="3">
        <v>7072010</v>
      </c>
      <c r="T2704" s="3">
        <v>1129912389</v>
      </c>
      <c r="U2704" s="3" t="s">
        <v>29</v>
      </c>
    </row>
    <row r="2705" spans="1:21" ht="13.2" x14ac:dyDescent="0.25">
      <c r="A2705" s="14">
        <v>4104117000176</v>
      </c>
      <c r="B2705" s="15" t="str">
        <f t="shared" si="42"/>
        <v>04.104.117/0001-76</v>
      </c>
      <c r="C2705" s="12"/>
      <c r="D2705" s="3" t="s">
        <v>9773</v>
      </c>
      <c r="E2705" s="3" t="s">
        <v>9773</v>
      </c>
      <c r="F2705" s="3" t="s">
        <v>20</v>
      </c>
      <c r="G2705" s="4">
        <v>36822</v>
      </c>
      <c r="H2705" s="3" t="s">
        <v>21</v>
      </c>
      <c r="I2705" s="3" t="s">
        <v>33</v>
      </c>
      <c r="J2705" s="5">
        <v>7114517500</v>
      </c>
      <c r="K2705" s="3">
        <v>7120100</v>
      </c>
      <c r="L2705" s="3" t="s">
        <v>2807</v>
      </c>
      <c r="M2705" s="3" t="s">
        <v>610</v>
      </c>
      <c r="N2705" s="3">
        <v>66</v>
      </c>
      <c r="P2705" s="3" t="s">
        <v>9774</v>
      </c>
      <c r="Q2705" s="3" t="s">
        <v>186</v>
      </c>
      <c r="R2705" s="3" t="s">
        <v>187</v>
      </c>
      <c r="S2705" s="3">
        <v>83070205</v>
      </c>
      <c r="T2705" s="3">
        <v>4103801312</v>
      </c>
      <c r="U2705" s="3" t="s">
        <v>29</v>
      </c>
    </row>
    <row r="2706" spans="1:21" ht="13.2" x14ac:dyDescent="0.25">
      <c r="A2706" s="14">
        <v>4104117000761</v>
      </c>
      <c r="B2706" s="15" t="str">
        <f t="shared" si="42"/>
        <v>04.104.117/0007-61</v>
      </c>
      <c r="C2706" s="12"/>
      <c r="D2706" s="3" t="s">
        <v>9773</v>
      </c>
      <c r="E2706" s="3" t="s">
        <v>9773</v>
      </c>
      <c r="F2706" s="3" t="s">
        <v>20</v>
      </c>
      <c r="G2706" s="4">
        <v>40976</v>
      </c>
      <c r="H2706" s="3" t="s">
        <v>21</v>
      </c>
      <c r="I2706" s="3" t="s">
        <v>33</v>
      </c>
      <c r="J2706" s="5">
        <v>7114517500</v>
      </c>
      <c r="K2706" s="3">
        <v>2910701</v>
      </c>
      <c r="L2706" s="3" t="s">
        <v>2241</v>
      </c>
      <c r="M2706" s="3" t="s">
        <v>9775</v>
      </c>
      <c r="N2706" s="3">
        <v>1500</v>
      </c>
      <c r="P2706" s="3" t="s">
        <v>9776</v>
      </c>
      <c r="Q2706" s="3" t="s">
        <v>9777</v>
      </c>
      <c r="R2706" s="3" t="s">
        <v>78</v>
      </c>
      <c r="S2706" s="3">
        <v>27537800</v>
      </c>
      <c r="T2706" s="3">
        <v>4133803540</v>
      </c>
      <c r="U2706" s="3" t="s">
        <v>29</v>
      </c>
    </row>
    <row r="2707" spans="1:21" ht="13.2" x14ac:dyDescent="0.25">
      <c r="A2707" s="14">
        <v>52541760000100</v>
      </c>
      <c r="B2707" s="15" t="str">
        <f t="shared" si="42"/>
        <v>52.541.760/0001-00</v>
      </c>
      <c r="C2707" s="12" t="str">
        <f>VLOOKUP(B2707,[1]Planilha1!$A:$B,2,0)</f>
        <v>Malu Montesino</v>
      </c>
      <c r="D2707" s="3" t="s">
        <v>9778</v>
      </c>
      <c r="E2707" s="3" t="s">
        <v>9778</v>
      </c>
      <c r="F2707" s="3" t="s">
        <v>20</v>
      </c>
      <c r="G2707" s="4">
        <v>24316</v>
      </c>
      <c r="H2707" s="3" t="s">
        <v>21</v>
      </c>
      <c r="I2707" s="3" t="s">
        <v>33</v>
      </c>
      <c r="J2707" s="5">
        <v>30849100</v>
      </c>
      <c r="K2707" s="3">
        <v>2945000</v>
      </c>
      <c r="L2707" s="3" t="s">
        <v>5905</v>
      </c>
      <c r="M2707" s="3" t="s">
        <v>9779</v>
      </c>
      <c r="N2707" s="3">
        <v>8111</v>
      </c>
      <c r="O2707" s="3" t="s">
        <v>9780</v>
      </c>
      <c r="P2707" s="3" t="s">
        <v>3192</v>
      </c>
      <c r="Q2707" s="3" t="s">
        <v>3193</v>
      </c>
      <c r="R2707" s="3" t="s">
        <v>28</v>
      </c>
      <c r="S2707" s="3">
        <v>8880900</v>
      </c>
      <c r="T2707" s="3">
        <v>1147938000</v>
      </c>
      <c r="U2707" s="3" t="s">
        <v>29</v>
      </c>
    </row>
    <row r="2708" spans="1:21" ht="13.2" x14ac:dyDescent="0.25">
      <c r="A2708" s="14">
        <v>1202633000145</v>
      </c>
      <c r="B2708" s="15" t="str">
        <f t="shared" si="42"/>
        <v>01.202.633/0001-45</v>
      </c>
      <c r="C2708" s="12"/>
      <c r="D2708" s="3" t="s">
        <v>9781</v>
      </c>
      <c r="E2708" s="3" t="s">
        <v>9782</v>
      </c>
      <c r="F2708" s="3" t="s">
        <v>20</v>
      </c>
      <c r="G2708" s="4">
        <v>35200</v>
      </c>
      <c r="H2708" s="3" t="s">
        <v>21</v>
      </c>
      <c r="I2708" s="3" t="s">
        <v>33</v>
      </c>
      <c r="J2708" s="5">
        <v>160000</v>
      </c>
      <c r="K2708" s="3">
        <v>4649408</v>
      </c>
      <c r="L2708" s="3" t="s">
        <v>464</v>
      </c>
      <c r="M2708" s="3" t="s">
        <v>9783</v>
      </c>
      <c r="N2708" s="3">
        <v>61</v>
      </c>
      <c r="O2708" s="3" t="s">
        <v>9784</v>
      </c>
      <c r="P2708" s="3" t="s">
        <v>9785</v>
      </c>
      <c r="Q2708" s="3" t="s">
        <v>2365</v>
      </c>
      <c r="R2708" s="3" t="s">
        <v>28</v>
      </c>
      <c r="S2708" s="3">
        <v>7753060</v>
      </c>
      <c r="T2708" s="3">
        <v>1121060400</v>
      </c>
      <c r="U2708" s="3" t="s">
        <v>29</v>
      </c>
    </row>
    <row r="2709" spans="1:21" ht="13.2" x14ac:dyDescent="0.25">
      <c r="A2709" s="14">
        <v>32737279000187</v>
      </c>
      <c r="B2709" s="15" t="str">
        <f t="shared" si="42"/>
        <v>32.737.279/0001-87</v>
      </c>
      <c r="C2709" s="12" t="str">
        <f>VLOOKUP(B2709,[1]Planilha1!$A:$B,2,0)</f>
        <v>Mariane Nascimento</v>
      </c>
      <c r="D2709" s="3" t="s">
        <v>9786</v>
      </c>
      <c r="E2709" s="3" t="s">
        <v>9787</v>
      </c>
      <c r="F2709" s="3" t="s">
        <v>20</v>
      </c>
      <c r="G2709" s="4">
        <v>43508</v>
      </c>
      <c r="H2709" s="3" t="s">
        <v>21</v>
      </c>
      <c r="I2709" s="3" t="s">
        <v>47</v>
      </c>
      <c r="J2709" s="5">
        <v>640326</v>
      </c>
      <c r="K2709" s="3">
        <v>4645101</v>
      </c>
      <c r="L2709" s="3" t="s">
        <v>135</v>
      </c>
      <c r="M2709" s="3" t="s">
        <v>9788</v>
      </c>
      <c r="N2709" s="3">
        <v>91</v>
      </c>
      <c r="O2709" s="3" t="s">
        <v>9789</v>
      </c>
      <c r="P2709" s="3" t="s">
        <v>9790</v>
      </c>
      <c r="Q2709" s="3" t="s">
        <v>2406</v>
      </c>
      <c r="R2709" s="3" t="s">
        <v>28</v>
      </c>
      <c r="S2709" s="3">
        <v>13566340</v>
      </c>
      <c r="T2709" s="3">
        <v>1634195912</v>
      </c>
      <c r="U2709" s="3" t="s">
        <v>29</v>
      </c>
    </row>
    <row r="2710" spans="1:21" ht="13.2" x14ac:dyDescent="0.25">
      <c r="A2710" s="14">
        <v>1108177003437</v>
      </c>
      <c r="B2710" s="15" t="str">
        <f t="shared" si="42"/>
        <v>01.108.177/0034-37</v>
      </c>
      <c r="C2710" s="12"/>
      <c r="D2710" s="3" t="s">
        <v>9791</v>
      </c>
      <c r="E2710" s="3" t="s">
        <v>9792</v>
      </c>
      <c r="F2710" s="3" t="s">
        <v>20</v>
      </c>
      <c r="G2710" s="4">
        <v>38359</v>
      </c>
      <c r="H2710" s="3" t="s">
        <v>21</v>
      </c>
      <c r="I2710" s="3" t="s">
        <v>33</v>
      </c>
      <c r="J2710" s="5">
        <v>980501200</v>
      </c>
      <c r="K2710" s="3">
        <v>6204000</v>
      </c>
      <c r="L2710" s="3" t="s">
        <v>2081</v>
      </c>
      <c r="M2710" s="3" t="s">
        <v>2884</v>
      </c>
      <c r="N2710" s="3">
        <v>111</v>
      </c>
      <c r="O2710" s="3" t="s">
        <v>9793</v>
      </c>
      <c r="P2710" s="3" t="s">
        <v>1492</v>
      </c>
      <c r="Q2710" s="3" t="s">
        <v>27</v>
      </c>
      <c r="R2710" s="3" t="s">
        <v>28</v>
      </c>
      <c r="S2710" s="3">
        <v>5069900</v>
      </c>
      <c r="T2710" s="3">
        <v>1148339100</v>
      </c>
      <c r="U2710" s="3" t="s">
        <v>29</v>
      </c>
    </row>
    <row r="2711" spans="1:21" ht="13.2" x14ac:dyDescent="0.25">
      <c r="A2711" s="14">
        <v>60205986000168</v>
      </c>
      <c r="B2711" s="15" t="str">
        <f t="shared" si="42"/>
        <v>60.205.986/0001-68</v>
      </c>
      <c r="C2711" s="12"/>
      <c r="D2711" s="3" t="s">
        <v>9794</v>
      </c>
      <c r="E2711" s="3" t="s">
        <v>9795</v>
      </c>
      <c r="F2711" s="3" t="s">
        <v>20</v>
      </c>
      <c r="G2711" s="4">
        <v>32580</v>
      </c>
      <c r="H2711" s="3" t="s">
        <v>21</v>
      </c>
      <c r="I2711" s="3" t="s">
        <v>33</v>
      </c>
      <c r="J2711" s="5">
        <v>20000</v>
      </c>
      <c r="K2711" s="3">
        <v>5620101</v>
      </c>
      <c r="L2711" s="3" t="s">
        <v>1369</v>
      </c>
      <c r="M2711" s="3" t="s">
        <v>9796</v>
      </c>
      <c r="N2711" s="3">
        <v>420</v>
      </c>
      <c r="P2711" s="3" t="s">
        <v>9797</v>
      </c>
      <c r="Q2711" s="3" t="s">
        <v>510</v>
      </c>
      <c r="R2711" s="3" t="s">
        <v>28</v>
      </c>
      <c r="S2711" s="3">
        <v>12424580</v>
      </c>
      <c r="T2711" s="3">
        <v>1236423633</v>
      </c>
      <c r="U2711" s="3" t="s">
        <v>29</v>
      </c>
    </row>
    <row r="2712" spans="1:21" ht="13.2" x14ac:dyDescent="0.25">
      <c r="A2712" s="14">
        <v>7341955000151</v>
      </c>
      <c r="B2712" s="15" t="str">
        <f t="shared" si="42"/>
        <v>07.341.955/0001-51</v>
      </c>
      <c r="C2712" s="12"/>
      <c r="D2712" s="3" t="s">
        <v>9798</v>
      </c>
      <c r="E2712" s="3" t="s">
        <v>9798</v>
      </c>
      <c r="F2712" s="3" t="s">
        <v>20</v>
      </c>
      <c r="G2712" s="4">
        <v>38457</v>
      </c>
      <c r="H2712" s="3" t="s">
        <v>21</v>
      </c>
      <c r="I2712" s="3" t="s">
        <v>33</v>
      </c>
      <c r="J2712" s="5">
        <v>22000000</v>
      </c>
      <c r="K2712" s="3">
        <v>8129000</v>
      </c>
      <c r="L2712" s="3" t="s">
        <v>3626</v>
      </c>
      <c r="M2712" s="3" t="s">
        <v>9799</v>
      </c>
      <c r="N2712" s="3">
        <v>53</v>
      </c>
      <c r="P2712" s="3" t="s">
        <v>241</v>
      </c>
      <c r="Q2712" s="3" t="s">
        <v>27</v>
      </c>
      <c r="R2712" s="3" t="s">
        <v>28</v>
      </c>
      <c r="S2712" s="3">
        <v>4662020</v>
      </c>
      <c r="T2712" s="3">
        <v>1151024657</v>
      </c>
      <c r="U2712" s="3" t="s">
        <v>29</v>
      </c>
    </row>
    <row r="2713" spans="1:21" ht="13.2" x14ac:dyDescent="0.25">
      <c r="A2713" s="14">
        <v>20782880000102</v>
      </c>
      <c r="B2713" s="15" t="str">
        <f t="shared" si="42"/>
        <v>20.782.880/0001-02</v>
      </c>
      <c r="C2713" s="12" t="str">
        <f>VLOOKUP(B2713,[1]Planilha1!$A:$B,2,0)</f>
        <v>Mariane Nascimento</v>
      </c>
      <c r="D2713" s="3" t="s">
        <v>9800</v>
      </c>
      <c r="E2713" s="3" t="s">
        <v>9801</v>
      </c>
      <c r="F2713" s="3" t="s">
        <v>20</v>
      </c>
      <c r="G2713" s="4">
        <v>41857</v>
      </c>
      <c r="H2713" s="3" t="s">
        <v>21</v>
      </c>
      <c r="I2713" s="3" t="s">
        <v>33</v>
      </c>
      <c r="J2713" s="5">
        <v>300000</v>
      </c>
      <c r="K2713" s="3">
        <v>4645101</v>
      </c>
      <c r="L2713" s="3" t="s">
        <v>135</v>
      </c>
      <c r="M2713" s="3" t="s">
        <v>9802</v>
      </c>
      <c r="N2713" s="3">
        <v>473</v>
      </c>
      <c r="P2713" s="3" t="s">
        <v>7763</v>
      </c>
      <c r="Q2713" s="3" t="s">
        <v>1339</v>
      </c>
      <c r="R2713" s="3" t="s">
        <v>456</v>
      </c>
      <c r="S2713" s="3">
        <v>51170560</v>
      </c>
      <c r="T2713" s="3">
        <v>8130387035</v>
      </c>
      <c r="U2713" s="3" t="s">
        <v>29</v>
      </c>
    </row>
    <row r="2714" spans="1:21" ht="13.2" x14ac:dyDescent="0.25">
      <c r="A2714" s="14">
        <v>16657099000139</v>
      </c>
      <c r="B2714" s="15" t="str">
        <f t="shared" si="42"/>
        <v>16.657.099/0001-39</v>
      </c>
      <c r="C2714" s="12"/>
      <c r="D2714" s="3" t="s">
        <v>9803</v>
      </c>
      <c r="E2714" s="3" t="s">
        <v>9803</v>
      </c>
      <c r="F2714" s="3" t="s">
        <v>20</v>
      </c>
      <c r="G2714" s="4">
        <v>41110</v>
      </c>
      <c r="H2714" s="3" t="s">
        <v>21</v>
      </c>
      <c r="I2714" s="3" t="s">
        <v>33</v>
      </c>
      <c r="J2714" s="5">
        <v>10000</v>
      </c>
      <c r="K2714" s="3">
        <v>7020400</v>
      </c>
      <c r="L2714" s="3" t="s">
        <v>170</v>
      </c>
      <c r="M2714" s="3" t="s">
        <v>9804</v>
      </c>
      <c r="N2714" s="3">
        <v>1479</v>
      </c>
      <c r="O2714" s="3" t="s">
        <v>9805</v>
      </c>
      <c r="P2714" s="3" t="s">
        <v>9718</v>
      </c>
      <c r="Q2714" s="3" t="s">
        <v>217</v>
      </c>
      <c r="R2714" s="3" t="s">
        <v>28</v>
      </c>
      <c r="S2714" s="3">
        <v>9751000</v>
      </c>
      <c r="T2714" s="3">
        <v>1143323600</v>
      </c>
      <c r="U2714" s="3" t="s">
        <v>29</v>
      </c>
    </row>
    <row r="2715" spans="1:21" ht="13.2" x14ac:dyDescent="0.25">
      <c r="A2715" s="14">
        <v>13536632000116</v>
      </c>
      <c r="B2715" s="15" t="str">
        <f t="shared" si="42"/>
        <v>13.536.632/0001-16</v>
      </c>
      <c r="C2715" s="12" t="str">
        <f>VLOOKUP(B2715,[1]Planilha1!$A:$B,2,0)</f>
        <v>Malu Montesino</v>
      </c>
      <c r="D2715" s="3" t="s">
        <v>9806</v>
      </c>
      <c r="E2715" s="3" t="s">
        <v>9807</v>
      </c>
      <c r="F2715" s="3" t="s">
        <v>20</v>
      </c>
      <c r="G2715" s="4">
        <v>40640</v>
      </c>
      <c r="H2715" s="3" t="s">
        <v>21</v>
      </c>
      <c r="I2715" s="3" t="s">
        <v>33</v>
      </c>
      <c r="J2715" s="5">
        <v>486082700</v>
      </c>
      <c r="K2715" s="3">
        <v>8211300</v>
      </c>
      <c r="L2715" s="3" t="s">
        <v>166</v>
      </c>
      <c r="M2715" s="3" t="s">
        <v>3121</v>
      </c>
      <c r="N2715" s="3">
        <v>1510</v>
      </c>
      <c r="O2715" s="3" t="s">
        <v>2221</v>
      </c>
      <c r="P2715" s="3" t="s">
        <v>316</v>
      </c>
      <c r="Q2715" s="3" t="s">
        <v>27</v>
      </c>
      <c r="R2715" s="3" t="s">
        <v>28</v>
      </c>
      <c r="S2715" s="3">
        <v>4547005</v>
      </c>
      <c r="T2715" s="3">
        <v>1130742900</v>
      </c>
      <c r="U2715" s="3" t="s">
        <v>29</v>
      </c>
    </row>
    <row r="2716" spans="1:21" ht="13.2" x14ac:dyDescent="0.25">
      <c r="A2716" s="14">
        <v>19125796000137</v>
      </c>
      <c r="B2716" s="15" t="str">
        <f t="shared" si="42"/>
        <v>19.125.796/0001-37</v>
      </c>
      <c r="C2716" s="12"/>
      <c r="D2716" s="3" t="s">
        <v>9808</v>
      </c>
      <c r="E2716" s="3" t="s">
        <v>9809</v>
      </c>
      <c r="F2716" s="3" t="s">
        <v>20</v>
      </c>
      <c r="G2716" s="4">
        <v>41570</v>
      </c>
      <c r="H2716" s="3" t="s">
        <v>21</v>
      </c>
      <c r="I2716" s="3" t="s">
        <v>33</v>
      </c>
      <c r="J2716" s="5">
        <v>810000</v>
      </c>
      <c r="K2716" s="3">
        <v>4644301</v>
      </c>
      <c r="L2716" s="3" t="s">
        <v>326</v>
      </c>
      <c r="M2716" s="3" t="s">
        <v>9810</v>
      </c>
      <c r="N2716" s="3">
        <v>2640</v>
      </c>
      <c r="O2716" s="3" t="s">
        <v>9811</v>
      </c>
      <c r="P2716" s="3" t="s">
        <v>153</v>
      </c>
      <c r="Q2716" s="3" t="s">
        <v>4622</v>
      </c>
      <c r="R2716" s="3" t="s">
        <v>4623</v>
      </c>
      <c r="S2716" s="3">
        <v>58411170</v>
      </c>
      <c r="T2716" s="3">
        <v>8330664331</v>
      </c>
      <c r="U2716" s="3" t="s">
        <v>29</v>
      </c>
    </row>
    <row r="2717" spans="1:21" ht="13.2" x14ac:dyDescent="0.25">
      <c r="A2717" s="14">
        <v>29950060000157</v>
      </c>
      <c r="B2717" s="15" t="str">
        <f t="shared" si="42"/>
        <v>29.950.060/0001-57</v>
      </c>
      <c r="C2717" s="12" t="str">
        <f>VLOOKUP(B2717,[1]Planilha1!$A:$B,2,0)</f>
        <v>Malu Montesino</v>
      </c>
      <c r="D2717" s="3" t="s">
        <v>9812</v>
      </c>
      <c r="E2717" s="3" t="s">
        <v>9813</v>
      </c>
      <c r="F2717" s="3" t="s">
        <v>20</v>
      </c>
      <c r="G2717" s="4">
        <v>31418</v>
      </c>
      <c r="H2717" s="3" t="s">
        <v>377</v>
      </c>
      <c r="I2717" s="3" t="s">
        <v>33</v>
      </c>
      <c r="J2717" s="5">
        <v>89229760</v>
      </c>
      <c r="K2717" s="3">
        <v>2110600</v>
      </c>
      <c r="L2717" s="3" t="s">
        <v>1425</v>
      </c>
      <c r="M2717" s="3" t="s">
        <v>9814</v>
      </c>
      <c r="N2717" s="3">
        <v>200</v>
      </c>
      <c r="O2717" s="3" t="s">
        <v>9815</v>
      </c>
      <c r="P2717" s="3" t="s">
        <v>9816</v>
      </c>
      <c r="Q2717" s="3" t="s">
        <v>332</v>
      </c>
      <c r="R2717" s="3" t="s">
        <v>78</v>
      </c>
      <c r="S2717" s="3">
        <v>25250612</v>
      </c>
      <c r="T2717" s="3">
        <v>2136517300</v>
      </c>
      <c r="U2717" s="3" t="s">
        <v>29</v>
      </c>
    </row>
    <row r="2718" spans="1:21" ht="13.2" x14ac:dyDescent="0.25">
      <c r="A2718" s="14">
        <v>37131927000170</v>
      </c>
      <c r="B2718" s="15" t="str">
        <f t="shared" si="42"/>
        <v>37.131.927/0001-70</v>
      </c>
      <c r="C2718" s="12"/>
      <c r="D2718" s="3" t="s">
        <v>9817</v>
      </c>
      <c r="E2718" s="3" t="s">
        <v>9818</v>
      </c>
      <c r="F2718" s="3" t="s">
        <v>20</v>
      </c>
      <c r="G2718" s="4">
        <v>33843</v>
      </c>
      <c r="H2718" s="3" t="s">
        <v>21</v>
      </c>
      <c r="I2718" s="3" t="s">
        <v>33</v>
      </c>
      <c r="J2718" s="5">
        <v>700000</v>
      </c>
      <c r="K2718" s="3">
        <v>4651601</v>
      </c>
      <c r="L2718" s="3" t="s">
        <v>684</v>
      </c>
      <c r="M2718" s="3" t="s">
        <v>9819</v>
      </c>
      <c r="N2718" s="3" t="s">
        <v>82</v>
      </c>
      <c r="O2718" s="3" t="s">
        <v>9820</v>
      </c>
      <c r="P2718" s="3" t="s">
        <v>630</v>
      </c>
      <c r="Q2718" s="3" t="s">
        <v>631</v>
      </c>
      <c r="R2718" s="3" t="s">
        <v>632</v>
      </c>
      <c r="S2718" s="3">
        <v>70711905</v>
      </c>
      <c r="T2718" s="3">
        <v>6132029393</v>
      </c>
      <c r="U2718" s="3" t="s">
        <v>29</v>
      </c>
    </row>
    <row r="2719" spans="1:21" ht="13.2" x14ac:dyDescent="0.25">
      <c r="A2719" s="14">
        <v>56954094000192</v>
      </c>
      <c r="B2719" s="15" t="str">
        <f t="shared" si="42"/>
        <v>56.954.094/0001-92</v>
      </c>
      <c r="C2719" s="12" t="str">
        <f>VLOOKUP(B2719,[1]Planilha1!$A:$B,2,0)</f>
        <v>Malu Montesino</v>
      </c>
      <c r="D2719" s="3" t="s">
        <v>9821</v>
      </c>
      <c r="E2719" s="3" t="s">
        <v>9822</v>
      </c>
      <c r="F2719" s="3" t="s">
        <v>20</v>
      </c>
      <c r="G2719" s="4">
        <v>45525</v>
      </c>
      <c r="H2719" s="3" t="s">
        <v>21</v>
      </c>
      <c r="I2719" s="3" t="s">
        <v>22</v>
      </c>
      <c r="J2719" s="5">
        <v>25000</v>
      </c>
      <c r="K2719" s="3">
        <v>4744001</v>
      </c>
      <c r="L2719" s="3" t="s">
        <v>396</v>
      </c>
      <c r="M2719" s="3" t="s">
        <v>9823</v>
      </c>
      <c r="N2719" s="3">
        <v>8</v>
      </c>
      <c r="P2719" s="3" t="s">
        <v>9824</v>
      </c>
      <c r="Q2719" s="3" t="s">
        <v>27</v>
      </c>
      <c r="R2719" s="3" t="s">
        <v>28</v>
      </c>
      <c r="S2719" s="3">
        <v>3029000</v>
      </c>
      <c r="T2719" s="3">
        <v>1694584731</v>
      </c>
      <c r="U2719" s="3" t="s">
        <v>29</v>
      </c>
    </row>
    <row r="2720" spans="1:21" ht="13.2" x14ac:dyDescent="0.25">
      <c r="A2720" s="14">
        <v>86915691000179</v>
      </c>
      <c r="B2720" s="15" t="str">
        <f t="shared" si="42"/>
        <v>86.915.691/0001-79</v>
      </c>
      <c r="C2720" s="12"/>
      <c r="D2720" s="3" t="s">
        <v>9825</v>
      </c>
      <c r="E2720" s="3" t="s">
        <v>9826</v>
      </c>
      <c r="F2720" s="3" t="s">
        <v>20</v>
      </c>
      <c r="G2720" s="4">
        <v>34366</v>
      </c>
      <c r="H2720" s="3" t="s">
        <v>21</v>
      </c>
      <c r="I2720" s="3" t="s">
        <v>33</v>
      </c>
      <c r="J2720" s="5">
        <v>570000</v>
      </c>
      <c r="K2720" s="3">
        <v>7830200</v>
      </c>
      <c r="L2720" s="3" t="s">
        <v>473</v>
      </c>
      <c r="M2720" s="3" t="s">
        <v>9827</v>
      </c>
      <c r="N2720" s="3">
        <v>2232</v>
      </c>
      <c r="P2720" s="3" t="s">
        <v>1767</v>
      </c>
      <c r="Q2720" s="3" t="s">
        <v>204</v>
      </c>
      <c r="R2720" s="3" t="s">
        <v>187</v>
      </c>
      <c r="S2720" s="3">
        <v>80220080</v>
      </c>
      <c r="T2720" s="3">
        <v>4130209150</v>
      </c>
      <c r="U2720" s="3" t="s">
        <v>29</v>
      </c>
    </row>
    <row r="2721" spans="1:21" ht="13.2" x14ac:dyDescent="0.25">
      <c r="A2721" s="14">
        <v>3118816000102</v>
      </c>
      <c r="B2721" s="15" t="str">
        <f t="shared" si="42"/>
        <v>03.118.816/0001-02</v>
      </c>
      <c r="C2721" s="12"/>
      <c r="D2721" s="3" t="s">
        <v>9828</v>
      </c>
      <c r="E2721" s="3" t="s">
        <v>9829</v>
      </c>
      <c r="F2721" s="3" t="s">
        <v>20</v>
      </c>
      <c r="G2721" s="4">
        <v>36277</v>
      </c>
      <c r="H2721" s="3" t="s">
        <v>21</v>
      </c>
      <c r="I2721" s="3" t="s">
        <v>22</v>
      </c>
      <c r="J2721" s="5">
        <v>2000</v>
      </c>
      <c r="K2721" s="3">
        <v>3811400</v>
      </c>
      <c r="L2721" s="3" t="s">
        <v>1243</v>
      </c>
      <c r="M2721" s="3" t="s">
        <v>9830</v>
      </c>
      <c r="N2721" s="3">
        <v>983</v>
      </c>
      <c r="O2721" s="3" t="s">
        <v>70</v>
      </c>
      <c r="P2721" s="3" t="s">
        <v>1943</v>
      </c>
      <c r="Q2721" s="3" t="s">
        <v>1943</v>
      </c>
      <c r="R2721" s="3" t="s">
        <v>28</v>
      </c>
      <c r="S2721" s="3">
        <v>9910170</v>
      </c>
      <c r="T2721" s="3">
        <v>1140445259</v>
      </c>
      <c r="U2721" s="3" t="s">
        <v>29</v>
      </c>
    </row>
    <row r="2722" spans="1:21" ht="13.2" x14ac:dyDescent="0.25">
      <c r="A2722" s="14">
        <v>46868302000187</v>
      </c>
      <c r="B2722" s="15" t="str">
        <f t="shared" si="42"/>
        <v>46.868.302/0001-87</v>
      </c>
      <c r="C2722" s="12"/>
      <c r="D2722" s="3" t="s">
        <v>9831</v>
      </c>
      <c r="E2722" s="3" t="s">
        <v>9831</v>
      </c>
      <c r="F2722" s="3" t="s">
        <v>20</v>
      </c>
      <c r="G2722" s="4">
        <v>44734</v>
      </c>
      <c r="H2722" s="3" t="s">
        <v>21</v>
      </c>
      <c r="I2722" s="3" t="s">
        <v>33</v>
      </c>
      <c r="J2722" s="5">
        <v>2500000</v>
      </c>
      <c r="K2722" s="3">
        <v>6202300</v>
      </c>
      <c r="L2722" s="3" t="s">
        <v>103</v>
      </c>
      <c r="M2722" s="3" t="s">
        <v>3046</v>
      </c>
      <c r="N2722" s="3">
        <v>1123</v>
      </c>
      <c r="O2722" s="3" t="s">
        <v>9832</v>
      </c>
      <c r="P2722" s="3" t="s">
        <v>1230</v>
      </c>
      <c r="Q2722" s="3" t="s">
        <v>27</v>
      </c>
      <c r="R2722" s="3" t="s">
        <v>28</v>
      </c>
      <c r="S2722" s="3">
        <v>4533014</v>
      </c>
      <c r="T2722" s="3">
        <v>1130790900</v>
      </c>
      <c r="U2722" s="3" t="s">
        <v>29</v>
      </c>
    </row>
    <row r="2723" spans="1:21" ht="13.2" x14ac:dyDescent="0.25">
      <c r="A2723" s="14">
        <v>19769575000100</v>
      </c>
      <c r="B2723" s="15" t="str">
        <f t="shared" si="42"/>
        <v>19.769.575/0001-00</v>
      </c>
      <c r="C2723" s="12" t="str">
        <f>VLOOKUP(B2723,[1]Planilha1!$A:$B,2,0)</f>
        <v>Mariane Nascimento</v>
      </c>
      <c r="D2723" s="3" t="s">
        <v>9833</v>
      </c>
      <c r="E2723" s="3" t="s">
        <v>9834</v>
      </c>
      <c r="F2723" s="3" t="s">
        <v>20</v>
      </c>
      <c r="G2723" s="4">
        <v>41691</v>
      </c>
      <c r="H2723" s="3" t="s">
        <v>21</v>
      </c>
      <c r="I2723" s="3" t="s">
        <v>33</v>
      </c>
      <c r="J2723" s="5">
        <v>1500000</v>
      </c>
      <c r="K2723" s="3">
        <v>4644301</v>
      </c>
      <c r="L2723" s="3" t="s">
        <v>326</v>
      </c>
      <c r="M2723" s="3" t="s">
        <v>9835</v>
      </c>
      <c r="N2723" s="3">
        <v>202</v>
      </c>
      <c r="O2723" s="3" t="s">
        <v>9836</v>
      </c>
      <c r="P2723" s="3" t="s">
        <v>9837</v>
      </c>
      <c r="Q2723" s="3" t="s">
        <v>199</v>
      </c>
      <c r="R2723" s="3" t="s">
        <v>792</v>
      </c>
      <c r="S2723" s="3">
        <v>66825030</v>
      </c>
      <c r="T2723" s="3">
        <v>9193010721</v>
      </c>
      <c r="U2723" s="3" t="s">
        <v>29</v>
      </c>
    </row>
    <row r="2724" spans="1:21" ht="13.2" x14ac:dyDescent="0.25">
      <c r="A2724" s="14">
        <v>57118929000137</v>
      </c>
      <c r="B2724" s="15" t="str">
        <f t="shared" si="42"/>
        <v>57.118.929/0001-37</v>
      </c>
      <c r="C2724" s="12"/>
      <c r="D2724" s="3" t="s">
        <v>9838</v>
      </c>
      <c r="E2724" s="3" t="s">
        <v>9838</v>
      </c>
      <c r="F2724" s="3" t="s">
        <v>20</v>
      </c>
      <c r="G2724" s="4">
        <v>31835</v>
      </c>
      <c r="H2724" s="3" t="s">
        <v>94</v>
      </c>
      <c r="I2724" s="3" t="s">
        <v>33</v>
      </c>
      <c r="J2724" s="5">
        <v>1040461</v>
      </c>
      <c r="K2724" s="3">
        <v>7311400</v>
      </c>
      <c r="L2724" s="3" t="s">
        <v>656</v>
      </c>
      <c r="M2724" s="3" t="s">
        <v>9684</v>
      </c>
      <c r="N2724" s="3">
        <v>297</v>
      </c>
      <c r="O2724" s="3" t="s">
        <v>6276</v>
      </c>
      <c r="P2724" s="3" t="s">
        <v>1159</v>
      </c>
      <c r="Q2724" s="3" t="s">
        <v>27</v>
      </c>
      <c r="R2724" s="3" t="s">
        <v>28</v>
      </c>
      <c r="S2724" s="3">
        <v>5448000</v>
      </c>
      <c r="T2724" s="3">
        <v>1130665400</v>
      </c>
      <c r="U2724" s="3" t="s">
        <v>29</v>
      </c>
    </row>
    <row r="2725" spans="1:21" ht="13.2" x14ac:dyDescent="0.25">
      <c r="A2725" s="14">
        <v>58925819003831</v>
      </c>
      <c r="B2725" s="15" t="str">
        <f t="shared" si="42"/>
        <v>58.925.819/0038-31</v>
      </c>
      <c r="C2725" s="12"/>
      <c r="D2725" s="3" t="s">
        <v>9839</v>
      </c>
      <c r="E2725" s="3" t="s">
        <v>9839</v>
      </c>
      <c r="F2725" s="3" t="s">
        <v>45</v>
      </c>
      <c r="G2725" s="4">
        <v>35191</v>
      </c>
      <c r="H2725" s="3" t="s">
        <v>21</v>
      </c>
      <c r="I2725" s="3" t="s">
        <v>22</v>
      </c>
      <c r="J2725" s="5">
        <v>260400</v>
      </c>
      <c r="K2725" s="3">
        <v>5223100</v>
      </c>
      <c r="L2725" s="3" t="s">
        <v>1046</v>
      </c>
      <c r="M2725" s="3" t="s">
        <v>9840</v>
      </c>
      <c r="N2725" s="3">
        <v>3800</v>
      </c>
      <c r="O2725" s="3" t="s">
        <v>3743</v>
      </c>
      <c r="P2725" s="3" t="s">
        <v>9841</v>
      </c>
      <c r="Q2725" s="3" t="s">
        <v>1253</v>
      </c>
      <c r="R2725" s="3" t="s">
        <v>765</v>
      </c>
      <c r="S2725" s="3">
        <v>29075010</v>
      </c>
      <c r="T2725" s="3">
        <v>2733258225</v>
      </c>
      <c r="U2725" s="3" t="s">
        <v>29</v>
      </c>
    </row>
    <row r="2726" spans="1:21" ht="13.2" x14ac:dyDescent="0.25">
      <c r="A2726" s="14">
        <v>56994502000130</v>
      </c>
      <c r="B2726" s="15" t="str">
        <f t="shared" si="42"/>
        <v>56.994.502/0001-30</v>
      </c>
      <c r="C2726" s="12"/>
      <c r="D2726" s="3" t="s">
        <v>9842</v>
      </c>
      <c r="E2726" s="3" t="s">
        <v>9842</v>
      </c>
      <c r="F2726" s="3" t="s">
        <v>20</v>
      </c>
      <c r="G2726" s="4">
        <v>24315</v>
      </c>
      <c r="H2726" s="3" t="s">
        <v>94</v>
      </c>
      <c r="I2726" s="3" t="s">
        <v>33</v>
      </c>
      <c r="J2726" s="5">
        <v>507106560</v>
      </c>
      <c r="K2726" s="3">
        <v>2121101</v>
      </c>
      <c r="L2726" s="3" t="s">
        <v>233</v>
      </c>
      <c r="M2726" s="3" t="s">
        <v>9843</v>
      </c>
      <c r="N2726" s="3">
        <v>90</v>
      </c>
      <c r="P2726" s="3" t="s">
        <v>919</v>
      </c>
      <c r="Q2726" s="3" t="s">
        <v>27</v>
      </c>
      <c r="R2726" s="3" t="s">
        <v>28</v>
      </c>
      <c r="S2726" s="3">
        <v>4636900</v>
      </c>
      <c r="T2726" s="3">
        <v>1155327700</v>
      </c>
      <c r="U2726" s="3" t="s">
        <v>29</v>
      </c>
    </row>
    <row r="2727" spans="1:21" ht="13.2" x14ac:dyDescent="0.25">
      <c r="A2727" s="14">
        <v>25080393000111</v>
      </c>
      <c r="B2727" s="15" t="str">
        <f t="shared" si="42"/>
        <v>25.080.393/0001-11</v>
      </c>
      <c r="C2727" s="12"/>
      <c r="D2727" s="3" t="s">
        <v>9844</v>
      </c>
      <c r="E2727" s="3" t="s">
        <v>9844</v>
      </c>
      <c r="F2727" s="3" t="s">
        <v>20</v>
      </c>
      <c r="G2727" s="4">
        <v>42548</v>
      </c>
      <c r="H2727" s="3" t="s">
        <v>21</v>
      </c>
      <c r="I2727" s="3" t="s">
        <v>33</v>
      </c>
      <c r="J2727" s="5">
        <v>28145000</v>
      </c>
      <c r="K2727" s="3">
        <v>5620101</v>
      </c>
      <c r="L2727" s="3" t="s">
        <v>1369</v>
      </c>
      <c r="M2727" s="3" t="s">
        <v>9845</v>
      </c>
      <c r="N2727" s="3">
        <v>191</v>
      </c>
      <c r="O2727" s="3" t="s">
        <v>9846</v>
      </c>
      <c r="P2727" s="3" t="s">
        <v>9847</v>
      </c>
      <c r="Q2727" s="3" t="s">
        <v>567</v>
      </c>
      <c r="R2727" s="3" t="s">
        <v>28</v>
      </c>
      <c r="S2727" s="3">
        <v>13201840</v>
      </c>
      <c r="T2727" s="3">
        <v>1150855000</v>
      </c>
      <c r="U2727" s="3" t="s">
        <v>29</v>
      </c>
    </row>
    <row r="2728" spans="1:21" ht="13.2" x14ac:dyDescent="0.25">
      <c r="A2728" s="14">
        <v>82277955000155</v>
      </c>
      <c r="B2728" s="15" t="str">
        <f t="shared" si="42"/>
        <v>82.277.955/0001-55</v>
      </c>
      <c r="C2728" s="12" t="str">
        <f>VLOOKUP(B2728,[1]Planilha1!$A:$B,2,0)</f>
        <v>Malu Montesino</v>
      </c>
      <c r="D2728" s="3" t="s">
        <v>9848</v>
      </c>
      <c r="E2728" s="3" t="s">
        <v>9848</v>
      </c>
      <c r="F2728" s="3" t="s">
        <v>20</v>
      </c>
      <c r="G2728" s="4">
        <v>33105</v>
      </c>
      <c r="H2728" s="3" t="s">
        <v>21</v>
      </c>
      <c r="I2728" s="3" t="s">
        <v>33</v>
      </c>
      <c r="J2728" s="5">
        <v>1000535100</v>
      </c>
      <c r="K2728" s="3">
        <v>4644301</v>
      </c>
      <c r="L2728" s="3" t="s">
        <v>326</v>
      </c>
      <c r="M2728" s="3" t="s">
        <v>837</v>
      </c>
      <c r="N2728" s="3">
        <v>1350</v>
      </c>
      <c r="O2728" s="3" t="s">
        <v>9849</v>
      </c>
      <c r="P2728" s="3" t="s">
        <v>137</v>
      </c>
      <c r="Q2728" s="3" t="s">
        <v>27</v>
      </c>
      <c r="R2728" s="3" t="s">
        <v>28</v>
      </c>
      <c r="S2728" s="3">
        <v>5001100</v>
      </c>
      <c r="T2728" s="3">
        <v>1138689137</v>
      </c>
      <c r="U2728" s="3" t="s">
        <v>29</v>
      </c>
    </row>
    <row r="2729" spans="1:21" ht="13.2" x14ac:dyDescent="0.25">
      <c r="A2729" s="14">
        <v>16921603000166</v>
      </c>
      <c r="B2729" s="15" t="str">
        <f t="shared" si="42"/>
        <v>16.921.603/0001-66</v>
      </c>
      <c r="C2729" s="12"/>
      <c r="D2729" s="3" t="s">
        <v>9850</v>
      </c>
      <c r="E2729" s="3" t="s">
        <v>9850</v>
      </c>
      <c r="F2729" s="3" t="s">
        <v>20</v>
      </c>
      <c r="G2729" s="4">
        <v>26331</v>
      </c>
      <c r="H2729" s="3" t="s">
        <v>21</v>
      </c>
      <c r="I2729" s="3" t="s">
        <v>33</v>
      </c>
      <c r="J2729" s="5">
        <v>442143360</v>
      </c>
      <c r="K2729" s="3">
        <v>2121101</v>
      </c>
      <c r="L2729" s="3" t="s">
        <v>233</v>
      </c>
      <c r="M2729" s="3" t="s">
        <v>3826</v>
      </c>
      <c r="N2729" s="3">
        <v>1413</v>
      </c>
      <c r="P2729" s="3" t="s">
        <v>153</v>
      </c>
      <c r="Q2729" s="3" t="s">
        <v>4396</v>
      </c>
      <c r="R2729" s="3" t="s">
        <v>100</v>
      </c>
      <c r="S2729" s="3">
        <v>39404004</v>
      </c>
      <c r="T2729" s="3">
        <v>3832296296</v>
      </c>
      <c r="U2729" s="3" t="s">
        <v>29</v>
      </c>
    </row>
    <row r="2730" spans="1:21" ht="13.2" x14ac:dyDescent="0.25">
      <c r="A2730" s="14">
        <v>7797967000195</v>
      </c>
      <c r="B2730" s="15" t="str">
        <f t="shared" si="42"/>
        <v>07.797.967/0001-95</v>
      </c>
      <c r="C2730" s="12"/>
      <c r="D2730" s="3" t="s">
        <v>9851</v>
      </c>
      <c r="E2730" s="3" t="s">
        <v>9852</v>
      </c>
      <c r="F2730" s="3" t="s">
        <v>20</v>
      </c>
      <c r="G2730" s="4">
        <v>38721</v>
      </c>
      <c r="H2730" s="3" t="s">
        <v>21</v>
      </c>
      <c r="I2730" s="3" t="s">
        <v>33</v>
      </c>
      <c r="J2730" s="5">
        <v>5000</v>
      </c>
      <c r="K2730" s="3">
        <v>6203100</v>
      </c>
      <c r="L2730" s="3" t="s">
        <v>2268</v>
      </c>
      <c r="M2730" s="3" t="s">
        <v>9853</v>
      </c>
      <c r="N2730" s="3">
        <v>2356</v>
      </c>
      <c r="O2730" s="3" t="s">
        <v>9854</v>
      </c>
      <c r="P2730" s="3" t="s">
        <v>70</v>
      </c>
      <c r="Q2730" s="3" t="s">
        <v>186</v>
      </c>
      <c r="R2730" s="3" t="s">
        <v>187</v>
      </c>
      <c r="S2730" s="3">
        <v>83005010</v>
      </c>
      <c r="T2730" s="3">
        <v>4130103253</v>
      </c>
      <c r="U2730" s="3" t="s">
        <v>29</v>
      </c>
    </row>
    <row r="2731" spans="1:21" ht="13.2" x14ac:dyDescent="0.25">
      <c r="A2731" s="14">
        <v>20182450000150</v>
      </c>
      <c r="B2731" s="15" t="str">
        <f t="shared" si="42"/>
        <v>20.182.450/0001-50</v>
      </c>
      <c r="C2731" s="12"/>
      <c r="D2731" s="3" t="s">
        <v>9855</v>
      </c>
      <c r="E2731" s="3" t="s">
        <v>9855</v>
      </c>
      <c r="F2731" s="3" t="s">
        <v>20</v>
      </c>
      <c r="G2731" s="4">
        <v>41764</v>
      </c>
      <c r="H2731" s="3" t="s">
        <v>21</v>
      </c>
      <c r="I2731" s="3" t="s">
        <v>33</v>
      </c>
      <c r="J2731" s="5">
        <v>37772464</v>
      </c>
      <c r="K2731" s="3">
        <v>7311400</v>
      </c>
      <c r="L2731" s="3" t="s">
        <v>656</v>
      </c>
      <c r="M2731" s="3" t="s">
        <v>960</v>
      </c>
      <c r="N2731" s="3">
        <v>101</v>
      </c>
      <c r="O2731" s="3" t="s">
        <v>9856</v>
      </c>
      <c r="P2731" s="3" t="s">
        <v>70</v>
      </c>
      <c r="Q2731" s="3" t="s">
        <v>217</v>
      </c>
      <c r="R2731" s="3" t="s">
        <v>28</v>
      </c>
      <c r="S2731" s="3">
        <v>9750730</v>
      </c>
      <c r="T2731" s="3">
        <v>1122737020</v>
      </c>
      <c r="U2731" s="3" t="s">
        <v>29</v>
      </c>
    </row>
    <row r="2732" spans="1:21" ht="13.2" x14ac:dyDescent="0.25">
      <c r="A2732" s="14">
        <v>22833857000125</v>
      </c>
      <c r="B2732" s="15" t="str">
        <f t="shared" si="42"/>
        <v>22.833.857/0001-25</v>
      </c>
      <c r="C2732" s="12"/>
      <c r="D2732" s="3" t="s">
        <v>9857</v>
      </c>
      <c r="E2732" s="3" t="s">
        <v>9858</v>
      </c>
      <c r="F2732" s="3" t="s">
        <v>20</v>
      </c>
      <c r="G2732" s="4">
        <v>42186</v>
      </c>
      <c r="H2732" s="3" t="s">
        <v>21</v>
      </c>
      <c r="I2732" s="3" t="s">
        <v>22</v>
      </c>
      <c r="J2732" s="5">
        <v>700000</v>
      </c>
      <c r="K2732" s="3">
        <v>6209100</v>
      </c>
      <c r="L2732" s="3" t="s">
        <v>303</v>
      </c>
      <c r="M2732" s="3" t="s">
        <v>9859</v>
      </c>
      <c r="N2732" s="3">
        <v>831</v>
      </c>
      <c r="P2732" s="3" t="s">
        <v>5811</v>
      </c>
      <c r="Q2732" s="3" t="s">
        <v>204</v>
      </c>
      <c r="R2732" s="3" t="s">
        <v>187</v>
      </c>
      <c r="S2732" s="3">
        <v>80215202</v>
      </c>
      <c r="T2732" s="3">
        <v>4130184721</v>
      </c>
      <c r="U2732" s="3" t="s">
        <v>29</v>
      </c>
    </row>
    <row r="2733" spans="1:21" ht="13.2" x14ac:dyDescent="0.25">
      <c r="A2733" s="14">
        <v>8375571000112</v>
      </c>
      <c r="B2733" s="15" t="str">
        <f t="shared" si="42"/>
        <v>08.375.571/0001-12</v>
      </c>
      <c r="C2733" s="12"/>
      <c r="D2733" s="3" t="s">
        <v>9860</v>
      </c>
      <c r="E2733" s="3" t="s">
        <v>9861</v>
      </c>
      <c r="F2733" s="3" t="s">
        <v>20</v>
      </c>
      <c r="G2733" s="4">
        <v>39001</v>
      </c>
      <c r="H2733" s="3" t="s">
        <v>21</v>
      </c>
      <c r="I2733" s="3" t="s">
        <v>47</v>
      </c>
      <c r="J2733" s="5">
        <v>100000</v>
      </c>
      <c r="K2733" s="3">
        <v>7020400</v>
      </c>
      <c r="L2733" s="3" t="s">
        <v>170</v>
      </c>
      <c r="M2733" s="3" t="s">
        <v>9862</v>
      </c>
      <c r="N2733" s="3">
        <v>1330</v>
      </c>
      <c r="O2733" s="3" t="s">
        <v>9863</v>
      </c>
      <c r="P2733" s="3" t="s">
        <v>70</v>
      </c>
      <c r="Q2733" s="3" t="s">
        <v>617</v>
      </c>
      <c r="R2733" s="3" t="s">
        <v>28</v>
      </c>
      <c r="S2733" s="3">
        <v>6401015</v>
      </c>
      <c r="T2733" s="3">
        <v>1173405009</v>
      </c>
      <c r="U2733" s="3" t="s">
        <v>29</v>
      </c>
    </row>
    <row r="2734" spans="1:21" ht="13.2" x14ac:dyDescent="0.25">
      <c r="A2734" s="14">
        <v>10720677000158</v>
      </c>
      <c r="B2734" s="15" t="str">
        <f t="shared" si="42"/>
        <v>10.720.677/0001-58</v>
      </c>
      <c r="C2734" s="12"/>
      <c r="D2734" s="3" t="s">
        <v>9864</v>
      </c>
      <c r="E2734" s="3" t="s">
        <v>9864</v>
      </c>
      <c r="F2734" s="3" t="s">
        <v>20</v>
      </c>
      <c r="G2734" s="4">
        <v>39885</v>
      </c>
      <c r="H2734" s="3" t="s">
        <v>21</v>
      </c>
      <c r="I2734" s="3" t="s">
        <v>33</v>
      </c>
      <c r="J2734" s="5">
        <v>7000000</v>
      </c>
      <c r="K2734" s="3">
        <v>6462000</v>
      </c>
      <c r="L2734" s="3" t="s">
        <v>250</v>
      </c>
      <c r="M2734" s="3" t="s">
        <v>9865</v>
      </c>
      <c r="N2734" s="3" t="s">
        <v>9866</v>
      </c>
      <c r="O2734" s="3" t="s">
        <v>505</v>
      </c>
      <c r="P2734" s="3" t="s">
        <v>9867</v>
      </c>
      <c r="Q2734" s="3" t="s">
        <v>324</v>
      </c>
      <c r="R2734" s="3" t="s">
        <v>28</v>
      </c>
      <c r="S2734" s="3">
        <v>17047230</v>
      </c>
      <c r="T2734" s="3">
        <v>1421069636</v>
      </c>
      <c r="U2734" s="3" t="s">
        <v>29</v>
      </c>
    </row>
    <row r="2735" spans="1:21" ht="13.2" x14ac:dyDescent="0.25">
      <c r="A2735" s="14">
        <v>2704396000183</v>
      </c>
      <c r="B2735" s="15" t="str">
        <f t="shared" si="42"/>
        <v>02.704.396/0001-83</v>
      </c>
      <c r="C2735" s="12"/>
      <c r="D2735" s="3" t="s">
        <v>9868</v>
      </c>
      <c r="E2735" s="3" t="s">
        <v>9868</v>
      </c>
      <c r="F2735" s="3" t="s">
        <v>20</v>
      </c>
      <c r="G2735" s="4">
        <v>35926</v>
      </c>
      <c r="H2735" s="3" t="s">
        <v>21</v>
      </c>
      <c r="I2735" s="3" t="s">
        <v>33</v>
      </c>
      <c r="J2735" s="5">
        <v>250000</v>
      </c>
      <c r="K2735" s="3">
        <v>7830200</v>
      </c>
      <c r="L2735" s="3" t="s">
        <v>473</v>
      </c>
      <c r="M2735" s="3" t="s">
        <v>9869</v>
      </c>
      <c r="N2735" s="3">
        <v>140</v>
      </c>
      <c r="O2735" s="3" t="s">
        <v>9870</v>
      </c>
      <c r="P2735" s="3" t="s">
        <v>3910</v>
      </c>
      <c r="Q2735" s="3" t="s">
        <v>27</v>
      </c>
      <c r="R2735" s="3" t="s">
        <v>28</v>
      </c>
      <c r="S2735" s="3">
        <v>1042906</v>
      </c>
      <c r="T2735" s="3">
        <v>1150931769</v>
      </c>
      <c r="U2735" s="3" t="s">
        <v>29</v>
      </c>
    </row>
    <row r="2736" spans="1:21" ht="13.2" x14ac:dyDescent="0.25">
      <c r="A2736" s="14">
        <v>6172467000103</v>
      </c>
      <c r="B2736" s="15" t="str">
        <f t="shared" si="42"/>
        <v>06.172.467/0001-03</v>
      </c>
      <c r="C2736" s="12" t="str">
        <f>VLOOKUP(B2736,[1]Planilha1!$A:$B,2,0)</f>
        <v>Mariane Nascimento</v>
      </c>
      <c r="D2736" s="3" t="s">
        <v>9871</v>
      </c>
      <c r="E2736" s="3" t="s">
        <v>9872</v>
      </c>
      <c r="F2736" s="3" t="s">
        <v>20</v>
      </c>
      <c r="G2736" s="4">
        <v>38068</v>
      </c>
      <c r="H2736" s="3" t="s">
        <v>21</v>
      </c>
      <c r="I2736" s="3" t="s">
        <v>33</v>
      </c>
      <c r="J2736" s="5">
        <v>1000000</v>
      </c>
      <c r="K2736" s="3">
        <v>4644301</v>
      </c>
      <c r="L2736" s="3" t="s">
        <v>326</v>
      </c>
      <c r="M2736" s="3" t="s">
        <v>9873</v>
      </c>
      <c r="N2736" s="3">
        <v>329</v>
      </c>
      <c r="P2736" s="3" t="s">
        <v>306</v>
      </c>
      <c r="Q2736" s="3" t="s">
        <v>27</v>
      </c>
      <c r="R2736" s="3" t="s">
        <v>28</v>
      </c>
      <c r="S2736" s="3">
        <v>4714010</v>
      </c>
      <c r="T2736" s="3">
        <v>1151814121</v>
      </c>
      <c r="U2736" s="3" t="s">
        <v>29</v>
      </c>
    </row>
    <row r="2737" spans="1:21" ht="13.2" x14ac:dyDescent="0.25">
      <c r="A2737" s="14">
        <v>26383079000170</v>
      </c>
      <c r="B2737" s="15" t="str">
        <f t="shared" si="42"/>
        <v>26.383.079/0001-70</v>
      </c>
      <c r="C2737" s="12"/>
      <c r="D2737" s="3" t="s">
        <v>9874</v>
      </c>
      <c r="E2737" s="3" t="s">
        <v>9875</v>
      </c>
      <c r="F2737" s="3" t="s">
        <v>20</v>
      </c>
      <c r="G2737" s="4">
        <v>42661</v>
      </c>
      <c r="H2737" s="3" t="s">
        <v>21</v>
      </c>
      <c r="I2737" s="3" t="s">
        <v>33</v>
      </c>
      <c r="J2737" s="5">
        <v>1000000</v>
      </c>
      <c r="K2737" s="3">
        <v>4644301</v>
      </c>
      <c r="L2737" s="3" t="s">
        <v>326</v>
      </c>
      <c r="M2737" s="3" t="s">
        <v>9876</v>
      </c>
      <c r="N2737" s="3">
        <v>1065</v>
      </c>
      <c r="O2737" s="3" t="s">
        <v>9877</v>
      </c>
      <c r="P2737" s="3" t="s">
        <v>2994</v>
      </c>
      <c r="Q2737" s="3" t="s">
        <v>9878</v>
      </c>
      <c r="R2737" s="3" t="s">
        <v>301</v>
      </c>
      <c r="S2737" s="3">
        <v>61930220</v>
      </c>
      <c r="T2737" s="3">
        <v>8534728389</v>
      </c>
      <c r="U2737" s="3" t="s">
        <v>29</v>
      </c>
    </row>
    <row r="2738" spans="1:21" ht="13.2" x14ac:dyDescent="0.25">
      <c r="A2738" s="14">
        <v>15058160000169</v>
      </c>
      <c r="B2738" s="15" t="str">
        <f t="shared" si="42"/>
        <v>15.058.160/0001-69</v>
      </c>
      <c r="C2738" s="12"/>
      <c r="D2738" s="3" t="s">
        <v>9879</v>
      </c>
      <c r="E2738" s="3" t="s">
        <v>9880</v>
      </c>
      <c r="F2738" s="3" t="s">
        <v>20</v>
      </c>
      <c r="G2738" s="4">
        <v>40918</v>
      </c>
      <c r="H2738" s="3" t="s">
        <v>21</v>
      </c>
      <c r="I2738" s="3" t="s">
        <v>33</v>
      </c>
      <c r="J2738" s="5">
        <v>1109690</v>
      </c>
      <c r="K2738" s="3">
        <v>2063100</v>
      </c>
      <c r="L2738" s="3" t="s">
        <v>4390</v>
      </c>
      <c r="M2738" s="3" t="s">
        <v>9881</v>
      </c>
      <c r="N2738" s="3" t="s">
        <v>82</v>
      </c>
      <c r="O2738" s="3" t="s">
        <v>9882</v>
      </c>
      <c r="P2738" s="3" t="s">
        <v>9883</v>
      </c>
      <c r="Q2738" s="3" t="s">
        <v>573</v>
      </c>
      <c r="R2738" s="3" t="s">
        <v>274</v>
      </c>
      <c r="S2738" s="3">
        <v>74981070</v>
      </c>
      <c r="T2738" s="3">
        <v>6232359712</v>
      </c>
      <c r="U2738" s="3" t="s">
        <v>29</v>
      </c>
    </row>
    <row r="2739" spans="1:21" ht="13.2" x14ac:dyDescent="0.25">
      <c r="A2739" s="14">
        <v>40768794000152</v>
      </c>
      <c r="B2739" s="15" t="str">
        <f t="shared" si="42"/>
        <v>40.768.794/0001-52</v>
      </c>
      <c r="C2739" s="12"/>
      <c r="D2739" s="3" t="s">
        <v>9884</v>
      </c>
      <c r="E2739" s="3" t="s">
        <v>9884</v>
      </c>
      <c r="F2739" s="3" t="s">
        <v>20</v>
      </c>
      <c r="G2739" s="4">
        <v>44235</v>
      </c>
      <c r="H2739" s="3" t="s">
        <v>21</v>
      </c>
      <c r="I2739" s="3" t="s">
        <v>47</v>
      </c>
      <c r="J2739" s="5">
        <v>20000</v>
      </c>
      <c r="K2739" s="3">
        <v>4771702</v>
      </c>
      <c r="L2739" s="3" t="s">
        <v>3852</v>
      </c>
      <c r="M2739" s="3" t="s">
        <v>9885</v>
      </c>
      <c r="N2739" s="3">
        <v>440</v>
      </c>
      <c r="P2739" s="3" t="s">
        <v>817</v>
      </c>
      <c r="Q2739" s="3" t="s">
        <v>217</v>
      </c>
      <c r="R2739" s="3" t="s">
        <v>28</v>
      </c>
      <c r="S2739" s="3">
        <v>9725680</v>
      </c>
      <c r="T2739" s="3">
        <v>1141786427</v>
      </c>
      <c r="U2739" s="3" t="s">
        <v>29</v>
      </c>
    </row>
    <row r="2740" spans="1:21" ht="13.2" x14ac:dyDescent="0.25">
      <c r="A2740" s="14">
        <v>3612312000144</v>
      </c>
      <c r="B2740" s="15" t="str">
        <f t="shared" si="42"/>
        <v>03.612.312/0001-44</v>
      </c>
      <c r="C2740" s="12"/>
      <c r="D2740" s="3" t="s">
        <v>9886</v>
      </c>
      <c r="E2740" s="3" t="s">
        <v>9887</v>
      </c>
      <c r="F2740" s="3" t="s">
        <v>20</v>
      </c>
      <c r="G2740" s="4">
        <v>36551</v>
      </c>
      <c r="H2740" s="3" t="s">
        <v>21</v>
      </c>
      <c r="I2740" s="3" t="s">
        <v>33</v>
      </c>
      <c r="J2740" s="5">
        <v>200000</v>
      </c>
      <c r="K2740" s="3">
        <v>4639701</v>
      </c>
      <c r="L2740" s="3" t="s">
        <v>3611</v>
      </c>
      <c r="M2740" s="3" t="s">
        <v>3986</v>
      </c>
      <c r="N2740" s="3">
        <v>128</v>
      </c>
      <c r="O2740" s="3" t="s">
        <v>9888</v>
      </c>
      <c r="P2740" s="3" t="s">
        <v>9889</v>
      </c>
      <c r="Q2740" s="3" t="s">
        <v>27</v>
      </c>
      <c r="R2740" s="3" t="s">
        <v>28</v>
      </c>
      <c r="S2740" s="3">
        <v>5307000</v>
      </c>
      <c r="T2740" s="3">
        <v>1175254437</v>
      </c>
      <c r="U2740" s="3" t="s">
        <v>29</v>
      </c>
    </row>
    <row r="2741" spans="1:21" ht="13.2" x14ac:dyDescent="0.25">
      <c r="A2741" s="14">
        <v>21082072000103</v>
      </c>
      <c r="B2741" s="15" t="str">
        <f t="shared" si="42"/>
        <v>21.082.072/0001-03</v>
      </c>
      <c r="C2741" s="12"/>
      <c r="D2741" s="3" t="s">
        <v>9890</v>
      </c>
      <c r="E2741" s="3" t="s">
        <v>9891</v>
      </c>
      <c r="F2741" s="3" t="s">
        <v>20</v>
      </c>
      <c r="G2741" s="4">
        <v>41904</v>
      </c>
      <c r="H2741" s="3" t="s">
        <v>21</v>
      </c>
      <c r="I2741" s="3" t="s">
        <v>47</v>
      </c>
      <c r="J2741" s="5">
        <v>100000</v>
      </c>
      <c r="K2741" s="3">
        <v>4729699</v>
      </c>
      <c r="L2741" s="3" t="s">
        <v>2864</v>
      </c>
      <c r="M2741" s="3" t="s">
        <v>9892</v>
      </c>
      <c r="N2741" s="3">
        <v>894</v>
      </c>
      <c r="O2741" s="3" t="s">
        <v>505</v>
      </c>
      <c r="P2741" s="3" t="s">
        <v>9893</v>
      </c>
      <c r="Q2741" s="3" t="s">
        <v>448</v>
      </c>
      <c r="R2741" s="3" t="s">
        <v>449</v>
      </c>
      <c r="S2741" s="3">
        <v>69057001</v>
      </c>
      <c r="T2741" s="3">
        <v>9233475503</v>
      </c>
      <c r="U2741" s="3" t="s">
        <v>29</v>
      </c>
    </row>
    <row r="2742" spans="1:21" ht="13.2" x14ac:dyDescent="0.25">
      <c r="A2742" s="14">
        <v>42135855000170</v>
      </c>
      <c r="B2742" s="15" t="str">
        <f t="shared" si="42"/>
        <v>42.135.855/0001-70</v>
      </c>
      <c r="C2742" s="12"/>
      <c r="D2742" s="3" t="s">
        <v>9894</v>
      </c>
      <c r="E2742" s="3" t="s">
        <v>9895</v>
      </c>
      <c r="F2742" s="3" t="s">
        <v>20</v>
      </c>
      <c r="G2742" s="4">
        <v>33903</v>
      </c>
      <c r="H2742" s="3" t="s">
        <v>21</v>
      </c>
      <c r="I2742" s="3" t="s">
        <v>33</v>
      </c>
      <c r="J2742" s="5">
        <v>800000</v>
      </c>
      <c r="K2742" s="3">
        <v>4744005</v>
      </c>
      <c r="L2742" s="3" t="s">
        <v>1483</v>
      </c>
      <c r="M2742" s="3" t="s">
        <v>9896</v>
      </c>
      <c r="N2742" s="3">
        <v>51</v>
      </c>
      <c r="O2742" s="3" t="s">
        <v>4211</v>
      </c>
      <c r="P2742" s="3" t="s">
        <v>9897</v>
      </c>
      <c r="Q2742" s="3" t="s">
        <v>280</v>
      </c>
      <c r="R2742" s="3" t="s">
        <v>281</v>
      </c>
      <c r="S2742" s="3">
        <v>41340280</v>
      </c>
      <c r="T2742" s="3">
        <v>7132319173</v>
      </c>
      <c r="U2742" s="3" t="s">
        <v>29</v>
      </c>
    </row>
    <row r="2743" spans="1:21" ht="13.2" x14ac:dyDescent="0.25">
      <c r="A2743" s="14">
        <v>43238138000136</v>
      </c>
      <c r="B2743" s="15" t="str">
        <f t="shared" si="42"/>
        <v>43.238.138/0001-36</v>
      </c>
      <c r="C2743" s="12"/>
      <c r="D2743" s="3" t="s">
        <v>9898</v>
      </c>
      <c r="E2743" s="3" t="s">
        <v>9899</v>
      </c>
      <c r="F2743" s="3" t="s">
        <v>20</v>
      </c>
      <c r="G2743" s="4">
        <v>25217</v>
      </c>
      <c r="H2743" s="3" t="s">
        <v>94</v>
      </c>
      <c r="I2743" s="3" t="s">
        <v>33</v>
      </c>
      <c r="J2743" s="5">
        <v>70000000</v>
      </c>
      <c r="K2743" s="3">
        <v>1354500</v>
      </c>
      <c r="L2743" s="3" t="s">
        <v>190</v>
      </c>
      <c r="M2743" s="3" t="s">
        <v>9900</v>
      </c>
      <c r="N2743" s="3">
        <v>572</v>
      </c>
      <c r="P2743" s="3" t="s">
        <v>9901</v>
      </c>
      <c r="Q2743" s="3" t="s">
        <v>4802</v>
      </c>
      <c r="R2743" s="3" t="s">
        <v>28</v>
      </c>
      <c r="S2743" s="3">
        <v>13380360</v>
      </c>
      <c r="T2743" s="3">
        <v>1934669200</v>
      </c>
      <c r="U2743" s="3" t="s">
        <v>29</v>
      </c>
    </row>
    <row r="2744" spans="1:21" ht="13.2" x14ac:dyDescent="0.25">
      <c r="A2744" s="14">
        <v>7732587000172</v>
      </c>
      <c r="B2744" s="15" t="str">
        <f t="shared" si="42"/>
        <v>07.732.587/0001-72</v>
      </c>
      <c r="C2744" s="12"/>
      <c r="D2744" s="3" t="s">
        <v>9902</v>
      </c>
      <c r="E2744" s="3" t="s">
        <v>9903</v>
      </c>
      <c r="F2744" s="3" t="s">
        <v>20</v>
      </c>
      <c r="G2744" s="4">
        <v>38693</v>
      </c>
      <c r="H2744" s="3" t="s">
        <v>21</v>
      </c>
      <c r="I2744" s="3" t="s">
        <v>33</v>
      </c>
      <c r="J2744" s="5">
        <v>20000000</v>
      </c>
      <c r="K2744" s="3">
        <v>4639701</v>
      </c>
      <c r="L2744" s="3" t="s">
        <v>3611</v>
      </c>
      <c r="M2744" s="3" t="s">
        <v>9904</v>
      </c>
      <c r="N2744" s="3" t="s">
        <v>82</v>
      </c>
      <c r="O2744" s="3" t="s">
        <v>9905</v>
      </c>
      <c r="P2744" s="3" t="s">
        <v>7074</v>
      </c>
      <c r="Q2744" s="3" t="s">
        <v>1846</v>
      </c>
      <c r="R2744" s="3" t="s">
        <v>1847</v>
      </c>
      <c r="S2744" s="3">
        <v>57081586</v>
      </c>
      <c r="T2744" s="3">
        <v>8232411584</v>
      </c>
      <c r="U2744" s="3" t="s">
        <v>29</v>
      </c>
    </row>
    <row r="2745" spans="1:21" ht="13.2" x14ac:dyDescent="0.25">
      <c r="A2745" s="14">
        <v>83088120000110</v>
      </c>
      <c r="B2745" s="15" t="str">
        <f t="shared" si="42"/>
        <v>83.088.120/0001-10</v>
      </c>
      <c r="C2745" s="12"/>
      <c r="D2745" s="3" t="s">
        <v>9906</v>
      </c>
      <c r="E2745" s="3" t="s">
        <v>9907</v>
      </c>
      <c r="F2745" s="3" t="s">
        <v>20</v>
      </c>
      <c r="G2745" s="4">
        <v>27662</v>
      </c>
      <c r="H2745" s="3" t="s">
        <v>21</v>
      </c>
      <c r="I2745" s="3" t="s">
        <v>33</v>
      </c>
      <c r="J2745" s="5">
        <v>10000000</v>
      </c>
      <c r="K2745" s="3">
        <v>4679604</v>
      </c>
      <c r="L2745" s="3" t="s">
        <v>4648</v>
      </c>
      <c r="M2745" s="3" t="s">
        <v>9908</v>
      </c>
      <c r="N2745" s="3">
        <v>1300</v>
      </c>
      <c r="P2745" s="3" t="s">
        <v>8765</v>
      </c>
      <c r="Q2745" s="3" t="s">
        <v>2937</v>
      </c>
      <c r="R2745" s="3" t="s">
        <v>91</v>
      </c>
      <c r="S2745" s="3">
        <v>88504570</v>
      </c>
      <c r="T2745" s="3">
        <v>4932514819</v>
      </c>
      <c r="U2745" s="3" t="s">
        <v>29</v>
      </c>
    </row>
    <row r="2746" spans="1:21" ht="13.2" x14ac:dyDescent="0.25">
      <c r="A2746" s="14">
        <v>26472497000134</v>
      </c>
      <c r="B2746" s="15" t="str">
        <f t="shared" si="42"/>
        <v>26.472.497/0001-34</v>
      </c>
      <c r="C2746" s="12"/>
      <c r="D2746" s="3" t="s">
        <v>9909</v>
      </c>
      <c r="E2746" s="3" t="s">
        <v>9910</v>
      </c>
      <c r="F2746" s="3" t="s">
        <v>20</v>
      </c>
      <c r="G2746" s="4">
        <v>42648</v>
      </c>
      <c r="H2746" s="3" t="s">
        <v>244</v>
      </c>
      <c r="I2746" s="3" t="s">
        <v>33</v>
      </c>
      <c r="J2746" s="5">
        <v>0</v>
      </c>
      <c r="K2746" s="3">
        <v>9430800</v>
      </c>
      <c r="L2746" s="3" t="s">
        <v>626</v>
      </c>
      <c r="M2746" s="3" t="s">
        <v>9911</v>
      </c>
      <c r="N2746" s="3">
        <v>533</v>
      </c>
      <c r="P2746" s="3" t="s">
        <v>70</v>
      </c>
      <c r="Q2746" s="3" t="s">
        <v>567</v>
      </c>
      <c r="R2746" s="3" t="s">
        <v>28</v>
      </c>
      <c r="S2746" s="3">
        <v>13201903</v>
      </c>
      <c r="T2746" s="3">
        <v>1145212411</v>
      </c>
      <c r="U2746" s="3" t="s">
        <v>29</v>
      </c>
    </row>
    <row r="2747" spans="1:21" ht="13.2" x14ac:dyDescent="0.25">
      <c r="A2747" s="14">
        <v>19821234000128</v>
      </c>
      <c r="B2747" s="15" t="str">
        <f t="shared" si="42"/>
        <v>19.821.234/0001-28</v>
      </c>
      <c r="C2747" s="12"/>
      <c r="D2747" s="3" t="s">
        <v>9912</v>
      </c>
      <c r="E2747" s="3" t="s">
        <v>9912</v>
      </c>
      <c r="F2747" s="3" t="s">
        <v>20</v>
      </c>
      <c r="G2747" s="4">
        <v>41703</v>
      </c>
      <c r="H2747" s="3" t="s">
        <v>94</v>
      </c>
      <c r="I2747" s="3" t="s">
        <v>33</v>
      </c>
      <c r="J2747" s="5">
        <v>10649647000</v>
      </c>
      <c r="K2747" s="3">
        <v>6462000</v>
      </c>
      <c r="L2747" s="3" t="s">
        <v>250</v>
      </c>
      <c r="M2747" s="3" t="s">
        <v>308</v>
      </c>
      <c r="N2747" s="3">
        <v>14401</v>
      </c>
      <c r="O2747" s="3" t="s">
        <v>9913</v>
      </c>
      <c r="P2747" s="3" t="s">
        <v>310</v>
      </c>
      <c r="Q2747" s="3" t="s">
        <v>27</v>
      </c>
      <c r="R2747" s="3" t="s">
        <v>28</v>
      </c>
      <c r="S2747" s="3">
        <v>4794000</v>
      </c>
      <c r="T2747" s="3">
        <v>1137924000</v>
      </c>
      <c r="U2747" s="3" t="s">
        <v>29</v>
      </c>
    </row>
    <row r="2748" spans="1:21" ht="13.2" x14ac:dyDescent="0.25">
      <c r="A2748" s="14">
        <v>16887298000133</v>
      </c>
      <c r="B2748" s="15" t="str">
        <f t="shared" si="42"/>
        <v>16.887.298/0001-33</v>
      </c>
      <c r="C2748" s="12"/>
      <c r="D2748" s="3" t="s">
        <v>9914</v>
      </c>
      <c r="E2748" s="3" t="s">
        <v>9915</v>
      </c>
      <c r="F2748" s="3" t="s">
        <v>20</v>
      </c>
      <c r="G2748" s="4">
        <v>41172</v>
      </c>
      <c r="H2748" s="3" t="s">
        <v>21</v>
      </c>
      <c r="I2748" s="3" t="s">
        <v>33</v>
      </c>
      <c r="J2748" s="5">
        <v>1051000</v>
      </c>
      <c r="K2748" s="3">
        <v>8111700</v>
      </c>
      <c r="L2748" s="3" t="s">
        <v>290</v>
      </c>
      <c r="M2748" s="3" t="s">
        <v>2952</v>
      </c>
      <c r="N2748" s="3" t="s">
        <v>9916</v>
      </c>
      <c r="O2748" s="3" t="s">
        <v>1548</v>
      </c>
      <c r="P2748" s="3" t="s">
        <v>70</v>
      </c>
      <c r="Q2748" s="3" t="s">
        <v>5975</v>
      </c>
      <c r="R2748" s="3" t="s">
        <v>792</v>
      </c>
      <c r="S2748" s="3">
        <v>67030585</v>
      </c>
      <c r="T2748" s="3">
        <v>9132556320</v>
      </c>
      <c r="U2748" s="3" t="s">
        <v>29</v>
      </c>
    </row>
    <row r="2749" spans="1:21" ht="13.2" x14ac:dyDescent="0.25">
      <c r="A2749" s="14">
        <v>76535764000143</v>
      </c>
      <c r="B2749" s="15" t="str">
        <f t="shared" si="42"/>
        <v>76.535.764/0001-43</v>
      </c>
      <c r="C2749" s="12"/>
      <c r="D2749" s="3" t="s">
        <v>9917</v>
      </c>
      <c r="E2749" s="3" t="s">
        <v>9918</v>
      </c>
      <c r="F2749" s="3" t="s">
        <v>20</v>
      </c>
      <c r="G2749" s="4">
        <v>24376</v>
      </c>
      <c r="H2749" s="3" t="s">
        <v>377</v>
      </c>
      <c r="I2749" s="3" t="s">
        <v>33</v>
      </c>
      <c r="J2749" s="5">
        <v>32538937000</v>
      </c>
      <c r="K2749" s="3">
        <v>6110801</v>
      </c>
      <c r="L2749" s="3" t="s">
        <v>990</v>
      </c>
      <c r="M2749" s="3" t="s">
        <v>9919</v>
      </c>
      <c r="N2749" s="3">
        <v>71</v>
      </c>
      <c r="O2749" s="3" t="s">
        <v>2676</v>
      </c>
      <c r="P2749" s="3" t="s">
        <v>70</v>
      </c>
      <c r="Q2749" s="3" t="s">
        <v>253</v>
      </c>
      <c r="R2749" s="3" t="s">
        <v>78</v>
      </c>
      <c r="S2749" s="3">
        <v>20230070</v>
      </c>
      <c r="T2749" s="3">
        <v>3131313131</v>
      </c>
      <c r="U2749" s="3" t="s">
        <v>29</v>
      </c>
    </row>
    <row r="2750" spans="1:21" ht="13.2" x14ac:dyDescent="0.25">
      <c r="A2750" s="14">
        <v>61153250000156</v>
      </c>
      <c r="B2750" s="15" t="str">
        <f t="shared" si="42"/>
        <v>61.153.250/0001-56</v>
      </c>
      <c r="C2750" s="12"/>
      <c r="D2750" s="3" t="s">
        <v>9920</v>
      </c>
      <c r="E2750" s="3" t="s">
        <v>9921</v>
      </c>
      <c r="F2750" s="3" t="s">
        <v>20</v>
      </c>
      <c r="G2750" s="4">
        <v>24302</v>
      </c>
      <c r="H2750" s="3" t="s">
        <v>21</v>
      </c>
      <c r="I2750" s="3" t="s">
        <v>33</v>
      </c>
      <c r="J2750" s="5">
        <v>4000000</v>
      </c>
      <c r="K2750" s="3">
        <v>2062200</v>
      </c>
      <c r="L2750" s="3" t="s">
        <v>2500</v>
      </c>
      <c r="M2750" s="3" t="s">
        <v>9922</v>
      </c>
      <c r="N2750" s="3">
        <v>186</v>
      </c>
      <c r="P2750" s="3" t="s">
        <v>9923</v>
      </c>
      <c r="Q2750" s="3" t="s">
        <v>688</v>
      </c>
      <c r="R2750" s="3" t="s">
        <v>28</v>
      </c>
      <c r="S2750" s="3">
        <v>6703710</v>
      </c>
      <c r="T2750" s="3">
        <v>1179240855</v>
      </c>
      <c r="U2750" s="3" t="s">
        <v>29</v>
      </c>
    </row>
    <row r="2751" spans="1:21" ht="13.2" x14ac:dyDescent="0.25">
      <c r="A2751" s="14">
        <v>55983274000130</v>
      </c>
      <c r="B2751" s="15" t="str">
        <f t="shared" si="42"/>
        <v>55.983.274/0001-30</v>
      </c>
      <c r="C2751" s="12" t="str">
        <f>VLOOKUP(B2751,[1]Planilha1!$A:$B,2,0)</f>
        <v>Malu Montesino</v>
      </c>
      <c r="D2751" s="3" t="s">
        <v>9924</v>
      </c>
      <c r="E2751" s="3" t="s">
        <v>9924</v>
      </c>
      <c r="F2751" s="3" t="s">
        <v>20</v>
      </c>
      <c r="G2751" s="4">
        <v>24504</v>
      </c>
      <c r="H2751" s="3" t="s">
        <v>21</v>
      </c>
      <c r="I2751" s="3" t="s">
        <v>33</v>
      </c>
      <c r="J2751" s="5">
        <v>14128000</v>
      </c>
      <c r="K2751" s="3">
        <v>3250705</v>
      </c>
      <c r="L2751" s="3" t="s">
        <v>2420</v>
      </c>
      <c r="M2751" s="3" t="s">
        <v>9925</v>
      </c>
      <c r="N2751" s="3">
        <v>2223</v>
      </c>
      <c r="P2751" s="3" t="s">
        <v>9926</v>
      </c>
      <c r="Q2751" s="3" t="s">
        <v>524</v>
      </c>
      <c r="R2751" s="3" t="s">
        <v>28</v>
      </c>
      <c r="S2751" s="3">
        <v>14031580</v>
      </c>
      <c r="T2751" s="3">
        <v>1635123500</v>
      </c>
      <c r="U2751" s="3" t="s">
        <v>29</v>
      </c>
    </row>
    <row r="2752" spans="1:21" ht="13.2" x14ac:dyDescent="0.25">
      <c r="A2752" s="14">
        <v>26782640000194</v>
      </c>
      <c r="B2752" s="15" t="str">
        <f t="shared" si="42"/>
        <v>26.782.640/0001-94</v>
      </c>
      <c r="C2752" s="12"/>
      <c r="D2752" s="3" t="s">
        <v>9927</v>
      </c>
      <c r="E2752" s="3" t="s">
        <v>9928</v>
      </c>
      <c r="F2752" s="3" t="s">
        <v>45</v>
      </c>
      <c r="G2752" s="4">
        <v>42737</v>
      </c>
      <c r="H2752" s="3" t="s">
        <v>21</v>
      </c>
      <c r="I2752" s="3" t="s">
        <v>47</v>
      </c>
      <c r="J2752" s="5">
        <v>10000</v>
      </c>
      <c r="K2752" s="3">
        <v>8129000</v>
      </c>
      <c r="L2752" s="3" t="s">
        <v>3626</v>
      </c>
      <c r="M2752" s="3" t="s">
        <v>9929</v>
      </c>
      <c r="N2752" s="3">
        <v>442</v>
      </c>
      <c r="O2752" s="3" t="s">
        <v>9930</v>
      </c>
      <c r="P2752" s="3" t="s">
        <v>9931</v>
      </c>
      <c r="Q2752" s="3" t="s">
        <v>27</v>
      </c>
      <c r="R2752" s="3" t="s">
        <v>28</v>
      </c>
      <c r="S2752" s="3">
        <v>8473001</v>
      </c>
      <c r="T2752" s="3">
        <v>1127455651</v>
      </c>
      <c r="U2752" s="3" t="s">
        <v>29</v>
      </c>
    </row>
    <row r="2753" spans="1:21" ht="13.2" x14ac:dyDescent="0.25">
      <c r="A2753" s="14">
        <v>70429956000199</v>
      </c>
      <c r="B2753" s="15" t="str">
        <f t="shared" si="42"/>
        <v>70.429.956/0001-99</v>
      </c>
      <c r="C2753" s="12"/>
      <c r="D2753" s="3" t="s">
        <v>9932</v>
      </c>
      <c r="E2753" s="3" t="s">
        <v>9933</v>
      </c>
      <c r="F2753" s="3" t="s">
        <v>20</v>
      </c>
      <c r="G2753" s="4">
        <v>34171</v>
      </c>
      <c r="H2753" s="3" t="s">
        <v>21</v>
      </c>
      <c r="I2753" s="3" t="s">
        <v>22</v>
      </c>
      <c r="J2753" s="5">
        <v>600000</v>
      </c>
      <c r="K2753" s="3">
        <v>4751201</v>
      </c>
      <c r="L2753" s="3" t="s">
        <v>23</v>
      </c>
      <c r="M2753" s="3" t="s">
        <v>5072</v>
      </c>
      <c r="N2753" s="3" t="s">
        <v>9934</v>
      </c>
      <c r="O2753" s="3" t="s">
        <v>9935</v>
      </c>
      <c r="P2753" s="3" t="s">
        <v>9936</v>
      </c>
      <c r="Q2753" s="3" t="s">
        <v>9937</v>
      </c>
      <c r="R2753" s="3" t="s">
        <v>225</v>
      </c>
      <c r="S2753" s="3">
        <v>78320000</v>
      </c>
      <c r="T2753" s="3">
        <v>6635661240</v>
      </c>
      <c r="U2753" s="3" t="s">
        <v>29</v>
      </c>
    </row>
    <row r="2754" spans="1:21" ht="13.2" x14ac:dyDescent="0.25">
      <c r="A2754" s="14">
        <v>83802215000153</v>
      </c>
      <c r="B2754" s="15" t="str">
        <f t="shared" si="42"/>
        <v>83.802.215/0001-53</v>
      </c>
      <c r="C2754" s="12" t="str">
        <f>VLOOKUP(B2754,[1]Planilha1!$A:$B,2,0)</f>
        <v>Malu Montesino</v>
      </c>
      <c r="D2754" s="3" t="s">
        <v>9938</v>
      </c>
      <c r="E2754" s="3" t="s">
        <v>9939</v>
      </c>
      <c r="F2754" s="3" t="s">
        <v>20</v>
      </c>
      <c r="G2754" s="4">
        <v>29069</v>
      </c>
      <c r="H2754" s="3" t="s">
        <v>94</v>
      </c>
      <c r="I2754" s="3" t="s">
        <v>33</v>
      </c>
      <c r="J2754" s="5">
        <v>39860000</v>
      </c>
      <c r="K2754" s="3">
        <v>3250702</v>
      </c>
      <c r="L2754" s="3" t="s">
        <v>2159</v>
      </c>
      <c r="M2754" s="3" t="s">
        <v>9940</v>
      </c>
      <c r="N2754" s="3">
        <v>68</v>
      </c>
      <c r="O2754" s="3" t="s">
        <v>153</v>
      </c>
      <c r="P2754" s="3" t="s">
        <v>1475</v>
      </c>
      <c r="Q2754" s="3" t="s">
        <v>1572</v>
      </c>
      <c r="R2754" s="3" t="s">
        <v>91</v>
      </c>
      <c r="S2754" s="3">
        <v>88133510</v>
      </c>
      <c r="T2754" s="3">
        <v>4821066000</v>
      </c>
      <c r="U2754" s="3" t="s">
        <v>29</v>
      </c>
    </row>
    <row r="2755" spans="1:21" ht="13.2" x14ac:dyDescent="0.25">
      <c r="A2755" s="14">
        <v>4937243000101</v>
      </c>
      <c r="B2755" s="15" t="str">
        <f t="shared" ref="B2755:B2818" si="43">TEXT(A2755,"00\.000\.000\/0000\-00")</f>
        <v>04.937.243/0001-01</v>
      </c>
      <c r="C2755" s="12" t="str">
        <f>VLOOKUP(B2755,[1]Planilha1!$A:$B,2,0)</f>
        <v>Malu Montesino</v>
      </c>
      <c r="D2755" s="3" t="s">
        <v>9941</v>
      </c>
      <c r="E2755" s="3" t="s">
        <v>9942</v>
      </c>
      <c r="F2755" s="3" t="s">
        <v>20</v>
      </c>
      <c r="G2755" s="4">
        <v>37323</v>
      </c>
      <c r="H2755" s="3" t="s">
        <v>21</v>
      </c>
      <c r="I2755" s="3" t="s">
        <v>33</v>
      </c>
      <c r="J2755" s="5">
        <v>250942640</v>
      </c>
      <c r="K2755" s="3">
        <v>4645101</v>
      </c>
      <c r="L2755" s="3" t="s">
        <v>135</v>
      </c>
      <c r="M2755" s="3" t="s">
        <v>9943</v>
      </c>
      <c r="N2755" s="3">
        <v>409</v>
      </c>
      <c r="O2755" s="3" t="s">
        <v>9944</v>
      </c>
      <c r="P2755" s="3" t="s">
        <v>545</v>
      </c>
      <c r="Q2755" s="3" t="s">
        <v>27</v>
      </c>
      <c r="R2755" s="3" t="s">
        <v>28</v>
      </c>
      <c r="S2755" s="3">
        <v>1443010</v>
      </c>
      <c r="T2755" s="3">
        <v>1128882100</v>
      </c>
      <c r="U2755" s="3" t="s">
        <v>29</v>
      </c>
    </row>
    <row r="2756" spans="1:21" ht="13.2" x14ac:dyDescent="0.25">
      <c r="A2756" s="14">
        <v>24411390000150</v>
      </c>
      <c r="B2756" s="15" t="str">
        <f t="shared" si="43"/>
        <v>24.411.390/0001-50</v>
      </c>
      <c r="C2756" s="12"/>
      <c r="D2756" s="3" t="s">
        <v>9945</v>
      </c>
      <c r="E2756" s="3" t="s">
        <v>9946</v>
      </c>
      <c r="F2756" s="3" t="s">
        <v>20</v>
      </c>
      <c r="G2756" s="4">
        <v>42446</v>
      </c>
      <c r="H2756" s="3" t="s">
        <v>21</v>
      </c>
      <c r="I2756" s="3" t="s">
        <v>47</v>
      </c>
      <c r="J2756" s="5">
        <v>95000</v>
      </c>
      <c r="K2756" s="3">
        <v>7112000</v>
      </c>
      <c r="L2756" s="3" t="s">
        <v>276</v>
      </c>
      <c r="M2756" s="3" t="s">
        <v>9947</v>
      </c>
      <c r="N2756" s="3">
        <v>31</v>
      </c>
      <c r="P2756" s="3" t="s">
        <v>3196</v>
      </c>
      <c r="Q2756" s="3" t="s">
        <v>27</v>
      </c>
      <c r="R2756" s="3" t="s">
        <v>28</v>
      </c>
      <c r="S2756" s="3">
        <v>4836390</v>
      </c>
      <c r="T2756" s="3">
        <v>1141154406</v>
      </c>
      <c r="U2756" s="3" t="s">
        <v>29</v>
      </c>
    </row>
    <row r="2757" spans="1:21" ht="13.2" x14ac:dyDescent="0.25">
      <c r="A2757" s="14">
        <v>3585974000172</v>
      </c>
      <c r="B2757" s="15" t="str">
        <f t="shared" si="43"/>
        <v>03.585.974/0001-72</v>
      </c>
      <c r="C2757" s="12"/>
      <c r="D2757" s="3" t="s">
        <v>9948</v>
      </c>
      <c r="E2757" s="3" t="s">
        <v>9949</v>
      </c>
      <c r="F2757" s="3" t="s">
        <v>20</v>
      </c>
      <c r="G2757" s="4">
        <v>36510</v>
      </c>
      <c r="H2757" s="3" t="s">
        <v>94</v>
      </c>
      <c r="I2757" s="3" t="s">
        <v>33</v>
      </c>
      <c r="J2757" s="5">
        <v>103669150</v>
      </c>
      <c r="K2757" s="3">
        <v>6202300</v>
      </c>
      <c r="L2757" s="3" t="s">
        <v>103</v>
      </c>
      <c r="M2757" s="3" t="s">
        <v>1363</v>
      </c>
      <c r="N2757" s="3">
        <v>350</v>
      </c>
      <c r="O2757" s="3" t="s">
        <v>9950</v>
      </c>
      <c r="P2757" s="3" t="s">
        <v>940</v>
      </c>
      <c r="Q2757" s="3" t="s">
        <v>617</v>
      </c>
      <c r="R2757" s="3" t="s">
        <v>28</v>
      </c>
      <c r="S2757" s="3">
        <v>6455020</v>
      </c>
      <c r="T2757" s="3">
        <v>1140403108</v>
      </c>
      <c r="U2757" s="3" t="s">
        <v>29</v>
      </c>
    </row>
    <row r="2758" spans="1:21" ht="13.2" x14ac:dyDescent="0.25">
      <c r="A2758" s="14">
        <v>10586940000168</v>
      </c>
      <c r="B2758" s="15" t="str">
        <f t="shared" si="43"/>
        <v>10.586.940/0001-68</v>
      </c>
      <c r="C2758" s="12"/>
      <c r="D2758" s="3" t="s">
        <v>9951</v>
      </c>
      <c r="E2758" s="3" t="s">
        <v>9951</v>
      </c>
      <c r="F2758" s="3" t="s">
        <v>20</v>
      </c>
      <c r="G2758" s="4">
        <v>39828</v>
      </c>
      <c r="H2758" s="3" t="s">
        <v>21</v>
      </c>
      <c r="I2758" s="3" t="s">
        <v>33</v>
      </c>
      <c r="J2758" s="5">
        <v>1000000</v>
      </c>
      <c r="K2758" s="3">
        <v>4644301</v>
      </c>
      <c r="L2758" s="3" t="s">
        <v>326</v>
      </c>
      <c r="M2758" s="3" t="s">
        <v>9952</v>
      </c>
      <c r="N2758" s="3">
        <v>645</v>
      </c>
      <c r="P2758" s="3" t="s">
        <v>9953</v>
      </c>
      <c r="Q2758" s="3" t="s">
        <v>1253</v>
      </c>
      <c r="R2758" s="3" t="s">
        <v>765</v>
      </c>
      <c r="S2758" s="3">
        <v>29072285</v>
      </c>
      <c r="T2758" s="3">
        <v>2730640124</v>
      </c>
      <c r="U2758" s="3" t="s">
        <v>29</v>
      </c>
    </row>
    <row r="2759" spans="1:21" ht="13.2" x14ac:dyDescent="0.25">
      <c r="A2759" s="14">
        <v>82949652000131</v>
      </c>
      <c r="B2759" s="15" t="str">
        <f t="shared" si="43"/>
        <v>82.949.652/0001-31</v>
      </c>
      <c r="C2759" s="12"/>
      <c r="D2759" s="3" t="s">
        <v>9954</v>
      </c>
      <c r="E2759" s="3" t="s">
        <v>9954</v>
      </c>
      <c r="F2759" s="3" t="s">
        <v>20</v>
      </c>
      <c r="G2759" s="4">
        <v>27555</v>
      </c>
      <c r="H2759" s="3" t="s">
        <v>21</v>
      </c>
      <c r="I2759" s="3" t="s">
        <v>33</v>
      </c>
      <c r="J2759" s="5">
        <v>6614000</v>
      </c>
      <c r="K2759" s="3">
        <v>8011101</v>
      </c>
      <c r="L2759" s="3" t="s">
        <v>943</v>
      </c>
      <c r="M2759" s="3" t="s">
        <v>9955</v>
      </c>
      <c r="N2759" s="3">
        <v>1249</v>
      </c>
      <c r="O2759" s="3" t="s">
        <v>6179</v>
      </c>
      <c r="P2759" s="3" t="s">
        <v>70</v>
      </c>
      <c r="Q2759" s="3" t="s">
        <v>107</v>
      </c>
      <c r="R2759" s="3" t="s">
        <v>91</v>
      </c>
      <c r="S2759" s="3">
        <v>88020001</v>
      </c>
      <c r="T2759" s="3">
        <v>4821061500</v>
      </c>
      <c r="U2759" s="3" t="s">
        <v>29</v>
      </c>
    </row>
    <row r="2760" spans="1:21" ht="13.2" x14ac:dyDescent="0.25">
      <c r="A2760" s="14">
        <v>4033930000100</v>
      </c>
      <c r="B2760" s="15" t="str">
        <f t="shared" si="43"/>
        <v>04.033.930/0001-00</v>
      </c>
      <c r="C2760" s="12"/>
      <c r="D2760" s="3" t="s">
        <v>9956</v>
      </c>
      <c r="E2760" s="3" t="s">
        <v>9956</v>
      </c>
      <c r="F2760" s="3" t="s">
        <v>20</v>
      </c>
      <c r="G2760" s="4">
        <v>36775</v>
      </c>
      <c r="H2760" s="3" t="s">
        <v>21</v>
      </c>
      <c r="I2760" s="3" t="s">
        <v>33</v>
      </c>
      <c r="J2760" s="5">
        <v>1835484400</v>
      </c>
      <c r="K2760" s="3">
        <v>600001</v>
      </c>
      <c r="L2760" s="3" t="s">
        <v>2644</v>
      </c>
      <c r="M2760" s="3" t="s">
        <v>2071</v>
      </c>
      <c r="N2760" s="3">
        <v>3500</v>
      </c>
      <c r="O2760" s="3" t="s">
        <v>9957</v>
      </c>
      <c r="P2760" s="3" t="s">
        <v>252</v>
      </c>
      <c r="Q2760" s="3" t="s">
        <v>253</v>
      </c>
      <c r="R2760" s="3" t="s">
        <v>78</v>
      </c>
      <c r="S2760" s="3">
        <v>22640102</v>
      </c>
      <c r="T2760" s="3">
        <v>2138244747</v>
      </c>
      <c r="U2760" s="3" t="s">
        <v>29</v>
      </c>
    </row>
    <row r="2761" spans="1:21" ht="13.2" x14ac:dyDescent="0.25">
      <c r="A2761" s="14">
        <v>26205879000100</v>
      </c>
      <c r="B2761" s="15" t="str">
        <f t="shared" si="43"/>
        <v>26.205.879/0001-00</v>
      </c>
      <c r="C2761" s="12"/>
      <c r="D2761" s="3" t="s">
        <v>9958</v>
      </c>
      <c r="E2761" s="3" t="s">
        <v>9959</v>
      </c>
      <c r="F2761" s="3" t="s">
        <v>20</v>
      </c>
      <c r="G2761" s="4">
        <v>42633</v>
      </c>
      <c r="H2761" s="3" t="s">
        <v>21</v>
      </c>
      <c r="I2761" s="3" t="s">
        <v>47</v>
      </c>
      <c r="J2761" s="5">
        <v>10000</v>
      </c>
      <c r="K2761" s="3">
        <v>7490104</v>
      </c>
      <c r="L2761" s="3" t="s">
        <v>1597</v>
      </c>
      <c r="M2761" s="3" t="s">
        <v>823</v>
      </c>
      <c r="N2761" s="3">
        <v>51</v>
      </c>
      <c r="O2761" s="3" t="s">
        <v>9960</v>
      </c>
      <c r="P2761" s="3" t="s">
        <v>3314</v>
      </c>
      <c r="Q2761" s="3" t="s">
        <v>27</v>
      </c>
      <c r="R2761" s="3" t="s">
        <v>28</v>
      </c>
      <c r="S2761" s="3">
        <v>3080050</v>
      </c>
      <c r="T2761" s="3">
        <v>1135540586</v>
      </c>
      <c r="U2761" s="3" t="s">
        <v>29</v>
      </c>
    </row>
    <row r="2762" spans="1:21" ht="13.2" x14ac:dyDescent="0.25">
      <c r="A2762" s="14">
        <v>29757765000152</v>
      </c>
      <c r="B2762" s="15" t="str">
        <f t="shared" si="43"/>
        <v>29.757.765/0001-52</v>
      </c>
      <c r="C2762" s="12"/>
      <c r="D2762" s="3" t="s">
        <v>9961</v>
      </c>
      <c r="E2762" s="3" t="s">
        <v>9962</v>
      </c>
      <c r="F2762" s="3" t="s">
        <v>20</v>
      </c>
      <c r="G2762" s="4">
        <v>43153</v>
      </c>
      <c r="H2762" s="3" t="s">
        <v>21</v>
      </c>
      <c r="I2762" s="3" t="s">
        <v>47</v>
      </c>
      <c r="J2762" s="5">
        <v>50000</v>
      </c>
      <c r="K2762" s="3">
        <v>4321500</v>
      </c>
      <c r="L2762" s="3" t="s">
        <v>964</v>
      </c>
      <c r="M2762" s="3" t="s">
        <v>9963</v>
      </c>
      <c r="N2762" s="3">
        <v>106</v>
      </c>
      <c r="P2762" s="3" t="s">
        <v>9964</v>
      </c>
      <c r="Q2762" s="3" t="s">
        <v>631</v>
      </c>
      <c r="R2762" s="3" t="s">
        <v>632</v>
      </c>
      <c r="S2762" s="3">
        <v>71670510</v>
      </c>
      <c r="T2762" s="3">
        <v>6183440080</v>
      </c>
      <c r="U2762" s="3" t="s">
        <v>29</v>
      </c>
    </row>
    <row r="2763" spans="1:21" ht="13.2" x14ac:dyDescent="0.25">
      <c r="A2763" s="14">
        <v>3066528000151</v>
      </c>
      <c r="B2763" s="15" t="str">
        <f t="shared" si="43"/>
        <v>03.066.528/0001-51</v>
      </c>
      <c r="C2763" s="12"/>
      <c r="D2763" s="3" t="s">
        <v>9965</v>
      </c>
      <c r="E2763" s="3" t="s">
        <v>9966</v>
      </c>
      <c r="F2763" s="3" t="s">
        <v>20</v>
      </c>
      <c r="G2763" s="4">
        <v>36230</v>
      </c>
      <c r="H2763" s="3" t="s">
        <v>21</v>
      </c>
      <c r="I2763" s="3" t="s">
        <v>22</v>
      </c>
      <c r="J2763" s="5">
        <v>535000</v>
      </c>
      <c r="K2763" s="3">
        <v>6202300</v>
      </c>
      <c r="L2763" s="3" t="s">
        <v>103</v>
      </c>
      <c r="M2763" s="3" t="s">
        <v>1903</v>
      </c>
      <c r="N2763" s="3">
        <v>1000</v>
      </c>
      <c r="O2763" s="3" t="s">
        <v>9967</v>
      </c>
      <c r="P2763" s="3" t="s">
        <v>70</v>
      </c>
      <c r="Q2763" s="3" t="s">
        <v>1253</v>
      </c>
      <c r="R2763" s="3" t="s">
        <v>765</v>
      </c>
      <c r="S2763" s="3">
        <v>29010935</v>
      </c>
      <c r="T2763" s="3">
        <v>2797236723</v>
      </c>
      <c r="U2763" s="3" t="s">
        <v>29</v>
      </c>
    </row>
    <row r="2764" spans="1:21" ht="13.2" x14ac:dyDescent="0.25">
      <c r="A2764" s="14">
        <v>22416000100</v>
      </c>
      <c r="B2764" s="15" t="str">
        <f t="shared" si="43"/>
        <v>00.022.416/0001-00</v>
      </c>
      <c r="C2764" s="12"/>
      <c r="D2764" s="3" t="s">
        <v>9968</v>
      </c>
      <c r="E2764" s="3" t="s">
        <v>9969</v>
      </c>
      <c r="F2764" s="3" t="s">
        <v>20</v>
      </c>
      <c r="G2764" s="4">
        <v>34513</v>
      </c>
      <c r="H2764" s="3" t="s">
        <v>21</v>
      </c>
      <c r="I2764" s="3" t="s">
        <v>33</v>
      </c>
      <c r="J2764" s="5">
        <v>1000000</v>
      </c>
      <c r="K2764" s="3">
        <v>7120100</v>
      </c>
      <c r="L2764" s="3" t="s">
        <v>2807</v>
      </c>
      <c r="M2764" s="3" t="s">
        <v>9970</v>
      </c>
      <c r="N2764" s="3">
        <v>88</v>
      </c>
      <c r="P2764" s="3" t="s">
        <v>9971</v>
      </c>
      <c r="Q2764" s="3" t="s">
        <v>688</v>
      </c>
      <c r="R2764" s="3" t="s">
        <v>28</v>
      </c>
      <c r="S2764" s="3">
        <v>6715795</v>
      </c>
      <c r="T2764" s="3">
        <v>1150972249</v>
      </c>
      <c r="U2764" s="3" t="s">
        <v>29</v>
      </c>
    </row>
    <row r="2765" spans="1:21" ht="13.2" x14ac:dyDescent="0.25">
      <c r="A2765" s="14">
        <v>5795285000118</v>
      </c>
      <c r="B2765" s="15" t="str">
        <f t="shared" si="43"/>
        <v>05.795.285/0001-18</v>
      </c>
      <c r="C2765" s="12"/>
      <c r="D2765" s="3" t="s">
        <v>9972</v>
      </c>
      <c r="E2765" s="3" t="s">
        <v>9973</v>
      </c>
      <c r="F2765" s="3" t="s">
        <v>20</v>
      </c>
      <c r="G2765" s="4">
        <v>37825</v>
      </c>
      <c r="H2765" s="3" t="s">
        <v>21</v>
      </c>
      <c r="I2765" s="3" t="s">
        <v>22</v>
      </c>
      <c r="J2765" s="5">
        <v>0</v>
      </c>
      <c r="K2765" s="3">
        <v>4644301</v>
      </c>
      <c r="L2765" s="3" t="s">
        <v>326</v>
      </c>
      <c r="M2765" s="3" t="s">
        <v>9974</v>
      </c>
      <c r="N2765" s="3">
        <v>27</v>
      </c>
      <c r="P2765" s="3" t="s">
        <v>9975</v>
      </c>
      <c r="Q2765" s="3" t="s">
        <v>437</v>
      </c>
      <c r="R2765" s="3" t="s">
        <v>53</v>
      </c>
      <c r="S2765" s="3">
        <v>91030430</v>
      </c>
      <c r="T2765" s="3">
        <v>5130130570</v>
      </c>
      <c r="U2765" s="3" t="s">
        <v>29</v>
      </c>
    </row>
    <row r="2766" spans="1:21" ht="13.2" x14ac:dyDescent="0.25">
      <c r="A2766" s="14">
        <v>7582126000160</v>
      </c>
      <c r="B2766" s="15" t="str">
        <f t="shared" si="43"/>
        <v>07.582.126/0001-60</v>
      </c>
      <c r="C2766" s="12"/>
      <c r="D2766" s="3" t="s">
        <v>9976</v>
      </c>
      <c r="E2766" s="3" t="s">
        <v>9977</v>
      </c>
      <c r="F2766" s="3" t="s">
        <v>20</v>
      </c>
      <c r="G2766" s="4">
        <v>38541</v>
      </c>
      <c r="H2766" s="3" t="s">
        <v>21</v>
      </c>
      <c r="I2766" s="3" t="s">
        <v>33</v>
      </c>
      <c r="J2766" s="5">
        <v>300000</v>
      </c>
      <c r="K2766" s="3">
        <v>3250702</v>
      </c>
      <c r="L2766" s="3" t="s">
        <v>2159</v>
      </c>
      <c r="M2766" s="3" t="s">
        <v>9978</v>
      </c>
      <c r="N2766" s="3">
        <v>39</v>
      </c>
      <c r="O2766" s="3" t="s">
        <v>9979</v>
      </c>
      <c r="P2766" s="3" t="s">
        <v>9527</v>
      </c>
      <c r="Q2766" s="3" t="s">
        <v>27</v>
      </c>
      <c r="R2766" s="3" t="s">
        <v>28</v>
      </c>
      <c r="S2766" s="3">
        <v>3607060</v>
      </c>
      <c r="T2766" s="3">
        <v>1121394650</v>
      </c>
      <c r="U2766" s="3" t="s">
        <v>29</v>
      </c>
    </row>
    <row r="2767" spans="1:21" ht="13.2" x14ac:dyDescent="0.25">
      <c r="A2767" s="14">
        <v>45036463000141</v>
      </c>
      <c r="B2767" s="15" t="str">
        <f t="shared" si="43"/>
        <v>45.036.463/0001-41</v>
      </c>
      <c r="C2767" s="12"/>
      <c r="D2767" s="3" t="s">
        <v>9980</v>
      </c>
      <c r="E2767" s="3" t="s">
        <v>9980</v>
      </c>
      <c r="F2767" s="3" t="s">
        <v>20</v>
      </c>
      <c r="G2767" s="4">
        <v>44588</v>
      </c>
      <c r="H2767" s="3" t="s">
        <v>21</v>
      </c>
      <c r="I2767" s="3" t="s">
        <v>33</v>
      </c>
      <c r="J2767" s="5">
        <v>5000</v>
      </c>
      <c r="K2767" s="3">
        <v>6203100</v>
      </c>
      <c r="L2767" s="3" t="s">
        <v>2268</v>
      </c>
      <c r="M2767" s="3" t="s">
        <v>9981</v>
      </c>
      <c r="N2767" s="3">
        <v>163</v>
      </c>
      <c r="O2767" s="3" t="s">
        <v>3014</v>
      </c>
      <c r="P2767" s="3" t="s">
        <v>1664</v>
      </c>
      <c r="Q2767" s="3" t="s">
        <v>617</v>
      </c>
      <c r="R2767" s="3" t="s">
        <v>28</v>
      </c>
      <c r="S2767" s="3">
        <v>6453038</v>
      </c>
      <c r="T2767" s="3">
        <v>1131703170</v>
      </c>
      <c r="U2767" s="3" t="s">
        <v>29</v>
      </c>
    </row>
    <row r="2768" spans="1:21" ht="13.2" x14ac:dyDescent="0.25">
      <c r="A2768" s="14">
        <v>23613190000118</v>
      </c>
      <c r="B2768" s="15" t="str">
        <f t="shared" si="43"/>
        <v>23.613.190/0001-18</v>
      </c>
      <c r="C2768" s="12" t="str">
        <f>VLOOKUP(B2768,[1]Planilha1!$A:$B,2,0)</f>
        <v>Malu Montesino</v>
      </c>
      <c r="D2768" s="3" t="s">
        <v>9982</v>
      </c>
      <c r="E2768" s="3" t="s">
        <v>9982</v>
      </c>
      <c r="F2768" s="3" t="s">
        <v>20</v>
      </c>
      <c r="G2768" s="4">
        <v>42314</v>
      </c>
      <c r="H2768" s="3" t="s">
        <v>21</v>
      </c>
      <c r="I2768" s="3" t="s">
        <v>22</v>
      </c>
      <c r="J2768" s="5">
        <v>20000</v>
      </c>
      <c r="K2768" s="3">
        <v>4773300</v>
      </c>
      <c r="L2768" s="3" t="s">
        <v>706</v>
      </c>
      <c r="M2768" s="3" t="s">
        <v>9983</v>
      </c>
      <c r="N2768" s="3">
        <v>70</v>
      </c>
      <c r="O2768" s="3" t="s">
        <v>496</v>
      </c>
      <c r="P2768" s="3" t="s">
        <v>2177</v>
      </c>
      <c r="Q2768" s="3" t="s">
        <v>262</v>
      </c>
      <c r="R2768" s="3" t="s">
        <v>28</v>
      </c>
      <c r="S2768" s="3">
        <v>6233000</v>
      </c>
      <c r="T2768" s="3">
        <v>1136834402</v>
      </c>
      <c r="U2768" s="3" t="s">
        <v>29</v>
      </c>
    </row>
    <row r="2769" spans="1:21" ht="13.2" x14ac:dyDescent="0.25">
      <c r="A2769" s="14">
        <v>10780790000129</v>
      </c>
      <c r="B2769" s="15" t="str">
        <f t="shared" si="43"/>
        <v>10.780.790/0001-29</v>
      </c>
      <c r="C2769" s="12" t="str">
        <f>VLOOKUP(B2769,[1]Planilha1!$A:$B,2,0)</f>
        <v>Malu Montesino</v>
      </c>
      <c r="D2769" s="3" t="s">
        <v>9984</v>
      </c>
      <c r="E2769" s="3" t="s">
        <v>9984</v>
      </c>
      <c r="F2769" s="3" t="s">
        <v>20</v>
      </c>
      <c r="G2769" s="4">
        <v>39780</v>
      </c>
      <c r="H2769" s="3" t="s">
        <v>21</v>
      </c>
      <c r="I2769" s="3" t="s">
        <v>33</v>
      </c>
      <c r="J2769" s="5">
        <v>1444630</v>
      </c>
      <c r="K2769" s="3">
        <v>2221800</v>
      </c>
      <c r="L2769" s="3" t="s">
        <v>2033</v>
      </c>
      <c r="M2769" s="3" t="s">
        <v>9985</v>
      </c>
      <c r="N2769" s="3">
        <v>68</v>
      </c>
      <c r="O2769" s="3" t="s">
        <v>496</v>
      </c>
      <c r="P2769" s="3" t="s">
        <v>9986</v>
      </c>
      <c r="Q2769" s="3" t="s">
        <v>823</v>
      </c>
      <c r="R2769" s="3" t="s">
        <v>28</v>
      </c>
      <c r="S2769" s="3">
        <v>13290000</v>
      </c>
      <c r="T2769" s="3">
        <v>1938781036</v>
      </c>
      <c r="U2769" s="3" t="s">
        <v>29</v>
      </c>
    </row>
    <row r="2770" spans="1:21" ht="13.2" x14ac:dyDescent="0.25">
      <c r="A2770" s="14">
        <v>47806382000109</v>
      </c>
      <c r="B2770" s="15" t="str">
        <f t="shared" si="43"/>
        <v>47.806.382/0001-09</v>
      </c>
      <c r="C2770" s="12"/>
      <c r="D2770" s="3" t="s">
        <v>9987</v>
      </c>
      <c r="E2770" s="3" t="s">
        <v>9987</v>
      </c>
      <c r="F2770" s="3" t="s">
        <v>20</v>
      </c>
      <c r="G2770" s="4">
        <v>44805</v>
      </c>
      <c r="H2770" s="3" t="s">
        <v>21</v>
      </c>
      <c r="I2770" s="3" t="s">
        <v>22</v>
      </c>
      <c r="J2770" s="5">
        <v>400000</v>
      </c>
      <c r="K2770" s="3">
        <v>3250702</v>
      </c>
      <c r="L2770" s="3" t="s">
        <v>2159</v>
      </c>
      <c r="M2770" s="3" t="s">
        <v>7407</v>
      </c>
      <c r="N2770" s="3" t="s">
        <v>111</v>
      </c>
      <c r="P2770" s="3" t="s">
        <v>9988</v>
      </c>
      <c r="Q2770" s="3" t="s">
        <v>417</v>
      </c>
      <c r="R2770" s="3" t="s">
        <v>53</v>
      </c>
      <c r="S2770" s="3">
        <v>95181899</v>
      </c>
      <c r="T2770" s="3">
        <v>5499333110</v>
      </c>
      <c r="U2770" s="3" t="s">
        <v>29</v>
      </c>
    </row>
    <row r="2771" spans="1:21" ht="13.2" x14ac:dyDescent="0.25">
      <c r="A2771" s="14">
        <v>45987013000134</v>
      </c>
      <c r="B2771" s="15" t="str">
        <f t="shared" si="43"/>
        <v>45.987.013/0001-34</v>
      </c>
      <c r="C2771" s="12"/>
      <c r="D2771" s="3" t="s">
        <v>9989</v>
      </c>
      <c r="E2771" s="3" t="s">
        <v>9990</v>
      </c>
      <c r="F2771" s="3" t="s">
        <v>20</v>
      </c>
      <c r="G2771" s="4">
        <v>22950</v>
      </c>
      <c r="H2771" s="3" t="s">
        <v>21</v>
      </c>
      <c r="I2771" s="3" t="s">
        <v>33</v>
      </c>
      <c r="J2771" s="5">
        <v>2679358200</v>
      </c>
      <c r="K2771" s="3">
        <v>2121101</v>
      </c>
      <c r="L2771" s="3" t="s">
        <v>233</v>
      </c>
      <c r="M2771" s="3" t="s">
        <v>1771</v>
      </c>
      <c r="N2771" s="3">
        <v>815</v>
      </c>
      <c r="P2771" s="3" t="s">
        <v>9991</v>
      </c>
      <c r="Q2771" s="3" t="s">
        <v>65</v>
      </c>
      <c r="R2771" s="3" t="s">
        <v>28</v>
      </c>
      <c r="S2771" s="3">
        <v>13106054</v>
      </c>
      <c r="T2771" s="3">
        <v>1155014707</v>
      </c>
      <c r="U2771" s="3" t="s">
        <v>29</v>
      </c>
    </row>
    <row r="2772" spans="1:21" ht="13.2" x14ac:dyDescent="0.25">
      <c r="A2772" s="14">
        <v>26246053000180</v>
      </c>
      <c r="B2772" s="15" t="str">
        <f t="shared" si="43"/>
        <v>26.246.053/0001-80</v>
      </c>
      <c r="C2772" s="12" t="str">
        <f>VLOOKUP(B2772,[1]Planilha1!$A:$B,2,0)</f>
        <v>Mariane Nascimento</v>
      </c>
      <c r="D2772" s="3" t="s">
        <v>9992</v>
      </c>
      <c r="E2772" s="3" t="s">
        <v>9993</v>
      </c>
      <c r="F2772" s="3" t="s">
        <v>20</v>
      </c>
      <c r="G2772" s="4">
        <v>42640</v>
      </c>
      <c r="H2772" s="3" t="s">
        <v>94</v>
      </c>
      <c r="I2772" s="3" t="s">
        <v>33</v>
      </c>
      <c r="J2772" s="5" t="s">
        <v>9994</v>
      </c>
      <c r="K2772" s="3">
        <v>6202300</v>
      </c>
      <c r="L2772" s="3" t="s">
        <v>103</v>
      </c>
      <c r="M2772" s="3" t="s">
        <v>543</v>
      </c>
      <c r="N2772" s="3">
        <v>2369</v>
      </c>
      <c r="O2772" s="3" t="s">
        <v>9995</v>
      </c>
      <c r="P2772" s="3" t="s">
        <v>545</v>
      </c>
      <c r="Q2772" s="3" t="s">
        <v>27</v>
      </c>
      <c r="R2772" s="3" t="s">
        <v>28</v>
      </c>
      <c r="S2772" s="3">
        <v>1452000</v>
      </c>
      <c r="T2772" s="3">
        <v>1147889520</v>
      </c>
      <c r="U2772" s="3" t="s">
        <v>29</v>
      </c>
    </row>
    <row r="2773" spans="1:21" ht="13.2" x14ac:dyDescent="0.25">
      <c r="A2773" s="14">
        <v>4674725000116</v>
      </c>
      <c r="B2773" s="15" t="str">
        <f t="shared" si="43"/>
        <v>04.674.725/0001-16</v>
      </c>
      <c r="C2773" s="12"/>
      <c r="D2773" s="3" t="s">
        <v>9996</v>
      </c>
      <c r="E2773" s="3" t="s">
        <v>9997</v>
      </c>
      <c r="F2773" s="3" t="s">
        <v>20</v>
      </c>
      <c r="G2773" s="4">
        <v>37144</v>
      </c>
      <c r="H2773" s="3" t="s">
        <v>21</v>
      </c>
      <c r="I2773" s="3" t="s">
        <v>22</v>
      </c>
      <c r="J2773" s="5">
        <v>280000</v>
      </c>
      <c r="K2773" s="3">
        <v>2543800</v>
      </c>
      <c r="L2773" s="3" t="s">
        <v>1469</v>
      </c>
      <c r="M2773" s="3" t="s">
        <v>9998</v>
      </c>
      <c r="N2773" s="3">
        <v>144</v>
      </c>
      <c r="P2773" s="3" t="s">
        <v>1058</v>
      </c>
      <c r="Q2773" s="3" t="s">
        <v>730</v>
      </c>
      <c r="R2773" s="3" t="s">
        <v>53</v>
      </c>
      <c r="S2773" s="3">
        <v>95030470</v>
      </c>
      <c r="U2773" s="3" t="s">
        <v>29</v>
      </c>
    </row>
    <row r="2774" spans="1:21" ht="13.2" x14ac:dyDescent="0.25">
      <c r="A2774" s="14">
        <v>41281881000143</v>
      </c>
      <c r="B2774" s="15" t="str">
        <f t="shared" si="43"/>
        <v>41.281.881/0001-43</v>
      </c>
      <c r="C2774" s="12" t="str">
        <f>VLOOKUP(B2774,[1]Planilha1!$A:$B,2,0)</f>
        <v>Malu Montesino</v>
      </c>
      <c r="D2774" s="3" t="s">
        <v>9999</v>
      </c>
      <c r="E2774" s="3" t="s">
        <v>10000</v>
      </c>
      <c r="F2774" s="3" t="s">
        <v>20</v>
      </c>
      <c r="G2774" s="4">
        <v>44274</v>
      </c>
      <c r="H2774" s="3" t="s">
        <v>21</v>
      </c>
      <c r="I2774" s="3" t="s">
        <v>22</v>
      </c>
      <c r="J2774" s="5">
        <v>300000</v>
      </c>
      <c r="K2774" s="3">
        <v>4614100</v>
      </c>
      <c r="L2774" s="3" t="s">
        <v>6077</v>
      </c>
      <c r="M2774" s="3" t="s">
        <v>10001</v>
      </c>
      <c r="N2774" s="3">
        <v>0</v>
      </c>
      <c r="O2774" s="3" t="s">
        <v>10002</v>
      </c>
      <c r="P2774" s="3" t="s">
        <v>10003</v>
      </c>
      <c r="Q2774" s="3" t="s">
        <v>253</v>
      </c>
      <c r="R2774" s="3" t="s">
        <v>78</v>
      </c>
      <c r="S2774" s="3">
        <v>21941614</v>
      </c>
      <c r="T2774" s="3">
        <v>2183408866</v>
      </c>
      <c r="U2774" s="3" t="s">
        <v>29</v>
      </c>
    </row>
    <row r="2775" spans="1:21" ht="13.2" x14ac:dyDescent="0.25">
      <c r="A2775" s="14">
        <v>14919599000176</v>
      </c>
      <c r="B2775" s="15" t="str">
        <f t="shared" si="43"/>
        <v>14.919.599/0001-76</v>
      </c>
      <c r="C2775" s="12"/>
      <c r="D2775" s="3" t="s">
        <v>10004</v>
      </c>
      <c r="E2775" s="3" t="s">
        <v>10005</v>
      </c>
      <c r="F2775" s="3" t="s">
        <v>20</v>
      </c>
      <c r="G2775" s="4">
        <v>40928</v>
      </c>
      <c r="H2775" s="3" t="s">
        <v>46</v>
      </c>
      <c r="I2775" s="3" t="s">
        <v>47</v>
      </c>
      <c r="J2775" s="5">
        <v>30000</v>
      </c>
      <c r="K2775" s="3">
        <v>4789099</v>
      </c>
      <c r="L2775" s="3" t="s">
        <v>774</v>
      </c>
      <c r="M2775" s="3" t="s">
        <v>10006</v>
      </c>
      <c r="N2775" s="3">
        <v>147</v>
      </c>
      <c r="P2775" s="3" t="s">
        <v>10006</v>
      </c>
      <c r="Q2775" s="3" t="s">
        <v>27</v>
      </c>
      <c r="R2775" s="3" t="s">
        <v>28</v>
      </c>
      <c r="S2775" s="3">
        <v>3631000</v>
      </c>
      <c r="T2775" s="3">
        <v>1199999999</v>
      </c>
      <c r="U2775" s="3" t="s">
        <v>29</v>
      </c>
    </row>
    <row r="2776" spans="1:21" ht="13.2" x14ac:dyDescent="0.25">
      <c r="A2776" s="14">
        <v>3572323000148</v>
      </c>
      <c r="B2776" s="15" t="str">
        <f t="shared" si="43"/>
        <v>03.572.323/0001-48</v>
      </c>
      <c r="C2776" s="12"/>
      <c r="D2776" s="3" t="s">
        <v>10007</v>
      </c>
      <c r="E2776" s="3" t="s">
        <v>10008</v>
      </c>
      <c r="F2776" s="3" t="s">
        <v>20</v>
      </c>
      <c r="G2776" s="4">
        <v>36517</v>
      </c>
      <c r="H2776" s="3" t="s">
        <v>21</v>
      </c>
      <c r="I2776" s="3" t="s">
        <v>33</v>
      </c>
      <c r="J2776" s="5">
        <v>35747290</v>
      </c>
      <c r="K2776" s="3">
        <v>4673700</v>
      </c>
      <c r="L2776" s="3" t="s">
        <v>861</v>
      </c>
      <c r="M2776" s="3" t="s">
        <v>3121</v>
      </c>
      <c r="N2776" s="3">
        <v>1069</v>
      </c>
      <c r="O2776" s="3" t="s">
        <v>10009</v>
      </c>
      <c r="P2776" s="3" t="s">
        <v>316</v>
      </c>
      <c r="Q2776" s="3" t="s">
        <v>27</v>
      </c>
      <c r="R2776" s="3" t="s">
        <v>28</v>
      </c>
      <c r="S2776" s="3">
        <v>4547004</v>
      </c>
      <c r="T2776" s="3">
        <v>1140837600</v>
      </c>
      <c r="U2776" s="3" t="s">
        <v>29</v>
      </c>
    </row>
    <row r="2777" spans="1:21" ht="13.2" x14ac:dyDescent="0.25">
      <c r="A2777" s="14">
        <v>20976732000129</v>
      </c>
      <c r="B2777" s="15" t="str">
        <f t="shared" si="43"/>
        <v>20.976.732/0001-29</v>
      </c>
      <c r="C2777" s="12"/>
      <c r="D2777" s="3" t="s">
        <v>10010</v>
      </c>
      <c r="E2777" s="3" t="s">
        <v>10011</v>
      </c>
      <c r="F2777" s="3" t="s">
        <v>31</v>
      </c>
      <c r="G2777" s="4">
        <v>41884</v>
      </c>
      <c r="H2777" s="3" t="s">
        <v>21</v>
      </c>
      <c r="I2777" s="3" t="s">
        <v>22</v>
      </c>
      <c r="J2777" s="5">
        <v>500000</v>
      </c>
      <c r="K2777" s="3">
        <v>4120400</v>
      </c>
      <c r="L2777" s="3" t="s">
        <v>87</v>
      </c>
      <c r="M2777" s="3" t="s">
        <v>10012</v>
      </c>
      <c r="N2777" s="3">
        <v>118</v>
      </c>
      <c r="P2777" s="3" t="s">
        <v>506</v>
      </c>
      <c r="Q2777" s="3" t="s">
        <v>262</v>
      </c>
      <c r="R2777" s="3" t="s">
        <v>28</v>
      </c>
      <c r="S2777" s="3">
        <v>6180060</v>
      </c>
      <c r="T2777" s="3">
        <v>1138379280</v>
      </c>
      <c r="U2777" s="3" t="s">
        <v>29</v>
      </c>
    </row>
    <row r="2778" spans="1:21" ht="13.2" x14ac:dyDescent="0.25">
      <c r="A2778" s="14">
        <v>2884285000104</v>
      </c>
      <c r="B2778" s="15" t="str">
        <f t="shared" si="43"/>
        <v>02.884.285/0001-04</v>
      </c>
      <c r="C2778" s="12"/>
      <c r="D2778" s="3" t="s">
        <v>10013</v>
      </c>
      <c r="E2778" s="3" t="s">
        <v>10013</v>
      </c>
      <c r="F2778" s="3" t="s">
        <v>20</v>
      </c>
      <c r="G2778" s="4">
        <v>36097</v>
      </c>
      <c r="H2778" s="3" t="s">
        <v>21</v>
      </c>
      <c r="I2778" s="3" t="s">
        <v>22</v>
      </c>
      <c r="J2778" s="5">
        <v>48000</v>
      </c>
      <c r="K2778" s="3">
        <v>4751201</v>
      </c>
      <c r="L2778" s="3" t="s">
        <v>23</v>
      </c>
      <c r="M2778" s="3" t="s">
        <v>10014</v>
      </c>
      <c r="N2778" s="3">
        <v>211</v>
      </c>
      <c r="O2778" s="3" t="s">
        <v>2676</v>
      </c>
      <c r="P2778" s="3" t="s">
        <v>10015</v>
      </c>
      <c r="Q2778" s="3" t="s">
        <v>262</v>
      </c>
      <c r="R2778" s="3" t="s">
        <v>28</v>
      </c>
      <c r="S2778" s="3">
        <v>6110260</v>
      </c>
      <c r="T2778" s="3">
        <v>1133411771</v>
      </c>
      <c r="U2778" s="3" t="s">
        <v>29</v>
      </c>
    </row>
    <row r="2779" spans="1:21" ht="13.2" x14ac:dyDescent="0.25">
      <c r="A2779" s="14">
        <v>1123973000180</v>
      </c>
      <c r="B2779" s="15" t="str">
        <f t="shared" si="43"/>
        <v>01.123.973/0001-80</v>
      </c>
      <c r="C2779" s="12" t="str">
        <f>VLOOKUP(B2779,[1]Planilha1!$A:$B,2,0)</f>
        <v>Malu Montesino</v>
      </c>
      <c r="D2779" s="3" t="s">
        <v>10016</v>
      </c>
      <c r="E2779" s="3" t="s">
        <v>10016</v>
      </c>
      <c r="F2779" s="3" t="s">
        <v>20</v>
      </c>
      <c r="G2779" s="4">
        <v>34914</v>
      </c>
      <c r="H2779" s="3" t="s">
        <v>21</v>
      </c>
      <c r="I2779" s="3" t="s">
        <v>33</v>
      </c>
      <c r="J2779" s="5">
        <v>150000</v>
      </c>
      <c r="K2779" s="3">
        <v>3250704</v>
      </c>
      <c r="L2779" s="3" t="s">
        <v>7090</v>
      </c>
      <c r="M2779" s="3" t="s">
        <v>10017</v>
      </c>
      <c r="N2779" s="3">
        <v>94</v>
      </c>
      <c r="O2779" s="3" t="s">
        <v>10018</v>
      </c>
      <c r="P2779" s="3" t="s">
        <v>10019</v>
      </c>
      <c r="Q2779" s="3" t="s">
        <v>1339</v>
      </c>
      <c r="R2779" s="3" t="s">
        <v>456</v>
      </c>
      <c r="S2779" s="3">
        <v>50770460</v>
      </c>
      <c r="T2779" s="3">
        <v>1150714473</v>
      </c>
      <c r="U2779" s="3" t="s">
        <v>29</v>
      </c>
    </row>
    <row r="2780" spans="1:21" ht="13.2" x14ac:dyDescent="0.25">
      <c r="A2780" s="14">
        <v>9530330000163</v>
      </c>
      <c r="B2780" s="15" t="str">
        <f t="shared" si="43"/>
        <v>09.530.330/0001-63</v>
      </c>
      <c r="C2780" s="12"/>
      <c r="D2780" s="3" t="s">
        <v>10020</v>
      </c>
      <c r="E2780" s="3" t="s">
        <v>10021</v>
      </c>
      <c r="F2780" s="3" t="s">
        <v>20</v>
      </c>
      <c r="G2780" s="4">
        <v>39518</v>
      </c>
      <c r="H2780" s="3" t="s">
        <v>21</v>
      </c>
      <c r="I2780" s="3" t="s">
        <v>33</v>
      </c>
      <c r="J2780" s="5">
        <v>211000</v>
      </c>
      <c r="K2780" s="3">
        <v>4645101</v>
      </c>
      <c r="L2780" s="3" t="s">
        <v>135</v>
      </c>
      <c r="M2780" s="3" t="s">
        <v>10022</v>
      </c>
      <c r="N2780" s="3">
        <v>1824</v>
      </c>
      <c r="O2780" s="3" t="s">
        <v>10023</v>
      </c>
      <c r="P2780" s="3" t="s">
        <v>10024</v>
      </c>
      <c r="Q2780" s="3" t="s">
        <v>204</v>
      </c>
      <c r="R2780" s="3" t="s">
        <v>187</v>
      </c>
      <c r="S2780" s="3">
        <v>81130000</v>
      </c>
      <c r="T2780" s="3">
        <v>4131515454</v>
      </c>
      <c r="U2780" s="3" t="s">
        <v>29</v>
      </c>
    </row>
    <row r="2781" spans="1:21" ht="13.2" x14ac:dyDescent="0.25">
      <c r="A2781" s="14">
        <v>48240709000190</v>
      </c>
      <c r="B2781" s="15" t="str">
        <f t="shared" si="43"/>
        <v>48.240.709/0001-90</v>
      </c>
      <c r="C2781" s="12" t="str">
        <f>VLOOKUP(B2781,[1]Planilha1!$A:$B,2,0)</f>
        <v>Malu Montesino</v>
      </c>
      <c r="D2781" s="3" t="s">
        <v>10025</v>
      </c>
      <c r="E2781" s="3" t="s">
        <v>10025</v>
      </c>
      <c r="F2781" s="3" t="s">
        <v>20</v>
      </c>
      <c r="G2781" s="4">
        <v>28138</v>
      </c>
      <c r="H2781" s="3" t="s">
        <v>21</v>
      </c>
      <c r="I2781" s="3" t="s">
        <v>33</v>
      </c>
      <c r="J2781" s="5">
        <v>258501</v>
      </c>
      <c r="K2781" s="3">
        <v>3250701</v>
      </c>
      <c r="L2781" s="3" t="s">
        <v>2195</v>
      </c>
      <c r="M2781" s="3" t="s">
        <v>10026</v>
      </c>
      <c r="N2781" s="3">
        <v>63</v>
      </c>
      <c r="P2781" s="3" t="s">
        <v>10027</v>
      </c>
      <c r="Q2781" s="3" t="s">
        <v>27</v>
      </c>
      <c r="R2781" s="3" t="s">
        <v>28</v>
      </c>
      <c r="S2781" s="3">
        <v>2998010</v>
      </c>
      <c r="T2781" s="3">
        <v>1139484000</v>
      </c>
      <c r="U2781" s="3" t="s">
        <v>29</v>
      </c>
    </row>
    <row r="2782" spans="1:21" ht="13.2" x14ac:dyDescent="0.25">
      <c r="A2782" s="14">
        <v>49226749000140</v>
      </c>
      <c r="B2782" s="15" t="str">
        <f t="shared" si="43"/>
        <v>49.226.749/0001-40</v>
      </c>
      <c r="C2782" s="12"/>
      <c r="D2782" s="3" t="s">
        <v>10028</v>
      </c>
      <c r="E2782" s="3" t="s">
        <v>10029</v>
      </c>
      <c r="F2782" s="3" t="s">
        <v>20</v>
      </c>
      <c r="G2782" s="4">
        <v>28619</v>
      </c>
      <c r="H2782" s="3" t="s">
        <v>21</v>
      </c>
      <c r="I2782" s="3" t="s">
        <v>33</v>
      </c>
      <c r="J2782" s="5">
        <v>23435620</v>
      </c>
      <c r="K2782" s="3">
        <v>4511101</v>
      </c>
      <c r="L2782" s="3" t="s">
        <v>1870</v>
      </c>
      <c r="M2782" s="3" t="s">
        <v>4364</v>
      </c>
      <c r="N2782" s="3">
        <v>1900</v>
      </c>
      <c r="P2782" s="3" t="s">
        <v>10030</v>
      </c>
      <c r="Q2782" s="3" t="s">
        <v>524</v>
      </c>
      <c r="R2782" s="3" t="s">
        <v>28</v>
      </c>
      <c r="S2782" s="3">
        <v>14096560</v>
      </c>
      <c r="T2782" s="3">
        <v>1621017100</v>
      </c>
      <c r="U2782" s="3" t="s">
        <v>29</v>
      </c>
    </row>
    <row r="2783" spans="1:21" ht="13.2" x14ac:dyDescent="0.25">
      <c r="A2783" s="14">
        <v>13273306000163</v>
      </c>
      <c r="B2783" s="15" t="str">
        <f t="shared" si="43"/>
        <v>13.273.306/0001-63</v>
      </c>
      <c r="C2783" s="12"/>
      <c r="D2783" s="3" t="s">
        <v>10031</v>
      </c>
      <c r="E2783" s="3" t="s">
        <v>10031</v>
      </c>
      <c r="F2783" s="3" t="s">
        <v>45</v>
      </c>
      <c r="G2783" s="4">
        <v>40358</v>
      </c>
      <c r="H2783" s="3" t="s">
        <v>21</v>
      </c>
      <c r="I2783" s="3" t="s">
        <v>22</v>
      </c>
      <c r="J2783" s="5">
        <v>220000</v>
      </c>
      <c r="K2783" s="3">
        <v>4530703</v>
      </c>
      <c r="L2783" s="3" t="s">
        <v>768</v>
      </c>
      <c r="M2783" s="3" t="s">
        <v>10032</v>
      </c>
      <c r="N2783" s="3">
        <v>211</v>
      </c>
      <c r="P2783" s="3" t="s">
        <v>10033</v>
      </c>
      <c r="Q2783" s="3" t="s">
        <v>262</v>
      </c>
      <c r="R2783" s="3" t="s">
        <v>28</v>
      </c>
      <c r="S2783" s="3">
        <v>6296240</v>
      </c>
      <c r="T2783" s="3">
        <v>1136861318</v>
      </c>
      <c r="U2783" s="3" t="s">
        <v>29</v>
      </c>
    </row>
    <row r="2784" spans="1:21" ht="13.2" x14ac:dyDescent="0.25">
      <c r="A2784" s="14">
        <v>13404032000102</v>
      </c>
      <c r="B2784" s="15" t="str">
        <f t="shared" si="43"/>
        <v>13.404.032/0001-02</v>
      </c>
      <c r="C2784" s="12"/>
      <c r="D2784" s="3" t="s">
        <v>10034</v>
      </c>
      <c r="E2784" s="3" t="s">
        <v>10035</v>
      </c>
      <c r="F2784" s="3" t="s">
        <v>20</v>
      </c>
      <c r="G2784" s="4">
        <v>40625</v>
      </c>
      <c r="H2784" s="3" t="s">
        <v>46</v>
      </c>
      <c r="I2784" s="3" t="s">
        <v>47</v>
      </c>
      <c r="J2784" s="5">
        <v>200000</v>
      </c>
      <c r="K2784" s="3">
        <v>4330499</v>
      </c>
      <c r="L2784" s="3" t="s">
        <v>73</v>
      </c>
      <c r="M2784" s="3" t="s">
        <v>10036</v>
      </c>
      <c r="N2784" s="3">
        <v>170</v>
      </c>
      <c r="O2784" s="3" t="s">
        <v>10037</v>
      </c>
      <c r="P2784" s="3" t="s">
        <v>10038</v>
      </c>
      <c r="Q2784" s="3" t="s">
        <v>27</v>
      </c>
      <c r="R2784" s="3" t="s">
        <v>28</v>
      </c>
      <c r="S2784" s="3">
        <v>8032326</v>
      </c>
      <c r="T2784" s="3">
        <v>1154957585</v>
      </c>
      <c r="U2784" s="3" t="s">
        <v>29</v>
      </c>
    </row>
    <row r="2785" spans="1:21" ht="13.2" x14ac:dyDescent="0.25">
      <c r="A2785" s="14">
        <v>23900832000160</v>
      </c>
      <c r="B2785" s="15" t="str">
        <f t="shared" si="43"/>
        <v>23.900.832/0001-60</v>
      </c>
      <c r="C2785" s="12" t="str">
        <f>VLOOKUP(B2785,[1]Planilha1!$A:$B,2,0)</f>
        <v>Malu Montesino</v>
      </c>
      <c r="D2785" s="3" t="s">
        <v>10039</v>
      </c>
      <c r="E2785" s="3" t="s">
        <v>10039</v>
      </c>
      <c r="F2785" s="3" t="s">
        <v>20</v>
      </c>
      <c r="G2785" s="4">
        <v>42368</v>
      </c>
      <c r="H2785" s="3" t="s">
        <v>21</v>
      </c>
      <c r="I2785" s="3" t="s">
        <v>33</v>
      </c>
      <c r="J2785" s="5">
        <v>24385634</v>
      </c>
      <c r="K2785" s="3">
        <v>4530701</v>
      </c>
      <c r="L2785" s="3" t="s">
        <v>2176</v>
      </c>
      <c r="M2785" s="3" t="s">
        <v>906</v>
      </c>
      <c r="N2785" s="3">
        <v>939</v>
      </c>
      <c r="O2785" s="3" t="s">
        <v>10040</v>
      </c>
      <c r="P2785" s="3" t="s">
        <v>616</v>
      </c>
      <c r="Q2785" s="3" t="s">
        <v>617</v>
      </c>
      <c r="R2785" s="3" t="s">
        <v>28</v>
      </c>
      <c r="S2785" s="3">
        <v>6460040</v>
      </c>
      <c r="T2785" s="3">
        <v>1142804800</v>
      </c>
      <c r="U2785" s="3" t="s">
        <v>29</v>
      </c>
    </row>
    <row r="2786" spans="1:21" ht="13.2" x14ac:dyDescent="0.25">
      <c r="A2786" s="14">
        <v>12728258000198</v>
      </c>
      <c r="B2786" s="15" t="str">
        <f t="shared" si="43"/>
        <v>12.728.258/0001-98</v>
      </c>
      <c r="C2786" s="12"/>
      <c r="D2786" s="3" t="s">
        <v>10041</v>
      </c>
      <c r="E2786" s="3" t="s">
        <v>10042</v>
      </c>
      <c r="F2786" s="3" t="s">
        <v>20</v>
      </c>
      <c r="G2786" s="4">
        <v>40410</v>
      </c>
      <c r="H2786" s="3" t="s">
        <v>21</v>
      </c>
      <c r="I2786" s="3" t="s">
        <v>22</v>
      </c>
      <c r="J2786" s="5">
        <v>1000000</v>
      </c>
      <c r="K2786" s="3">
        <v>8011101</v>
      </c>
      <c r="L2786" s="3" t="s">
        <v>943</v>
      </c>
      <c r="M2786" s="3" t="s">
        <v>10043</v>
      </c>
      <c r="N2786" s="3">
        <v>220</v>
      </c>
      <c r="P2786" s="3" t="s">
        <v>70</v>
      </c>
      <c r="Q2786" s="3" t="s">
        <v>809</v>
      </c>
      <c r="R2786" s="3" t="s">
        <v>78</v>
      </c>
      <c r="S2786" s="3">
        <v>28035232</v>
      </c>
      <c r="T2786" s="3">
        <v>2298590306</v>
      </c>
      <c r="U2786" s="3" t="s">
        <v>29</v>
      </c>
    </row>
    <row r="2787" spans="1:21" ht="13.2" x14ac:dyDescent="0.25">
      <c r="A2787" s="14">
        <v>20445801000178</v>
      </c>
      <c r="B2787" s="15" t="str">
        <f t="shared" si="43"/>
        <v>20.445.801/0001-78</v>
      </c>
      <c r="C2787" s="12"/>
      <c r="D2787" s="3" t="s">
        <v>10044</v>
      </c>
      <c r="E2787" s="3" t="s">
        <v>10044</v>
      </c>
      <c r="F2787" s="3" t="s">
        <v>20</v>
      </c>
      <c r="G2787" s="4">
        <v>41803</v>
      </c>
      <c r="H2787" s="3" t="s">
        <v>21</v>
      </c>
      <c r="I2787" s="3" t="s">
        <v>33</v>
      </c>
      <c r="J2787" s="5">
        <v>42700000</v>
      </c>
      <c r="K2787" s="3">
        <v>3250704</v>
      </c>
      <c r="L2787" s="3" t="s">
        <v>7090</v>
      </c>
      <c r="M2787" s="3" t="s">
        <v>10045</v>
      </c>
      <c r="N2787" s="7">
        <v>4036</v>
      </c>
      <c r="O2787" s="3" t="s">
        <v>2013</v>
      </c>
      <c r="P2787" s="3" t="s">
        <v>1204</v>
      </c>
      <c r="Q2787" s="3" t="s">
        <v>59</v>
      </c>
      <c r="R2787" s="3" t="s">
        <v>28</v>
      </c>
      <c r="S2787" s="3">
        <v>13278181</v>
      </c>
      <c r="T2787" s="3">
        <v>1937293500</v>
      </c>
      <c r="U2787" s="3" t="s">
        <v>29</v>
      </c>
    </row>
    <row r="2788" spans="1:21" ht="13.2" x14ac:dyDescent="0.25">
      <c r="A2788" s="14">
        <v>18671163000161</v>
      </c>
      <c r="B2788" s="15" t="str">
        <f t="shared" si="43"/>
        <v>18.671.163/0001-61</v>
      </c>
      <c r="C2788" s="12"/>
      <c r="D2788" s="3" t="s">
        <v>10046</v>
      </c>
      <c r="E2788" s="3" t="s">
        <v>10046</v>
      </c>
      <c r="F2788" s="3" t="s">
        <v>20</v>
      </c>
      <c r="G2788" s="4">
        <v>41499</v>
      </c>
      <c r="H2788" s="3" t="s">
        <v>21</v>
      </c>
      <c r="I2788" s="3" t="s">
        <v>47</v>
      </c>
      <c r="J2788" s="5">
        <v>20000</v>
      </c>
      <c r="K2788" s="3">
        <v>4789005</v>
      </c>
      <c r="L2788" s="3" t="s">
        <v>2831</v>
      </c>
      <c r="M2788" s="3" t="s">
        <v>10047</v>
      </c>
      <c r="N2788" s="3">
        <v>242</v>
      </c>
      <c r="P2788" s="3" t="s">
        <v>10048</v>
      </c>
      <c r="Q2788" s="3" t="s">
        <v>10049</v>
      </c>
      <c r="R2788" s="3" t="s">
        <v>28</v>
      </c>
      <c r="S2788" s="3">
        <v>13490000</v>
      </c>
      <c r="T2788" s="3">
        <v>1935466398</v>
      </c>
      <c r="U2788" s="3" t="s">
        <v>29</v>
      </c>
    </row>
    <row r="2789" spans="1:21" ht="13.2" x14ac:dyDescent="0.25">
      <c r="A2789" s="14">
        <v>20258278000170</v>
      </c>
      <c r="B2789" s="15" t="str">
        <f t="shared" si="43"/>
        <v>20.258.278/0001-70</v>
      </c>
      <c r="C2789" s="12"/>
      <c r="D2789" s="3" t="s">
        <v>10050</v>
      </c>
      <c r="E2789" s="3" t="s">
        <v>10050</v>
      </c>
      <c r="F2789" s="3" t="s">
        <v>20</v>
      </c>
      <c r="G2789" s="4">
        <v>41774</v>
      </c>
      <c r="H2789" s="3" t="s">
        <v>377</v>
      </c>
      <c r="I2789" s="3" t="s">
        <v>33</v>
      </c>
      <c r="J2789" s="5">
        <v>479823740</v>
      </c>
      <c r="K2789" s="3">
        <v>4644302</v>
      </c>
      <c r="L2789" s="3" t="s">
        <v>10051</v>
      </c>
      <c r="M2789" s="3" t="s">
        <v>10052</v>
      </c>
      <c r="N2789" s="3" t="s">
        <v>82</v>
      </c>
      <c r="O2789" s="3" t="s">
        <v>10053</v>
      </c>
      <c r="P2789" s="3" t="s">
        <v>153</v>
      </c>
      <c r="Q2789" s="3" t="s">
        <v>915</v>
      </c>
      <c r="R2789" s="3" t="s">
        <v>28</v>
      </c>
      <c r="S2789" s="3">
        <v>14140000</v>
      </c>
      <c r="T2789" s="3">
        <v>1635182000</v>
      </c>
      <c r="U2789" s="3" t="s">
        <v>29</v>
      </c>
    </row>
    <row r="2790" spans="1:21" ht="13.2" x14ac:dyDescent="0.25">
      <c r="A2790" s="14">
        <v>57334237001602</v>
      </c>
      <c r="B2790" s="15" t="str">
        <f t="shared" si="43"/>
        <v>57.334.237/0016-02</v>
      </c>
      <c r="C2790" s="12"/>
      <c r="D2790" s="3" t="s">
        <v>10054</v>
      </c>
      <c r="E2790" s="3" t="s">
        <v>10055</v>
      </c>
      <c r="F2790" s="3" t="s">
        <v>45</v>
      </c>
      <c r="G2790" s="4">
        <v>42705</v>
      </c>
      <c r="H2790" s="3" t="s">
        <v>21</v>
      </c>
      <c r="I2790" s="3" t="s">
        <v>33</v>
      </c>
      <c r="J2790" s="5">
        <v>20277504</v>
      </c>
      <c r="K2790" s="3">
        <v>2829199</v>
      </c>
      <c r="L2790" s="3" t="s">
        <v>1514</v>
      </c>
      <c r="M2790" s="3" t="s">
        <v>10056</v>
      </c>
      <c r="N2790" s="3" t="s">
        <v>82</v>
      </c>
      <c r="P2790" s="3" t="s">
        <v>10057</v>
      </c>
      <c r="Q2790" s="3" t="s">
        <v>10058</v>
      </c>
      <c r="R2790" s="3" t="s">
        <v>100</v>
      </c>
      <c r="S2790" s="3">
        <v>36370000</v>
      </c>
      <c r="T2790" s="3">
        <v>3132280700</v>
      </c>
      <c r="U2790" s="3" t="s">
        <v>29</v>
      </c>
    </row>
    <row r="2791" spans="1:21" ht="13.2" x14ac:dyDescent="0.25">
      <c r="A2791" s="14">
        <v>5043747000140</v>
      </c>
      <c r="B2791" s="15" t="str">
        <f t="shared" si="43"/>
        <v>05.043.747/0001-40</v>
      </c>
      <c r="C2791" s="12"/>
      <c r="D2791" s="3" t="s">
        <v>10059</v>
      </c>
      <c r="E2791" s="3" t="s">
        <v>10060</v>
      </c>
      <c r="F2791" s="3" t="s">
        <v>20</v>
      </c>
      <c r="G2791" s="4">
        <v>37375</v>
      </c>
      <c r="H2791" s="3" t="s">
        <v>21</v>
      </c>
      <c r="I2791" s="3" t="s">
        <v>22</v>
      </c>
      <c r="J2791" s="5">
        <v>300000</v>
      </c>
      <c r="K2791" s="3">
        <v>1413401</v>
      </c>
      <c r="L2791" s="3" t="s">
        <v>7283</v>
      </c>
      <c r="M2791" s="3" t="s">
        <v>10061</v>
      </c>
      <c r="N2791" s="3" t="s">
        <v>111</v>
      </c>
      <c r="O2791" s="3" t="s">
        <v>10062</v>
      </c>
      <c r="P2791" s="3" t="s">
        <v>2834</v>
      </c>
      <c r="Q2791" s="3" t="s">
        <v>631</v>
      </c>
      <c r="R2791" s="3" t="s">
        <v>632</v>
      </c>
      <c r="S2791" s="3">
        <v>71710585</v>
      </c>
      <c r="T2791" s="3">
        <v>6121948427</v>
      </c>
      <c r="U2791" s="3" t="s">
        <v>29</v>
      </c>
    </row>
    <row r="2792" spans="1:21" ht="13.2" x14ac:dyDescent="0.25">
      <c r="A2792" s="14">
        <v>58763350000190</v>
      </c>
      <c r="B2792" s="15" t="str">
        <f t="shared" si="43"/>
        <v>58.763.350/0001-90</v>
      </c>
      <c r="C2792" s="12" t="str">
        <f>VLOOKUP(B2792,[1]Planilha1!$A:$B,2,0)</f>
        <v>Malu Montesino</v>
      </c>
      <c r="D2792" s="3" t="s">
        <v>10063</v>
      </c>
      <c r="E2792" s="3" t="s">
        <v>10063</v>
      </c>
      <c r="F2792" s="3" t="s">
        <v>20</v>
      </c>
      <c r="G2792" s="4">
        <v>32225</v>
      </c>
      <c r="H2792" s="3" t="s">
        <v>21</v>
      </c>
      <c r="I2792" s="3" t="s">
        <v>33</v>
      </c>
      <c r="J2792" s="5">
        <v>5000000</v>
      </c>
      <c r="K2792" s="3">
        <v>4664800</v>
      </c>
      <c r="L2792" s="3" t="s">
        <v>691</v>
      </c>
      <c r="M2792" s="3" t="s">
        <v>10064</v>
      </c>
      <c r="N2792" s="3">
        <v>1137</v>
      </c>
      <c r="P2792" s="3" t="s">
        <v>10065</v>
      </c>
      <c r="Q2792" s="3" t="s">
        <v>27</v>
      </c>
      <c r="R2792" s="3" t="s">
        <v>28</v>
      </c>
      <c r="S2792" s="3">
        <v>4127001</v>
      </c>
      <c r="T2792" s="3">
        <v>1121452600</v>
      </c>
      <c r="U2792" s="3" t="s">
        <v>29</v>
      </c>
    </row>
    <row r="2793" spans="1:21" ht="13.2" x14ac:dyDescent="0.25">
      <c r="A2793" s="14">
        <v>57417537000179</v>
      </c>
      <c r="B2793" s="15" t="str">
        <f t="shared" si="43"/>
        <v>57.417.537/0001-79</v>
      </c>
      <c r="C2793" s="12"/>
      <c r="D2793" s="3" t="s">
        <v>10066</v>
      </c>
      <c r="E2793" s="3" t="s">
        <v>10066</v>
      </c>
      <c r="F2793" s="3" t="s">
        <v>20</v>
      </c>
      <c r="G2793" s="4">
        <v>31917</v>
      </c>
      <c r="H2793" s="3" t="s">
        <v>94</v>
      </c>
      <c r="I2793" s="3" t="s">
        <v>33</v>
      </c>
      <c r="J2793" s="5">
        <v>61910396</v>
      </c>
      <c r="K2793" s="3">
        <v>7739002</v>
      </c>
      <c r="L2793" s="3" t="s">
        <v>3639</v>
      </c>
      <c r="M2793" s="3" t="s">
        <v>10067</v>
      </c>
      <c r="N2793" s="3">
        <v>1357</v>
      </c>
      <c r="O2793" s="3" t="s">
        <v>10068</v>
      </c>
      <c r="P2793" s="3" t="s">
        <v>10069</v>
      </c>
      <c r="Q2793" s="3" t="s">
        <v>27</v>
      </c>
      <c r="R2793" s="3" t="s">
        <v>28</v>
      </c>
      <c r="S2793" s="3">
        <v>4376006</v>
      </c>
      <c r="T2793" s="3">
        <v>1150123799</v>
      </c>
      <c r="U2793" s="3" t="s">
        <v>29</v>
      </c>
    </row>
    <row r="2794" spans="1:21" ht="13.2" x14ac:dyDescent="0.25">
      <c r="A2794" s="14">
        <v>16685196000135</v>
      </c>
      <c r="B2794" s="15" t="str">
        <f t="shared" si="43"/>
        <v>16.685.196/0001-35</v>
      </c>
      <c r="C2794" s="12"/>
      <c r="D2794" s="3" t="s">
        <v>10070</v>
      </c>
      <c r="E2794" s="3" t="s">
        <v>10071</v>
      </c>
      <c r="F2794" s="3" t="s">
        <v>20</v>
      </c>
      <c r="G2794" s="4">
        <v>41134</v>
      </c>
      <c r="H2794" s="3" t="s">
        <v>21</v>
      </c>
      <c r="I2794" s="3" t="s">
        <v>33</v>
      </c>
      <c r="J2794" s="5">
        <v>2000000</v>
      </c>
      <c r="K2794" s="3">
        <v>2014200</v>
      </c>
      <c r="L2794" s="3" t="s">
        <v>833</v>
      </c>
      <c r="M2794" s="3" t="s">
        <v>10072</v>
      </c>
      <c r="N2794" s="3" t="s">
        <v>82</v>
      </c>
      <c r="O2794" s="3" t="s">
        <v>10073</v>
      </c>
      <c r="P2794" s="3" t="s">
        <v>10074</v>
      </c>
      <c r="Q2794" s="3" t="s">
        <v>1954</v>
      </c>
      <c r="R2794" s="3" t="s">
        <v>274</v>
      </c>
      <c r="S2794" s="3">
        <v>75536110</v>
      </c>
      <c r="T2794" s="3">
        <v>6434334000</v>
      </c>
      <c r="U2794" s="3" t="s">
        <v>29</v>
      </c>
    </row>
    <row r="2795" spans="1:21" ht="13.2" x14ac:dyDescent="0.25">
      <c r="A2795" s="14">
        <v>61578118000196</v>
      </c>
      <c r="B2795" s="15" t="str">
        <f t="shared" si="43"/>
        <v>61.578.118/0001-96</v>
      </c>
      <c r="C2795" s="12"/>
      <c r="D2795" s="3" t="s">
        <v>10075</v>
      </c>
      <c r="E2795" s="3" t="s">
        <v>10075</v>
      </c>
      <c r="F2795" s="3" t="s">
        <v>20</v>
      </c>
      <c r="G2795" s="4">
        <v>26235</v>
      </c>
      <c r="H2795" s="3" t="s">
        <v>21</v>
      </c>
      <c r="I2795" s="3" t="s">
        <v>33</v>
      </c>
      <c r="J2795" s="5">
        <v>166135840</v>
      </c>
      <c r="K2795" s="3">
        <v>4649406</v>
      </c>
      <c r="L2795" s="3" t="s">
        <v>10076</v>
      </c>
      <c r="M2795" s="3" t="s">
        <v>977</v>
      </c>
      <c r="N2795" s="3">
        <v>909</v>
      </c>
      <c r="P2795" s="3" t="s">
        <v>10077</v>
      </c>
      <c r="Q2795" s="3" t="s">
        <v>2365</v>
      </c>
      <c r="R2795" s="3" t="s">
        <v>28</v>
      </c>
      <c r="S2795" s="3">
        <v>7793620</v>
      </c>
      <c r="T2795" s="3">
        <v>1131332400</v>
      </c>
      <c r="U2795" s="3" t="s">
        <v>29</v>
      </c>
    </row>
    <row r="2796" spans="1:21" ht="13.2" x14ac:dyDescent="0.25">
      <c r="A2796" s="14">
        <v>34228281000156</v>
      </c>
      <c r="B2796" s="15" t="str">
        <f t="shared" si="43"/>
        <v>34.228.281/0001-56</v>
      </c>
      <c r="C2796" s="12"/>
      <c r="D2796" s="3" t="s">
        <v>10078</v>
      </c>
      <c r="E2796" s="3" t="s">
        <v>10079</v>
      </c>
      <c r="F2796" s="3" t="s">
        <v>20</v>
      </c>
      <c r="G2796" s="4">
        <v>43662</v>
      </c>
      <c r="H2796" s="3" t="s">
        <v>21</v>
      </c>
      <c r="I2796" s="3" t="s">
        <v>47</v>
      </c>
      <c r="J2796" s="5">
        <v>100000</v>
      </c>
      <c r="K2796" s="3">
        <v>4781400</v>
      </c>
      <c r="L2796" s="3" t="s">
        <v>2907</v>
      </c>
      <c r="M2796" s="3" t="s">
        <v>10080</v>
      </c>
      <c r="N2796" s="3">
        <v>693</v>
      </c>
      <c r="O2796" s="3" t="s">
        <v>4486</v>
      </c>
      <c r="P2796" s="3" t="s">
        <v>10081</v>
      </c>
      <c r="Q2796" s="3" t="s">
        <v>27</v>
      </c>
      <c r="R2796" s="3" t="s">
        <v>28</v>
      </c>
      <c r="S2796" s="3">
        <v>5338000</v>
      </c>
      <c r="T2796" s="3">
        <v>1140195355</v>
      </c>
      <c r="U2796" s="3" t="s">
        <v>29</v>
      </c>
    </row>
    <row r="2797" spans="1:21" ht="13.2" x14ac:dyDescent="0.25">
      <c r="A2797" s="14">
        <v>3391001000100</v>
      </c>
      <c r="B2797" s="15" t="str">
        <f t="shared" si="43"/>
        <v>03.391.001/0001-00</v>
      </c>
      <c r="C2797" s="12"/>
      <c r="D2797" s="3" t="s">
        <v>10082</v>
      </c>
      <c r="E2797" s="3" t="s">
        <v>10082</v>
      </c>
      <c r="F2797" s="3" t="s">
        <v>20</v>
      </c>
      <c r="G2797" s="4">
        <v>36416</v>
      </c>
      <c r="H2797" s="3" t="s">
        <v>94</v>
      </c>
      <c r="I2797" s="3" t="s">
        <v>33</v>
      </c>
      <c r="J2797" s="5">
        <v>2320000</v>
      </c>
      <c r="K2797" s="3">
        <v>4684299</v>
      </c>
      <c r="L2797" s="3" t="s">
        <v>419</v>
      </c>
      <c r="M2797" s="3" t="s">
        <v>10083</v>
      </c>
      <c r="N2797" s="3">
        <v>209</v>
      </c>
      <c r="O2797" s="3" t="s">
        <v>10084</v>
      </c>
      <c r="P2797" s="3" t="s">
        <v>10085</v>
      </c>
      <c r="Q2797" s="3" t="s">
        <v>3491</v>
      </c>
      <c r="R2797" s="3" t="s">
        <v>765</v>
      </c>
      <c r="S2797" s="3">
        <v>29197972</v>
      </c>
      <c r="T2797" s="3">
        <v>2732501852</v>
      </c>
      <c r="U2797" s="3" t="s">
        <v>29</v>
      </c>
    </row>
    <row r="2798" spans="1:21" ht="13.2" x14ac:dyDescent="0.25">
      <c r="A2798" s="14">
        <v>12491355000100</v>
      </c>
      <c r="B2798" s="15" t="str">
        <f t="shared" si="43"/>
        <v>12.491.355/0001-00</v>
      </c>
      <c r="C2798" s="12" t="str">
        <f>VLOOKUP(B2798,[1]Planilha1!$A:$B,2,0)</f>
        <v>Malu Montesino</v>
      </c>
      <c r="D2798" s="3" t="s">
        <v>10086</v>
      </c>
      <c r="E2798" s="3" t="s">
        <v>10086</v>
      </c>
      <c r="F2798" s="3" t="s">
        <v>20</v>
      </c>
      <c r="G2798" s="4">
        <v>40421</v>
      </c>
      <c r="H2798" s="3" t="s">
        <v>21</v>
      </c>
      <c r="I2798" s="3" t="s">
        <v>33</v>
      </c>
      <c r="J2798" s="5">
        <v>1030000</v>
      </c>
      <c r="K2798" s="3">
        <v>2832100</v>
      </c>
      <c r="L2798" s="3" t="s">
        <v>2184</v>
      </c>
      <c r="M2798" s="3" t="s">
        <v>10087</v>
      </c>
      <c r="N2798" s="3">
        <v>481</v>
      </c>
      <c r="O2798" s="3" t="s">
        <v>10088</v>
      </c>
      <c r="P2798" s="3" t="s">
        <v>10089</v>
      </c>
      <c r="Q2798" s="3" t="s">
        <v>59</v>
      </c>
      <c r="R2798" s="3" t="s">
        <v>28</v>
      </c>
      <c r="S2798" s="3">
        <v>13273201</v>
      </c>
      <c r="T2798" s="3">
        <v>1939296879</v>
      </c>
      <c r="U2798" s="3" t="s">
        <v>29</v>
      </c>
    </row>
    <row r="2799" spans="1:21" ht="13.2" x14ac:dyDescent="0.25">
      <c r="A2799" s="14">
        <v>61295473000158</v>
      </c>
      <c r="B2799" s="15" t="str">
        <f t="shared" si="43"/>
        <v>61.295.473/0001-58</v>
      </c>
      <c r="C2799" s="12" t="str">
        <f>VLOOKUP(B2799,[1]Planilha1!$A:$B,2,0)</f>
        <v>Malu Montesino</v>
      </c>
      <c r="D2799" s="3" t="s">
        <v>10090</v>
      </c>
      <c r="E2799" s="3" t="s">
        <v>10090</v>
      </c>
      <c r="F2799" s="3" t="s">
        <v>20</v>
      </c>
      <c r="G2799" s="4">
        <v>24306</v>
      </c>
      <c r="H2799" s="3" t="s">
        <v>21</v>
      </c>
      <c r="I2799" s="3" t="s">
        <v>33</v>
      </c>
      <c r="J2799" s="5">
        <v>25044000</v>
      </c>
      <c r="K2799" s="3">
        <v>4530701</v>
      </c>
      <c r="L2799" s="3" t="s">
        <v>2176</v>
      </c>
      <c r="M2799" s="3" t="s">
        <v>10091</v>
      </c>
      <c r="N2799" s="3">
        <v>10</v>
      </c>
      <c r="P2799" s="3" t="s">
        <v>2020</v>
      </c>
      <c r="Q2799" s="3" t="s">
        <v>27</v>
      </c>
      <c r="R2799" s="3" t="s">
        <v>28</v>
      </c>
      <c r="S2799" s="3">
        <v>1141080</v>
      </c>
      <c r="T2799" s="3">
        <v>1136185851</v>
      </c>
      <c r="U2799" s="3" t="s">
        <v>29</v>
      </c>
    </row>
    <row r="2800" spans="1:21" ht="13.2" x14ac:dyDescent="0.25">
      <c r="A2800" s="14">
        <v>96298013000168</v>
      </c>
      <c r="B2800" s="15" t="str">
        <f t="shared" si="43"/>
        <v>96.298.013/0001-68</v>
      </c>
      <c r="C2800" s="12"/>
      <c r="D2800" s="3" t="s">
        <v>10092</v>
      </c>
      <c r="E2800" s="3" t="s">
        <v>10092</v>
      </c>
      <c r="F2800" s="3" t="s">
        <v>20</v>
      </c>
      <c r="G2800" s="4">
        <v>34071</v>
      </c>
      <c r="H2800" s="3" t="s">
        <v>377</v>
      </c>
      <c r="I2800" s="3" t="s">
        <v>33</v>
      </c>
      <c r="J2800" s="5">
        <v>368005700</v>
      </c>
      <c r="K2800" s="3">
        <v>4120400</v>
      </c>
      <c r="L2800" s="3" t="s">
        <v>87</v>
      </c>
      <c r="M2800" s="3" t="s">
        <v>1981</v>
      </c>
      <c r="N2800" s="11">
        <v>45849</v>
      </c>
      <c r="P2800" s="3" t="s">
        <v>70</v>
      </c>
      <c r="Q2800" s="3" t="s">
        <v>324</v>
      </c>
      <c r="R2800" s="3" t="s">
        <v>28</v>
      </c>
      <c r="S2800" s="3">
        <v>17015032</v>
      </c>
      <c r="T2800" s="3">
        <v>1132364141</v>
      </c>
      <c r="U2800" s="3" t="s">
        <v>29</v>
      </c>
    </row>
    <row r="2801" spans="1:21" ht="13.2" x14ac:dyDescent="0.25">
      <c r="A2801" s="14">
        <v>7456800000160</v>
      </c>
      <c r="B2801" s="15" t="str">
        <f t="shared" si="43"/>
        <v>07.456.800/0001-60</v>
      </c>
      <c r="C2801" s="12"/>
      <c r="D2801" s="3" t="s">
        <v>10093</v>
      </c>
      <c r="E2801" s="3" t="s">
        <v>10093</v>
      </c>
      <c r="F2801" s="3" t="s">
        <v>31</v>
      </c>
      <c r="G2801" s="4">
        <v>38525</v>
      </c>
      <c r="H2801" s="3" t="s">
        <v>94</v>
      </c>
      <c r="I2801" s="3" t="s">
        <v>33</v>
      </c>
      <c r="J2801" s="5">
        <v>502200000</v>
      </c>
      <c r="K2801" s="3">
        <v>7740300</v>
      </c>
      <c r="L2801" s="3" t="s">
        <v>3618</v>
      </c>
      <c r="M2801" s="3" t="s">
        <v>2071</v>
      </c>
      <c r="N2801" s="3">
        <v>3500</v>
      </c>
      <c r="O2801" s="3" t="s">
        <v>10094</v>
      </c>
      <c r="P2801" s="3" t="s">
        <v>252</v>
      </c>
      <c r="Q2801" s="3" t="s">
        <v>253</v>
      </c>
      <c r="R2801" s="3" t="s">
        <v>78</v>
      </c>
      <c r="S2801" s="3">
        <v>22640102</v>
      </c>
      <c r="T2801" s="3">
        <v>2132519479</v>
      </c>
      <c r="U2801" s="3" t="s">
        <v>29</v>
      </c>
    </row>
    <row r="2802" spans="1:21" ht="13.2" x14ac:dyDescent="0.25">
      <c r="A2802" s="14">
        <v>21265165000165</v>
      </c>
      <c r="B2802" s="15" t="str">
        <f t="shared" si="43"/>
        <v>21.265.165/0001-65</v>
      </c>
      <c r="C2802" s="12"/>
      <c r="D2802" s="3" t="s">
        <v>10095</v>
      </c>
      <c r="E2802" s="3" t="s">
        <v>10096</v>
      </c>
      <c r="F2802" s="3" t="s">
        <v>20</v>
      </c>
      <c r="G2802" s="4">
        <v>41933</v>
      </c>
      <c r="H2802" s="3" t="s">
        <v>21</v>
      </c>
      <c r="I2802" s="3" t="s">
        <v>33</v>
      </c>
      <c r="J2802" s="5">
        <v>10000000</v>
      </c>
      <c r="K2802" s="3">
        <v>3513100</v>
      </c>
      <c r="L2802" s="3" t="s">
        <v>1192</v>
      </c>
      <c r="M2802" s="3" t="s">
        <v>7946</v>
      </c>
      <c r="N2802" s="3">
        <v>300</v>
      </c>
      <c r="O2802" s="3" t="s">
        <v>9225</v>
      </c>
      <c r="P2802" s="3" t="s">
        <v>5260</v>
      </c>
      <c r="Q2802" s="3" t="s">
        <v>27</v>
      </c>
      <c r="R2802" s="3" t="s">
        <v>28</v>
      </c>
      <c r="S2802" s="3">
        <v>4516000</v>
      </c>
      <c r="T2802" s="3">
        <v>1150928493</v>
      </c>
      <c r="U2802" s="3" t="s">
        <v>29</v>
      </c>
    </row>
    <row r="2803" spans="1:21" ht="13.2" x14ac:dyDescent="0.25">
      <c r="A2803" s="14">
        <v>1352926000109</v>
      </c>
      <c r="B2803" s="15" t="str">
        <f t="shared" si="43"/>
        <v>01.352.926/0001-09</v>
      </c>
      <c r="C2803" s="12" t="str">
        <f>VLOOKUP(B2803,[1]Planilha1!$A:$B,2,0)</f>
        <v>Malu Montesino</v>
      </c>
      <c r="D2803" s="3" t="s">
        <v>10097</v>
      </c>
      <c r="E2803" s="3" t="s">
        <v>10098</v>
      </c>
      <c r="F2803" s="3" t="s">
        <v>20</v>
      </c>
      <c r="G2803" s="4">
        <v>35276</v>
      </c>
      <c r="H2803" s="3" t="s">
        <v>21</v>
      </c>
      <c r="I2803" s="3" t="s">
        <v>33</v>
      </c>
      <c r="J2803" s="5">
        <v>468334</v>
      </c>
      <c r="K2803" s="3">
        <v>2221800</v>
      </c>
      <c r="L2803" s="3" t="s">
        <v>2033</v>
      </c>
      <c r="M2803" s="3" t="s">
        <v>10099</v>
      </c>
      <c r="N2803" s="3">
        <v>2370</v>
      </c>
      <c r="P2803" s="3" t="s">
        <v>10100</v>
      </c>
      <c r="Q2803" s="3" t="s">
        <v>1645</v>
      </c>
      <c r="R2803" s="3" t="s">
        <v>28</v>
      </c>
      <c r="S2803" s="3">
        <v>13846300</v>
      </c>
      <c r="T2803" s="3">
        <v>1930192300</v>
      </c>
      <c r="U2803" s="3" t="s">
        <v>29</v>
      </c>
    </row>
    <row r="2804" spans="1:21" ht="13.2" x14ac:dyDescent="0.25">
      <c r="A2804" s="14">
        <v>61144150000163</v>
      </c>
      <c r="B2804" s="15" t="str">
        <f t="shared" si="43"/>
        <v>61.144.150/0001-63</v>
      </c>
      <c r="C2804" s="12"/>
      <c r="D2804" s="3" t="s">
        <v>10101</v>
      </c>
      <c r="E2804" s="3" t="s">
        <v>10102</v>
      </c>
      <c r="F2804" s="3" t="s">
        <v>20</v>
      </c>
      <c r="G2804" s="4">
        <v>24356</v>
      </c>
      <c r="H2804" s="3" t="s">
        <v>94</v>
      </c>
      <c r="I2804" s="3" t="s">
        <v>33</v>
      </c>
      <c r="J2804" s="5">
        <v>13630183</v>
      </c>
      <c r="K2804" s="3">
        <v>8211300</v>
      </c>
      <c r="L2804" s="3" t="s">
        <v>166</v>
      </c>
      <c r="M2804" s="3" t="s">
        <v>2082</v>
      </c>
      <c r="N2804" s="3">
        <v>126</v>
      </c>
      <c r="O2804" s="3" t="s">
        <v>10103</v>
      </c>
      <c r="P2804" s="3" t="s">
        <v>1230</v>
      </c>
      <c r="Q2804" s="3" t="s">
        <v>27</v>
      </c>
      <c r="R2804" s="3" t="s">
        <v>28</v>
      </c>
      <c r="S2804" s="3">
        <v>4532060</v>
      </c>
      <c r="T2804" s="3">
        <v>4332491100</v>
      </c>
      <c r="U2804" s="3" t="s">
        <v>29</v>
      </c>
    </row>
    <row r="2805" spans="1:21" ht="13.2" x14ac:dyDescent="0.25">
      <c r="A2805" s="14">
        <v>21794163000163</v>
      </c>
      <c r="B2805" s="15" t="str">
        <f t="shared" si="43"/>
        <v>21.794.163/0001-63</v>
      </c>
      <c r="C2805" s="12"/>
      <c r="D2805" s="3" t="s">
        <v>10104</v>
      </c>
      <c r="E2805" s="3" t="s">
        <v>10104</v>
      </c>
      <c r="F2805" s="3" t="s">
        <v>31</v>
      </c>
      <c r="G2805" s="4">
        <v>42037</v>
      </c>
      <c r="H2805" s="3" t="s">
        <v>21</v>
      </c>
      <c r="I2805" s="3" t="s">
        <v>47</v>
      </c>
      <c r="J2805" s="5">
        <v>100000</v>
      </c>
      <c r="K2805" s="3">
        <v>8111700</v>
      </c>
      <c r="L2805" s="3" t="s">
        <v>290</v>
      </c>
      <c r="M2805" s="3" t="s">
        <v>10105</v>
      </c>
      <c r="N2805" s="3">
        <v>293</v>
      </c>
      <c r="P2805" s="3" t="s">
        <v>1043</v>
      </c>
      <c r="Q2805" s="3" t="s">
        <v>617</v>
      </c>
      <c r="R2805" s="3" t="s">
        <v>28</v>
      </c>
      <c r="S2805" s="3">
        <v>6454020</v>
      </c>
      <c r="T2805" s="3">
        <v>1158422015</v>
      </c>
      <c r="U2805" s="3" t="s">
        <v>29</v>
      </c>
    </row>
    <row r="2806" spans="1:21" ht="13.2" x14ac:dyDescent="0.25">
      <c r="A2806" s="14">
        <v>78386505000123</v>
      </c>
      <c r="B2806" s="15" t="str">
        <f t="shared" si="43"/>
        <v>78.386.505/0001-23</v>
      </c>
      <c r="C2806" s="12" t="str">
        <f>VLOOKUP(B2806,[1]Planilha1!$A:$B,2,0)</f>
        <v>Malu Montesino</v>
      </c>
      <c r="D2806" s="3" t="s">
        <v>10106</v>
      </c>
      <c r="E2806" s="3" t="s">
        <v>10107</v>
      </c>
      <c r="F2806" s="3" t="s">
        <v>45</v>
      </c>
      <c r="G2806" s="4">
        <v>29360</v>
      </c>
      <c r="H2806" s="3" t="s">
        <v>21</v>
      </c>
      <c r="I2806" s="3" t="s">
        <v>33</v>
      </c>
      <c r="J2806" s="5">
        <v>0</v>
      </c>
      <c r="K2806" s="3">
        <v>8888888</v>
      </c>
      <c r="L2806" s="3" t="s">
        <v>8306</v>
      </c>
      <c r="M2806" s="3" t="s">
        <v>5796</v>
      </c>
      <c r="N2806" s="3">
        <v>297</v>
      </c>
      <c r="O2806" s="3" t="s">
        <v>10108</v>
      </c>
      <c r="P2806" s="3" t="s">
        <v>70</v>
      </c>
      <c r="Q2806" s="3" t="s">
        <v>204</v>
      </c>
      <c r="R2806" s="3" t="s">
        <v>187</v>
      </c>
      <c r="S2806" s="3">
        <v>80020310</v>
      </c>
      <c r="U2806" s="3" t="s">
        <v>29</v>
      </c>
    </row>
    <row r="2807" spans="1:21" ht="13.2" x14ac:dyDescent="0.25">
      <c r="A2807" s="14">
        <v>4403408001307</v>
      </c>
      <c r="B2807" s="15" t="str">
        <f t="shared" si="43"/>
        <v>04.403.408/0013-07</v>
      </c>
      <c r="C2807" s="12" t="str">
        <f>VLOOKUP(B2807,[1]Planilha1!$A:$B,2,0)</f>
        <v>Malu Montesino</v>
      </c>
      <c r="D2807" s="3" t="s">
        <v>10109</v>
      </c>
      <c r="E2807" s="3" t="s">
        <v>10109</v>
      </c>
      <c r="F2807" s="3" t="s">
        <v>20</v>
      </c>
      <c r="G2807" s="4">
        <v>40661</v>
      </c>
      <c r="H2807" s="3" t="s">
        <v>21</v>
      </c>
      <c r="I2807" s="3" t="s">
        <v>33</v>
      </c>
      <c r="J2807" s="5">
        <v>1378760300</v>
      </c>
      <c r="K2807" s="3">
        <v>2751100</v>
      </c>
      <c r="L2807" s="3" t="s">
        <v>5780</v>
      </c>
      <c r="M2807" s="3" t="s">
        <v>10110</v>
      </c>
      <c r="N2807" s="3">
        <v>304</v>
      </c>
      <c r="O2807" s="3" t="s">
        <v>10111</v>
      </c>
      <c r="P2807" s="3" t="s">
        <v>10112</v>
      </c>
      <c r="Q2807" s="3" t="s">
        <v>8009</v>
      </c>
      <c r="R2807" s="3" t="s">
        <v>100</v>
      </c>
      <c r="S2807" s="3">
        <v>37642530</v>
      </c>
      <c r="T2807" s="3">
        <v>3534358321</v>
      </c>
      <c r="U2807" s="3" t="s">
        <v>29</v>
      </c>
    </row>
    <row r="2808" spans="1:21" ht="13.2" x14ac:dyDescent="0.25">
      <c r="A2808" s="14">
        <v>60775293000100</v>
      </c>
      <c r="B2808" s="15" t="str">
        <f t="shared" si="43"/>
        <v>60.775.293/0001-00</v>
      </c>
      <c r="C2808" s="12" t="str">
        <f>VLOOKUP(B2808,[1]Planilha1!$A:$B,2,0)</f>
        <v>Malu Montesino</v>
      </c>
      <c r="D2808" s="3" t="s">
        <v>10113</v>
      </c>
      <c r="E2808" s="3" t="s">
        <v>10114</v>
      </c>
      <c r="F2808" s="3" t="s">
        <v>20</v>
      </c>
      <c r="G2808" s="4">
        <v>26470</v>
      </c>
      <c r="H2808" s="3" t="s">
        <v>21</v>
      </c>
      <c r="I2808" s="3" t="s">
        <v>33</v>
      </c>
      <c r="J2808" s="5">
        <v>1361142</v>
      </c>
      <c r="K2808" s="3">
        <v>3032600</v>
      </c>
      <c r="L2808" s="3" t="s">
        <v>8116</v>
      </c>
      <c r="M2808" s="3" t="s">
        <v>10115</v>
      </c>
      <c r="N2808" s="3">
        <v>485</v>
      </c>
      <c r="P2808" s="3" t="s">
        <v>153</v>
      </c>
      <c r="Q2808" s="3" t="s">
        <v>2345</v>
      </c>
      <c r="R2808" s="3" t="s">
        <v>53</v>
      </c>
      <c r="S2808" s="3">
        <v>94930230</v>
      </c>
      <c r="T2808" s="3">
        <v>5133333978</v>
      </c>
      <c r="U2808" s="3" t="s">
        <v>29</v>
      </c>
    </row>
    <row r="2809" spans="1:21" ht="13.2" x14ac:dyDescent="0.25">
      <c r="A2809" s="14">
        <v>70940994000101</v>
      </c>
      <c r="B2809" s="15" t="str">
        <f t="shared" si="43"/>
        <v>70.940.994/0001-01</v>
      </c>
      <c r="C2809" s="12"/>
      <c r="D2809" s="3" t="s">
        <v>10116</v>
      </c>
      <c r="E2809" s="3" t="s">
        <v>10116</v>
      </c>
      <c r="F2809" s="3" t="s">
        <v>20</v>
      </c>
      <c r="G2809" s="4">
        <v>24350</v>
      </c>
      <c r="H2809" s="3" t="s">
        <v>21</v>
      </c>
      <c r="I2809" s="3" t="s">
        <v>33</v>
      </c>
      <c r="J2809" s="5">
        <v>209677250</v>
      </c>
      <c r="K2809" s="3">
        <v>1092900</v>
      </c>
      <c r="L2809" s="3" t="s">
        <v>3541</v>
      </c>
      <c r="M2809" s="3" t="s">
        <v>10117</v>
      </c>
      <c r="N2809" s="3">
        <v>628</v>
      </c>
      <c r="P2809" s="3" t="s">
        <v>7670</v>
      </c>
      <c r="Q2809" s="3" t="s">
        <v>357</v>
      </c>
      <c r="R2809" s="3" t="s">
        <v>28</v>
      </c>
      <c r="S2809" s="3">
        <v>7044020</v>
      </c>
      <c r="T2809" s="3">
        <v>1125739009</v>
      </c>
      <c r="U2809" s="3" t="s">
        <v>29</v>
      </c>
    </row>
    <row r="2810" spans="1:21" ht="13.2" x14ac:dyDescent="0.25">
      <c r="A2810" s="14">
        <v>1722296000117</v>
      </c>
      <c r="B2810" s="15" t="str">
        <f t="shared" si="43"/>
        <v>01.722.296/0001-17</v>
      </c>
      <c r="C2810" s="12" t="str">
        <f>VLOOKUP(B2810,[1]Planilha1!$A:$B,2,0)</f>
        <v>Mariane Nascimento</v>
      </c>
      <c r="D2810" s="3" t="s">
        <v>10118</v>
      </c>
      <c r="E2810" s="3" t="s">
        <v>10119</v>
      </c>
      <c r="F2810" s="3" t="s">
        <v>20</v>
      </c>
      <c r="G2810" s="4">
        <v>35514</v>
      </c>
      <c r="H2810" s="3" t="s">
        <v>21</v>
      </c>
      <c r="I2810" s="3" t="s">
        <v>33</v>
      </c>
      <c r="J2810" s="5">
        <v>2500000</v>
      </c>
      <c r="K2810" s="3">
        <v>4644301</v>
      </c>
      <c r="L2810" s="3" t="s">
        <v>326</v>
      </c>
      <c r="M2810" s="3" t="s">
        <v>10120</v>
      </c>
      <c r="N2810" s="3">
        <v>2382</v>
      </c>
      <c r="P2810" s="3" t="s">
        <v>10121</v>
      </c>
      <c r="Q2810" s="3" t="s">
        <v>667</v>
      </c>
      <c r="R2810" s="3" t="s">
        <v>301</v>
      </c>
      <c r="S2810" s="3">
        <v>60752694</v>
      </c>
      <c r="T2810" s="3">
        <v>8532568005</v>
      </c>
      <c r="U2810" s="3" t="s">
        <v>29</v>
      </c>
    </row>
    <row r="2811" spans="1:21" ht="13.2" x14ac:dyDescent="0.25">
      <c r="A2811" s="14">
        <v>18009871000131</v>
      </c>
      <c r="B2811" s="15" t="str">
        <f t="shared" si="43"/>
        <v>18.009.871/0001-31</v>
      </c>
      <c r="C2811" s="12"/>
      <c r="D2811" s="3" t="s">
        <v>10122</v>
      </c>
      <c r="E2811" s="3" t="s">
        <v>10123</v>
      </c>
      <c r="F2811" s="3" t="s">
        <v>20</v>
      </c>
      <c r="G2811" s="4">
        <v>41390</v>
      </c>
      <c r="H2811" s="3" t="s">
        <v>21</v>
      </c>
      <c r="I2811" s="3" t="s">
        <v>33</v>
      </c>
      <c r="J2811" s="5">
        <v>500000</v>
      </c>
      <c r="K2811" s="3">
        <v>6201501</v>
      </c>
      <c r="L2811" s="3" t="s">
        <v>298</v>
      </c>
      <c r="M2811" s="3" t="s">
        <v>10124</v>
      </c>
      <c r="N2811" s="9">
        <v>45908</v>
      </c>
      <c r="O2811" s="3" t="s">
        <v>10125</v>
      </c>
      <c r="P2811" s="3" t="s">
        <v>1195</v>
      </c>
      <c r="Q2811" s="3" t="s">
        <v>224</v>
      </c>
      <c r="R2811" s="3" t="s">
        <v>225</v>
      </c>
      <c r="S2811" s="3">
        <v>78048670</v>
      </c>
      <c r="T2811" s="3">
        <v>6584480108</v>
      </c>
      <c r="U2811" s="3" t="s">
        <v>29</v>
      </c>
    </row>
    <row r="2812" spans="1:21" ht="13.2" x14ac:dyDescent="0.25">
      <c r="A2812" s="14">
        <v>60675931000111</v>
      </c>
      <c r="B2812" s="15" t="str">
        <f t="shared" si="43"/>
        <v>60.675.931/0001-11</v>
      </c>
      <c r="C2812" s="12"/>
      <c r="D2812" s="3" t="s">
        <v>10126</v>
      </c>
      <c r="E2812" s="3" t="s">
        <v>10126</v>
      </c>
      <c r="F2812" s="3" t="s">
        <v>20</v>
      </c>
      <c r="G2812" s="4">
        <v>24336</v>
      </c>
      <c r="H2812" s="3" t="s">
        <v>21</v>
      </c>
      <c r="I2812" s="3" t="s">
        <v>22</v>
      </c>
      <c r="J2812" s="5">
        <v>400000</v>
      </c>
      <c r="K2812" s="3">
        <v>4761003</v>
      </c>
      <c r="L2812" s="3" t="s">
        <v>2086</v>
      </c>
      <c r="M2812" s="3" t="s">
        <v>645</v>
      </c>
      <c r="N2812" s="3">
        <v>399</v>
      </c>
      <c r="O2812" s="3" t="s">
        <v>2040</v>
      </c>
      <c r="P2812" s="3" t="s">
        <v>1752</v>
      </c>
      <c r="Q2812" s="3" t="s">
        <v>27</v>
      </c>
      <c r="R2812" s="3" t="s">
        <v>28</v>
      </c>
      <c r="S2812" s="3">
        <v>1205000</v>
      </c>
      <c r="T2812" s="3">
        <v>1129519669</v>
      </c>
      <c r="U2812" s="3" t="s">
        <v>29</v>
      </c>
    </row>
    <row r="2813" spans="1:21" ht="13.2" x14ac:dyDescent="0.25">
      <c r="A2813" s="14">
        <v>14666357000118</v>
      </c>
      <c r="B2813" s="15" t="str">
        <f t="shared" si="43"/>
        <v>14.666.357/0001-18</v>
      </c>
      <c r="C2813" s="12" t="str">
        <f>VLOOKUP(B2813,[1]Planilha1!$A:$B,2,0)</f>
        <v>Malu Montesino</v>
      </c>
      <c r="D2813" s="3" t="s">
        <v>10127</v>
      </c>
      <c r="E2813" s="3" t="s">
        <v>10127</v>
      </c>
      <c r="F2813" s="3" t="s">
        <v>20</v>
      </c>
      <c r="G2813" s="4">
        <v>40795</v>
      </c>
      <c r="H2813" s="3" t="s">
        <v>21</v>
      </c>
      <c r="I2813" s="3" t="s">
        <v>33</v>
      </c>
      <c r="J2813" s="5">
        <v>95524110</v>
      </c>
      <c r="K2813" s="3">
        <v>2825900</v>
      </c>
      <c r="L2813" s="3" t="s">
        <v>345</v>
      </c>
      <c r="M2813" s="3" t="s">
        <v>10128</v>
      </c>
      <c r="N2813" s="3">
        <v>1490</v>
      </c>
      <c r="P2813" s="3" t="s">
        <v>3252</v>
      </c>
      <c r="Q2813" s="3" t="s">
        <v>367</v>
      </c>
      <c r="R2813" s="3" t="s">
        <v>28</v>
      </c>
      <c r="S2813" s="3">
        <v>13422170</v>
      </c>
      <c r="T2813" s="3">
        <v>1934244487</v>
      </c>
      <c r="U2813" s="3" t="s">
        <v>29</v>
      </c>
    </row>
    <row r="2814" spans="1:21" ht="13.2" x14ac:dyDescent="0.25">
      <c r="A2814" s="14">
        <v>2816751000106</v>
      </c>
      <c r="B2814" s="15" t="str">
        <f t="shared" si="43"/>
        <v>02.816.751/0001-06</v>
      </c>
      <c r="C2814" s="12"/>
      <c r="D2814" s="3" t="s">
        <v>10129</v>
      </c>
      <c r="E2814" s="3" t="s">
        <v>10129</v>
      </c>
      <c r="F2814" s="3" t="s">
        <v>20</v>
      </c>
      <c r="G2814" s="4">
        <v>36098</v>
      </c>
      <c r="H2814" s="3" t="s">
        <v>21</v>
      </c>
      <c r="I2814" s="3" t="s">
        <v>33</v>
      </c>
      <c r="J2814" s="5">
        <v>4000000</v>
      </c>
      <c r="K2814" s="3">
        <v>6204000</v>
      </c>
      <c r="L2814" s="3" t="s">
        <v>2081</v>
      </c>
      <c r="M2814" s="3" t="s">
        <v>10130</v>
      </c>
      <c r="N2814" s="3">
        <v>8600</v>
      </c>
      <c r="O2814" s="3" t="s">
        <v>10131</v>
      </c>
      <c r="P2814" s="3" t="s">
        <v>10132</v>
      </c>
      <c r="Q2814" s="3" t="s">
        <v>107</v>
      </c>
      <c r="R2814" s="3" t="s">
        <v>91</v>
      </c>
      <c r="S2814" s="3">
        <v>88050000</v>
      </c>
      <c r="T2814" s="3">
        <v>4821067800</v>
      </c>
      <c r="U2814" s="3" t="s">
        <v>29</v>
      </c>
    </row>
    <row r="2815" spans="1:21" ht="13.2" x14ac:dyDescent="0.25">
      <c r="A2815" s="14">
        <v>32131851000160</v>
      </c>
      <c r="B2815" s="15" t="str">
        <f t="shared" si="43"/>
        <v>32.131.851/0001-60</v>
      </c>
      <c r="C2815" s="12"/>
      <c r="D2815" s="3" t="s">
        <v>10133</v>
      </c>
      <c r="E2815" s="3" t="s">
        <v>10134</v>
      </c>
      <c r="F2815" s="3" t="s">
        <v>20</v>
      </c>
      <c r="G2815" s="4">
        <v>43432</v>
      </c>
      <c r="H2815" s="3" t="s">
        <v>2634</v>
      </c>
      <c r="I2815" s="3" t="s">
        <v>33</v>
      </c>
      <c r="J2815" s="5">
        <v>0</v>
      </c>
      <c r="K2815" s="3">
        <v>6462000</v>
      </c>
      <c r="L2815" s="3" t="s">
        <v>250</v>
      </c>
      <c r="M2815" s="3" t="s">
        <v>10135</v>
      </c>
      <c r="N2815" s="3" t="s">
        <v>82</v>
      </c>
      <c r="O2815" s="3" t="s">
        <v>10136</v>
      </c>
      <c r="P2815" s="3" t="s">
        <v>10137</v>
      </c>
      <c r="R2815" s="3" t="s">
        <v>2637</v>
      </c>
      <c r="U2815" s="3" t="s">
        <v>29</v>
      </c>
    </row>
    <row r="2816" spans="1:21" ht="13.2" x14ac:dyDescent="0.25">
      <c r="A2816" s="14">
        <v>54823455000136</v>
      </c>
      <c r="B2816" s="15" t="str">
        <f t="shared" si="43"/>
        <v>54.823.455/0001-36</v>
      </c>
      <c r="C2816" s="12"/>
      <c r="D2816" s="3" t="s">
        <v>10138</v>
      </c>
      <c r="E2816" s="3" t="s">
        <v>10138</v>
      </c>
      <c r="F2816" s="3" t="s">
        <v>20</v>
      </c>
      <c r="G2816" s="4">
        <v>31288</v>
      </c>
      <c r="H2816" s="3" t="s">
        <v>21</v>
      </c>
      <c r="I2816" s="3" t="s">
        <v>33</v>
      </c>
      <c r="J2816" s="5">
        <v>211923970</v>
      </c>
      <c r="K2816" s="3">
        <v>8211300</v>
      </c>
      <c r="L2816" s="3" t="s">
        <v>166</v>
      </c>
      <c r="M2816" s="3" t="s">
        <v>10139</v>
      </c>
      <c r="N2816" s="3">
        <v>900</v>
      </c>
      <c r="P2816" s="3" t="s">
        <v>10140</v>
      </c>
      <c r="Q2816" s="3" t="s">
        <v>2822</v>
      </c>
      <c r="R2816" s="3" t="s">
        <v>28</v>
      </c>
      <c r="S2816" s="3">
        <v>12247015</v>
      </c>
      <c r="T2816" s="3">
        <v>1240093500</v>
      </c>
      <c r="U2816" s="3" t="s">
        <v>29</v>
      </c>
    </row>
    <row r="2817" spans="1:21" ht="13.2" x14ac:dyDescent="0.25">
      <c r="A2817" s="14">
        <v>92679331000118</v>
      </c>
      <c r="B2817" s="15" t="str">
        <f t="shared" si="43"/>
        <v>92.679.331/0001-18</v>
      </c>
      <c r="C2817" s="12"/>
      <c r="D2817" s="3" t="s">
        <v>10141</v>
      </c>
      <c r="E2817" s="3" t="s">
        <v>10141</v>
      </c>
      <c r="F2817" s="3" t="s">
        <v>20</v>
      </c>
      <c r="G2817" s="4">
        <v>26512</v>
      </c>
      <c r="H2817" s="3" t="s">
        <v>94</v>
      </c>
      <c r="I2817" s="3" t="s">
        <v>33</v>
      </c>
      <c r="J2817" s="5">
        <v>18000000</v>
      </c>
      <c r="K2817" s="3">
        <v>2631100</v>
      </c>
      <c r="L2817" s="3" t="s">
        <v>905</v>
      </c>
      <c r="M2817" s="3" t="s">
        <v>2507</v>
      </c>
      <c r="N2817" s="3">
        <v>530</v>
      </c>
      <c r="O2817" s="3" t="s">
        <v>10142</v>
      </c>
      <c r="P2817" s="3" t="s">
        <v>153</v>
      </c>
      <c r="Q2817" s="3" t="s">
        <v>2345</v>
      </c>
      <c r="R2817" s="3" t="s">
        <v>53</v>
      </c>
      <c r="S2817" s="3">
        <v>94930615</v>
      </c>
      <c r="T2817" s="3">
        <v>5132052100</v>
      </c>
      <c r="U2817" s="3" t="s">
        <v>29</v>
      </c>
    </row>
    <row r="2818" spans="1:21" ht="13.2" x14ac:dyDescent="0.25">
      <c r="A2818" s="14">
        <v>528016000171</v>
      </c>
      <c r="B2818" s="15" t="str">
        <f t="shared" si="43"/>
        <v>00.528.016/0001-71</v>
      </c>
      <c r="C2818" s="12"/>
      <c r="D2818" s="3" t="s">
        <v>10143</v>
      </c>
      <c r="E2818" s="3" t="s">
        <v>10143</v>
      </c>
      <c r="F2818" s="3" t="s">
        <v>20</v>
      </c>
      <c r="G2818" s="4">
        <v>34792</v>
      </c>
      <c r="H2818" s="3" t="s">
        <v>32</v>
      </c>
      <c r="I2818" s="3" t="s">
        <v>22</v>
      </c>
      <c r="J2818" s="5">
        <v>900000</v>
      </c>
      <c r="K2818" s="3">
        <v>7119799</v>
      </c>
      <c r="L2818" s="3" t="s">
        <v>5183</v>
      </c>
      <c r="M2818" s="3" t="s">
        <v>8350</v>
      </c>
      <c r="N2818" s="3">
        <v>429</v>
      </c>
      <c r="O2818" s="3" t="s">
        <v>10144</v>
      </c>
      <c r="P2818" s="3" t="s">
        <v>8352</v>
      </c>
      <c r="Q2818" s="3" t="s">
        <v>27</v>
      </c>
      <c r="R2818" s="3" t="s">
        <v>28</v>
      </c>
      <c r="S2818" s="3">
        <v>1533000</v>
      </c>
      <c r="T2818" s="3">
        <v>1134059690</v>
      </c>
      <c r="U2818" s="3" t="s">
        <v>29</v>
      </c>
    </row>
    <row r="2819" spans="1:21" ht="13.2" x14ac:dyDescent="0.25">
      <c r="A2819" s="14">
        <v>37076968000101</v>
      </c>
      <c r="B2819" s="15" t="str">
        <f t="shared" ref="B2819:B2882" si="44">TEXT(A2819,"00\.000\.000\/0000\-00")</f>
        <v>37.076.968/0001-01</v>
      </c>
      <c r="C2819" s="12"/>
      <c r="D2819" s="3" t="s">
        <v>10145</v>
      </c>
      <c r="E2819" s="3" t="s">
        <v>10146</v>
      </c>
      <c r="F2819" s="3" t="s">
        <v>20</v>
      </c>
      <c r="G2819" s="4">
        <v>43957</v>
      </c>
      <c r="H2819" s="3" t="s">
        <v>21</v>
      </c>
      <c r="I2819" s="3" t="s">
        <v>22</v>
      </c>
      <c r="J2819" s="5">
        <v>80000</v>
      </c>
      <c r="K2819" s="3">
        <v>4665600</v>
      </c>
      <c r="L2819" s="3" t="s">
        <v>4585</v>
      </c>
      <c r="M2819" s="3" t="s">
        <v>10147</v>
      </c>
      <c r="N2819" s="3" t="s">
        <v>111</v>
      </c>
      <c r="O2819" s="3" t="s">
        <v>10148</v>
      </c>
      <c r="P2819" s="3" t="s">
        <v>6904</v>
      </c>
      <c r="Q2819" s="3" t="s">
        <v>10149</v>
      </c>
      <c r="R2819" s="3" t="s">
        <v>91</v>
      </c>
      <c r="S2819" s="3">
        <v>89896000</v>
      </c>
      <c r="T2819" s="3">
        <v>5599347383</v>
      </c>
      <c r="U2819" s="3" t="s">
        <v>29</v>
      </c>
    </row>
    <row r="2820" spans="1:21" ht="13.2" x14ac:dyDescent="0.25">
      <c r="A2820" s="14">
        <v>55973366000139</v>
      </c>
      <c r="B2820" s="15" t="str">
        <f t="shared" si="44"/>
        <v>55.973.366/0001-39</v>
      </c>
      <c r="C2820" s="12"/>
      <c r="D2820" s="3" t="s">
        <v>10150</v>
      </c>
      <c r="E2820" s="3" t="s">
        <v>10150</v>
      </c>
      <c r="F2820" s="3" t="s">
        <v>20</v>
      </c>
      <c r="G2820" s="4">
        <v>24320</v>
      </c>
      <c r="H2820" s="3" t="s">
        <v>21</v>
      </c>
      <c r="I2820" s="3" t="s">
        <v>33</v>
      </c>
      <c r="J2820" s="5">
        <v>20000000</v>
      </c>
      <c r="K2820" s="3">
        <v>4647801</v>
      </c>
      <c r="L2820" s="3" t="s">
        <v>4947</v>
      </c>
      <c r="M2820" s="3" t="s">
        <v>10151</v>
      </c>
      <c r="N2820" s="3">
        <v>215</v>
      </c>
      <c r="O2820" s="3" t="s">
        <v>10152</v>
      </c>
      <c r="P2820" s="3" t="s">
        <v>10153</v>
      </c>
      <c r="Q2820" s="3" t="s">
        <v>524</v>
      </c>
      <c r="R2820" s="3" t="s">
        <v>28</v>
      </c>
      <c r="S2820" s="3">
        <v>14095270</v>
      </c>
      <c r="T2820" s="3">
        <v>1621017641</v>
      </c>
      <c r="U2820" s="3" t="s">
        <v>29</v>
      </c>
    </row>
    <row r="2821" spans="1:21" ht="13.2" x14ac:dyDescent="0.25">
      <c r="A2821" s="14">
        <v>74404278000160</v>
      </c>
      <c r="B2821" s="15" t="str">
        <f t="shared" si="44"/>
        <v>74.404.278/0001-60</v>
      </c>
      <c r="C2821" s="12"/>
      <c r="D2821" s="3" t="s">
        <v>10154</v>
      </c>
      <c r="E2821" s="3" t="s">
        <v>10154</v>
      </c>
      <c r="F2821" s="3" t="s">
        <v>20</v>
      </c>
      <c r="G2821" s="4">
        <v>34381</v>
      </c>
      <c r="H2821" s="3" t="s">
        <v>21</v>
      </c>
      <c r="I2821" s="3" t="s">
        <v>33</v>
      </c>
      <c r="J2821" s="5">
        <v>6977000</v>
      </c>
      <c r="K2821" s="3">
        <v>3104700</v>
      </c>
      <c r="L2821" s="3" t="s">
        <v>10155</v>
      </c>
      <c r="M2821" s="3" t="s">
        <v>10156</v>
      </c>
      <c r="N2821" s="3">
        <v>1901</v>
      </c>
      <c r="P2821" s="3" t="s">
        <v>1064</v>
      </c>
      <c r="Q2821" s="3" t="s">
        <v>524</v>
      </c>
      <c r="R2821" s="3" t="s">
        <v>28</v>
      </c>
      <c r="S2821" s="3">
        <v>14075310</v>
      </c>
      <c r="T2821" s="3">
        <v>1632358830</v>
      </c>
      <c r="U2821" s="3" t="s">
        <v>29</v>
      </c>
    </row>
    <row r="2822" spans="1:21" ht="13.2" x14ac:dyDescent="0.25">
      <c r="A2822" s="14">
        <v>60625829000101</v>
      </c>
      <c r="B2822" s="15" t="str">
        <f t="shared" si="44"/>
        <v>60.625.829/0001-01</v>
      </c>
      <c r="C2822" s="12" t="str">
        <f>VLOOKUP(B2822,[1]Planilha1!$A:$B,2,0)</f>
        <v>Malu Montesino</v>
      </c>
      <c r="D2822" s="3" t="s">
        <v>10157</v>
      </c>
      <c r="E2822" s="3" t="s">
        <v>10157</v>
      </c>
      <c r="F2822" s="3" t="s">
        <v>20</v>
      </c>
      <c r="G2822" s="4">
        <v>24321</v>
      </c>
      <c r="H2822" s="3" t="s">
        <v>21</v>
      </c>
      <c r="I2822" s="3" t="s">
        <v>33</v>
      </c>
      <c r="J2822" s="5">
        <v>58378064</v>
      </c>
      <c r="K2822" s="3">
        <v>4299599</v>
      </c>
      <c r="L2822" s="3" t="s">
        <v>1185</v>
      </c>
      <c r="M2822" s="3" t="s">
        <v>3661</v>
      </c>
      <c r="N2822" s="3">
        <v>524</v>
      </c>
      <c r="O2822" s="3" t="s">
        <v>3438</v>
      </c>
      <c r="P2822" s="3" t="s">
        <v>1740</v>
      </c>
      <c r="Q2822" s="3" t="s">
        <v>27</v>
      </c>
      <c r="R2822" s="3" t="s">
        <v>28</v>
      </c>
      <c r="S2822" s="3">
        <v>5424904</v>
      </c>
      <c r="T2822" s="3">
        <v>1130378400</v>
      </c>
      <c r="U2822" s="3" t="s">
        <v>29</v>
      </c>
    </row>
    <row r="2823" spans="1:21" ht="13.2" x14ac:dyDescent="0.25">
      <c r="A2823" s="14">
        <v>695584000167</v>
      </c>
      <c r="B2823" s="15" t="str">
        <f t="shared" si="44"/>
        <v>00.695.584/0001-67</v>
      </c>
      <c r="C2823" s="12"/>
      <c r="D2823" s="3" t="s">
        <v>10158</v>
      </c>
      <c r="E2823" s="3" t="s">
        <v>10158</v>
      </c>
      <c r="F2823" s="3" t="s">
        <v>20</v>
      </c>
      <c r="G2823" s="4">
        <v>34851</v>
      </c>
      <c r="H2823" s="3" t="s">
        <v>21</v>
      </c>
      <c r="I2823" s="3" t="s">
        <v>33</v>
      </c>
      <c r="J2823" s="5">
        <v>34804016</v>
      </c>
      <c r="K2823" s="3">
        <v>2930101</v>
      </c>
      <c r="L2823" s="3" t="s">
        <v>856</v>
      </c>
      <c r="M2823" s="3" t="s">
        <v>10159</v>
      </c>
      <c r="N2823" s="3" t="s">
        <v>111</v>
      </c>
      <c r="P2823" s="3" t="s">
        <v>9301</v>
      </c>
      <c r="Q2823" s="3" t="s">
        <v>10160</v>
      </c>
      <c r="R2823" s="3" t="s">
        <v>187</v>
      </c>
      <c r="S2823" s="3">
        <v>83420000</v>
      </c>
      <c r="U2823" s="3" t="s">
        <v>29</v>
      </c>
    </row>
    <row r="2824" spans="1:21" ht="13.2" x14ac:dyDescent="0.25">
      <c r="A2824" s="14">
        <v>53584165000114</v>
      </c>
      <c r="B2824" s="15" t="str">
        <f t="shared" si="44"/>
        <v>53.584.165/0001-14</v>
      </c>
      <c r="C2824" s="12" t="str">
        <f>VLOOKUP(B2824,[1]Planilha1!$A:$B,2,0)</f>
        <v>Mariane Nascimento</v>
      </c>
      <c r="D2824" s="3" t="s">
        <v>10161</v>
      </c>
      <c r="E2824" s="3" t="s">
        <v>10161</v>
      </c>
      <c r="F2824" s="3" t="s">
        <v>20</v>
      </c>
      <c r="G2824" s="4">
        <v>30824</v>
      </c>
      <c r="H2824" s="3" t="s">
        <v>21</v>
      </c>
      <c r="I2824" s="3" t="s">
        <v>33</v>
      </c>
      <c r="J2824" s="5" t="s">
        <v>10162</v>
      </c>
      <c r="K2824" s="3">
        <v>2790202</v>
      </c>
      <c r="L2824" s="3" t="s">
        <v>1703</v>
      </c>
      <c r="M2824" s="3" t="s">
        <v>10163</v>
      </c>
      <c r="N2824" s="3">
        <v>1175</v>
      </c>
      <c r="P2824" s="3" t="s">
        <v>846</v>
      </c>
      <c r="Q2824" s="3" t="s">
        <v>27</v>
      </c>
      <c r="R2824" s="3" t="s">
        <v>28</v>
      </c>
      <c r="S2824" s="3">
        <v>4615003</v>
      </c>
      <c r="T2824" s="3">
        <v>1150930830</v>
      </c>
      <c r="U2824" s="3" t="s">
        <v>29</v>
      </c>
    </row>
    <row r="2825" spans="1:21" ht="13.2" x14ac:dyDescent="0.25">
      <c r="A2825" s="14">
        <v>11165431000124</v>
      </c>
      <c r="B2825" s="15" t="str">
        <f t="shared" si="44"/>
        <v>11.165.431/0001-24</v>
      </c>
      <c r="C2825" s="12"/>
      <c r="D2825" s="3" t="s">
        <v>10164</v>
      </c>
      <c r="E2825" s="3" t="s">
        <v>10165</v>
      </c>
      <c r="F2825" s="3" t="s">
        <v>20</v>
      </c>
      <c r="G2825" s="4">
        <v>40066</v>
      </c>
      <c r="H2825" s="3" t="s">
        <v>21</v>
      </c>
      <c r="I2825" s="3" t="s">
        <v>22</v>
      </c>
      <c r="J2825" s="5">
        <v>80000</v>
      </c>
      <c r="K2825" s="3">
        <v>4530703</v>
      </c>
      <c r="L2825" s="3" t="s">
        <v>768</v>
      </c>
      <c r="M2825" s="3" t="s">
        <v>10166</v>
      </c>
      <c r="N2825" s="3">
        <v>383</v>
      </c>
      <c r="P2825" s="3" t="s">
        <v>10167</v>
      </c>
      <c r="Q2825" s="3" t="s">
        <v>357</v>
      </c>
      <c r="R2825" s="3" t="s">
        <v>28</v>
      </c>
      <c r="S2825" s="3">
        <v>7060091</v>
      </c>
      <c r="T2825" s="3">
        <v>1129377434</v>
      </c>
      <c r="U2825" s="3" t="s">
        <v>29</v>
      </c>
    </row>
    <row r="2826" spans="1:21" ht="13.2" x14ac:dyDescent="0.25">
      <c r="A2826" s="14">
        <v>62802012000197</v>
      </c>
      <c r="B2826" s="15" t="str">
        <f t="shared" si="44"/>
        <v>62.802.012/0001-97</v>
      </c>
      <c r="C2826" s="12" t="str">
        <f>VLOOKUP(B2826,[1]Planilha1!$A:$B,2,0)</f>
        <v>Mariane Nascimento</v>
      </c>
      <c r="D2826" s="3" t="s">
        <v>10168</v>
      </c>
      <c r="E2826" s="3" t="s">
        <v>246</v>
      </c>
      <c r="F2826" s="3" t="s">
        <v>20</v>
      </c>
      <c r="G2826" s="4">
        <v>25717</v>
      </c>
      <c r="H2826" s="3" t="s">
        <v>21</v>
      </c>
      <c r="I2826" s="3" t="s">
        <v>33</v>
      </c>
      <c r="J2826" s="5">
        <v>72364136</v>
      </c>
      <c r="K2826" s="3">
        <v>4211101</v>
      </c>
      <c r="L2826" s="3" t="s">
        <v>313</v>
      </c>
      <c r="M2826" s="3" t="s">
        <v>10169</v>
      </c>
      <c r="N2826" s="3">
        <v>270</v>
      </c>
      <c r="P2826" s="3" t="s">
        <v>10170</v>
      </c>
      <c r="Q2826" s="3" t="s">
        <v>1410</v>
      </c>
      <c r="R2826" s="3" t="s">
        <v>28</v>
      </c>
      <c r="S2826" s="3">
        <v>9195370</v>
      </c>
      <c r="T2826" s="3">
        <v>1145441630</v>
      </c>
      <c r="U2826" s="3" t="s">
        <v>29</v>
      </c>
    </row>
    <row r="2827" spans="1:21" ht="13.2" x14ac:dyDescent="0.25">
      <c r="A2827" s="14">
        <v>8371978000171</v>
      </c>
      <c r="B2827" s="15" t="str">
        <f t="shared" si="44"/>
        <v>08.371.978/0001-71</v>
      </c>
      <c r="C2827" s="12"/>
      <c r="D2827" s="3" t="s">
        <v>10171</v>
      </c>
      <c r="E2827" s="3" t="s">
        <v>10172</v>
      </c>
      <c r="F2827" s="3" t="s">
        <v>45</v>
      </c>
      <c r="G2827" s="4">
        <v>39001</v>
      </c>
      <c r="H2827" s="3" t="s">
        <v>46</v>
      </c>
      <c r="I2827" s="3" t="s">
        <v>22</v>
      </c>
      <c r="J2827" s="5">
        <v>40000</v>
      </c>
      <c r="K2827" s="3">
        <v>4713002</v>
      </c>
      <c r="L2827" s="3" t="s">
        <v>3153</v>
      </c>
      <c r="M2827" s="3" t="s">
        <v>8572</v>
      </c>
      <c r="N2827" s="3">
        <v>436</v>
      </c>
      <c r="P2827" s="3" t="s">
        <v>137</v>
      </c>
      <c r="Q2827" s="3" t="s">
        <v>27</v>
      </c>
      <c r="R2827" s="3" t="s">
        <v>28</v>
      </c>
      <c r="S2827" s="3">
        <v>5036000</v>
      </c>
      <c r="T2827" s="3">
        <v>1138324222</v>
      </c>
      <c r="U2827" s="3" t="s">
        <v>29</v>
      </c>
    </row>
    <row r="2828" spans="1:21" ht="13.2" x14ac:dyDescent="0.25">
      <c r="A2828" s="14">
        <v>1744153000106</v>
      </c>
      <c r="B2828" s="15" t="str">
        <f t="shared" si="44"/>
        <v>01.744.153/0001-06</v>
      </c>
      <c r="C2828" s="12"/>
      <c r="D2828" s="3" t="s">
        <v>10173</v>
      </c>
      <c r="E2828" s="3" t="s">
        <v>10174</v>
      </c>
      <c r="F2828" s="3" t="s">
        <v>20</v>
      </c>
      <c r="G2828" s="4">
        <v>35514</v>
      </c>
      <c r="H2828" s="3" t="s">
        <v>21</v>
      </c>
      <c r="I2828" s="3" t="s">
        <v>33</v>
      </c>
      <c r="J2828" s="5">
        <v>29300000</v>
      </c>
      <c r="K2828" s="3">
        <v>4211101</v>
      </c>
      <c r="L2828" s="3" t="s">
        <v>313</v>
      </c>
      <c r="M2828" s="3" t="s">
        <v>10175</v>
      </c>
      <c r="N2828" s="3">
        <v>420</v>
      </c>
      <c r="P2828" s="3" t="s">
        <v>10176</v>
      </c>
      <c r="Q2828" s="3" t="s">
        <v>10177</v>
      </c>
      <c r="R2828" s="3" t="s">
        <v>100</v>
      </c>
      <c r="S2828" s="3">
        <v>37890000</v>
      </c>
      <c r="T2828" s="3">
        <v>3535711797</v>
      </c>
      <c r="U2828" s="3" t="s">
        <v>29</v>
      </c>
    </row>
    <row r="2829" spans="1:21" ht="13.2" x14ac:dyDescent="0.25">
      <c r="A2829" s="14">
        <v>32043927000103</v>
      </c>
      <c r="B2829" s="15" t="str">
        <f t="shared" si="44"/>
        <v>32.043.927/0001-03</v>
      </c>
      <c r="C2829" s="12" t="str">
        <f>VLOOKUP(B2829,[1]Planilha1!$A:$B,2,0)</f>
        <v>Malu Montesino</v>
      </c>
      <c r="D2829" s="3" t="s">
        <v>10178</v>
      </c>
      <c r="E2829" s="3" t="s">
        <v>10179</v>
      </c>
      <c r="F2829" s="3" t="s">
        <v>20</v>
      </c>
      <c r="G2829" s="4">
        <v>43423</v>
      </c>
      <c r="H2829" s="3" t="s">
        <v>21</v>
      </c>
      <c r="I2829" s="3" t="s">
        <v>33</v>
      </c>
      <c r="J2829" s="5">
        <v>5046376</v>
      </c>
      <c r="K2829" s="3">
        <v>4211101</v>
      </c>
      <c r="L2829" s="3" t="s">
        <v>313</v>
      </c>
      <c r="M2829" s="3" t="s">
        <v>10180</v>
      </c>
      <c r="N2829" s="3">
        <v>50</v>
      </c>
      <c r="P2829" s="3" t="s">
        <v>10181</v>
      </c>
      <c r="Q2829" s="3" t="s">
        <v>10182</v>
      </c>
      <c r="R2829" s="3" t="s">
        <v>274</v>
      </c>
      <c r="S2829" s="3">
        <v>72874329</v>
      </c>
      <c r="T2829" s="3">
        <v>6191118367</v>
      </c>
      <c r="U2829" s="3" t="s">
        <v>29</v>
      </c>
    </row>
    <row r="2830" spans="1:21" ht="13.2" x14ac:dyDescent="0.25">
      <c r="A2830" s="14">
        <v>39822176000164</v>
      </c>
      <c r="B2830" s="15" t="str">
        <f t="shared" si="44"/>
        <v>39.822.176/0001-64</v>
      </c>
      <c r="C2830" s="12"/>
      <c r="D2830" s="3" t="s">
        <v>10183</v>
      </c>
      <c r="E2830" s="3" t="s">
        <v>10184</v>
      </c>
      <c r="F2830" s="3" t="s">
        <v>20</v>
      </c>
      <c r="G2830" s="4">
        <v>34479</v>
      </c>
      <c r="H2830" s="3" t="s">
        <v>21</v>
      </c>
      <c r="I2830" s="3" t="s">
        <v>22</v>
      </c>
      <c r="J2830" s="5">
        <v>850000</v>
      </c>
      <c r="K2830" s="3">
        <v>7911200</v>
      </c>
      <c r="L2830" s="3" t="s">
        <v>269</v>
      </c>
      <c r="M2830" s="3" t="s">
        <v>10185</v>
      </c>
      <c r="N2830" s="3">
        <v>90</v>
      </c>
      <c r="O2830" s="3" t="s">
        <v>7936</v>
      </c>
      <c r="P2830" s="3" t="s">
        <v>10186</v>
      </c>
      <c r="Q2830" s="3" t="s">
        <v>1253</v>
      </c>
      <c r="R2830" s="3" t="s">
        <v>765</v>
      </c>
      <c r="S2830" s="3">
        <v>29055320</v>
      </c>
      <c r="T2830" s="3">
        <v>2733572334</v>
      </c>
      <c r="U2830" s="3" t="s">
        <v>29</v>
      </c>
    </row>
    <row r="2831" spans="1:21" ht="13.2" x14ac:dyDescent="0.25">
      <c r="A2831" s="14">
        <v>15558909000137</v>
      </c>
      <c r="B2831" s="15" t="str">
        <f t="shared" si="44"/>
        <v>15.558.909/0001-37</v>
      </c>
      <c r="C2831" s="12" t="str">
        <f>VLOOKUP(B2831,[1]Planilha1!$A:$B,2,0)</f>
        <v>Malu Montesino</v>
      </c>
      <c r="D2831" s="3" t="s">
        <v>10187</v>
      </c>
      <c r="E2831" s="3" t="s">
        <v>10188</v>
      </c>
      <c r="F2831" s="3" t="s">
        <v>20</v>
      </c>
      <c r="G2831" s="4">
        <v>40995</v>
      </c>
      <c r="H2831" s="3" t="s">
        <v>21</v>
      </c>
      <c r="I2831" s="3" t="s">
        <v>33</v>
      </c>
      <c r="J2831" s="5">
        <v>626468</v>
      </c>
      <c r="K2831" s="3">
        <v>3319800</v>
      </c>
      <c r="L2831" s="3" t="s">
        <v>1394</v>
      </c>
      <c r="M2831" s="3" t="s">
        <v>10189</v>
      </c>
      <c r="N2831" s="3">
        <v>287</v>
      </c>
      <c r="O2831" s="3" t="s">
        <v>10190</v>
      </c>
      <c r="P2831" s="3" t="s">
        <v>1799</v>
      </c>
      <c r="Q2831" s="3" t="s">
        <v>688</v>
      </c>
      <c r="R2831" s="3" t="s">
        <v>28</v>
      </c>
      <c r="S2831" s="3">
        <v>6709046</v>
      </c>
      <c r="T2831" s="3">
        <v>1147028505</v>
      </c>
      <c r="U2831" s="3" t="s">
        <v>29</v>
      </c>
    </row>
    <row r="2832" spans="1:21" ht="13.2" x14ac:dyDescent="0.25">
      <c r="A2832" s="14">
        <v>4594741000107</v>
      </c>
      <c r="B2832" s="15" t="str">
        <f t="shared" si="44"/>
        <v>04.594.741/0001-07</v>
      </c>
      <c r="C2832" s="12"/>
      <c r="D2832" s="3" t="s">
        <v>10191</v>
      </c>
      <c r="E2832" s="3" t="s">
        <v>10191</v>
      </c>
      <c r="F2832" s="3" t="s">
        <v>20</v>
      </c>
      <c r="G2832" s="4">
        <v>37102</v>
      </c>
      <c r="H2832" s="3" t="s">
        <v>21</v>
      </c>
      <c r="I2832" s="3" t="s">
        <v>47</v>
      </c>
      <c r="J2832" s="5">
        <v>30000</v>
      </c>
      <c r="K2832" s="3">
        <v>7410203</v>
      </c>
      <c r="L2832" s="3" t="s">
        <v>10192</v>
      </c>
      <c r="M2832" s="3" t="s">
        <v>1058</v>
      </c>
      <c r="N2832" s="3">
        <v>55</v>
      </c>
      <c r="O2832" s="3" t="s">
        <v>10193</v>
      </c>
      <c r="P2832" s="3" t="s">
        <v>70</v>
      </c>
      <c r="Q2832" s="3" t="s">
        <v>471</v>
      </c>
      <c r="R2832" s="3" t="s">
        <v>28</v>
      </c>
      <c r="S2832" s="3">
        <v>9510120</v>
      </c>
      <c r="T2832" s="3">
        <v>1142286870</v>
      </c>
      <c r="U2832" s="3" t="s">
        <v>29</v>
      </c>
    </row>
    <row r="2833" spans="1:21" ht="13.2" x14ac:dyDescent="0.25">
      <c r="A2833" s="14">
        <v>55541130000123</v>
      </c>
      <c r="B2833" s="15" t="str">
        <f t="shared" si="44"/>
        <v>55.541.130/0001-23</v>
      </c>
      <c r="C2833" s="12"/>
      <c r="D2833" s="3" t="s">
        <v>10194</v>
      </c>
      <c r="E2833" s="3" t="s">
        <v>10194</v>
      </c>
      <c r="F2833" s="3" t="s">
        <v>20</v>
      </c>
      <c r="G2833" s="4">
        <v>31502</v>
      </c>
      <c r="H2833" s="3" t="s">
        <v>21</v>
      </c>
      <c r="I2833" s="3" t="s">
        <v>33</v>
      </c>
      <c r="J2833" s="5">
        <v>2660000</v>
      </c>
      <c r="K2833" s="3">
        <v>1533500</v>
      </c>
      <c r="L2833" s="3" t="s">
        <v>162</v>
      </c>
      <c r="M2833" s="3" t="s">
        <v>10195</v>
      </c>
      <c r="N2833" s="3" t="s">
        <v>10196</v>
      </c>
      <c r="P2833" s="3" t="s">
        <v>10197</v>
      </c>
      <c r="Q2833" s="3" t="s">
        <v>2472</v>
      </c>
      <c r="R2833" s="3" t="s">
        <v>28</v>
      </c>
      <c r="S2833" s="3">
        <v>16203041</v>
      </c>
      <c r="T2833" s="3">
        <v>1836435500</v>
      </c>
      <c r="U2833" s="3" t="s">
        <v>29</v>
      </c>
    </row>
    <row r="2834" spans="1:21" ht="13.2" x14ac:dyDescent="0.25">
      <c r="A2834" s="14">
        <v>3604238000114</v>
      </c>
      <c r="B2834" s="15" t="str">
        <f t="shared" si="44"/>
        <v>03.604.238/0001-14</v>
      </c>
      <c r="C2834" s="12"/>
      <c r="D2834" s="3" t="s">
        <v>10198</v>
      </c>
      <c r="E2834" s="3" t="s">
        <v>10198</v>
      </c>
      <c r="F2834" s="3" t="s">
        <v>20</v>
      </c>
      <c r="G2834" s="4">
        <v>31964</v>
      </c>
      <c r="H2834" s="3" t="s">
        <v>1550</v>
      </c>
      <c r="I2834" s="3" t="s">
        <v>22</v>
      </c>
      <c r="J2834" s="5">
        <v>128000</v>
      </c>
      <c r="K2834" s="3">
        <v>6920602</v>
      </c>
      <c r="L2834" s="3" t="s">
        <v>1022</v>
      </c>
      <c r="M2834" s="3" t="s">
        <v>10199</v>
      </c>
      <c r="N2834" s="3" t="s">
        <v>111</v>
      </c>
      <c r="O2834" s="3" t="s">
        <v>10200</v>
      </c>
      <c r="P2834" s="3" t="s">
        <v>10201</v>
      </c>
      <c r="Q2834" s="3" t="s">
        <v>631</v>
      </c>
      <c r="R2834" s="3" t="s">
        <v>632</v>
      </c>
      <c r="S2834" s="3">
        <v>70070120</v>
      </c>
      <c r="T2834" s="3">
        <v>6132260042</v>
      </c>
      <c r="U2834" s="3" t="s">
        <v>29</v>
      </c>
    </row>
    <row r="2835" spans="1:21" ht="13.2" x14ac:dyDescent="0.25">
      <c r="A2835" s="14">
        <v>1227691000123</v>
      </c>
      <c r="B2835" s="15" t="str">
        <f t="shared" si="44"/>
        <v>01.227.691/0001-23</v>
      </c>
      <c r="C2835" s="12" t="str">
        <f>VLOOKUP(B2835,[1]Planilha1!$A:$B,2,0)</f>
        <v>Mariane Nascimento</v>
      </c>
      <c r="D2835" s="3" t="s">
        <v>10202</v>
      </c>
      <c r="E2835" s="3" t="s">
        <v>10203</v>
      </c>
      <c r="F2835" s="3" t="s">
        <v>20</v>
      </c>
      <c r="G2835" s="4">
        <v>35195</v>
      </c>
      <c r="H2835" s="3" t="s">
        <v>21</v>
      </c>
      <c r="I2835" s="3" t="s">
        <v>33</v>
      </c>
      <c r="J2835" s="5">
        <v>500000</v>
      </c>
      <c r="K2835" s="3">
        <v>4691500</v>
      </c>
      <c r="L2835" s="3" t="s">
        <v>1850</v>
      </c>
      <c r="M2835" s="3" t="s">
        <v>10204</v>
      </c>
      <c r="N2835" s="3" t="s">
        <v>10205</v>
      </c>
      <c r="P2835" s="3" t="s">
        <v>10206</v>
      </c>
      <c r="Q2835" s="3" t="s">
        <v>324</v>
      </c>
      <c r="R2835" s="3" t="s">
        <v>28</v>
      </c>
      <c r="S2835" s="3">
        <v>17039760</v>
      </c>
      <c r="T2835" s="3">
        <v>1432038912</v>
      </c>
      <c r="U2835" s="3" t="s">
        <v>29</v>
      </c>
    </row>
    <row r="2836" spans="1:21" ht="13.2" x14ac:dyDescent="0.25">
      <c r="A2836" s="14">
        <v>12362999000106</v>
      </c>
      <c r="B2836" s="15" t="str">
        <f t="shared" si="44"/>
        <v>12.362.999/0001-06</v>
      </c>
      <c r="C2836" s="12"/>
      <c r="D2836" s="3" t="s">
        <v>10207</v>
      </c>
      <c r="E2836" s="3" t="s">
        <v>10207</v>
      </c>
      <c r="F2836" s="3" t="s">
        <v>20</v>
      </c>
      <c r="G2836" s="4">
        <v>40387</v>
      </c>
      <c r="H2836" s="3" t="s">
        <v>21</v>
      </c>
      <c r="I2836" s="3" t="s">
        <v>47</v>
      </c>
      <c r="J2836" s="5">
        <v>10000</v>
      </c>
      <c r="K2836" s="3">
        <v>4322302</v>
      </c>
      <c r="L2836" s="3" t="s">
        <v>5651</v>
      </c>
      <c r="M2836" s="3" t="s">
        <v>10208</v>
      </c>
      <c r="N2836" s="3">
        <v>131</v>
      </c>
      <c r="P2836" s="3" t="s">
        <v>10209</v>
      </c>
      <c r="Q2836" s="3" t="s">
        <v>27</v>
      </c>
      <c r="R2836" s="3" t="s">
        <v>28</v>
      </c>
      <c r="S2836" s="3">
        <v>3470100</v>
      </c>
      <c r="T2836" s="3">
        <v>1127836832</v>
      </c>
      <c r="U2836" s="3" t="s">
        <v>29</v>
      </c>
    </row>
    <row r="2837" spans="1:21" ht="13.2" x14ac:dyDescent="0.25">
      <c r="A2837" s="14">
        <v>67718874000150</v>
      </c>
      <c r="B2837" s="15" t="str">
        <f t="shared" si="44"/>
        <v>67.718.874/0001-50</v>
      </c>
      <c r="C2837" s="12" t="str">
        <f>VLOOKUP(B2837,[1]Planilha1!$A:$B,2,0)</f>
        <v>Malu Montesino</v>
      </c>
      <c r="D2837" s="3" t="s">
        <v>10210</v>
      </c>
      <c r="E2837" s="3" t="s">
        <v>10210</v>
      </c>
      <c r="F2837" s="3" t="s">
        <v>20</v>
      </c>
      <c r="G2837" s="4">
        <v>33688</v>
      </c>
      <c r="H2837" s="3" t="s">
        <v>21</v>
      </c>
      <c r="I2837" s="3" t="s">
        <v>33</v>
      </c>
      <c r="J2837" s="5">
        <v>15000000</v>
      </c>
      <c r="K2837" s="3">
        <v>4120400</v>
      </c>
      <c r="L2837" s="3" t="s">
        <v>87</v>
      </c>
      <c r="M2837" s="3" t="s">
        <v>9277</v>
      </c>
      <c r="N2837" s="3">
        <v>1785</v>
      </c>
      <c r="O2837" s="3" t="s">
        <v>10211</v>
      </c>
      <c r="P2837" s="3" t="s">
        <v>10212</v>
      </c>
      <c r="Q2837" s="3" t="s">
        <v>2608</v>
      </c>
      <c r="R2837" s="3" t="s">
        <v>28</v>
      </c>
      <c r="S2837" s="3">
        <v>11440002</v>
      </c>
      <c r="T2837" s="3">
        <v>1130443043</v>
      </c>
      <c r="U2837" s="3" t="s">
        <v>29</v>
      </c>
    </row>
    <row r="2838" spans="1:21" ht="13.2" x14ac:dyDescent="0.25">
      <c r="A2838" s="14">
        <v>1382559000196</v>
      </c>
      <c r="B2838" s="15" t="str">
        <f t="shared" si="44"/>
        <v>01.382.559/0001-96</v>
      </c>
      <c r="C2838" s="12" t="str">
        <f>VLOOKUP(B2838,[1]Planilha1!$A:$B,2,0)</f>
        <v>Malu Montesino</v>
      </c>
      <c r="D2838" s="3" t="s">
        <v>10213</v>
      </c>
      <c r="E2838" s="3" t="s">
        <v>10213</v>
      </c>
      <c r="F2838" s="3" t="s">
        <v>20</v>
      </c>
      <c r="G2838" s="4">
        <v>35291</v>
      </c>
      <c r="H2838" s="3" t="s">
        <v>94</v>
      </c>
      <c r="I2838" s="3" t="s">
        <v>33</v>
      </c>
      <c r="J2838" s="5">
        <v>23000000</v>
      </c>
      <c r="K2838" s="3">
        <v>4663000</v>
      </c>
      <c r="L2838" s="3" t="s">
        <v>128</v>
      </c>
      <c r="M2838" s="3" t="s">
        <v>9227</v>
      </c>
      <c r="N2838" s="3">
        <v>129</v>
      </c>
      <c r="P2838" s="3" t="s">
        <v>4157</v>
      </c>
      <c r="Q2838" s="3" t="s">
        <v>27</v>
      </c>
      <c r="R2838" s="3" t="s">
        <v>28</v>
      </c>
      <c r="S2838" s="3">
        <v>5007030</v>
      </c>
      <c r="T2838" s="3">
        <v>1138686599</v>
      </c>
      <c r="U2838" s="3" t="s">
        <v>29</v>
      </c>
    </row>
    <row r="2839" spans="1:21" ht="13.2" x14ac:dyDescent="0.25">
      <c r="A2839" s="14">
        <v>31565104000177</v>
      </c>
      <c r="B2839" s="15" t="str">
        <f t="shared" si="44"/>
        <v>31.565.104/0001-77</v>
      </c>
      <c r="C2839" s="12" t="str">
        <f>VLOOKUP(B2839,[1]Planilha1!$A:$B,2,0)</f>
        <v>Malu Montesino</v>
      </c>
      <c r="D2839" s="3" t="s">
        <v>10214</v>
      </c>
      <c r="E2839" s="3" t="s">
        <v>10214</v>
      </c>
      <c r="F2839" s="3" t="s">
        <v>20</v>
      </c>
      <c r="G2839" s="4">
        <v>30347</v>
      </c>
      <c r="H2839" s="3" t="s">
        <v>21</v>
      </c>
      <c r="I2839" s="3" t="s">
        <v>33</v>
      </c>
      <c r="J2839" s="5">
        <v>1537070500</v>
      </c>
      <c r="K2839" s="3">
        <v>8211300</v>
      </c>
      <c r="L2839" s="3" t="s">
        <v>166</v>
      </c>
      <c r="M2839" s="3" t="s">
        <v>1047</v>
      </c>
      <c r="N2839" s="3">
        <v>180</v>
      </c>
      <c r="O2839" s="3" t="s">
        <v>10215</v>
      </c>
      <c r="P2839" s="3" t="s">
        <v>1049</v>
      </c>
      <c r="Q2839" s="3" t="s">
        <v>27</v>
      </c>
      <c r="R2839" s="3" t="s">
        <v>28</v>
      </c>
      <c r="S2839" s="3">
        <v>4543000</v>
      </c>
      <c r="T2839" s="3">
        <v>1139055000</v>
      </c>
      <c r="U2839" s="3" t="s">
        <v>29</v>
      </c>
    </row>
    <row r="2840" spans="1:21" ht="13.2" x14ac:dyDescent="0.25">
      <c r="A2840" s="14">
        <v>48817398000180</v>
      </c>
      <c r="B2840" s="15" t="str">
        <f t="shared" si="44"/>
        <v>48.817.398/0001-80</v>
      </c>
      <c r="C2840" s="12" t="str">
        <f>VLOOKUP(B2840,[1]Planilha1!$A:$B,2,0)</f>
        <v>Malu Montesino</v>
      </c>
      <c r="D2840" s="3" t="s">
        <v>10216</v>
      </c>
      <c r="E2840" s="3" t="s">
        <v>10216</v>
      </c>
      <c r="F2840" s="3" t="s">
        <v>20</v>
      </c>
      <c r="G2840" s="4">
        <v>44901</v>
      </c>
      <c r="H2840" s="3" t="s">
        <v>21</v>
      </c>
      <c r="I2840" s="3" t="s">
        <v>33</v>
      </c>
      <c r="J2840" s="5">
        <v>21129264</v>
      </c>
      <c r="K2840" s="3">
        <v>4669999</v>
      </c>
      <c r="L2840" s="3" t="s">
        <v>558</v>
      </c>
      <c r="M2840" s="3" t="s">
        <v>10217</v>
      </c>
      <c r="N2840" s="3">
        <v>1117</v>
      </c>
      <c r="O2840" s="3" t="s">
        <v>6276</v>
      </c>
      <c r="P2840" s="3" t="s">
        <v>2613</v>
      </c>
      <c r="Q2840" s="3" t="s">
        <v>27</v>
      </c>
      <c r="R2840" s="3" t="s">
        <v>28</v>
      </c>
      <c r="S2840" s="3">
        <v>2518080</v>
      </c>
      <c r="T2840" s="3">
        <v>1138686218</v>
      </c>
      <c r="U2840" s="3" t="s">
        <v>29</v>
      </c>
    </row>
    <row r="2841" spans="1:21" ht="13.2" x14ac:dyDescent="0.25">
      <c r="A2841" s="14">
        <v>51784262000125</v>
      </c>
      <c r="B2841" s="15" t="str">
        <f t="shared" si="44"/>
        <v>51.784.262/0001-25</v>
      </c>
      <c r="C2841" s="12"/>
      <c r="D2841" s="3" t="s">
        <v>10218</v>
      </c>
      <c r="E2841" s="3" t="s">
        <v>10218</v>
      </c>
      <c r="F2841" s="3" t="s">
        <v>20</v>
      </c>
      <c r="G2841" s="4">
        <v>25597</v>
      </c>
      <c r="H2841" s="3" t="s">
        <v>21</v>
      </c>
      <c r="I2841" s="3" t="s">
        <v>33</v>
      </c>
      <c r="J2841" s="5">
        <v>199999950</v>
      </c>
      <c r="K2841" s="3">
        <v>2019399</v>
      </c>
      <c r="L2841" s="3" t="s">
        <v>1962</v>
      </c>
      <c r="M2841" s="3" t="s">
        <v>10219</v>
      </c>
      <c r="N2841" s="3">
        <v>1301</v>
      </c>
      <c r="P2841" s="3" t="s">
        <v>6750</v>
      </c>
      <c r="Q2841" s="3" t="s">
        <v>204</v>
      </c>
      <c r="R2841" s="3" t="s">
        <v>187</v>
      </c>
      <c r="S2841" s="3">
        <v>81460100</v>
      </c>
      <c r="T2841" s="3">
        <v>4133165237</v>
      </c>
      <c r="U2841" s="3" t="s">
        <v>29</v>
      </c>
    </row>
    <row r="2842" spans="1:21" ht="13.2" x14ac:dyDescent="0.25">
      <c r="A2842" s="14">
        <v>59664391000191</v>
      </c>
      <c r="B2842" s="15" t="str">
        <f t="shared" si="44"/>
        <v>59.664.391/0001-91</v>
      </c>
      <c r="C2842" s="12"/>
      <c r="D2842" s="3" t="s">
        <v>10220</v>
      </c>
      <c r="E2842" s="3" t="s">
        <v>10220</v>
      </c>
      <c r="F2842" s="3" t="s">
        <v>20</v>
      </c>
      <c r="G2842" s="4">
        <v>32451</v>
      </c>
      <c r="H2842" s="3" t="s">
        <v>21</v>
      </c>
      <c r="I2842" s="3" t="s">
        <v>33</v>
      </c>
      <c r="J2842" s="5">
        <v>115809590</v>
      </c>
      <c r="K2842" s="3">
        <v>2221800</v>
      </c>
      <c r="L2842" s="3" t="s">
        <v>2033</v>
      </c>
      <c r="M2842" s="3" t="s">
        <v>1942</v>
      </c>
      <c r="N2842" s="3">
        <v>852</v>
      </c>
      <c r="P2842" s="3" t="s">
        <v>3662</v>
      </c>
      <c r="Q2842" s="3" t="s">
        <v>217</v>
      </c>
      <c r="R2842" s="3" t="s">
        <v>28</v>
      </c>
      <c r="S2842" s="3">
        <v>9891902</v>
      </c>
      <c r="T2842" s="3">
        <v>1199999999</v>
      </c>
      <c r="U2842" s="3" t="s">
        <v>29</v>
      </c>
    </row>
    <row r="2843" spans="1:21" ht="13.2" x14ac:dyDescent="0.25">
      <c r="A2843" s="14">
        <v>59664391000868</v>
      </c>
      <c r="B2843" s="15" t="str">
        <f t="shared" si="44"/>
        <v>59.664.391/0008-68</v>
      </c>
      <c r="C2843" s="12"/>
      <c r="D2843" s="3" t="s">
        <v>10220</v>
      </c>
      <c r="E2843" s="3" t="s">
        <v>10221</v>
      </c>
      <c r="F2843" s="3" t="s">
        <v>45</v>
      </c>
      <c r="G2843" s="4">
        <v>39205</v>
      </c>
      <c r="H2843" s="3" t="s">
        <v>21</v>
      </c>
      <c r="I2843" s="3" t="s">
        <v>33</v>
      </c>
      <c r="J2843" s="5">
        <v>115809590</v>
      </c>
      <c r="K2843" s="3">
        <v>2032100</v>
      </c>
      <c r="L2843" s="3" t="s">
        <v>10222</v>
      </c>
      <c r="M2843" s="3" t="s">
        <v>1942</v>
      </c>
      <c r="N2843" s="3">
        <v>844</v>
      </c>
      <c r="P2843" s="3" t="s">
        <v>3662</v>
      </c>
      <c r="Q2843" s="3" t="s">
        <v>217</v>
      </c>
      <c r="R2843" s="3" t="s">
        <v>28</v>
      </c>
      <c r="S2843" s="3">
        <v>9891001</v>
      </c>
      <c r="T2843" s="3">
        <v>1143419622</v>
      </c>
      <c r="U2843" s="3" t="s">
        <v>29</v>
      </c>
    </row>
    <row r="2844" spans="1:21" ht="13.2" x14ac:dyDescent="0.25">
      <c r="A2844" s="14">
        <v>92080035000104</v>
      </c>
      <c r="B2844" s="15" t="str">
        <f t="shared" si="44"/>
        <v>92.080.035/0001-04</v>
      </c>
      <c r="C2844" s="12" t="str">
        <f>VLOOKUP(B2844,[1]Planilha1!$A:$B,2,0)</f>
        <v>Malu Montesino</v>
      </c>
      <c r="D2844" s="3" t="s">
        <v>10223</v>
      </c>
      <c r="E2844" s="3" t="s">
        <v>10223</v>
      </c>
      <c r="F2844" s="3" t="s">
        <v>20</v>
      </c>
      <c r="G2844" s="4">
        <v>32182</v>
      </c>
      <c r="H2844" s="3" t="s">
        <v>94</v>
      </c>
      <c r="I2844" s="3" t="s">
        <v>33</v>
      </c>
      <c r="J2844" s="5">
        <v>22043230</v>
      </c>
      <c r="K2844" s="3">
        <v>2622100</v>
      </c>
      <c r="L2844" s="3" t="s">
        <v>5714</v>
      </c>
      <c r="M2844" s="3" t="s">
        <v>4881</v>
      </c>
      <c r="N2844" s="3">
        <v>640</v>
      </c>
      <c r="P2844" s="3" t="s">
        <v>610</v>
      </c>
      <c r="Q2844" s="3" t="s">
        <v>603</v>
      </c>
      <c r="R2844" s="3" t="s">
        <v>53</v>
      </c>
      <c r="S2844" s="3">
        <v>94045420</v>
      </c>
      <c r="T2844" s="3">
        <v>5121266991</v>
      </c>
      <c r="U2844" s="3" t="s">
        <v>29</v>
      </c>
    </row>
    <row r="2845" spans="1:21" ht="13.2" x14ac:dyDescent="0.25">
      <c r="A2845" s="14">
        <v>47225693000184</v>
      </c>
      <c r="B2845" s="15" t="str">
        <f t="shared" si="44"/>
        <v>47.225.693/0001-84</v>
      </c>
      <c r="C2845" s="12" t="str">
        <f>VLOOKUP(B2845,[1]Planilha1!$A:$B,2,0)</f>
        <v>Malu Montesino</v>
      </c>
      <c r="D2845" s="3" t="s">
        <v>10224</v>
      </c>
      <c r="E2845" s="3" t="s">
        <v>10224</v>
      </c>
      <c r="F2845" s="3" t="s">
        <v>20</v>
      </c>
      <c r="G2845" s="4">
        <v>27653</v>
      </c>
      <c r="H2845" s="3" t="s">
        <v>21</v>
      </c>
      <c r="I2845" s="3" t="s">
        <v>33</v>
      </c>
      <c r="J2845" s="5">
        <v>16000000</v>
      </c>
      <c r="K2845" s="3">
        <v>4222701</v>
      </c>
      <c r="L2845" s="3" t="s">
        <v>1909</v>
      </c>
      <c r="M2845" s="3" t="s">
        <v>10225</v>
      </c>
      <c r="N2845" s="3">
        <v>1667</v>
      </c>
      <c r="P2845" s="3" t="s">
        <v>10226</v>
      </c>
      <c r="Q2845" s="3" t="s">
        <v>375</v>
      </c>
      <c r="R2845" s="3" t="s">
        <v>28</v>
      </c>
      <c r="S2845" s="3">
        <v>12335000</v>
      </c>
      <c r="T2845" s="3">
        <v>1239531133</v>
      </c>
      <c r="U2845" s="3" t="s">
        <v>29</v>
      </c>
    </row>
    <row r="2846" spans="1:21" ht="13.2" x14ac:dyDescent="0.25">
      <c r="A2846" s="14">
        <v>33000167000101</v>
      </c>
      <c r="B2846" s="15" t="str">
        <f t="shared" si="44"/>
        <v>33.000.167/0001-01</v>
      </c>
      <c r="C2846" s="12"/>
      <c r="D2846" s="3" t="s">
        <v>10227</v>
      </c>
      <c r="E2846" s="3" t="s">
        <v>10228</v>
      </c>
      <c r="F2846" s="3" t="s">
        <v>20</v>
      </c>
      <c r="G2846" s="4">
        <v>24378</v>
      </c>
      <c r="H2846" s="3" t="s">
        <v>3881</v>
      </c>
      <c r="I2846" s="3" t="s">
        <v>33</v>
      </c>
      <c r="J2846" s="5">
        <v>205431960000</v>
      </c>
      <c r="K2846" s="3">
        <v>1921700</v>
      </c>
      <c r="L2846" s="3" t="s">
        <v>10229</v>
      </c>
      <c r="M2846" s="3" t="s">
        <v>7242</v>
      </c>
      <c r="N2846" s="3">
        <v>65</v>
      </c>
      <c r="P2846" s="3" t="s">
        <v>70</v>
      </c>
      <c r="Q2846" s="3" t="s">
        <v>253</v>
      </c>
      <c r="R2846" s="3" t="s">
        <v>78</v>
      </c>
      <c r="S2846" s="3">
        <v>20031170</v>
      </c>
      <c r="T2846" s="3">
        <v>2121660000</v>
      </c>
      <c r="U2846" s="3" t="s">
        <v>29</v>
      </c>
    </row>
    <row r="2847" spans="1:21" ht="13.2" x14ac:dyDescent="0.25">
      <c r="A2847" s="14">
        <v>3613421000186</v>
      </c>
      <c r="B2847" s="15" t="str">
        <f t="shared" si="44"/>
        <v>03.613.421/0001-86</v>
      </c>
      <c r="C2847" s="12"/>
      <c r="D2847" s="3" t="s">
        <v>10230</v>
      </c>
      <c r="E2847" s="3" t="s">
        <v>10231</v>
      </c>
      <c r="F2847" s="3" t="s">
        <v>20</v>
      </c>
      <c r="G2847" s="4">
        <v>36549</v>
      </c>
      <c r="H2847" s="3" t="s">
        <v>94</v>
      </c>
      <c r="I2847" s="3" t="s">
        <v>33</v>
      </c>
      <c r="J2847" s="5">
        <v>23685496</v>
      </c>
      <c r="K2847" s="3">
        <v>1922599</v>
      </c>
      <c r="L2847" s="3" t="s">
        <v>3246</v>
      </c>
      <c r="M2847" s="3" t="s">
        <v>10232</v>
      </c>
      <c r="N2847" s="3">
        <v>2500</v>
      </c>
      <c r="P2847" s="3" t="s">
        <v>2434</v>
      </c>
      <c r="Q2847" s="3" t="s">
        <v>1701</v>
      </c>
      <c r="R2847" s="3" t="s">
        <v>100</v>
      </c>
      <c r="S2847" s="3">
        <v>32010090</v>
      </c>
      <c r="T2847" s="3">
        <v>3135069100</v>
      </c>
      <c r="U2847" s="3" t="s">
        <v>29</v>
      </c>
    </row>
    <row r="2848" spans="1:21" ht="13.2" x14ac:dyDescent="0.25">
      <c r="A2848" s="14">
        <v>67405936000173</v>
      </c>
      <c r="B2848" s="15" t="str">
        <f t="shared" si="44"/>
        <v>67.405.936/0001-73</v>
      </c>
      <c r="C2848" s="12" t="str">
        <f>VLOOKUP(B2848,[1]Planilha1!$A:$B,2,0)</f>
        <v>Malu Montesino</v>
      </c>
      <c r="D2848" s="3" t="s">
        <v>10233</v>
      </c>
      <c r="E2848" s="3" t="s">
        <v>10233</v>
      </c>
      <c r="F2848" s="3" t="s">
        <v>20</v>
      </c>
      <c r="G2848" s="4">
        <v>33606</v>
      </c>
      <c r="H2848" s="3" t="s">
        <v>21</v>
      </c>
      <c r="I2848" s="3" t="s">
        <v>33</v>
      </c>
      <c r="J2848" s="5">
        <v>7443979300</v>
      </c>
      <c r="K2848" s="3">
        <v>2910701</v>
      </c>
      <c r="L2848" s="3" t="s">
        <v>2241</v>
      </c>
      <c r="M2848" s="3" t="s">
        <v>10234</v>
      </c>
      <c r="N2848" s="3">
        <v>6901</v>
      </c>
      <c r="O2848" s="3" t="s">
        <v>10235</v>
      </c>
      <c r="P2848" s="3" t="s">
        <v>10236</v>
      </c>
      <c r="Q2848" s="3" t="s">
        <v>10237</v>
      </c>
      <c r="R2848" s="3" t="s">
        <v>78</v>
      </c>
      <c r="S2848" s="3">
        <v>27570000</v>
      </c>
      <c r="T2848" s="3">
        <v>2136874900</v>
      </c>
      <c r="U2848" s="3" t="s">
        <v>29</v>
      </c>
    </row>
    <row r="2849" spans="1:21" ht="13.2" x14ac:dyDescent="0.25">
      <c r="A2849" s="14">
        <v>67405936001730</v>
      </c>
      <c r="B2849" s="15" t="str">
        <f t="shared" si="44"/>
        <v>67.405.936/0017-30</v>
      </c>
      <c r="C2849" s="12"/>
      <c r="D2849" s="3" t="s">
        <v>10233</v>
      </c>
      <c r="E2849" s="3" t="s">
        <v>10233</v>
      </c>
      <c r="F2849" s="3" t="s">
        <v>45</v>
      </c>
      <c r="G2849" s="4">
        <v>42128</v>
      </c>
      <c r="H2849" s="3" t="s">
        <v>21</v>
      </c>
      <c r="I2849" s="3" t="s">
        <v>33</v>
      </c>
      <c r="J2849" s="5">
        <v>7443979300</v>
      </c>
      <c r="K2849" s="3">
        <v>2910701</v>
      </c>
      <c r="L2849" s="3" t="s">
        <v>2241</v>
      </c>
      <c r="M2849" s="3" t="s">
        <v>10234</v>
      </c>
      <c r="N2849" s="3">
        <v>5570</v>
      </c>
      <c r="O2849" s="3" t="s">
        <v>721</v>
      </c>
      <c r="P2849" s="3" t="s">
        <v>10236</v>
      </c>
      <c r="Q2849" s="3" t="s">
        <v>10237</v>
      </c>
      <c r="R2849" s="3" t="s">
        <v>78</v>
      </c>
      <c r="S2849" s="3">
        <v>27570000</v>
      </c>
      <c r="T2849" s="3">
        <v>2135064950</v>
      </c>
      <c r="U2849" s="3" t="s">
        <v>29</v>
      </c>
    </row>
    <row r="2850" spans="1:21" ht="13.2" x14ac:dyDescent="0.25">
      <c r="A2850" s="14">
        <v>26338155000126</v>
      </c>
      <c r="B2850" s="15" t="str">
        <f t="shared" si="44"/>
        <v>26.338.155/0001-26</v>
      </c>
      <c r="C2850" s="12"/>
      <c r="D2850" s="3" t="s">
        <v>10238</v>
      </c>
      <c r="E2850" s="3" t="s">
        <v>3646</v>
      </c>
      <c r="F2850" s="3" t="s">
        <v>20</v>
      </c>
      <c r="G2850" s="4">
        <v>42654</v>
      </c>
      <c r="H2850" s="3" t="s">
        <v>21</v>
      </c>
      <c r="I2850" s="3" t="s">
        <v>47</v>
      </c>
      <c r="J2850" s="5">
        <v>50000</v>
      </c>
      <c r="K2850" s="3">
        <v>8121400</v>
      </c>
      <c r="L2850" s="3" t="s">
        <v>494</v>
      </c>
      <c r="M2850" s="3" t="s">
        <v>10239</v>
      </c>
      <c r="N2850" s="3">
        <v>22</v>
      </c>
      <c r="O2850" s="3" t="s">
        <v>534</v>
      </c>
      <c r="P2850" s="3" t="s">
        <v>10240</v>
      </c>
      <c r="Q2850" s="3" t="s">
        <v>617</v>
      </c>
      <c r="R2850" s="3" t="s">
        <v>28</v>
      </c>
      <c r="S2850" s="3">
        <v>6412040</v>
      </c>
      <c r="T2850" s="3">
        <v>1141982355</v>
      </c>
      <c r="U2850" s="3" t="s">
        <v>29</v>
      </c>
    </row>
    <row r="2851" spans="1:21" ht="13.2" x14ac:dyDescent="0.25">
      <c r="A2851" s="14">
        <v>60881356000103</v>
      </c>
      <c r="B2851" s="15" t="str">
        <f t="shared" si="44"/>
        <v>60.881.356/0001-03</v>
      </c>
      <c r="C2851" s="12"/>
      <c r="D2851" s="3" t="s">
        <v>10241</v>
      </c>
      <c r="E2851" s="3" t="s">
        <v>10242</v>
      </c>
      <c r="F2851" s="3" t="s">
        <v>20</v>
      </c>
      <c r="G2851" s="4">
        <v>22101</v>
      </c>
      <c r="H2851" s="3" t="s">
        <v>1550</v>
      </c>
      <c r="I2851" s="3" t="s">
        <v>33</v>
      </c>
      <c r="J2851" s="5">
        <v>25000</v>
      </c>
      <c r="K2851" s="3">
        <v>6920602</v>
      </c>
      <c r="L2851" s="3" t="s">
        <v>1022</v>
      </c>
      <c r="M2851" s="3" t="s">
        <v>2340</v>
      </c>
      <c r="N2851" s="3">
        <v>3144</v>
      </c>
      <c r="O2851" s="3" t="s">
        <v>835</v>
      </c>
      <c r="P2851" s="3" t="s">
        <v>545</v>
      </c>
      <c r="Q2851" s="3" t="s">
        <v>27</v>
      </c>
      <c r="R2851" s="3" t="s">
        <v>28</v>
      </c>
      <c r="S2851" s="3">
        <v>1451000</v>
      </c>
      <c r="T2851" s="3">
        <v>1125059133</v>
      </c>
      <c r="U2851" s="3" t="s">
        <v>29</v>
      </c>
    </row>
    <row r="2852" spans="1:21" ht="13.2" x14ac:dyDescent="0.25">
      <c r="A2852" s="14">
        <v>5092471000190</v>
      </c>
      <c r="B2852" s="15" t="str">
        <f t="shared" si="44"/>
        <v>05.092.471/0001-90</v>
      </c>
      <c r="C2852" s="12"/>
      <c r="D2852" s="3" t="s">
        <v>10243</v>
      </c>
      <c r="E2852" s="3" t="s">
        <v>10243</v>
      </c>
      <c r="F2852" s="3" t="s">
        <v>20</v>
      </c>
      <c r="G2852" s="4">
        <v>37398</v>
      </c>
      <c r="H2852" s="3" t="s">
        <v>21</v>
      </c>
      <c r="I2852" s="3" t="s">
        <v>22</v>
      </c>
      <c r="J2852" s="5">
        <v>62200</v>
      </c>
      <c r="K2852" s="3">
        <v>2222600</v>
      </c>
      <c r="L2852" s="3" t="s">
        <v>183</v>
      </c>
      <c r="M2852" s="3" t="s">
        <v>4000</v>
      </c>
      <c r="N2852" s="3">
        <v>300</v>
      </c>
      <c r="P2852" s="3" t="s">
        <v>7423</v>
      </c>
      <c r="Q2852" s="3" t="s">
        <v>262</v>
      </c>
      <c r="R2852" s="3" t="s">
        <v>28</v>
      </c>
      <c r="S2852" s="3">
        <v>6278240</v>
      </c>
      <c r="T2852" s="3">
        <v>1169650639</v>
      </c>
      <c r="U2852" s="3" t="s">
        <v>29</v>
      </c>
    </row>
    <row r="2853" spans="1:21" ht="13.2" x14ac:dyDescent="0.25">
      <c r="A2853" s="14">
        <v>5287391000190</v>
      </c>
      <c r="B2853" s="15" t="str">
        <f t="shared" si="44"/>
        <v>05.287.391/0001-90</v>
      </c>
      <c r="C2853" s="12"/>
      <c r="D2853" s="3" t="s">
        <v>10244</v>
      </c>
      <c r="E2853" s="3" t="s">
        <v>10244</v>
      </c>
      <c r="F2853" s="3" t="s">
        <v>20</v>
      </c>
      <c r="G2853" s="4">
        <v>37519</v>
      </c>
      <c r="H2853" s="3" t="s">
        <v>21</v>
      </c>
      <c r="I2853" s="3" t="s">
        <v>22</v>
      </c>
      <c r="J2853" s="5">
        <v>100000</v>
      </c>
      <c r="K2853" s="3">
        <v>4645101</v>
      </c>
      <c r="L2853" s="3" t="s">
        <v>135</v>
      </c>
      <c r="M2853" s="3" t="s">
        <v>10245</v>
      </c>
      <c r="N2853" s="3">
        <v>150</v>
      </c>
      <c r="O2853" s="3" t="s">
        <v>10246</v>
      </c>
      <c r="P2853" s="3" t="s">
        <v>10247</v>
      </c>
      <c r="Q2853" s="3" t="s">
        <v>3558</v>
      </c>
      <c r="R2853" s="3" t="s">
        <v>187</v>
      </c>
      <c r="S2853" s="3">
        <v>83407836</v>
      </c>
      <c r="T2853" s="3">
        <v>4136753900</v>
      </c>
      <c r="U2853" s="3" t="s">
        <v>29</v>
      </c>
    </row>
    <row r="2854" spans="1:21" ht="13.2" x14ac:dyDescent="0.25">
      <c r="A2854" s="14">
        <v>8255734000123</v>
      </c>
      <c r="B2854" s="15" t="str">
        <f t="shared" si="44"/>
        <v>08.255.734/0001-23</v>
      </c>
      <c r="C2854" s="12"/>
      <c r="D2854" s="3" t="s">
        <v>10248</v>
      </c>
      <c r="E2854" s="3" t="s">
        <v>10249</v>
      </c>
      <c r="F2854" s="3" t="s">
        <v>20</v>
      </c>
      <c r="G2854" s="4">
        <v>38958</v>
      </c>
      <c r="H2854" s="3" t="s">
        <v>21</v>
      </c>
      <c r="I2854" s="3" t="s">
        <v>22</v>
      </c>
      <c r="J2854" s="5">
        <v>50000</v>
      </c>
      <c r="K2854" s="3">
        <v>4751201</v>
      </c>
      <c r="L2854" s="3" t="s">
        <v>23</v>
      </c>
      <c r="M2854" s="3" t="s">
        <v>10250</v>
      </c>
      <c r="N2854" s="3">
        <v>1674</v>
      </c>
      <c r="P2854" s="3" t="s">
        <v>10251</v>
      </c>
      <c r="Q2854" s="3" t="s">
        <v>1572</v>
      </c>
      <c r="R2854" s="3" t="s">
        <v>91</v>
      </c>
      <c r="S2854" s="3">
        <v>88132300</v>
      </c>
      <c r="T2854" s="3">
        <v>4832864820</v>
      </c>
      <c r="U2854" s="3" t="s">
        <v>29</v>
      </c>
    </row>
    <row r="2855" spans="1:21" ht="13.2" x14ac:dyDescent="0.25">
      <c r="A2855" s="14">
        <v>662315000102</v>
      </c>
      <c r="B2855" s="15" t="str">
        <f t="shared" si="44"/>
        <v>00.662.315/0001-02</v>
      </c>
      <c r="C2855" s="12"/>
      <c r="D2855" s="3" t="s">
        <v>10252</v>
      </c>
      <c r="E2855" s="3" t="s">
        <v>10253</v>
      </c>
      <c r="F2855" s="3" t="s">
        <v>20</v>
      </c>
      <c r="G2855" s="4">
        <v>34872</v>
      </c>
      <c r="H2855" s="3" t="s">
        <v>21</v>
      </c>
      <c r="I2855" s="3" t="s">
        <v>22</v>
      </c>
      <c r="J2855" s="5">
        <v>200000</v>
      </c>
      <c r="K2855" s="3">
        <v>7311400</v>
      </c>
      <c r="L2855" s="3" t="s">
        <v>656</v>
      </c>
      <c r="M2855" s="3" t="s">
        <v>10254</v>
      </c>
      <c r="N2855" s="3">
        <v>132</v>
      </c>
      <c r="P2855" s="3" t="s">
        <v>4550</v>
      </c>
      <c r="Q2855" s="3" t="s">
        <v>27</v>
      </c>
      <c r="R2855" s="3" t="s">
        <v>28</v>
      </c>
      <c r="S2855" s="3">
        <v>5632090</v>
      </c>
      <c r="T2855" s="3">
        <v>1137210700</v>
      </c>
      <c r="U2855" s="3" t="s">
        <v>29</v>
      </c>
    </row>
    <row r="2856" spans="1:21" ht="13.2" x14ac:dyDescent="0.25">
      <c r="A2856" s="14">
        <v>71699490000104</v>
      </c>
      <c r="B2856" s="15" t="str">
        <f t="shared" si="44"/>
        <v>71.699.490/0001-04</v>
      </c>
      <c r="C2856" s="12"/>
      <c r="D2856" s="3" t="s">
        <v>10255</v>
      </c>
      <c r="E2856" s="3" t="s">
        <v>10255</v>
      </c>
      <c r="F2856" s="3" t="s">
        <v>20</v>
      </c>
      <c r="G2856" s="4">
        <v>34131</v>
      </c>
      <c r="H2856" s="3" t="s">
        <v>21</v>
      </c>
      <c r="I2856" s="3" t="s">
        <v>33</v>
      </c>
      <c r="J2856" s="5">
        <v>503162340</v>
      </c>
      <c r="K2856" s="3">
        <v>4644301</v>
      </c>
      <c r="L2856" s="3" t="s">
        <v>326</v>
      </c>
      <c r="M2856" s="3" t="s">
        <v>4364</v>
      </c>
      <c r="N2856" s="7">
        <v>32501</v>
      </c>
      <c r="O2856" s="3" t="s">
        <v>10256</v>
      </c>
      <c r="P2856" s="3" t="s">
        <v>8536</v>
      </c>
      <c r="Q2856" s="3" t="s">
        <v>7035</v>
      </c>
      <c r="R2856" s="3" t="s">
        <v>28</v>
      </c>
      <c r="S2856" s="3">
        <v>6696000</v>
      </c>
      <c r="T2856" s="3">
        <v>1151858500</v>
      </c>
      <c r="U2856" s="3" t="s">
        <v>29</v>
      </c>
    </row>
    <row r="2857" spans="1:21" ht="13.2" x14ac:dyDescent="0.25">
      <c r="A2857" s="14">
        <v>27711659000102</v>
      </c>
      <c r="B2857" s="15" t="str">
        <f t="shared" si="44"/>
        <v>27.711.659/0001-02</v>
      </c>
      <c r="C2857" s="12"/>
      <c r="D2857" s="3" t="s">
        <v>10257</v>
      </c>
      <c r="E2857" s="3" t="s">
        <v>10258</v>
      </c>
      <c r="F2857" s="3" t="s">
        <v>20</v>
      </c>
      <c r="G2857" s="4">
        <v>42866</v>
      </c>
      <c r="H2857" s="3" t="s">
        <v>21</v>
      </c>
      <c r="I2857" s="3" t="s">
        <v>33</v>
      </c>
      <c r="J2857" s="5">
        <v>27737028</v>
      </c>
      <c r="K2857" s="3">
        <v>2121101</v>
      </c>
      <c r="L2857" s="3" t="s">
        <v>233</v>
      </c>
      <c r="M2857" s="3" t="s">
        <v>10259</v>
      </c>
      <c r="N2857" s="3">
        <v>1200</v>
      </c>
      <c r="P2857" s="3" t="s">
        <v>10260</v>
      </c>
      <c r="Q2857" s="3" t="s">
        <v>1317</v>
      </c>
      <c r="R2857" s="3" t="s">
        <v>187</v>
      </c>
      <c r="S2857" s="3">
        <v>83323210</v>
      </c>
      <c r="T2857" s="3">
        <v>4130330062</v>
      </c>
      <c r="U2857" s="3" t="s">
        <v>29</v>
      </c>
    </row>
    <row r="2858" spans="1:21" ht="13.2" x14ac:dyDescent="0.25">
      <c r="A2858" s="14">
        <v>10461807000185</v>
      </c>
      <c r="B2858" s="15" t="str">
        <f t="shared" si="44"/>
        <v>10.461.807/0001-85</v>
      </c>
      <c r="C2858" s="12"/>
      <c r="D2858" s="3" t="s">
        <v>10261</v>
      </c>
      <c r="E2858" s="3" t="s">
        <v>10262</v>
      </c>
      <c r="F2858" s="3" t="s">
        <v>20</v>
      </c>
      <c r="G2858" s="4">
        <v>39759</v>
      </c>
      <c r="H2858" s="3" t="s">
        <v>21</v>
      </c>
      <c r="I2858" s="3" t="s">
        <v>33</v>
      </c>
      <c r="J2858" s="5">
        <v>265000</v>
      </c>
      <c r="K2858" s="3">
        <v>4771702</v>
      </c>
      <c r="L2858" s="3" t="s">
        <v>3852</v>
      </c>
      <c r="M2858" s="3" t="s">
        <v>4334</v>
      </c>
      <c r="N2858" s="3">
        <v>208</v>
      </c>
      <c r="P2858" s="3" t="s">
        <v>4528</v>
      </c>
      <c r="Q2858" s="3" t="s">
        <v>476</v>
      </c>
      <c r="R2858" s="3" t="s">
        <v>100</v>
      </c>
      <c r="S2858" s="3">
        <v>30240230</v>
      </c>
      <c r="T2858" s="3">
        <v>3132231170</v>
      </c>
      <c r="U2858" s="3" t="s">
        <v>29</v>
      </c>
    </row>
    <row r="2859" spans="1:21" ht="13.2" x14ac:dyDescent="0.25">
      <c r="A2859" s="14">
        <v>39752926000179</v>
      </c>
      <c r="B2859" s="15" t="str">
        <f t="shared" si="44"/>
        <v>39.752.926/0001-79</v>
      </c>
      <c r="C2859" s="12" t="str">
        <f>VLOOKUP(B2859,[1]Planilha1!$A:$B,2,0)</f>
        <v>Malu Montesino</v>
      </c>
      <c r="D2859" s="3" t="s">
        <v>10263</v>
      </c>
      <c r="E2859" s="3" t="s">
        <v>10264</v>
      </c>
      <c r="F2859" s="3" t="s">
        <v>20</v>
      </c>
      <c r="G2859" s="4">
        <v>44146</v>
      </c>
      <c r="H2859" s="3" t="s">
        <v>21</v>
      </c>
      <c r="I2859" s="3" t="s">
        <v>47</v>
      </c>
      <c r="J2859" s="5">
        <v>5000</v>
      </c>
      <c r="K2859" s="3">
        <v>4649410</v>
      </c>
      <c r="L2859" s="3" t="s">
        <v>10265</v>
      </c>
      <c r="M2859" s="3" t="s">
        <v>10266</v>
      </c>
      <c r="N2859" s="3">
        <v>88</v>
      </c>
      <c r="P2859" s="3" t="s">
        <v>10267</v>
      </c>
      <c r="Q2859" s="3" t="s">
        <v>27</v>
      </c>
      <c r="R2859" s="3" t="s">
        <v>28</v>
      </c>
      <c r="S2859" s="3">
        <v>3880050</v>
      </c>
      <c r="T2859" s="3">
        <v>1129550761</v>
      </c>
      <c r="U2859" s="3" t="s">
        <v>29</v>
      </c>
    </row>
    <row r="2860" spans="1:21" ht="13.2" x14ac:dyDescent="0.25">
      <c r="A2860" s="14">
        <v>6039758000381</v>
      </c>
      <c r="B2860" s="15" t="str">
        <f t="shared" si="44"/>
        <v>06.039.758/0003-81</v>
      </c>
      <c r="C2860" s="12"/>
      <c r="D2860" s="3" t="s">
        <v>10268</v>
      </c>
      <c r="E2860" s="3" t="s">
        <v>10268</v>
      </c>
      <c r="F2860" s="3" t="s">
        <v>45</v>
      </c>
      <c r="G2860" s="4">
        <v>42705</v>
      </c>
      <c r="H2860" s="3" t="s">
        <v>21</v>
      </c>
      <c r="I2860" s="3" t="s">
        <v>33</v>
      </c>
      <c r="J2860" s="5">
        <v>2000000</v>
      </c>
      <c r="K2860" s="3">
        <v>4679699</v>
      </c>
      <c r="L2860" s="3" t="s">
        <v>40</v>
      </c>
      <c r="M2860" s="3" t="s">
        <v>10269</v>
      </c>
      <c r="N2860" s="3">
        <v>293</v>
      </c>
      <c r="P2860" s="3" t="s">
        <v>3997</v>
      </c>
      <c r="Q2860" s="3" t="s">
        <v>27</v>
      </c>
      <c r="R2860" s="3" t="s">
        <v>28</v>
      </c>
      <c r="S2860" s="3">
        <v>2187110</v>
      </c>
      <c r="T2860" s="3">
        <v>1122074829</v>
      </c>
      <c r="U2860" s="3" t="s">
        <v>29</v>
      </c>
    </row>
    <row r="2861" spans="1:21" ht="13.2" x14ac:dyDescent="0.25">
      <c r="A2861" s="14">
        <v>11283356000104</v>
      </c>
      <c r="B2861" s="15" t="str">
        <f t="shared" si="44"/>
        <v>11.283.356/0001-04</v>
      </c>
      <c r="C2861" s="12"/>
      <c r="D2861" s="3" t="s">
        <v>10270</v>
      </c>
      <c r="E2861" s="3" t="s">
        <v>10270</v>
      </c>
      <c r="F2861" s="3" t="s">
        <v>20</v>
      </c>
      <c r="G2861" s="4">
        <v>40112</v>
      </c>
      <c r="H2861" s="3" t="s">
        <v>94</v>
      </c>
      <c r="I2861" s="3" t="s">
        <v>33</v>
      </c>
      <c r="J2861" s="5">
        <v>126723260</v>
      </c>
      <c r="K2861" s="3">
        <v>6463800</v>
      </c>
      <c r="L2861" s="3" t="s">
        <v>458</v>
      </c>
      <c r="M2861" s="3" t="s">
        <v>10271</v>
      </c>
      <c r="N2861" s="3">
        <v>1330</v>
      </c>
      <c r="P2861" s="3" t="s">
        <v>8697</v>
      </c>
      <c r="Q2861" s="3" t="s">
        <v>204</v>
      </c>
      <c r="R2861" s="3" t="s">
        <v>187</v>
      </c>
      <c r="S2861" s="3">
        <v>82520060</v>
      </c>
      <c r="T2861" s="3">
        <v>4132187700</v>
      </c>
      <c r="U2861" s="3" t="s">
        <v>29</v>
      </c>
    </row>
    <row r="2862" spans="1:21" ht="13.2" x14ac:dyDescent="0.25">
      <c r="A2862" s="14">
        <v>61086336000103</v>
      </c>
      <c r="B2862" s="15" t="str">
        <f t="shared" si="44"/>
        <v>61.086.336/0001-03</v>
      </c>
      <c r="C2862" s="12" t="str">
        <f>VLOOKUP(B2862,[1]Planilha1!$A:$B,2,0)</f>
        <v>Malu Montesino</v>
      </c>
      <c r="D2862" s="3" t="s">
        <v>10272</v>
      </c>
      <c r="E2862" s="3" t="s">
        <v>10272</v>
      </c>
      <c r="F2862" s="3" t="s">
        <v>20</v>
      </c>
      <c r="G2862" s="4">
        <v>24289</v>
      </c>
      <c r="H2862" s="3" t="s">
        <v>21</v>
      </c>
      <c r="I2862" s="3" t="s">
        <v>33</v>
      </c>
      <c r="J2862" s="5">
        <v>3706663000</v>
      </c>
      <c r="K2862" s="3">
        <v>8211300</v>
      </c>
      <c r="L2862" s="3" t="s">
        <v>166</v>
      </c>
      <c r="M2862" s="3" t="s">
        <v>938</v>
      </c>
      <c r="N2862" s="3">
        <v>350</v>
      </c>
      <c r="O2862" s="3" t="s">
        <v>10273</v>
      </c>
      <c r="P2862" s="3" t="s">
        <v>940</v>
      </c>
      <c r="Q2862" s="3" t="s">
        <v>617</v>
      </c>
      <c r="R2862" s="3" t="s">
        <v>28</v>
      </c>
      <c r="S2862" s="3">
        <v>6455030</v>
      </c>
      <c r="T2862" s="3">
        <v>1199999999</v>
      </c>
      <c r="U2862" s="3" t="s">
        <v>29</v>
      </c>
    </row>
    <row r="2863" spans="1:21" ht="13.2" x14ac:dyDescent="0.25">
      <c r="A2863" s="14">
        <v>2545164000120</v>
      </c>
      <c r="B2863" s="15" t="str">
        <f t="shared" si="44"/>
        <v>02.545.164/0001-20</v>
      </c>
      <c r="C2863" s="12"/>
      <c r="D2863" s="3" t="s">
        <v>10274</v>
      </c>
      <c r="E2863" s="3" t="s">
        <v>10275</v>
      </c>
      <c r="F2863" s="3" t="s">
        <v>20</v>
      </c>
      <c r="G2863" s="4">
        <v>35936</v>
      </c>
      <c r="H2863" s="3" t="s">
        <v>21</v>
      </c>
      <c r="I2863" s="3" t="s">
        <v>22</v>
      </c>
      <c r="J2863" s="5">
        <v>245000</v>
      </c>
      <c r="K2863" s="3">
        <v>4789099</v>
      </c>
      <c r="L2863" s="3" t="s">
        <v>774</v>
      </c>
      <c r="M2863" s="3" t="s">
        <v>10276</v>
      </c>
      <c r="N2863" s="3">
        <v>661</v>
      </c>
      <c r="O2863" s="3" t="s">
        <v>10277</v>
      </c>
      <c r="P2863" s="3" t="s">
        <v>2797</v>
      </c>
      <c r="Q2863" s="3" t="s">
        <v>280</v>
      </c>
      <c r="R2863" s="3" t="s">
        <v>281</v>
      </c>
      <c r="S2863" s="3">
        <v>40230680</v>
      </c>
      <c r="T2863" s="3">
        <v>7133352988</v>
      </c>
      <c r="U2863" s="3" t="s">
        <v>29</v>
      </c>
    </row>
    <row r="2864" spans="1:21" ht="13.2" x14ac:dyDescent="0.25">
      <c r="A2864" s="14">
        <v>4827363000156</v>
      </c>
      <c r="B2864" s="15" t="str">
        <f t="shared" si="44"/>
        <v>04.827.363/0001-56</v>
      </c>
      <c r="C2864" s="12"/>
      <c r="D2864" s="3" t="s">
        <v>10278</v>
      </c>
      <c r="E2864" s="3" t="s">
        <v>10278</v>
      </c>
      <c r="F2864" s="3" t="s">
        <v>20</v>
      </c>
      <c r="G2864" s="4">
        <v>37225</v>
      </c>
      <c r="H2864" s="3" t="s">
        <v>21</v>
      </c>
      <c r="I2864" s="3" t="s">
        <v>22</v>
      </c>
      <c r="J2864" s="5">
        <v>90000</v>
      </c>
      <c r="K2864" s="3">
        <v>6203100</v>
      </c>
      <c r="L2864" s="3" t="s">
        <v>2268</v>
      </c>
      <c r="M2864" s="3" t="s">
        <v>5333</v>
      </c>
      <c r="N2864" s="3">
        <v>1139</v>
      </c>
      <c r="O2864" s="3" t="s">
        <v>10279</v>
      </c>
      <c r="P2864" s="3" t="s">
        <v>1019</v>
      </c>
      <c r="Q2864" s="3" t="s">
        <v>27</v>
      </c>
      <c r="R2864" s="3" t="s">
        <v>28</v>
      </c>
      <c r="S2864" s="3">
        <v>4571929</v>
      </c>
      <c r="T2864" s="3">
        <v>1133750349</v>
      </c>
      <c r="U2864" s="3" t="s">
        <v>29</v>
      </c>
    </row>
    <row r="2865" spans="1:21" ht="13.2" x14ac:dyDescent="0.25">
      <c r="A2865" s="14">
        <v>6029881000150</v>
      </c>
      <c r="B2865" s="15" t="str">
        <f t="shared" si="44"/>
        <v>06.029.881/0001-50</v>
      </c>
      <c r="C2865" s="12"/>
      <c r="D2865" s="3" t="s">
        <v>10280</v>
      </c>
      <c r="E2865" s="3" t="s">
        <v>10281</v>
      </c>
      <c r="F2865" s="3" t="s">
        <v>20</v>
      </c>
      <c r="G2865" s="4">
        <v>37909</v>
      </c>
      <c r="H2865" s="3" t="s">
        <v>21</v>
      </c>
      <c r="I2865" s="3" t="s">
        <v>33</v>
      </c>
      <c r="J2865" s="5">
        <v>100000</v>
      </c>
      <c r="K2865" s="3">
        <v>2439300</v>
      </c>
      <c r="L2865" s="3" t="s">
        <v>2941</v>
      </c>
      <c r="M2865" s="3" t="s">
        <v>10282</v>
      </c>
      <c r="N2865" s="3">
        <v>622</v>
      </c>
      <c r="P2865" s="3" t="s">
        <v>10283</v>
      </c>
      <c r="Q2865" s="3" t="s">
        <v>65</v>
      </c>
      <c r="R2865" s="3" t="s">
        <v>28</v>
      </c>
      <c r="S2865" s="3">
        <v>13051227</v>
      </c>
      <c r="T2865" s="3">
        <v>1932725747</v>
      </c>
      <c r="U2865" s="3" t="s">
        <v>29</v>
      </c>
    </row>
    <row r="2866" spans="1:21" ht="13.2" x14ac:dyDescent="0.25">
      <c r="A2866" s="14">
        <v>11396438000157</v>
      </c>
      <c r="B2866" s="15" t="str">
        <f t="shared" si="44"/>
        <v>11.396.438/0001-57</v>
      </c>
      <c r="C2866" s="12"/>
      <c r="D2866" s="3" t="s">
        <v>10284</v>
      </c>
      <c r="E2866" s="3" t="s">
        <v>10284</v>
      </c>
      <c r="F2866" s="3" t="s">
        <v>20</v>
      </c>
      <c r="G2866" s="4">
        <v>40148</v>
      </c>
      <c r="H2866" s="3" t="s">
        <v>94</v>
      </c>
      <c r="I2866" s="3" t="s">
        <v>33</v>
      </c>
      <c r="J2866" s="5">
        <v>30000000</v>
      </c>
      <c r="K2866" s="3">
        <v>7490199</v>
      </c>
      <c r="L2866" s="3" t="s">
        <v>1091</v>
      </c>
      <c r="M2866" s="3" t="s">
        <v>6717</v>
      </c>
      <c r="N2866" s="3">
        <v>4384</v>
      </c>
      <c r="O2866" s="3" t="s">
        <v>1251</v>
      </c>
      <c r="P2866" s="3" t="s">
        <v>2279</v>
      </c>
      <c r="Q2866" s="3" t="s">
        <v>929</v>
      </c>
      <c r="R2866" s="3" t="s">
        <v>28</v>
      </c>
      <c r="S2866" s="3">
        <v>6541038</v>
      </c>
      <c r="T2866" s="3">
        <v>1126267339</v>
      </c>
      <c r="U2866" s="3" t="s">
        <v>29</v>
      </c>
    </row>
    <row r="2867" spans="1:21" ht="13.2" x14ac:dyDescent="0.25">
      <c r="A2867" s="14">
        <v>33966398000174</v>
      </c>
      <c r="B2867" s="15" t="str">
        <f t="shared" si="44"/>
        <v>33.966.398/0001-74</v>
      </c>
      <c r="C2867" s="12"/>
      <c r="D2867" s="3" t="s">
        <v>10285</v>
      </c>
      <c r="E2867" s="3" t="s">
        <v>10286</v>
      </c>
      <c r="F2867" s="3" t="s">
        <v>20</v>
      </c>
      <c r="G2867" s="4">
        <v>43634</v>
      </c>
      <c r="H2867" s="3" t="s">
        <v>21</v>
      </c>
      <c r="I2867" s="3" t="s">
        <v>22</v>
      </c>
      <c r="J2867" s="5">
        <v>99800</v>
      </c>
      <c r="K2867" s="3">
        <v>6201501</v>
      </c>
      <c r="L2867" s="3" t="s">
        <v>298</v>
      </c>
      <c r="M2867" s="3" t="s">
        <v>10287</v>
      </c>
      <c r="N2867" s="3">
        <v>6195</v>
      </c>
      <c r="O2867" s="3" t="s">
        <v>4879</v>
      </c>
      <c r="P2867" s="3" t="s">
        <v>5000</v>
      </c>
      <c r="Q2867" s="3" t="s">
        <v>27</v>
      </c>
      <c r="R2867" s="3" t="s">
        <v>28</v>
      </c>
      <c r="S2867" s="3">
        <v>5724003</v>
      </c>
      <c r="T2867" s="3">
        <v>1125005965</v>
      </c>
      <c r="U2867" s="3" t="s">
        <v>29</v>
      </c>
    </row>
    <row r="2868" spans="1:21" ht="13.2" x14ac:dyDescent="0.25">
      <c r="A2868" s="14">
        <v>59600510000142</v>
      </c>
      <c r="B2868" s="15" t="str">
        <f t="shared" si="44"/>
        <v>59.600.510/0001-42</v>
      </c>
      <c r="C2868" s="12"/>
      <c r="D2868" s="3" t="s">
        <v>10288</v>
      </c>
      <c r="E2868" s="3" t="s">
        <v>10289</v>
      </c>
      <c r="F2868" s="3" t="s">
        <v>20</v>
      </c>
      <c r="G2868" s="4">
        <v>23397</v>
      </c>
      <c r="H2868" s="3" t="s">
        <v>21</v>
      </c>
      <c r="I2868" s="3" t="s">
        <v>33</v>
      </c>
      <c r="J2868" s="5">
        <v>19200000</v>
      </c>
      <c r="K2868" s="3">
        <v>2833000</v>
      </c>
      <c r="L2868" s="3" t="s">
        <v>151</v>
      </c>
      <c r="M2868" s="3" t="s">
        <v>10290</v>
      </c>
      <c r="N2868" s="3" t="s">
        <v>111</v>
      </c>
      <c r="O2868" s="3" t="s">
        <v>10291</v>
      </c>
      <c r="P2868" s="3" t="s">
        <v>10292</v>
      </c>
      <c r="Q2868" s="3" t="s">
        <v>2406</v>
      </c>
      <c r="R2868" s="3" t="s">
        <v>28</v>
      </c>
      <c r="S2868" s="3">
        <v>13578000</v>
      </c>
      <c r="T2868" s="3">
        <v>1633784222</v>
      </c>
      <c r="U2868" s="3" t="s">
        <v>29</v>
      </c>
    </row>
    <row r="2869" spans="1:21" ht="13.2" x14ac:dyDescent="0.25">
      <c r="A2869" s="14">
        <v>8858658000140</v>
      </c>
      <c r="B2869" s="15" t="str">
        <f t="shared" si="44"/>
        <v>08.858.658/0001-40</v>
      </c>
      <c r="C2869" s="12"/>
      <c r="D2869" s="3" t="s">
        <v>10293</v>
      </c>
      <c r="E2869" s="3" t="s">
        <v>10293</v>
      </c>
      <c r="F2869" s="3" t="s">
        <v>20</v>
      </c>
      <c r="G2869" s="4">
        <v>39224</v>
      </c>
      <c r="H2869" s="3" t="s">
        <v>8647</v>
      </c>
      <c r="I2869" s="3" t="s">
        <v>33</v>
      </c>
      <c r="J2869" s="5">
        <v>5000</v>
      </c>
      <c r="K2869" s="3">
        <v>6911701</v>
      </c>
      <c r="L2869" s="3" t="s">
        <v>1551</v>
      </c>
      <c r="M2869" s="3" t="s">
        <v>10294</v>
      </c>
      <c r="N2869" s="3">
        <v>240</v>
      </c>
      <c r="O2869" s="3" t="s">
        <v>10295</v>
      </c>
      <c r="P2869" s="3" t="s">
        <v>10296</v>
      </c>
      <c r="Q2869" s="3" t="s">
        <v>1410</v>
      </c>
      <c r="R2869" s="3" t="s">
        <v>28</v>
      </c>
      <c r="S2869" s="3">
        <v>9041020</v>
      </c>
      <c r="T2869" s="3">
        <v>1127594474</v>
      </c>
      <c r="U2869" s="3" t="s">
        <v>29</v>
      </c>
    </row>
    <row r="2870" spans="1:21" ht="13.2" x14ac:dyDescent="0.25">
      <c r="A2870" s="14">
        <v>22896431000110</v>
      </c>
      <c r="B2870" s="15" t="str">
        <f t="shared" si="44"/>
        <v>22.896.431/0001-10</v>
      </c>
      <c r="C2870" s="12"/>
      <c r="D2870" s="3" t="s">
        <v>10297</v>
      </c>
      <c r="E2870" s="3" t="s">
        <v>10298</v>
      </c>
      <c r="F2870" s="3" t="s">
        <v>20</v>
      </c>
      <c r="G2870" s="4">
        <v>42195</v>
      </c>
      <c r="H2870" s="3" t="s">
        <v>94</v>
      </c>
      <c r="I2870" s="3" t="s">
        <v>33</v>
      </c>
      <c r="J2870" s="5">
        <v>3359504100</v>
      </c>
      <c r="K2870" s="3">
        <v>6619399</v>
      </c>
      <c r="L2870" s="3" t="s">
        <v>4160</v>
      </c>
      <c r="M2870" s="3" t="s">
        <v>6647</v>
      </c>
      <c r="N2870" s="3">
        <v>291</v>
      </c>
      <c r="O2870" s="3" t="s">
        <v>10299</v>
      </c>
      <c r="P2870" s="3" t="s">
        <v>753</v>
      </c>
      <c r="Q2870" s="3" t="s">
        <v>27</v>
      </c>
      <c r="R2870" s="3" t="s">
        <v>28</v>
      </c>
      <c r="S2870" s="3">
        <v>5317020</v>
      </c>
      <c r="T2870" s="3">
        <v>2731800382</v>
      </c>
      <c r="U2870" s="3" t="s">
        <v>29</v>
      </c>
    </row>
    <row r="2871" spans="1:21" ht="13.2" x14ac:dyDescent="0.25">
      <c r="A2871" s="14">
        <v>1302778000118</v>
      </c>
      <c r="B2871" s="15" t="str">
        <f t="shared" si="44"/>
        <v>01.302.778/0001-18</v>
      </c>
      <c r="C2871" s="12" t="str">
        <f>VLOOKUP(B2871,[1]Planilha1!$A:$B,2,0)</f>
        <v>Malu Montesino</v>
      </c>
      <c r="D2871" s="3" t="s">
        <v>10300</v>
      </c>
      <c r="E2871" s="3" t="s">
        <v>10300</v>
      </c>
      <c r="F2871" s="3" t="s">
        <v>20</v>
      </c>
      <c r="G2871" s="4">
        <v>35235</v>
      </c>
      <c r="H2871" s="3" t="s">
        <v>21</v>
      </c>
      <c r="I2871" s="3" t="s">
        <v>33</v>
      </c>
      <c r="J2871" s="5">
        <v>58642910</v>
      </c>
      <c r="K2871" s="3">
        <v>2829199</v>
      </c>
      <c r="L2871" s="3" t="s">
        <v>1514</v>
      </c>
      <c r="M2871" s="3" t="s">
        <v>9985</v>
      </c>
      <c r="N2871" s="3">
        <v>156</v>
      </c>
      <c r="O2871" s="3" t="s">
        <v>10301</v>
      </c>
      <c r="P2871" s="3" t="s">
        <v>9986</v>
      </c>
      <c r="Q2871" s="3" t="s">
        <v>823</v>
      </c>
      <c r="R2871" s="3" t="s">
        <v>28</v>
      </c>
      <c r="S2871" s="3">
        <v>13293256</v>
      </c>
      <c r="T2871" s="3">
        <v>1939485252</v>
      </c>
      <c r="U2871" s="3" t="s">
        <v>29</v>
      </c>
    </row>
    <row r="2872" spans="1:21" ht="13.2" x14ac:dyDescent="0.25">
      <c r="A2872" s="14">
        <v>18899352000196</v>
      </c>
      <c r="B2872" s="15" t="str">
        <f t="shared" si="44"/>
        <v>18.899.352/0001-96</v>
      </c>
      <c r="C2872" s="12"/>
      <c r="D2872" s="3" t="s">
        <v>10302</v>
      </c>
      <c r="E2872" s="3" t="s">
        <v>10303</v>
      </c>
      <c r="F2872" s="3" t="s">
        <v>20</v>
      </c>
      <c r="G2872" s="4">
        <v>41535</v>
      </c>
      <c r="H2872" s="3" t="s">
        <v>21</v>
      </c>
      <c r="I2872" s="3" t="s">
        <v>47</v>
      </c>
      <c r="J2872" s="5">
        <v>270000</v>
      </c>
      <c r="K2872" s="3">
        <v>4751201</v>
      </c>
      <c r="L2872" s="3" t="s">
        <v>23</v>
      </c>
      <c r="M2872" s="3" t="s">
        <v>9277</v>
      </c>
      <c r="N2872" s="3">
        <v>1035</v>
      </c>
      <c r="O2872" s="3" t="s">
        <v>4696</v>
      </c>
      <c r="P2872" s="3" t="s">
        <v>10304</v>
      </c>
      <c r="Q2872" s="3" t="s">
        <v>199</v>
      </c>
      <c r="R2872" s="3" t="s">
        <v>792</v>
      </c>
      <c r="S2872" s="3">
        <v>66050100</v>
      </c>
      <c r="T2872" s="3">
        <v>9132221533</v>
      </c>
      <c r="U2872" s="3" t="s">
        <v>29</v>
      </c>
    </row>
    <row r="2873" spans="1:21" ht="13.2" x14ac:dyDescent="0.25">
      <c r="A2873" s="14">
        <v>91229096000110</v>
      </c>
      <c r="B2873" s="15" t="str">
        <f t="shared" si="44"/>
        <v>91.229.096/0001-10</v>
      </c>
      <c r="C2873" s="12"/>
      <c r="D2873" s="3" t="s">
        <v>10305</v>
      </c>
      <c r="E2873" s="3" t="s">
        <v>10305</v>
      </c>
      <c r="F2873" s="3" t="s">
        <v>20</v>
      </c>
      <c r="G2873" s="4">
        <v>31680</v>
      </c>
      <c r="H2873" s="3" t="s">
        <v>21</v>
      </c>
      <c r="I2873" s="3" t="s">
        <v>33</v>
      </c>
      <c r="J2873" s="5">
        <v>0</v>
      </c>
      <c r="K2873" s="3">
        <v>3102100</v>
      </c>
      <c r="L2873" s="3" t="s">
        <v>2301</v>
      </c>
      <c r="M2873" s="3" t="s">
        <v>10306</v>
      </c>
      <c r="N2873" s="3" t="s">
        <v>10307</v>
      </c>
      <c r="O2873" s="3" t="s">
        <v>2747</v>
      </c>
      <c r="P2873" s="3" t="s">
        <v>610</v>
      </c>
      <c r="Q2873" s="3" t="s">
        <v>10308</v>
      </c>
      <c r="R2873" s="3" t="s">
        <v>53</v>
      </c>
      <c r="S2873" s="3">
        <v>95190000</v>
      </c>
      <c r="U2873" s="3" t="s">
        <v>29</v>
      </c>
    </row>
    <row r="2874" spans="1:21" ht="13.2" x14ac:dyDescent="0.25">
      <c r="A2874" s="14">
        <v>48296321000101</v>
      </c>
      <c r="B2874" s="15" t="str">
        <f t="shared" si="44"/>
        <v>48.296.321/0001-01</v>
      </c>
      <c r="C2874" s="12"/>
      <c r="D2874" s="3" t="s">
        <v>10309</v>
      </c>
      <c r="E2874" s="3" t="s">
        <v>10309</v>
      </c>
      <c r="F2874" s="3" t="s">
        <v>20</v>
      </c>
      <c r="G2874" s="4">
        <v>29950</v>
      </c>
      <c r="H2874" s="3" t="s">
        <v>21</v>
      </c>
      <c r="I2874" s="3" t="s">
        <v>33</v>
      </c>
      <c r="J2874" s="5">
        <v>11947356</v>
      </c>
      <c r="K2874" s="3">
        <v>2869100</v>
      </c>
      <c r="L2874" s="3" t="s">
        <v>1416</v>
      </c>
      <c r="M2874" s="3" t="s">
        <v>10310</v>
      </c>
      <c r="N2874" s="3">
        <v>40</v>
      </c>
      <c r="P2874" s="3" t="s">
        <v>10311</v>
      </c>
      <c r="Q2874" s="3" t="s">
        <v>262</v>
      </c>
      <c r="R2874" s="3" t="s">
        <v>28</v>
      </c>
      <c r="S2874" s="3">
        <v>6276038</v>
      </c>
      <c r="T2874" s="3">
        <v>1136939500</v>
      </c>
      <c r="U2874" s="3" t="s">
        <v>29</v>
      </c>
    </row>
    <row r="2875" spans="1:21" ht="13.2" x14ac:dyDescent="0.25">
      <c r="A2875" s="14">
        <v>420900000198</v>
      </c>
      <c r="B2875" s="15" t="str">
        <f t="shared" si="44"/>
        <v>00.420.900/0001-98</v>
      </c>
      <c r="C2875" s="12"/>
      <c r="D2875" s="3" t="s">
        <v>10312</v>
      </c>
      <c r="E2875" s="3" t="s">
        <v>10312</v>
      </c>
      <c r="F2875" s="3" t="s">
        <v>20</v>
      </c>
      <c r="G2875" s="4">
        <v>34736</v>
      </c>
      <c r="H2875" s="3" t="s">
        <v>21</v>
      </c>
      <c r="I2875" s="3" t="s">
        <v>33</v>
      </c>
      <c r="J2875" s="5">
        <v>120000</v>
      </c>
      <c r="K2875" s="3">
        <v>6622300</v>
      </c>
      <c r="L2875" s="3" t="s">
        <v>1324</v>
      </c>
      <c r="M2875" s="3" t="s">
        <v>3121</v>
      </c>
      <c r="N2875" s="3">
        <v>921</v>
      </c>
      <c r="O2875" s="3" t="s">
        <v>10313</v>
      </c>
      <c r="P2875" s="3" t="s">
        <v>316</v>
      </c>
      <c r="Q2875" s="3" t="s">
        <v>27</v>
      </c>
      <c r="R2875" s="3" t="s">
        <v>28</v>
      </c>
      <c r="S2875" s="3">
        <v>4547003</v>
      </c>
      <c r="T2875" s="3">
        <v>1132663501</v>
      </c>
      <c r="U2875" s="3" t="s">
        <v>29</v>
      </c>
    </row>
    <row r="2876" spans="1:21" ht="13.2" x14ac:dyDescent="0.25">
      <c r="A2876" s="14">
        <v>11526507000108</v>
      </c>
      <c r="B2876" s="15" t="str">
        <f t="shared" si="44"/>
        <v>11.526.507/0001-08</v>
      </c>
      <c r="C2876" s="12"/>
      <c r="D2876" s="3" t="s">
        <v>10314</v>
      </c>
      <c r="E2876" s="3" t="s">
        <v>10315</v>
      </c>
      <c r="F2876" s="3" t="s">
        <v>20</v>
      </c>
      <c r="G2876" s="4">
        <v>40206</v>
      </c>
      <c r="H2876" s="3" t="s">
        <v>21</v>
      </c>
      <c r="I2876" s="3" t="s">
        <v>22</v>
      </c>
      <c r="J2876" s="5">
        <v>1010</v>
      </c>
      <c r="K2876" s="3">
        <v>4751201</v>
      </c>
      <c r="L2876" s="3" t="s">
        <v>23</v>
      </c>
      <c r="M2876" s="3" t="s">
        <v>10316</v>
      </c>
      <c r="N2876" s="3">
        <v>86</v>
      </c>
      <c r="P2876" s="3" t="s">
        <v>10317</v>
      </c>
      <c r="Q2876" s="3" t="s">
        <v>27</v>
      </c>
      <c r="R2876" s="3" t="s">
        <v>28</v>
      </c>
      <c r="S2876" s="3">
        <v>5211020</v>
      </c>
      <c r="T2876" s="3">
        <v>1193567752</v>
      </c>
      <c r="U2876" s="3" t="s">
        <v>29</v>
      </c>
    </row>
    <row r="2877" spans="1:21" ht="13.2" x14ac:dyDescent="0.25">
      <c r="A2877" s="14">
        <v>87833737000173</v>
      </c>
      <c r="B2877" s="15" t="str">
        <f t="shared" si="44"/>
        <v>87.833.737/0001-73</v>
      </c>
      <c r="C2877" s="12" t="str">
        <f>VLOOKUP(B2877,[1]Planilha1!$A:$B,2,0)</f>
        <v>Malu Montesino</v>
      </c>
      <c r="D2877" s="3" t="s">
        <v>10318</v>
      </c>
      <c r="E2877" s="3" t="s">
        <v>10318</v>
      </c>
      <c r="F2877" s="3" t="s">
        <v>20</v>
      </c>
      <c r="G2877" s="4">
        <v>26926</v>
      </c>
      <c r="H2877" s="3" t="s">
        <v>94</v>
      </c>
      <c r="I2877" s="3" t="s">
        <v>33</v>
      </c>
      <c r="J2877" s="5">
        <v>19200000</v>
      </c>
      <c r="K2877" s="3">
        <v>2222600</v>
      </c>
      <c r="L2877" s="3" t="s">
        <v>183</v>
      </c>
      <c r="M2877" s="3" t="s">
        <v>10319</v>
      </c>
      <c r="N2877" s="3">
        <v>15602</v>
      </c>
      <c r="P2877" s="3" t="s">
        <v>729</v>
      </c>
      <c r="Q2877" s="3" t="s">
        <v>730</v>
      </c>
      <c r="R2877" s="3" t="s">
        <v>53</v>
      </c>
      <c r="S2877" s="3">
        <v>95059520</v>
      </c>
      <c r="T2877" s="3">
        <v>5421018700</v>
      </c>
      <c r="U2877" s="3" t="s">
        <v>29</v>
      </c>
    </row>
    <row r="2878" spans="1:21" ht="13.2" x14ac:dyDescent="0.25">
      <c r="A2878" s="14">
        <v>53410742000151</v>
      </c>
      <c r="B2878" s="15" t="str">
        <f t="shared" si="44"/>
        <v>53.410.742/0001-51</v>
      </c>
      <c r="C2878" s="12"/>
      <c r="D2878" s="3" t="s">
        <v>10320</v>
      </c>
      <c r="E2878" s="3" t="s">
        <v>10321</v>
      </c>
      <c r="F2878" s="3" t="s">
        <v>20</v>
      </c>
      <c r="G2878" s="4">
        <v>24329</v>
      </c>
      <c r="H2878" s="3" t="s">
        <v>21</v>
      </c>
      <c r="I2878" s="3" t="s">
        <v>33</v>
      </c>
      <c r="J2878" s="5">
        <v>1500000</v>
      </c>
      <c r="K2878" s="3">
        <v>4741500</v>
      </c>
      <c r="L2878" s="3" t="s">
        <v>10322</v>
      </c>
      <c r="M2878" s="3" t="s">
        <v>518</v>
      </c>
      <c r="N2878" s="3">
        <v>1830</v>
      </c>
      <c r="P2878" s="3" t="s">
        <v>10323</v>
      </c>
      <c r="Q2878" s="3" t="s">
        <v>1924</v>
      </c>
      <c r="R2878" s="3" t="s">
        <v>28</v>
      </c>
      <c r="S2878" s="3">
        <v>19013000</v>
      </c>
      <c r="T2878" s="3">
        <v>1832299090</v>
      </c>
      <c r="U2878" s="3" t="s">
        <v>29</v>
      </c>
    </row>
    <row r="2879" spans="1:21" ht="13.2" x14ac:dyDescent="0.25">
      <c r="A2879" s="14">
        <v>5662773000238</v>
      </c>
      <c r="B2879" s="15" t="str">
        <f t="shared" si="44"/>
        <v>05.662.773/0002-38</v>
      </c>
      <c r="C2879" s="12" t="str">
        <f>VLOOKUP(B2879,[1]Planilha1!$A:$B,2,0)</f>
        <v>Malu Montesino</v>
      </c>
      <c r="D2879" s="3" t="s">
        <v>10324</v>
      </c>
      <c r="E2879" s="3" t="s">
        <v>10324</v>
      </c>
      <c r="F2879" s="3" t="s">
        <v>20</v>
      </c>
      <c r="G2879" s="4">
        <v>41473</v>
      </c>
      <c r="H2879" s="3" t="s">
        <v>94</v>
      </c>
      <c r="I2879" s="3" t="s">
        <v>33</v>
      </c>
      <c r="J2879" s="5">
        <v>54902412</v>
      </c>
      <c r="K2879" s="3">
        <v>6203100</v>
      </c>
      <c r="L2879" s="3" t="s">
        <v>2268</v>
      </c>
      <c r="M2879" s="3" t="s">
        <v>10325</v>
      </c>
      <c r="N2879" s="3">
        <v>315</v>
      </c>
      <c r="O2879" s="3" t="s">
        <v>10326</v>
      </c>
      <c r="P2879" s="3" t="s">
        <v>4015</v>
      </c>
      <c r="Q2879" s="3" t="s">
        <v>471</v>
      </c>
      <c r="R2879" s="3" t="s">
        <v>28</v>
      </c>
      <c r="S2879" s="3">
        <v>9530700</v>
      </c>
      <c r="T2879" s="3">
        <v>1121461300</v>
      </c>
      <c r="U2879" s="3" t="s">
        <v>29</v>
      </c>
    </row>
    <row r="2880" spans="1:21" ht="13.2" x14ac:dyDescent="0.25">
      <c r="A2880" s="14">
        <v>61075057000144</v>
      </c>
      <c r="B2880" s="15" t="str">
        <f t="shared" si="44"/>
        <v>61.075.057/0001-44</v>
      </c>
      <c r="C2880" s="12"/>
      <c r="D2880" s="3" t="s">
        <v>10327</v>
      </c>
      <c r="E2880" s="3" t="s">
        <v>10327</v>
      </c>
      <c r="F2880" s="3" t="s">
        <v>20</v>
      </c>
      <c r="G2880" s="4">
        <v>24484</v>
      </c>
      <c r="H2880" s="3" t="s">
        <v>21</v>
      </c>
      <c r="I2880" s="3" t="s">
        <v>33</v>
      </c>
      <c r="J2880" s="5">
        <v>729600</v>
      </c>
      <c r="K2880" s="3">
        <v>4672900</v>
      </c>
      <c r="L2880" s="3" t="s">
        <v>1389</v>
      </c>
      <c r="M2880" s="3" t="s">
        <v>4399</v>
      </c>
      <c r="N2880" s="3" t="s">
        <v>10328</v>
      </c>
      <c r="O2880" s="3">
        <v>143</v>
      </c>
      <c r="P2880" s="3" t="s">
        <v>142</v>
      </c>
      <c r="Q2880" s="3" t="s">
        <v>27</v>
      </c>
      <c r="R2880" s="3" t="s">
        <v>28</v>
      </c>
      <c r="S2880" s="3">
        <v>3040000</v>
      </c>
      <c r="U2880" s="3" t="s">
        <v>29</v>
      </c>
    </row>
    <row r="2881" spans="1:21" ht="13.2" x14ac:dyDescent="0.25">
      <c r="A2881" s="14">
        <v>29763995000124</v>
      </c>
      <c r="B2881" s="15" t="str">
        <f t="shared" si="44"/>
        <v>29.763.995/0001-24</v>
      </c>
      <c r="C2881" s="12"/>
      <c r="D2881" s="3" t="s">
        <v>10329</v>
      </c>
      <c r="E2881" s="3" t="s">
        <v>10329</v>
      </c>
      <c r="F2881" s="3" t="s">
        <v>20</v>
      </c>
      <c r="G2881" s="4">
        <v>43154</v>
      </c>
      <c r="H2881" s="3" t="s">
        <v>21</v>
      </c>
      <c r="I2881" s="3" t="s">
        <v>33</v>
      </c>
      <c r="J2881" s="5">
        <v>60241410</v>
      </c>
      <c r="K2881" s="3">
        <v>7020400</v>
      </c>
      <c r="L2881" s="3" t="s">
        <v>170</v>
      </c>
      <c r="M2881" s="3" t="s">
        <v>8245</v>
      </c>
      <c r="N2881" s="3">
        <v>1500</v>
      </c>
      <c r="O2881" s="3" t="s">
        <v>6752</v>
      </c>
      <c r="P2881" s="3" t="s">
        <v>70</v>
      </c>
      <c r="Q2881" s="3" t="s">
        <v>476</v>
      </c>
      <c r="R2881" s="3" t="s">
        <v>100</v>
      </c>
      <c r="S2881" s="3">
        <v>30130921</v>
      </c>
      <c r="T2881" s="3">
        <v>3131911000</v>
      </c>
      <c r="U2881" s="3" t="s">
        <v>29</v>
      </c>
    </row>
    <row r="2882" spans="1:21" ht="13.2" x14ac:dyDescent="0.25">
      <c r="A2882" s="14">
        <v>10924241000180</v>
      </c>
      <c r="B2882" s="15" t="str">
        <f t="shared" si="44"/>
        <v>10.924.241/0001-80</v>
      </c>
      <c r="C2882" s="12"/>
      <c r="D2882" s="3" t="s">
        <v>10330</v>
      </c>
      <c r="E2882" s="3" t="s">
        <v>10330</v>
      </c>
      <c r="F2882" s="3" t="s">
        <v>20</v>
      </c>
      <c r="G2882" s="4">
        <v>39973</v>
      </c>
      <c r="H2882" s="3" t="s">
        <v>32</v>
      </c>
      <c r="I2882" s="3" t="s">
        <v>22</v>
      </c>
      <c r="J2882" s="5">
        <v>400000</v>
      </c>
      <c r="K2882" s="3">
        <v>6920602</v>
      </c>
      <c r="L2882" s="3" t="s">
        <v>1022</v>
      </c>
      <c r="M2882" s="3" t="s">
        <v>10331</v>
      </c>
      <c r="N2882" s="3">
        <v>462</v>
      </c>
      <c r="O2882" s="3" t="s">
        <v>2676</v>
      </c>
      <c r="P2882" s="3" t="s">
        <v>1740</v>
      </c>
      <c r="Q2882" s="3" t="s">
        <v>27</v>
      </c>
      <c r="R2882" s="3" t="s">
        <v>28</v>
      </c>
      <c r="S2882" s="3">
        <v>5410000</v>
      </c>
      <c r="T2882" s="3">
        <v>1130701000</v>
      </c>
      <c r="U2882" s="3" t="s">
        <v>29</v>
      </c>
    </row>
    <row r="2883" spans="1:21" ht="13.2" x14ac:dyDescent="0.25">
      <c r="A2883" s="14">
        <v>700460000122</v>
      </c>
      <c r="B2883" s="15" t="str">
        <f t="shared" ref="B2883:B2946" si="45">TEXT(A2883,"00\.000\.000\/0000\-00")</f>
        <v>00.700.460/0001-22</v>
      </c>
      <c r="C2883" s="12"/>
      <c r="D2883" s="3" t="s">
        <v>10332</v>
      </c>
      <c r="E2883" s="3" t="s">
        <v>10333</v>
      </c>
      <c r="F2883" s="3" t="s">
        <v>20</v>
      </c>
      <c r="G2883" s="4">
        <v>34894</v>
      </c>
      <c r="H2883" s="3" t="s">
        <v>21</v>
      </c>
      <c r="I2883" s="3" t="s">
        <v>33</v>
      </c>
      <c r="J2883" s="5">
        <v>249832800</v>
      </c>
      <c r="K2883" s="3">
        <v>2330399</v>
      </c>
      <c r="L2883" s="3" t="s">
        <v>3269</v>
      </c>
      <c r="M2883" s="3" t="s">
        <v>10334</v>
      </c>
      <c r="N2883" s="3">
        <v>333</v>
      </c>
      <c r="P2883" s="3" t="s">
        <v>3116</v>
      </c>
      <c r="Q2883" s="3" t="s">
        <v>3193</v>
      </c>
      <c r="R2883" s="3" t="s">
        <v>28</v>
      </c>
      <c r="S2883" s="3">
        <v>8735270</v>
      </c>
      <c r="T2883" s="3">
        <v>1131865911</v>
      </c>
      <c r="U2883" s="3" t="s">
        <v>29</v>
      </c>
    </row>
    <row r="2884" spans="1:21" ht="13.2" x14ac:dyDescent="0.25">
      <c r="A2884" s="14">
        <v>2404816000106</v>
      </c>
      <c r="B2884" s="15" t="str">
        <f t="shared" si="45"/>
        <v>02.404.816/0001-06</v>
      </c>
      <c r="C2884" s="12" t="str">
        <f>VLOOKUP(B2884,[1]Planilha1!$A:$B,2,0)</f>
        <v>Malu Montesino</v>
      </c>
      <c r="D2884" s="3" t="s">
        <v>10335</v>
      </c>
      <c r="E2884" s="3" t="s">
        <v>1465</v>
      </c>
      <c r="F2884" s="3" t="s">
        <v>20</v>
      </c>
      <c r="G2884" s="4">
        <v>35855</v>
      </c>
      <c r="H2884" s="3" t="s">
        <v>21</v>
      </c>
      <c r="I2884" s="3" t="s">
        <v>33</v>
      </c>
      <c r="J2884" s="5">
        <v>10500000</v>
      </c>
      <c r="K2884" s="3">
        <v>2865800</v>
      </c>
      <c r="L2884" s="3" t="s">
        <v>2353</v>
      </c>
      <c r="M2884" s="3" t="s">
        <v>10336</v>
      </c>
      <c r="N2884" s="3" t="s">
        <v>82</v>
      </c>
      <c r="O2884" s="3" t="s">
        <v>10337</v>
      </c>
      <c r="P2884" s="3" t="s">
        <v>10338</v>
      </c>
      <c r="Q2884" s="3" t="s">
        <v>4871</v>
      </c>
      <c r="R2884" s="3" t="s">
        <v>91</v>
      </c>
      <c r="S2884" s="3">
        <v>89620000</v>
      </c>
      <c r="T2884" s="3">
        <v>4935417400</v>
      </c>
      <c r="U2884" s="3" t="s">
        <v>29</v>
      </c>
    </row>
    <row r="2885" spans="1:21" ht="13.2" x14ac:dyDescent="0.25">
      <c r="A2885" s="14">
        <v>37021136000198</v>
      </c>
      <c r="B2885" s="15" t="str">
        <f t="shared" si="45"/>
        <v>37.021.136/0001-98</v>
      </c>
      <c r="C2885" s="12"/>
      <c r="D2885" s="3" t="s">
        <v>10339</v>
      </c>
      <c r="E2885" s="3" t="s">
        <v>10339</v>
      </c>
      <c r="F2885" s="3" t="s">
        <v>20</v>
      </c>
      <c r="G2885" s="4">
        <v>33521</v>
      </c>
      <c r="H2885" s="3" t="s">
        <v>21</v>
      </c>
      <c r="I2885" s="3" t="s">
        <v>33</v>
      </c>
      <c r="J2885" s="5">
        <v>16000000</v>
      </c>
      <c r="K2885" s="3">
        <v>2930101</v>
      </c>
      <c r="L2885" s="3" t="s">
        <v>856</v>
      </c>
      <c r="M2885" s="3" t="s">
        <v>10340</v>
      </c>
      <c r="N2885" s="3">
        <v>1300</v>
      </c>
      <c r="O2885" s="3" t="s">
        <v>10341</v>
      </c>
      <c r="P2885" s="3" t="s">
        <v>10342</v>
      </c>
      <c r="Q2885" s="3" t="s">
        <v>273</v>
      </c>
      <c r="R2885" s="3" t="s">
        <v>274</v>
      </c>
      <c r="S2885" s="3">
        <v>74463360</v>
      </c>
      <c r="T2885" s="3">
        <v>6232372400</v>
      </c>
      <c r="U2885" s="3" t="s">
        <v>29</v>
      </c>
    </row>
    <row r="2886" spans="1:21" ht="13.2" x14ac:dyDescent="0.25">
      <c r="A2886" s="14">
        <v>20345162000179</v>
      </c>
      <c r="B2886" s="15" t="str">
        <f t="shared" si="45"/>
        <v>20.345.162/0001-79</v>
      </c>
      <c r="C2886" s="12"/>
      <c r="D2886" s="3" t="s">
        <v>10343</v>
      </c>
      <c r="E2886" s="3" t="s">
        <v>10344</v>
      </c>
      <c r="F2886" s="3" t="s">
        <v>20</v>
      </c>
      <c r="G2886" s="4">
        <v>41785</v>
      </c>
      <c r="H2886" s="3" t="s">
        <v>21</v>
      </c>
      <c r="I2886" s="3" t="s">
        <v>22</v>
      </c>
      <c r="J2886" s="5">
        <v>700000</v>
      </c>
      <c r="K2886" s="3">
        <v>4399103</v>
      </c>
      <c r="L2886" s="3" t="s">
        <v>7982</v>
      </c>
      <c r="M2886" s="3" t="s">
        <v>10345</v>
      </c>
      <c r="N2886" s="3">
        <v>4894</v>
      </c>
      <c r="O2886" s="3" t="s">
        <v>10346</v>
      </c>
      <c r="P2886" s="3" t="s">
        <v>10347</v>
      </c>
      <c r="Q2886" s="3" t="s">
        <v>10348</v>
      </c>
      <c r="R2886" s="3" t="s">
        <v>1604</v>
      </c>
      <c r="S2886" s="3">
        <v>76982318</v>
      </c>
      <c r="T2886" s="3">
        <v>6932247952</v>
      </c>
      <c r="U2886" s="3" t="s">
        <v>29</v>
      </c>
    </row>
    <row r="2887" spans="1:21" ht="13.2" x14ac:dyDescent="0.25">
      <c r="A2887" s="14">
        <v>1004619000137</v>
      </c>
      <c r="B2887" s="15" t="str">
        <f t="shared" si="45"/>
        <v>01.004.619/0001-37</v>
      </c>
      <c r="C2887" s="12"/>
      <c r="D2887" s="3" t="s">
        <v>10349</v>
      </c>
      <c r="E2887" s="3" t="s">
        <v>10349</v>
      </c>
      <c r="F2887" s="3" t="s">
        <v>20</v>
      </c>
      <c r="G2887" s="4">
        <v>34900</v>
      </c>
      <c r="H2887" s="3" t="s">
        <v>21</v>
      </c>
      <c r="I2887" s="3" t="s">
        <v>33</v>
      </c>
      <c r="J2887" s="5">
        <v>400000</v>
      </c>
      <c r="K2887" s="3">
        <v>4645101</v>
      </c>
      <c r="L2887" s="3" t="s">
        <v>135</v>
      </c>
      <c r="M2887" s="3" t="s">
        <v>10350</v>
      </c>
      <c r="N2887" s="3">
        <v>2311</v>
      </c>
      <c r="P2887" s="3" t="s">
        <v>1093</v>
      </c>
      <c r="Q2887" s="3" t="s">
        <v>27</v>
      </c>
      <c r="R2887" s="3" t="s">
        <v>28</v>
      </c>
      <c r="S2887" s="3">
        <v>2033010</v>
      </c>
      <c r="T2887" s="3">
        <v>1122812790</v>
      </c>
      <c r="U2887" s="3" t="s">
        <v>29</v>
      </c>
    </row>
    <row r="2888" spans="1:21" ht="13.2" x14ac:dyDescent="0.25">
      <c r="A2888" s="14">
        <v>82183716000136</v>
      </c>
      <c r="B2888" s="15" t="str">
        <f t="shared" si="45"/>
        <v>82.183.716/0001-36</v>
      </c>
      <c r="C2888" s="12"/>
      <c r="D2888" s="3" t="s">
        <v>10351</v>
      </c>
      <c r="E2888" s="3" t="s">
        <v>10351</v>
      </c>
      <c r="F2888" s="3" t="s">
        <v>20</v>
      </c>
      <c r="G2888" s="4">
        <v>33142</v>
      </c>
      <c r="H2888" s="3" t="s">
        <v>21</v>
      </c>
      <c r="I2888" s="3" t="s">
        <v>33</v>
      </c>
      <c r="J2888" s="5" t="s">
        <v>10352</v>
      </c>
      <c r="K2888" s="3">
        <v>2229303</v>
      </c>
      <c r="L2888" s="3" t="s">
        <v>2107</v>
      </c>
      <c r="M2888" s="3" t="s">
        <v>6309</v>
      </c>
      <c r="N2888" s="3">
        <v>3248</v>
      </c>
      <c r="O2888" s="3" t="s">
        <v>10353</v>
      </c>
      <c r="P2888" s="3" t="s">
        <v>1058</v>
      </c>
      <c r="Q2888" s="3" t="s">
        <v>423</v>
      </c>
      <c r="R2888" s="3" t="s">
        <v>91</v>
      </c>
      <c r="S2888" s="3">
        <v>89233190</v>
      </c>
      <c r="T2888" s="3">
        <v>4738032500</v>
      </c>
      <c r="U2888" s="3" t="s">
        <v>29</v>
      </c>
    </row>
    <row r="2889" spans="1:21" ht="13.2" x14ac:dyDescent="0.25">
      <c r="A2889" s="14">
        <v>50935576000119</v>
      </c>
      <c r="B2889" s="15" t="str">
        <f t="shared" si="45"/>
        <v>50.935.576/0001-19</v>
      </c>
      <c r="C2889" s="12"/>
      <c r="D2889" s="3" t="s">
        <v>10354</v>
      </c>
      <c r="E2889" s="3" t="s">
        <v>10355</v>
      </c>
      <c r="F2889" s="3" t="s">
        <v>20</v>
      </c>
      <c r="G2889" s="4">
        <v>26804</v>
      </c>
      <c r="H2889" s="3" t="s">
        <v>21</v>
      </c>
      <c r="I2889" s="3" t="s">
        <v>33</v>
      </c>
      <c r="J2889" s="5">
        <v>838565100</v>
      </c>
      <c r="K2889" s="3">
        <v>2229302</v>
      </c>
      <c r="L2889" s="3" t="s">
        <v>576</v>
      </c>
      <c r="M2889" s="3" t="s">
        <v>10356</v>
      </c>
      <c r="N2889" s="3">
        <v>300</v>
      </c>
      <c r="P2889" s="3" t="s">
        <v>153</v>
      </c>
      <c r="Q2889" s="3" t="s">
        <v>567</v>
      </c>
      <c r="R2889" s="3" t="s">
        <v>28</v>
      </c>
      <c r="S2889" s="3">
        <v>13213000</v>
      </c>
      <c r="T2889" s="3">
        <v>1131092921</v>
      </c>
      <c r="U2889" s="3" t="s">
        <v>29</v>
      </c>
    </row>
    <row r="2890" spans="1:21" ht="13.2" x14ac:dyDescent="0.25">
      <c r="A2890" s="14">
        <v>5052443000140</v>
      </c>
      <c r="B2890" s="15" t="str">
        <f t="shared" si="45"/>
        <v>05.052.443/0001-40</v>
      </c>
      <c r="C2890" s="12"/>
      <c r="D2890" s="3" t="s">
        <v>10357</v>
      </c>
      <c r="E2890" s="3" t="s">
        <v>10358</v>
      </c>
      <c r="F2890" s="3" t="s">
        <v>20</v>
      </c>
      <c r="G2890" s="4">
        <v>37384</v>
      </c>
      <c r="H2890" s="3" t="s">
        <v>21</v>
      </c>
      <c r="I2890" s="3" t="s">
        <v>33</v>
      </c>
      <c r="J2890" s="5">
        <v>1600000</v>
      </c>
      <c r="K2890" s="3">
        <v>2222600</v>
      </c>
      <c r="L2890" s="3" t="s">
        <v>183</v>
      </c>
      <c r="M2890" s="3" t="s">
        <v>1606</v>
      </c>
      <c r="N2890" s="3">
        <v>1712</v>
      </c>
      <c r="P2890" s="3" t="s">
        <v>70</v>
      </c>
      <c r="Q2890" s="3" t="s">
        <v>5089</v>
      </c>
      <c r="R2890" s="3" t="s">
        <v>281</v>
      </c>
      <c r="S2890" s="3">
        <v>42702400</v>
      </c>
      <c r="T2890" s="3">
        <v>7131860354</v>
      </c>
      <c r="U2890" s="3" t="s">
        <v>29</v>
      </c>
    </row>
    <row r="2891" spans="1:21" ht="13.2" x14ac:dyDescent="0.25">
      <c r="A2891" s="14">
        <v>3736010000188</v>
      </c>
      <c r="B2891" s="15" t="str">
        <f t="shared" si="45"/>
        <v>03.736.010/0001-88</v>
      </c>
      <c r="C2891" s="12" t="str">
        <f>VLOOKUP(B2891,[1]Planilha1!$A:$B,2,0)</f>
        <v>Malu Montesino</v>
      </c>
      <c r="D2891" s="3" t="s">
        <v>10359</v>
      </c>
      <c r="E2891" s="3" t="s">
        <v>10359</v>
      </c>
      <c r="F2891" s="3" t="s">
        <v>20</v>
      </c>
      <c r="G2891" s="4">
        <v>36615</v>
      </c>
      <c r="H2891" s="3" t="s">
        <v>21</v>
      </c>
      <c r="I2891" s="3" t="s">
        <v>33</v>
      </c>
      <c r="J2891" s="5">
        <v>500000</v>
      </c>
      <c r="K2891" s="3">
        <v>2229399</v>
      </c>
      <c r="L2891" s="3" t="s">
        <v>414</v>
      </c>
      <c r="M2891" s="3" t="s">
        <v>10360</v>
      </c>
      <c r="N2891" s="3">
        <v>50</v>
      </c>
      <c r="P2891" s="3" t="s">
        <v>3970</v>
      </c>
      <c r="Q2891" s="3" t="s">
        <v>823</v>
      </c>
      <c r="R2891" s="3" t="s">
        <v>28</v>
      </c>
      <c r="S2891" s="3">
        <v>13290546</v>
      </c>
      <c r="T2891" s="3">
        <v>1938784334</v>
      </c>
      <c r="U2891" s="3" t="s">
        <v>29</v>
      </c>
    </row>
    <row r="2892" spans="1:21" ht="13.2" x14ac:dyDescent="0.25">
      <c r="A2892" s="14">
        <v>1628313000151</v>
      </c>
      <c r="B2892" s="15" t="str">
        <f t="shared" si="45"/>
        <v>01.628.313/0001-51</v>
      </c>
      <c r="C2892" s="12"/>
      <c r="D2892" s="3" t="s">
        <v>10361</v>
      </c>
      <c r="E2892" s="3" t="s">
        <v>10361</v>
      </c>
      <c r="F2892" s="3" t="s">
        <v>20</v>
      </c>
      <c r="G2892" s="4">
        <v>35446</v>
      </c>
      <c r="H2892" s="3" t="s">
        <v>21</v>
      </c>
      <c r="I2892" s="3" t="s">
        <v>33</v>
      </c>
      <c r="J2892" s="5">
        <v>156292460</v>
      </c>
      <c r="K2892" s="3">
        <v>2833000</v>
      </c>
      <c r="L2892" s="3" t="s">
        <v>151</v>
      </c>
      <c r="M2892" s="3" t="s">
        <v>10362</v>
      </c>
      <c r="N2892" s="3">
        <v>4075</v>
      </c>
      <c r="O2892" s="3" t="s">
        <v>10363</v>
      </c>
      <c r="P2892" s="3" t="s">
        <v>10364</v>
      </c>
      <c r="Q2892" s="3" t="s">
        <v>125</v>
      </c>
      <c r="R2892" s="3" t="s">
        <v>91</v>
      </c>
      <c r="S2892" s="3">
        <v>88812850</v>
      </c>
      <c r="T2892" s="3">
        <v>4834319500</v>
      </c>
      <c r="U2892" s="3" t="s">
        <v>29</v>
      </c>
    </row>
    <row r="2893" spans="1:21" ht="13.2" x14ac:dyDescent="0.25">
      <c r="A2893" s="14">
        <v>4704457000138</v>
      </c>
      <c r="B2893" s="15" t="str">
        <f t="shared" si="45"/>
        <v>04.704.457/0001-38</v>
      </c>
      <c r="C2893" s="12"/>
      <c r="D2893" s="3" t="s">
        <v>10365</v>
      </c>
      <c r="E2893" s="3" t="s">
        <v>10366</v>
      </c>
      <c r="F2893" s="3" t="s">
        <v>20</v>
      </c>
      <c r="G2893" s="4">
        <v>37161</v>
      </c>
      <c r="H2893" s="3" t="s">
        <v>21</v>
      </c>
      <c r="I2893" s="3" t="s">
        <v>33</v>
      </c>
      <c r="J2893" s="5">
        <v>15379983</v>
      </c>
      <c r="K2893" s="3">
        <v>3292202</v>
      </c>
      <c r="L2893" s="3" t="s">
        <v>1654</v>
      </c>
      <c r="M2893" s="3" t="s">
        <v>10367</v>
      </c>
      <c r="N2893" s="3">
        <v>281</v>
      </c>
      <c r="P2893" s="3" t="s">
        <v>10368</v>
      </c>
      <c r="Q2893" s="3" t="s">
        <v>854</v>
      </c>
      <c r="R2893" s="3" t="s">
        <v>28</v>
      </c>
      <c r="S2893" s="3">
        <v>13482380</v>
      </c>
      <c r="T2893" s="3">
        <v>1934044040</v>
      </c>
      <c r="U2893" s="3" t="s">
        <v>29</v>
      </c>
    </row>
    <row r="2894" spans="1:21" ht="13.2" x14ac:dyDescent="0.25">
      <c r="A2894" s="14">
        <v>47118757000148</v>
      </c>
      <c r="B2894" s="15" t="str">
        <f t="shared" si="45"/>
        <v>47.118.757/0001-48</v>
      </c>
      <c r="C2894" s="12"/>
      <c r="D2894" s="3" t="s">
        <v>10369</v>
      </c>
      <c r="E2894" s="3" t="s">
        <v>10369</v>
      </c>
      <c r="F2894" s="3" t="s">
        <v>20</v>
      </c>
      <c r="G2894" s="4">
        <v>27577</v>
      </c>
      <c r="H2894" s="3" t="s">
        <v>21</v>
      </c>
      <c r="I2894" s="3" t="s">
        <v>33</v>
      </c>
      <c r="J2894" s="5">
        <v>2600000</v>
      </c>
      <c r="K2894" s="3">
        <v>2229399</v>
      </c>
      <c r="L2894" s="3" t="s">
        <v>414</v>
      </c>
      <c r="M2894" s="3" t="s">
        <v>10370</v>
      </c>
      <c r="N2894" s="3">
        <v>864</v>
      </c>
      <c r="P2894" s="3" t="s">
        <v>10371</v>
      </c>
      <c r="Q2894" s="3" t="s">
        <v>1943</v>
      </c>
      <c r="R2894" s="3" t="s">
        <v>28</v>
      </c>
      <c r="S2894" s="3">
        <v>9980380</v>
      </c>
      <c r="U2894" s="3" t="s">
        <v>29</v>
      </c>
    </row>
    <row r="2895" spans="1:21" ht="13.2" x14ac:dyDescent="0.25">
      <c r="A2895" s="14">
        <v>57503526000101</v>
      </c>
      <c r="B2895" s="15" t="str">
        <f t="shared" si="45"/>
        <v>57.503.526/0001-01</v>
      </c>
      <c r="C2895" s="12"/>
      <c r="D2895" s="3" t="s">
        <v>10372</v>
      </c>
      <c r="E2895" s="3" t="s">
        <v>10372</v>
      </c>
      <c r="F2895" s="3" t="s">
        <v>20</v>
      </c>
      <c r="G2895" s="4">
        <v>24365</v>
      </c>
      <c r="H2895" s="3" t="s">
        <v>21</v>
      </c>
      <c r="I2895" s="3" t="s">
        <v>33</v>
      </c>
      <c r="J2895" s="5">
        <v>4500000</v>
      </c>
      <c r="K2895" s="3">
        <v>2229399</v>
      </c>
      <c r="L2895" s="3" t="s">
        <v>414</v>
      </c>
      <c r="M2895" s="3" t="s">
        <v>10373</v>
      </c>
      <c r="N2895" s="3">
        <v>1235</v>
      </c>
      <c r="P2895" s="3" t="s">
        <v>70</v>
      </c>
      <c r="Q2895" s="3" t="s">
        <v>1410</v>
      </c>
      <c r="R2895" s="3" t="s">
        <v>28</v>
      </c>
      <c r="S2895" s="3">
        <v>9015311</v>
      </c>
      <c r="T2895" s="3">
        <v>1121752211</v>
      </c>
      <c r="U2895" s="3" t="s">
        <v>29</v>
      </c>
    </row>
    <row r="2896" spans="1:21" ht="13.2" x14ac:dyDescent="0.25">
      <c r="A2896" s="14">
        <v>6979521000119</v>
      </c>
      <c r="B2896" s="15" t="str">
        <f t="shared" si="45"/>
        <v>06.979.521/0001-19</v>
      </c>
      <c r="C2896" s="12"/>
      <c r="D2896" s="3" t="s">
        <v>10374</v>
      </c>
      <c r="E2896" s="3" t="s">
        <v>10374</v>
      </c>
      <c r="F2896" s="3" t="s">
        <v>20</v>
      </c>
      <c r="G2896" s="4">
        <v>38204</v>
      </c>
      <c r="H2896" s="3" t="s">
        <v>21</v>
      </c>
      <c r="I2896" s="3" t="s">
        <v>33</v>
      </c>
      <c r="J2896" s="5">
        <v>4091009</v>
      </c>
      <c r="K2896" s="3">
        <v>2229302</v>
      </c>
      <c r="L2896" s="3" t="s">
        <v>576</v>
      </c>
      <c r="M2896" s="3" t="s">
        <v>670</v>
      </c>
      <c r="N2896" s="3">
        <v>1000</v>
      </c>
      <c r="O2896" s="3" t="s">
        <v>10375</v>
      </c>
      <c r="P2896" s="3" t="s">
        <v>5102</v>
      </c>
      <c r="Q2896" s="3" t="s">
        <v>673</v>
      </c>
      <c r="R2896" s="3" t="s">
        <v>28</v>
      </c>
      <c r="S2896" s="3">
        <v>13916074</v>
      </c>
      <c r="T2896" s="3">
        <v>1938479999</v>
      </c>
      <c r="U2896" s="3" t="s">
        <v>29</v>
      </c>
    </row>
    <row r="2897" spans="1:21" ht="13.2" x14ac:dyDescent="0.25">
      <c r="A2897" s="14">
        <v>80550452000186</v>
      </c>
      <c r="B2897" s="15" t="str">
        <f t="shared" si="45"/>
        <v>80.550.452/0001-86</v>
      </c>
      <c r="C2897" s="12" t="str">
        <f>VLOOKUP(B2897,[1]Planilha1!$A:$B,2,0)</f>
        <v>Malu Montesino</v>
      </c>
      <c r="D2897" s="3" t="s">
        <v>10376</v>
      </c>
      <c r="E2897" s="3" t="s">
        <v>10376</v>
      </c>
      <c r="F2897" s="3" t="s">
        <v>20</v>
      </c>
      <c r="G2897" s="4">
        <v>32225</v>
      </c>
      <c r="H2897" s="3" t="s">
        <v>94</v>
      </c>
      <c r="I2897" s="3" t="s">
        <v>33</v>
      </c>
      <c r="J2897" s="5">
        <v>24946350</v>
      </c>
      <c r="K2897" s="3">
        <v>2223400</v>
      </c>
      <c r="L2897" s="3" t="s">
        <v>868</v>
      </c>
      <c r="M2897" s="3" t="s">
        <v>2071</v>
      </c>
      <c r="N2897" s="3">
        <v>1321</v>
      </c>
      <c r="O2897" s="3" t="s">
        <v>7893</v>
      </c>
      <c r="P2897" s="3" t="s">
        <v>8327</v>
      </c>
      <c r="Q2897" s="3" t="s">
        <v>6724</v>
      </c>
      <c r="R2897" s="3" t="s">
        <v>187</v>
      </c>
      <c r="S2897" s="3">
        <v>83820023</v>
      </c>
      <c r="T2897" s="3">
        <v>4121084949</v>
      </c>
      <c r="U2897" s="3" t="s">
        <v>29</v>
      </c>
    </row>
    <row r="2898" spans="1:21" ht="13.2" x14ac:dyDescent="0.25">
      <c r="A2898" s="14">
        <v>38183871000160</v>
      </c>
      <c r="B2898" s="15" t="str">
        <f t="shared" si="45"/>
        <v>38.183.871/0001-60</v>
      </c>
      <c r="C2898" s="12"/>
      <c r="D2898" s="3" t="s">
        <v>10377</v>
      </c>
      <c r="E2898" s="3" t="s">
        <v>10378</v>
      </c>
      <c r="F2898" s="3" t="s">
        <v>20</v>
      </c>
      <c r="G2898" s="4">
        <v>44064</v>
      </c>
      <c r="H2898" s="3" t="s">
        <v>21</v>
      </c>
      <c r="I2898" s="3" t="s">
        <v>47</v>
      </c>
      <c r="J2898" s="5">
        <v>50000</v>
      </c>
      <c r="K2898" s="3">
        <v>4686902</v>
      </c>
      <c r="L2898" s="3" t="s">
        <v>2027</v>
      </c>
      <c r="M2898" s="3" t="s">
        <v>3822</v>
      </c>
      <c r="N2898" s="3">
        <v>765</v>
      </c>
      <c r="P2898" s="3" t="s">
        <v>70</v>
      </c>
      <c r="Q2898" s="3" t="s">
        <v>10379</v>
      </c>
      <c r="R2898" s="3" t="s">
        <v>78</v>
      </c>
      <c r="S2898" s="3">
        <v>25850000</v>
      </c>
      <c r="T2898" s="3">
        <v>2422635534</v>
      </c>
      <c r="U2898" s="3" t="s">
        <v>29</v>
      </c>
    </row>
    <row r="2899" spans="1:21" ht="13.2" x14ac:dyDescent="0.25">
      <c r="A2899" s="14">
        <v>56450877000139</v>
      </c>
      <c r="B2899" s="15" t="str">
        <f t="shared" si="45"/>
        <v>56.450.877/0001-39</v>
      </c>
      <c r="C2899" s="12"/>
      <c r="D2899" s="3" t="s">
        <v>10380</v>
      </c>
      <c r="E2899" s="3" t="s">
        <v>10380</v>
      </c>
      <c r="F2899" s="3" t="s">
        <v>20</v>
      </c>
      <c r="G2899" s="4">
        <v>31679</v>
      </c>
      <c r="H2899" s="3" t="s">
        <v>21</v>
      </c>
      <c r="I2899" s="3" t="s">
        <v>33</v>
      </c>
      <c r="J2899" s="5">
        <v>110000000</v>
      </c>
      <c r="K2899" s="3">
        <v>8211300</v>
      </c>
      <c r="L2899" s="3" t="s">
        <v>166</v>
      </c>
      <c r="M2899" s="3" t="s">
        <v>10381</v>
      </c>
      <c r="N2899" s="3">
        <v>6653</v>
      </c>
      <c r="O2899" s="3" t="s">
        <v>10382</v>
      </c>
      <c r="P2899" s="3" t="s">
        <v>10383</v>
      </c>
      <c r="Q2899" s="3" t="s">
        <v>27</v>
      </c>
      <c r="R2899" s="3" t="s">
        <v>28</v>
      </c>
      <c r="S2899" s="3">
        <v>5034000</v>
      </c>
      <c r="T2899" s="3">
        <v>1440094844</v>
      </c>
      <c r="U2899" s="3" t="s">
        <v>29</v>
      </c>
    </row>
    <row r="2900" spans="1:21" ht="13.2" x14ac:dyDescent="0.25">
      <c r="A2900" s="14">
        <v>91404251000197</v>
      </c>
      <c r="B2900" s="15" t="str">
        <f t="shared" si="45"/>
        <v>91.404.251/0001-97</v>
      </c>
      <c r="C2900" s="12"/>
      <c r="D2900" s="3" t="s">
        <v>10384</v>
      </c>
      <c r="E2900" s="3" t="s">
        <v>10385</v>
      </c>
      <c r="F2900" s="3" t="s">
        <v>20</v>
      </c>
      <c r="G2900" s="4">
        <v>31776</v>
      </c>
      <c r="H2900" s="3" t="s">
        <v>94</v>
      </c>
      <c r="I2900" s="3" t="s">
        <v>33</v>
      </c>
      <c r="J2900" s="5">
        <v>50000000</v>
      </c>
      <c r="K2900" s="3">
        <v>2229302</v>
      </c>
      <c r="L2900" s="3" t="s">
        <v>576</v>
      </c>
      <c r="M2900" s="3" t="s">
        <v>3542</v>
      </c>
      <c r="N2900" s="3">
        <v>845</v>
      </c>
      <c r="O2900" s="3" t="s">
        <v>10386</v>
      </c>
      <c r="P2900" s="3" t="s">
        <v>10387</v>
      </c>
      <c r="Q2900" s="3" t="s">
        <v>3865</v>
      </c>
      <c r="R2900" s="3" t="s">
        <v>53</v>
      </c>
      <c r="S2900" s="3">
        <v>99702503</v>
      </c>
      <c r="T2900" s="3">
        <v>5421071800</v>
      </c>
      <c r="U2900" s="3" t="s">
        <v>29</v>
      </c>
    </row>
    <row r="2901" spans="1:21" ht="13.2" x14ac:dyDescent="0.25">
      <c r="A2901" s="14">
        <v>61376380000158</v>
      </c>
      <c r="B2901" s="15" t="str">
        <f t="shared" si="45"/>
        <v>61.376.380/0001-58</v>
      </c>
      <c r="C2901" s="12"/>
      <c r="D2901" s="3" t="s">
        <v>10388</v>
      </c>
      <c r="E2901" s="3" t="s">
        <v>10388</v>
      </c>
      <c r="F2901" s="3" t="s">
        <v>20</v>
      </c>
      <c r="G2901" s="4">
        <v>21158</v>
      </c>
      <c r="H2901" s="3" t="s">
        <v>21</v>
      </c>
      <c r="I2901" s="3" t="s">
        <v>33</v>
      </c>
      <c r="J2901" s="5">
        <v>700000</v>
      </c>
      <c r="K2901" s="3">
        <v>2229399</v>
      </c>
      <c r="L2901" s="3" t="s">
        <v>414</v>
      </c>
      <c r="M2901" s="3" t="s">
        <v>10389</v>
      </c>
      <c r="N2901" s="3">
        <v>1529</v>
      </c>
      <c r="O2901" s="3" t="s">
        <v>10390</v>
      </c>
      <c r="P2901" s="3" t="s">
        <v>10391</v>
      </c>
      <c r="Q2901" s="3" t="s">
        <v>262</v>
      </c>
      <c r="R2901" s="3" t="s">
        <v>28</v>
      </c>
      <c r="S2901" s="3">
        <v>6268110</v>
      </c>
      <c r="T2901" s="3">
        <v>1136863424</v>
      </c>
      <c r="U2901" s="3" t="s">
        <v>29</v>
      </c>
    </row>
    <row r="2902" spans="1:21" ht="13.2" x14ac:dyDescent="0.25">
      <c r="A2902" s="14">
        <v>4656883000143</v>
      </c>
      <c r="B2902" s="15" t="str">
        <f t="shared" si="45"/>
        <v>04.656.883/0001-43</v>
      </c>
      <c r="C2902" s="12"/>
      <c r="D2902" s="3" t="s">
        <v>10392</v>
      </c>
      <c r="E2902" s="3" t="s">
        <v>10392</v>
      </c>
      <c r="F2902" s="3" t="s">
        <v>20</v>
      </c>
      <c r="G2902" s="4">
        <v>37132</v>
      </c>
      <c r="H2902" s="3" t="s">
        <v>21</v>
      </c>
      <c r="I2902" s="3" t="s">
        <v>33</v>
      </c>
      <c r="J2902" s="5">
        <v>62736120</v>
      </c>
      <c r="K2902" s="3">
        <v>155505</v>
      </c>
      <c r="L2902" s="3" t="s">
        <v>10393</v>
      </c>
      <c r="M2902" s="3" t="s">
        <v>10394</v>
      </c>
      <c r="N2902" s="3" t="s">
        <v>111</v>
      </c>
      <c r="P2902" s="3" t="s">
        <v>10395</v>
      </c>
      <c r="Q2902" s="3" t="s">
        <v>10396</v>
      </c>
      <c r="R2902" s="3" t="s">
        <v>187</v>
      </c>
      <c r="S2902" s="3">
        <v>85660000</v>
      </c>
      <c r="T2902" s="3">
        <v>4635368100</v>
      </c>
      <c r="U2902" s="3" t="s">
        <v>29</v>
      </c>
    </row>
    <row r="2903" spans="1:21" ht="13.2" x14ac:dyDescent="0.25">
      <c r="A2903" s="14">
        <v>13495519000130</v>
      </c>
      <c r="B2903" s="15" t="str">
        <f t="shared" si="45"/>
        <v>13.495.519/0001-30</v>
      </c>
      <c r="C2903" s="12" t="str">
        <f>VLOOKUP(B2903,[1]Planilha1!$A:$B,2,0)</f>
        <v>Malu Montesino</v>
      </c>
      <c r="D2903" s="3" t="s">
        <v>10397</v>
      </c>
      <c r="E2903" s="3" t="s">
        <v>10398</v>
      </c>
      <c r="F2903" s="3" t="s">
        <v>20</v>
      </c>
      <c r="G2903" s="4">
        <v>40641</v>
      </c>
      <c r="H2903" s="3" t="s">
        <v>21</v>
      </c>
      <c r="I2903" s="3" t="s">
        <v>47</v>
      </c>
      <c r="J2903" s="5">
        <v>640000</v>
      </c>
      <c r="K2903" s="3">
        <v>2832100</v>
      </c>
      <c r="L2903" s="3" t="s">
        <v>2184</v>
      </c>
      <c r="M2903" s="3" t="s">
        <v>3779</v>
      </c>
      <c r="N2903" s="3">
        <v>64</v>
      </c>
      <c r="O2903" s="3" t="s">
        <v>10399</v>
      </c>
      <c r="P2903" s="3" t="s">
        <v>10400</v>
      </c>
      <c r="Q2903" s="3" t="s">
        <v>273</v>
      </c>
      <c r="R2903" s="3" t="s">
        <v>274</v>
      </c>
      <c r="S2903" s="3">
        <v>74853060</v>
      </c>
      <c r="T2903" s="3">
        <v>6236260500</v>
      </c>
      <c r="U2903" s="3" t="s">
        <v>29</v>
      </c>
    </row>
    <row r="2904" spans="1:21" ht="13.2" x14ac:dyDescent="0.25">
      <c r="A2904" s="14">
        <v>30798783000161</v>
      </c>
      <c r="B2904" s="15" t="str">
        <f t="shared" si="45"/>
        <v>30.798.783/0001-61</v>
      </c>
      <c r="C2904" s="12"/>
      <c r="D2904" s="3" t="s">
        <v>10401</v>
      </c>
      <c r="E2904" s="3" t="s">
        <v>10401</v>
      </c>
      <c r="F2904" s="3" t="s">
        <v>20</v>
      </c>
      <c r="G2904" s="4">
        <v>43278</v>
      </c>
      <c r="H2904" s="3" t="s">
        <v>94</v>
      </c>
      <c r="I2904" s="3" t="s">
        <v>33</v>
      </c>
      <c r="J2904" s="5">
        <v>91540030</v>
      </c>
      <c r="K2904" s="3">
        <v>8299702</v>
      </c>
      <c r="L2904" s="3" t="s">
        <v>937</v>
      </c>
      <c r="M2904" s="3" t="s">
        <v>2281</v>
      </c>
      <c r="N2904" s="3">
        <v>7221</v>
      </c>
      <c r="O2904" s="3" t="s">
        <v>10402</v>
      </c>
      <c r="P2904" s="3" t="s">
        <v>1740</v>
      </c>
      <c r="Q2904" s="3" t="s">
        <v>27</v>
      </c>
      <c r="R2904" s="3" t="s">
        <v>28</v>
      </c>
      <c r="S2904" s="3">
        <v>5425902</v>
      </c>
      <c r="T2904" s="3">
        <v>1140044474</v>
      </c>
      <c r="U2904" s="3" t="s">
        <v>29</v>
      </c>
    </row>
    <row r="2905" spans="1:21" ht="13.2" x14ac:dyDescent="0.25">
      <c r="A2905" s="14">
        <v>7851377000101</v>
      </c>
      <c r="B2905" s="15" t="str">
        <f t="shared" si="45"/>
        <v>07.851.377/0001-01</v>
      </c>
      <c r="C2905" s="12"/>
      <c r="D2905" s="3" t="s">
        <v>10403</v>
      </c>
      <c r="E2905" s="3" t="s">
        <v>10404</v>
      </c>
      <c r="F2905" s="3" t="s">
        <v>20</v>
      </c>
      <c r="G2905" s="4">
        <v>38632</v>
      </c>
      <c r="H2905" s="3" t="s">
        <v>21</v>
      </c>
      <c r="I2905" s="3" t="s">
        <v>33</v>
      </c>
      <c r="J2905" s="5">
        <v>41880000</v>
      </c>
      <c r="K2905" s="3">
        <v>6201501</v>
      </c>
      <c r="L2905" s="3" t="s">
        <v>298</v>
      </c>
      <c r="M2905" s="3" t="s">
        <v>679</v>
      </c>
      <c r="N2905" s="3">
        <v>1142</v>
      </c>
      <c r="O2905" s="3" t="s">
        <v>10405</v>
      </c>
      <c r="P2905" s="3" t="s">
        <v>681</v>
      </c>
      <c r="Q2905" s="3" t="s">
        <v>617</v>
      </c>
      <c r="R2905" s="3" t="s">
        <v>28</v>
      </c>
      <c r="S2905" s="3">
        <v>6455000</v>
      </c>
      <c r="T2905" s="3">
        <v>1130035083</v>
      </c>
      <c r="U2905" s="3" t="s">
        <v>29</v>
      </c>
    </row>
    <row r="2906" spans="1:21" ht="13.2" x14ac:dyDescent="0.25">
      <c r="A2906" s="14">
        <v>31781824000170</v>
      </c>
      <c r="B2906" s="15" t="str">
        <f t="shared" si="45"/>
        <v>31.781.824/0001-70</v>
      </c>
      <c r="C2906" s="12"/>
      <c r="D2906" s="3" t="s">
        <v>10406</v>
      </c>
      <c r="E2906" s="3" t="s">
        <v>10406</v>
      </c>
      <c r="F2906" s="3" t="s">
        <v>20</v>
      </c>
      <c r="G2906" s="4">
        <v>43389</v>
      </c>
      <c r="H2906" s="3" t="s">
        <v>21</v>
      </c>
      <c r="I2906" s="3" t="s">
        <v>22</v>
      </c>
      <c r="J2906" s="5">
        <v>100000</v>
      </c>
      <c r="K2906" s="3">
        <v>2651500</v>
      </c>
      <c r="L2906" s="3" t="s">
        <v>600</v>
      </c>
      <c r="M2906" s="3" t="s">
        <v>10407</v>
      </c>
      <c r="N2906" s="3">
        <v>98</v>
      </c>
      <c r="P2906" s="3" t="s">
        <v>10408</v>
      </c>
      <c r="Q2906" s="3" t="s">
        <v>5645</v>
      </c>
      <c r="R2906" s="3" t="s">
        <v>28</v>
      </c>
      <c r="S2906" s="3">
        <v>17404522</v>
      </c>
      <c r="T2906" s="3">
        <v>1498880308</v>
      </c>
      <c r="U2906" s="3" t="s">
        <v>29</v>
      </c>
    </row>
    <row r="2907" spans="1:21" ht="13.2" x14ac:dyDescent="0.25">
      <c r="A2907" s="14">
        <v>740696000516</v>
      </c>
      <c r="B2907" s="15" t="str">
        <f t="shared" si="45"/>
        <v>00.740.696/0005-16</v>
      </c>
      <c r="C2907" s="12"/>
      <c r="D2907" s="3" t="s">
        <v>10409</v>
      </c>
      <c r="E2907" s="3" t="s">
        <v>10409</v>
      </c>
      <c r="F2907" s="3" t="s">
        <v>20</v>
      </c>
      <c r="G2907" s="4">
        <v>42954</v>
      </c>
      <c r="H2907" s="3" t="s">
        <v>21</v>
      </c>
      <c r="I2907" s="3" t="s">
        <v>33</v>
      </c>
      <c r="J2907" s="5">
        <v>26157296</v>
      </c>
      <c r="K2907" s="3">
        <v>4645101</v>
      </c>
      <c r="L2907" s="3" t="s">
        <v>135</v>
      </c>
      <c r="M2907" s="3" t="s">
        <v>10410</v>
      </c>
      <c r="N2907" s="3">
        <v>1808</v>
      </c>
      <c r="O2907" s="3" t="s">
        <v>10411</v>
      </c>
      <c r="P2907" s="3" t="s">
        <v>70</v>
      </c>
      <c r="Q2907" s="3" t="s">
        <v>5089</v>
      </c>
      <c r="R2907" s="3" t="s">
        <v>281</v>
      </c>
      <c r="S2907" s="3">
        <v>42700130</v>
      </c>
      <c r="T2907" s="3">
        <v>7133120453</v>
      </c>
      <c r="U2907" s="3" t="s">
        <v>29</v>
      </c>
    </row>
    <row r="2908" spans="1:21" ht="13.2" x14ac:dyDescent="0.25">
      <c r="A2908" s="14">
        <v>740696000192</v>
      </c>
      <c r="B2908" s="15" t="str">
        <f t="shared" si="45"/>
        <v>00.740.696/0001-92</v>
      </c>
      <c r="C2908" s="12"/>
      <c r="D2908" s="3" t="s">
        <v>10409</v>
      </c>
      <c r="E2908" s="3" t="s">
        <v>10409</v>
      </c>
      <c r="F2908" s="3" t="s">
        <v>20</v>
      </c>
      <c r="G2908" s="4">
        <v>30753</v>
      </c>
      <c r="H2908" s="3" t="s">
        <v>21</v>
      </c>
      <c r="I2908" s="3" t="s">
        <v>33</v>
      </c>
      <c r="J2908" s="5">
        <v>26157296</v>
      </c>
      <c r="K2908" s="3">
        <v>4645101</v>
      </c>
      <c r="L2908" s="3" t="s">
        <v>135</v>
      </c>
      <c r="M2908" s="3" t="s">
        <v>10412</v>
      </c>
      <c r="N2908" s="3" t="s">
        <v>111</v>
      </c>
      <c r="O2908" s="3" t="s">
        <v>10413</v>
      </c>
      <c r="P2908" s="3" t="s">
        <v>1456</v>
      </c>
      <c r="Q2908" s="3" t="s">
        <v>631</v>
      </c>
      <c r="R2908" s="3" t="s">
        <v>632</v>
      </c>
      <c r="S2908" s="3">
        <v>71200222</v>
      </c>
      <c r="T2908" s="3">
        <v>6134031300</v>
      </c>
      <c r="U2908" s="3" t="s">
        <v>29</v>
      </c>
    </row>
    <row r="2909" spans="1:21" ht="13.2" x14ac:dyDescent="0.25">
      <c r="A2909" s="14">
        <v>22416402000104</v>
      </c>
      <c r="B2909" s="15" t="str">
        <f t="shared" si="45"/>
        <v>22.416.402/0001-04</v>
      </c>
      <c r="C2909" s="12"/>
      <c r="D2909" s="3" t="s">
        <v>10414</v>
      </c>
      <c r="E2909" s="3" t="s">
        <v>10414</v>
      </c>
      <c r="F2909" s="3" t="s">
        <v>20</v>
      </c>
      <c r="G2909" s="4">
        <v>42135</v>
      </c>
      <c r="H2909" s="3" t="s">
        <v>21</v>
      </c>
      <c r="I2909" s="3" t="s">
        <v>22</v>
      </c>
      <c r="J2909" s="5">
        <v>1000000</v>
      </c>
      <c r="K2909" s="3">
        <v>4399103</v>
      </c>
      <c r="L2909" s="3" t="s">
        <v>7982</v>
      </c>
      <c r="M2909" s="3" t="s">
        <v>10415</v>
      </c>
      <c r="N2909" s="3">
        <v>552</v>
      </c>
      <c r="O2909" s="3" t="s">
        <v>10416</v>
      </c>
      <c r="P2909" s="3" t="s">
        <v>2207</v>
      </c>
      <c r="Q2909" s="3" t="s">
        <v>27</v>
      </c>
      <c r="R2909" s="3" t="s">
        <v>28</v>
      </c>
      <c r="S2909" s="3">
        <v>2405000</v>
      </c>
      <c r="T2909" s="3">
        <v>1136225518</v>
      </c>
      <c r="U2909" s="3" t="s">
        <v>29</v>
      </c>
    </row>
    <row r="2910" spans="1:21" ht="13.2" x14ac:dyDescent="0.25">
      <c r="A2910" s="14">
        <v>8532733000189</v>
      </c>
      <c r="B2910" s="15" t="str">
        <f t="shared" si="45"/>
        <v>08.532.733/0001-89</v>
      </c>
      <c r="C2910" s="12"/>
      <c r="D2910" s="3" t="s">
        <v>10417</v>
      </c>
      <c r="E2910" s="3" t="s">
        <v>10418</v>
      </c>
      <c r="F2910" s="3" t="s">
        <v>20</v>
      </c>
      <c r="G2910" s="4">
        <v>38995</v>
      </c>
      <c r="H2910" s="3" t="s">
        <v>21</v>
      </c>
      <c r="I2910" s="3" t="s">
        <v>33</v>
      </c>
      <c r="J2910" s="5">
        <v>75000</v>
      </c>
      <c r="K2910" s="3">
        <v>1742799</v>
      </c>
      <c r="L2910" s="3" t="s">
        <v>157</v>
      </c>
      <c r="M2910" s="3" t="s">
        <v>10419</v>
      </c>
      <c r="N2910" s="3">
        <v>105</v>
      </c>
      <c r="P2910" s="3" t="s">
        <v>406</v>
      </c>
      <c r="Q2910" s="3" t="s">
        <v>357</v>
      </c>
      <c r="R2910" s="3" t="s">
        <v>28</v>
      </c>
      <c r="S2910" s="3">
        <v>7210008</v>
      </c>
      <c r="T2910" s="3">
        <v>1123037028</v>
      </c>
      <c r="U2910" s="3" t="s">
        <v>29</v>
      </c>
    </row>
    <row r="2911" spans="1:21" ht="13.2" x14ac:dyDescent="0.25">
      <c r="A2911" s="14">
        <v>4262870000190</v>
      </c>
      <c r="B2911" s="15" t="str">
        <f t="shared" si="45"/>
        <v>04.262.870/0001-90</v>
      </c>
      <c r="C2911" s="12" t="str">
        <f>VLOOKUP(B2911,[1]Planilha1!$A:$B,2,0)</f>
        <v>Malu Montesino</v>
      </c>
      <c r="D2911" s="3" t="s">
        <v>10420</v>
      </c>
      <c r="E2911" s="3" t="s">
        <v>10420</v>
      </c>
      <c r="F2911" s="3" t="s">
        <v>20</v>
      </c>
      <c r="G2911" s="4">
        <v>36920</v>
      </c>
      <c r="H2911" s="3" t="s">
        <v>21</v>
      </c>
      <c r="I2911" s="3" t="s">
        <v>33</v>
      </c>
      <c r="J2911" s="5">
        <v>500000</v>
      </c>
      <c r="K2911" s="3">
        <v>2222600</v>
      </c>
      <c r="L2911" s="3" t="s">
        <v>183</v>
      </c>
      <c r="M2911" s="3" t="s">
        <v>1942</v>
      </c>
      <c r="N2911" s="3">
        <v>251</v>
      </c>
      <c r="P2911" s="3" t="s">
        <v>1465</v>
      </c>
      <c r="Q2911" s="3" t="s">
        <v>217</v>
      </c>
      <c r="R2911" s="3" t="s">
        <v>28</v>
      </c>
      <c r="S2911" s="3">
        <v>9891001</v>
      </c>
      <c r="T2911" s="3">
        <v>1149905177</v>
      </c>
      <c r="U2911" s="3" t="s">
        <v>29</v>
      </c>
    </row>
    <row r="2912" spans="1:21" ht="13.2" x14ac:dyDescent="0.25">
      <c r="A2912" s="14">
        <v>72797913000191</v>
      </c>
      <c r="B2912" s="15" t="str">
        <f t="shared" si="45"/>
        <v>72.797.913/0001-91</v>
      </c>
      <c r="C2912" s="12"/>
      <c r="D2912" s="3" t="s">
        <v>10421</v>
      </c>
      <c r="E2912" s="3" t="s">
        <v>10421</v>
      </c>
      <c r="F2912" s="3" t="s">
        <v>20</v>
      </c>
      <c r="G2912" s="4">
        <v>34228</v>
      </c>
      <c r="H2912" s="3" t="s">
        <v>21</v>
      </c>
      <c r="I2912" s="3" t="s">
        <v>33</v>
      </c>
      <c r="J2912" s="5">
        <v>20000000</v>
      </c>
      <c r="K2912" s="3">
        <v>2599399</v>
      </c>
      <c r="L2912" s="3" t="s">
        <v>1144</v>
      </c>
      <c r="M2912" s="3" t="s">
        <v>10422</v>
      </c>
      <c r="N2912" s="3">
        <v>2000</v>
      </c>
      <c r="P2912" s="3" t="s">
        <v>3499</v>
      </c>
      <c r="Q2912" s="3" t="s">
        <v>3966</v>
      </c>
      <c r="R2912" s="3" t="s">
        <v>28</v>
      </c>
      <c r="S2912" s="3">
        <v>7411350</v>
      </c>
      <c r="T2912" s="3">
        <v>1124131200</v>
      </c>
      <c r="U2912" s="3" t="s">
        <v>29</v>
      </c>
    </row>
    <row r="2913" spans="1:21" ht="13.2" x14ac:dyDescent="0.25">
      <c r="A2913" s="14">
        <v>4198514003684</v>
      </c>
      <c r="B2913" s="15" t="str">
        <f t="shared" si="45"/>
        <v>04.198.514/0036-84</v>
      </c>
      <c r="C2913" s="12"/>
      <c r="D2913" s="3" t="s">
        <v>10423</v>
      </c>
      <c r="E2913" s="3" t="s">
        <v>10424</v>
      </c>
      <c r="F2913" s="3" t="s">
        <v>20</v>
      </c>
      <c r="G2913" s="4">
        <v>36526</v>
      </c>
      <c r="H2913" s="3" t="s">
        <v>3218</v>
      </c>
      <c r="I2913" s="3" t="s">
        <v>33</v>
      </c>
      <c r="J2913" s="5">
        <v>0</v>
      </c>
      <c r="K2913" s="3">
        <v>8424800</v>
      </c>
      <c r="L2913" s="3" t="s">
        <v>4359</v>
      </c>
      <c r="M2913" s="3" t="s">
        <v>4670</v>
      </c>
      <c r="N2913" s="3">
        <v>260</v>
      </c>
      <c r="O2913" s="3" t="s">
        <v>4818</v>
      </c>
      <c r="P2913" s="3" t="s">
        <v>5827</v>
      </c>
      <c r="Q2913" s="3" t="s">
        <v>27</v>
      </c>
      <c r="R2913" s="3" t="s">
        <v>28</v>
      </c>
      <c r="S2913" s="3">
        <v>3033020</v>
      </c>
      <c r="T2913" s="3">
        <v>1133277614</v>
      </c>
      <c r="U2913" s="3" t="s">
        <v>29</v>
      </c>
    </row>
    <row r="2914" spans="1:21" ht="13.2" x14ac:dyDescent="0.25">
      <c r="A2914" s="14">
        <v>45184066000117</v>
      </c>
      <c r="B2914" s="15" t="str">
        <f t="shared" si="45"/>
        <v>45.184.066/0001-17</v>
      </c>
      <c r="C2914" s="12"/>
      <c r="D2914" s="3" t="s">
        <v>10425</v>
      </c>
      <c r="E2914" s="3" t="s">
        <v>10426</v>
      </c>
      <c r="F2914" s="3" t="s">
        <v>20</v>
      </c>
      <c r="G2914" s="4">
        <v>26546</v>
      </c>
      <c r="H2914" s="3" t="s">
        <v>94</v>
      </c>
      <c r="I2914" s="3" t="s">
        <v>33</v>
      </c>
      <c r="J2914" s="5">
        <v>11230000</v>
      </c>
      <c r="K2914" s="3">
        <v>8610101</v>
      </c>
      <c r="L2914" s="3" t="s">
        <v>2523</v>
      </c>
      <c r="M2914" s="3" t="s">
        <v>10427</v>
      </c>
      <c r="N2914" s="3">
        <v>430</v>
      </c>
      <c r="P2914" s="3" t="s">
        <v>10428</v>
      </c>
      <c r="Q2914" s="3" t="s">
        <v>2822</v>
      </c>
      <c r="R2914" s="3" t="s">
        <v>28</v>
      </c>
      <c r="S2914" s="3">
        <v>12243001</v>
      </c>
      <c r="T2914" s="3">
        <v>1237972830</v>
      </c>
      <c r="U2914" s="3" t="s">
        <v>29</v>
      </c>
    </row>
    <row r="2915" spans="1:21" ht="13.2" x14ac:dyDescent="0.25">
      <c r="A2915" s="14">
        <v>45010717000152</v>
      </c>
      <c r="B2915" s="15" t="str">
        <f t="shared" si="45"/>
        <v>45.010.717/0001-52</v>
      </c>
      <c r="C2915" s="12" t="str">
        <f>VLOOKUP(B2915,[1]Planilha1!$A:$B,2,0)</f>
        <v>Malu Montesino</v>
      </c>
      <c r="D2915" s="3" t="s">
        <v>10429</v>
      </c>
      <c r="E2915" s="3" t="s">
        <v>10429</v>
      </c>
      <c r="F2915" s="3" t="s">
        <v>20</v>
      </c>
      <c r="G2915" s="4">
        <v>29553</v>
      </c>
      <c r="H2915" s="3" t="s">
        <v>21</v>
      </c>
      <c r="I2915" s="3" t="s">
        <v>33</v>
      </c>
      <c r="J2915" s="5">
        <v>28000000</v>
      </c>
      <c r="K2915" s="3">
        <v>2223400</v>
      </c>
      <c r="L2915" s="3" t="s">
        <v>868</v>
      </c>
      <c r="M2915" s="3" t="s">
        <v>255</v>
      </c>
      <c r="N2915" s="3">
        <v>1455</v>
      </c>
      <c r="P2915" s="3" t="s">
        <v>256</v>
      </c>
      <c r="Q2915" s="3" t="s">
        <v>27</v>
      </c>
      <c r="R2915" s="3" t="s">
        <v>28</v>
      </c>
      <c r="S2915" s="3">
        <v>4222902</v>
      </c>
      <c r="T2915" s="3">
        <v>1122197700</v>
      </c>
      <c r="U2915" s="3" t="s">
        <v>29</v>
      </c>
    </row>
    <row r="2916" spans="1:21" ht="13.2" x14ac:dyDescent="0.25">
      <c r="A2916" s="14">
        <v>69082121000126</v>
      </c>
      <c r="B2916" s="15" t="str">
        <f t="shared" si="45"/>
        <v>69.082.121/0001-26</v>
      </c>
      <c r="C2916" s="12"/>
      <c r="D2916" s="3" t="s">
        <v>10430</v>
      </c>
      <c r="E2916" s="3" t="s">
        <v>10430</v>
      </c>
      <c r="F2916" s="3" t="s">
        <v>20</v>
      </c>
      <c r="G2916" s="4">
        <v>33926</v>
      </c>
      <c r="H2916" s="3" t="s">
        <v>21</v>
      </c>
      <c r="I2916" s="3" t="s">
        <v>33</v>
      </c>
      <c r="J2916" s="5">
        <v>1000000</v>
      </c>
      <c r="K2916" s="3">
        <v>3292202</v>
      </c>
      <c r="L2916" s="3" t="s">
        <v>1654</v>
      </c>
      <c r="M2916" s="3" t="s">
        <v>10431</v>
      </c>
      <c r="N2916" s="3">
        <v>662</v>
      </c>
      <c r="P2916" s="3" t="s">
        <v>336</v>
      </c>
      <c r="Q2916" s="3" t="s">
        <v>27</v>
      </c>
      <c r="R2916" s="3" t="s">
        <v>28</v>
      </c>
      <c r="S2916" s="3">
        <v>3116000</v>
      </c>
      <c r="T2916" s="3">
        <v>1126010788</v>
      </c>
      <c r="U2916" s="3" t="s">
        <v>29</v>
      </c>
    </row>
    <row r="2917" spans="1:21" ht="13.2" x14ac:dyDescent="0.25">
      <c r="A2917" s="14">
        <v>43894609000164</v>
      </c>
      <c r="B2917" s="15" t="str">
        <f t="shared" si="45"/>
        <v>43.894.609/0001-64</v>
      </c>
      <c r="C2917" s="12"/>
      <c r="D2917" s="3" t="s">
        <v>10432</v>
      </c>
      <c r="E2917" s="3" t="s">
        <v>10433</v>
      </c>
      <c r="F2917" s="3" t="s">
        <v>20</v>
      </c>
      <c r="G2917" s="4">
        <v>26974</v>
      </c>
      <c r="H2917" s="3" t="s">
        <v>21</v>
      </c>
      <c r="I2917" s="3" t="s">
        <v>33</v>
      </c>
      <c r="J2917" s="5">
        <v>3168000</v>
      </c>
      <c r="K2917" s="3">
        <v>4693100</v>
      </c>
      <c r="L2917" s="3" t="s">
        <v>238</v>
      </c>
      <c r="M2917" s="3" t="s">
        <v>1363</v>
      </c>
      <c r="N2917" s="3">
        <v>125</v>
      </c>
      <c r="O2917" s="3" t="s">
        <v>10434</v>
      </c>
      <c r="P2917" s="3" t="s">
        <v>940</v>
      </c>
      <c r="Q2917" s="3" t="s">
        <v>617</v>
      </c>
      <c r="R2917" s="3" t="s">
        <v>28</v>
      </c>
      <c r="S2917" s="3">
        <v>6455020</v>
      </c>
      <c r="T2917" s="3">
        <v>1141956001</v>
      </c>
      <c r="U2917" s="3" t="s">
        <v>29</v>
      </c>
    </row>
    <row r="2918" spans="1:21" ht="13.2" x14ac:dyDescent="0.25">
      <c r="A2918" s="14">
        <v>14482258000186</v>
      </c>
      <c r="B2918" s="15" t="str">
        <f t="shared" si="45"/>
        <v>14.482.258/0001-86</v>
      </c>
      <c r="C2918" s="12"/>
      <c r="D2918" s="3" t="s">
        <v>10435</v>
      </c>
      <c r="E2918" s="3" t="s">
        <v>10435</v>
      </c>
      <c r="F2918" s="3" t="s">
        <v>20</v>
      </c>
      <c r="G2918" s="4">
        <v>40604</v>
      </c>
      <c r="H2918" s="3" t="s">
        <v>21</v>
      </c>
      <c r="I2918" s="3" t="s">
        <v>33</v>
      </c>
      <c r="J2918" s="5">
        <v>6000000</v>
      </c>
      <c r="K2918" s="3">
        <v>2223400</v>
      </c>
      <c r="L2918" s="3" t="s">
        <v>868</v>
      </c>
      <c r="M2918" s="3" t="s">
        <v>10436</v>
      </c>
      <c r="N2918" s="3">
        <v>500</v>
      </c>
      <c r="P2918" s="3" t="s">
        <v>153</v>
      </c>
      <c r="Q2918" s="3" t="s">
        <v>716</v>
      </c>
      <c r="R2918" s="3" t="s">
        <v>28</v>
      </c>
      <c r="S2918" s="3">
        <v>13612383</v>
      </c>
      <c r="T2918" s="3">
        <v>1935715364</v>
      </c>
      <c r="U2918" s="3" t="s">
        <v>29</v>
      </c>
    </row>
    <row r="2919" spans="1:21" ht="13.2" x14ac:dyDescent="0.25">
      <c r="A2919" s="14">
        <v>2650833000123</v>
      </c>
      <c r="B2919" s="15" t="str">
        <f t="shared" si="45"/>
        <v>02.650.833/0001-23</v>
      </c>
      <c r="C2919" s="12"/>
      <c r="D2919" s="3" t="s">
        <v>10437</v>
      </c>
      <c r="E2919" s="3" t="s">
        <v>10437</v>
      </c>
      <c r="F2919" s="3" t="s">
        <v>20</v>
      </c>
      <c r="G2919" s="4">
        <v>36005</v>
      </c>
      <c r="H2919" s="3" t="s">
        <v>21</v>
      </c>
      <c r="I2919" s="3" t="s">
        <v>33</v>
      </c>
      <c r="J2919" s="5">
        <v>26000000</v>
      </c>
      <c r="K2919" s="3">
        <v>8011101</v>
      </c>
      <c r="L2919" s="3" t="s">
        <v>943</v>
      </c>
      <c r="M2919" s="3" t="s">
        <v>10438</v>
      </c>
      <c r="N2919" s="3">
        <v>14</v>
      </c>
      <c r="P2919" s="3" t="s">
        <v>2258</v>
      </c>
      <c r="Q2919" s="3" t="s">
        <v>199</v>
      </c>
      <c r="R2919" s="3" t="s">
        <v>792</v>
      </c>
      <c r="S2919" s="3">
        <v>66093710</v>
      </c>
      <c r="T2919" s="3">
        <v>9133516367</v>
      </c>
      <c r="U2919" s="3" t="s">
        <v>29</v>
      </c>
    </row>
    <row r="2920" spans="1:21" ht="13.2" x14ac:dyDescent="0.25">
      <c r="A2920" s="14">
        <v>10341742000134</v>
      </c>
      <c r="B2920" s="15" t="str">
        <f t="shared" si="45"/>
        <v>10.341.742/0001-34</v>
      </c>
      <c r="C2920" s="12" t="str">
        <f>VLOOKUP(B2920,[1]Planilha1!$A:$B,2,0)</f>
        <v>Malu Montesino</v>
      </c>
      <c r="D2920" s="3" t="s">
        <v>10439</v>
      </c>
      <c r="E2920" s="3" t="s">
        <v>10440</v>
      </c>
      <c r="F2920" s="3" t="s">
        <v>20</v>
      </c>
      <c r="G2920" s="4">
        <v>39707</v>
      </c>
      <c r="H2920" s="3" t="s">
        <v>94</v>
      </c>
      <c r="I2920" s="3" t="s">
        <v>33</v>
      </c>
      <c r="J2920" s="5">
        <v>80000000</v>
      </c>
      <c r="K2920" s="3">
        <v>5231102</v>
      </c>
      <c r="L2920" s="3" t="s">
        <v>7264</v>
      </c>
      <c r="M2920" s="3" t="s">
        <v>10441</v>
      </c>
      <c r="N2920" s="3">
        <v>1400</v>
      </c>
      <c r="P2920" s="3" t="s">
        <v>10442</v>
      </c>
      <c r="Q2920" s="3" t="s">
        <v>2287</v>
      </c>
      <c r="R2920" s="3" t="s">
        <v>91</v>
      </c>
      <c r="S2920" s="3">
        <v>88311370</v>
      </c>
      <c r="T2920" s="3">
        <v>4721045788</v>
      </c>
      <c r="U2920" s="3" t="s">
        <v>29</v>
      </c>
    </row>
    <row r="2921" spans="1:21" ht="13.2" x14ac:dyDescent="0.25">
      <c r="A2921" s="14">
        <v>23106216000131</v>
      </c>
      <c r="B2921" s="15" t="str">
        <f t="shared" si="45"/>
        <v>23.106.216/0001-31</v>
      </c>
      <c r="C2921" s="12"/>
      <c r="D2921" s="3" t="s">
        <v>10443</v>
      </c>
      <c r="E2921" s="3" t="s">
        <v>10444</v>
      </c>
      <c r="F2921" s="3" t="s">
        <v>20</v>
      </c>
      <c r="G2921" s="4">
        <v>42236</v>
      </c>
      <c r="H2921" s="3" t="s">
        <v>21</v>
      </c>
      <c r="I2921" s="3" t="s">
        <v>33</v>
      </c>
      <c r="J2921" s="5">
        <v>880000</v>
      </c>
      <c r="K2921" s="3">
        <v>6202300</v>
      </c>
      <c r="L2921" s="3" t="s">
        <v>103</v>
      </c>
      <c r="M2921" s="3" t="s">
        <v>10445</v>
      </c>
      <c r="N2921" s="3">
        <v>206</v>
      </c>
      <c r="O2921" s="3" t="s">
        <v>10446</v>
      </c>
      <c r="P2921" s="3" t="s">
        <v>3910</v>
      </c>
      <c r="Q2921" s="3" t="s">
        <v>27</v>
      </c>
      <c r="R2921" s="3" t="s">
        <v>28</v>
      </c>
      <c r="S2921" s="3">
        <v>1037010</v>
      </c>
      <c r="T2921" s="3">
        <v>1128305400</v>
      </c>
      <c r="U2921" s="3" t="s">
        <v>29</v>
      </c>
    </row>
    <row r="2922" spans="1:21" ht="13.2" x14ac:dyDescent="0.25">
      <c r="A2922" s="14">
        <v>2816696000154</v>
      </c>
      <c r="B2922" s="15" t="str">
        <f t="shared" si="45"/>
        <v>02.816.696/0001-54</v>
      </c>
      <c r="C2922" s="12" t="str">
        <f>VLOOKUP(B2922,[1]Planilha1!$A:$B,2,0)</f>
        <v>Malu Montesino</v>
      </c>
      <c r="D2922" s="3" t="s">
        <v>10447</v>
      </c>
      <c r="E2922" s="3" t="s">
        <v>10448</v>
      </c>
      <c r="F2922" s="3" t="s">
        <v>20</v>
      </c>
      <c r="G2922" s="4">
        <v>36094</v>
      </c>
      <c r="H2922" s="3" t="s">
        <v>21</v>
      </c>
      <c r="I2922" s="3" t="s">
        <v>33</v>
      </c>
      <c r="J2922" s="5">
        <v>2000000</v>
      </c>
      <c r="K2922" s="3">
        <v>4644301</v>
      </c>
      <c r="L2922" s="3" t="s">
        <v>326</v>
      </c>
      <c r="M2922" s="3" t="s">
        <v>10449</v>
      </c>
      <c r="N2922" s="3">
        <v>1452</v>
      </c>
      <c r="P2922" s="3" t="s">
        <v>10450</v>
      </c>
      <c r="Q2922" s="3" t="s">
        <v>4555</v>
      </c>
      <c r="R2922" s="3" t="s">
        <v>187</v>
      </c>
      <c r="S2922" s="3">
        <v>84032300</v>
      </c>
      <c r="T2922" s="3">
        <v>4221015151</v>
      </c>
      <c r="U2922" s="3" t="s">
        <v>29</v>
      </c>
    </row>
    <row r="2923" spans="1:21" ht="13.2" x14ac:dyDescent="0.25">
      <c r="A2923" s="14">
        <v>9097727000103</v>
      </c>
      <c r="B2923" s="15" t="str">
        <f t="shared" si="45"/>
        <v>09.097.727/0001-03</v>
      </c>
      <c r="C2923" s="12"/>
      <c r="D2923" s="3" t="s">
        <v>10451</v>
      </c>
      <c r="E2923" s="3" t="s">
        <v>10452</v>
      </c>
      <c r="F2923" s="3" t="s">
        <v>20</v>
      </c>
      <c r="G2923" s="4">
        <v>39352</v>
      </c>
      <c r="H2923" s="3" t="s">
        <v>21</v>
      </c>
      <c r="I2923" s="3" t="s">
        <v>33</v>
      </c>
      <c r="J2923" s="5">
        <v>2000000</v>
      </c>
      <c r="K2923" s="3">
        <v>4647801</v>
      </c>
      <c r="L2923" s="3" t="s">
        <v>4947</v>
      </c>
      <c r="M2923" s="3" t="s">
        <v>10453</v>
      </c>
      <c r="N2923" s="3" t="s">
        <v>82</v>
      </c>
      <c r="O2923" s="3" t="s">
        <v>10454</v>
      </c>
      <c r="P2923" s="3" t="s">
        <v>1885</v>
      </c>
      <c r="Q2923" s="3" t="s">
        <v>1886</v>
      </c>
      <c r="R2923" s="3" t="s">
        <v>1887</v>
      </c>
      <c r="S2923" s="3">
        <v>77020172</v>
      </c>
      <c r="T2923" s="3">
        <v>6332152501</v>
      </c>
      <c r="U2923" s="3" t="s">
        <v>29</v>
      </c>
    </row>
    <row r="2924" spans="1:21" ht="13.2" x14ac:dyDescent="0.25">
      <c r="A2924" s="14">
        <v>54544275000115</v>
      </c>
      <c r="B2924" s="15" t="str">
        <f t="shared" si="45"/>
        <v>54.544.275/0001-15</v>
      </c>
      <c r="C2924" s="12"/>
      <c r="D2924" s="3" t="s">
        <v>10455</v>
      </c>
      <c r="E2924" s="3" t="s">
        <v>10455</v>
      </c>
      <c r="F2924" s="3" t="s">
        <v>20</v>
      </c>
      <c r="G2924" s="4">
        <v>31226</v>
      </c>
      <c r="H2924" s="3" t="s">
        <v>21</v>
      </c>
      <c r="I2924" s="3" t="s">
        <v>22</v>
      </c>
      <c r="J2924" s="5">
        <v>118000</v>
      </c>
      <c r="K2924" s="3">
        <v>4686902</v>
      </c>
      <c r="L2924" s="3" t="s">
        <v>2027</v>
      </c>
      <c r="M2924" s="3" t="s">
        <v>10456</v>
      </c>
      <c r="N2924" s="3">
        <v>774</v>
      </c>
      <c r="P2924" s="3" t="s">
        <v>70</v>
      </c>
      <c r="Q2924" s="3" t="s">
        <v>262</v>
      </c>
      <c r="R2924" s="3" t="s">
        <v>28</v>
      </c>
      <c r="S2924" s="3">
        <v>6010065</v>
      </c>
      <c r="T2924" s="3">
        <v>1196572379</v>
      </c>
      <c r="U2924" s="3" t="s">
        <v>29</v>
      </c>
    </row>
    <row r="2925" spans="1:21" ht="13.2" x14ac:dyDescent="0.25">
      <c r="A2925" s="14">
        <v>8228010000190</v>
      </c>
      <c r="B2925" s="15" t="str">
        <f t="shared" si="45"/>
        <v>08.228.010/0001-90</v>
      </c>
      <c r="C2925" s="12"/>
      <c r="D2925" s="3" t="s">
        <v>10457</v>
      </c>
      <c r="E2925" s="3" t="s">
        <v>10458</v>
      </c>
      <c r="F2925" s="3" t="s">
        <v>20</v>
      </c>
      <c r="G2925" s="4">
        <v>38943</v>
      </c>
      <c r="H2925" s="3" t="s">
        <v>21</v>
      </c>
      <c r="I2925" s="3" t="s">
        <v>33</v>
      </c>
      <c r="J2925" s="5">
        <v>17000000</v>
      </c>
      <c r="K2925" s="3">
        <v>4647801</v>
      </c>
      <c r="L2925" s="3" t="s">
        <v>4947</v>
      </c>
      <c r="M2925" s="3" t="s">
        <v>10459</v>
      </c>
      <c r="N2925" s="3" t="s">
        <v>111</v>
      </c>
      <c r="O2925" s="3" t="s">
        <v>10460</v>
      </c>
      <c r="P2925" s="3" t="s">
        <v>7971</v>
      </c>
      <c r="Q2925" s="3" t="s">
        <v>631</v>
      </c>
      <c r="R2925" s="3" t="s">
        <v>632</v>
      </c>
      <c r="S2925" s="3">
        <v>71608900</v>
      </c>
      <c r="T2925" s="3">
        <v>3133495039</v>
      </c>
      <c r="U2925" s="3" t="s">
        <v>29</v>
      </c>
    </row>
    <row r="2926" spans="1:21" ht="13.2" x14ac:dyDescent="0.25">
      <c r="A2926" s="14">
        <v>16572363000131</v>
      </c>
      <c r="B2926" s="15" t="str">
        <f t="shared" si="45"/>
        <v>16.572.363/0001-31</v>
      </c>
      <c r="C2926" s="12"/>
      <c r="D2926" s="3" t="s">
        <v>10461</v>
      </c>
      <c r="E2926" s="3" t="s">
        <v>10462</v>
      </c>
      <c r="F2926" s="3" t="s">
        <v>20</v>
      </c>
      <c r="G2926" s="4">
        <v>41094</v>
      </c>
      <c r="H2926" s="3" t="s">
        <v>21</v>
      </c>
      <c r="I2926" s="3" t="s">
        <v>47</v>
      </c>
      <c r="J2926" s="5">
        <v>20000</v>
      </c>
      <c r="K2926" s="3">
        <v>7739003</v>
      </c>
      <c r="L2926" s="3" t="s">
        <v>8564</v>
      </c>
      <c r="M2926" s="3" t="s">
        <v>10463</v>
      </c>
      <c r="N2926" s="3">
        <v>878</v>
      </c>
      <c r="O2926" s="3" t="s">
        <v>10464</v>
      </c>
      <c r="P2926" s="3" t="s">
        <v>8383</v>
      </c>
      <c r="Q2926" s="3" t="s">
        <v>357</v>
      </c>
      <c r="R2926" s="3" t="s">
        <v>28</v>
      </c>
      <c r="S2926" s="3">
        <v>7263000</v>
      </c>
      <c r="T2926" s="3">
        <v>1124862507</v>
      </c>
      <c r="U2926" s="3" t="s">
        <v>29</v>
      </c>
    </row>
    <row r="2927" spans="1:21" ht="13.2" x14ac:dyDescent="0.25">
      <c r="A2927" s="14">
        <v>7248785000165</v>
      </c>
      <c r="B2927" s="15" t="str">
        <f t="shared" si="45"/>
        <v>07.248.785/0001-65</v>
      </c>
      <c r="C2927" s="12"/>
      <c r="D2927" s="3" t="s">
        <v>10465</v>
      </c>
      <c r="E2927" s="3" t="s">
        <v>10465</v>
      </c>
      <c r="F2927" s="3" t="s">
        <v>20</v>
      </c>
      <c r="G2927" s="4">
        <v>38399</v>
      </c>
      <c r="H2927" s="3" t="s">
        <v>21</v>
      </c>
      <c r="I2927" s="3" t="s">
        <v>33</v>
      </c>
      <c r="J2927" s="5">
        <v>300000</v>
      </c>
      <c r="K2927" s="3">
        <v>4744003</v>
      </c>
      <c r="L2927" s="3" t="s">
        <v>6548</v>
      </c>
      <c r="M2927" s="3" t="s">
        <v>10466</v>
      </c>
      <c r="N2927" s="3">
        <v>322</v>
      </c>
      <c r="P2927" s="3" t="s">
        <v>70</v>
      </c>
      <c r="Q2927" s="3" t="s">
        <v>27</v>
      </c>
      <c r="R2927" s="3" t="s">
        <v>28</v>
      </c>
      <c r="S2927" s="3">
        <v>1030000</v>
      </c>
      <c r="U2927" s="3" t="s">
        <v>29</v>
      </c>
    </row>
    <row r="2928" spans="1:21" ht="13.2" x14ac:dyDescent="0.25">
      <c r="A2928" s="14">
        <v>31372346000144</v>
      </c>
      <c r="B2928" s="15" t="str">
        <f t="shared" si="45"/>
        <v>31.372.346/0001-44</v>
      </c>
      <c r="C2928" s="12" t="str">
        <f>VLOOKUP(B2928,[1]Planilha1!$A:$B,2,0)</f>
        <v>Malu Montesino</v>
      </c>
      <c r="D2928" s="3" t="s">
        <v>10467</v>
      </c>
      <c r="E2928" s="3" t="s">
        <v>10468</v>
      </c>
      <c r="F2928" s="3" t="s">
        <v>20</v>
      </c>
      <c r="G2928" s="4">
        <v>43341</v>
      </c>
      <c r="H2928" s="3" t="s">
        <v>21</v>
      </c>
      <c r="I2928" s="3" t="s">
        <v>22</v>
      </c>
      <c r="J2928" s="5">
        <v>500000</v>
      </c>
      <c r="K2928" s="3">
        <v>3250701</v>
      </c>
      <c r="L2928" s="3" t="s">
        <v>2195</v>
      </c>
      <c r="M2928" s="3" t="s">
        <v>10469</v>
      </c>
      <c r="N2928" s="3" t="s">
        <v>111</v>
      </c>
      <c r="O2928" s="3" t="s">
        <v>10470</v>
      </c>
      <c r="P2928" s="3" t="s">
        <v>6226</v>
      </c>
      <c r="Q2928" s="3" t="s">
        <v>9509</v>
      </c>
      <c r="R2928" s="3" t="s">
        <v>274</v>
      </c>
      <c r="S2928" s="3">
        <v>76270000</v>
      </c>
      <c r="T2928" s="3">
        <v>6233733065</v>
      </c>
      <c r="U2928" s="3" t="s">
        <v>29</v>
      </c>
    </row>
    <row r="2929" spans="1:21" ht="13.2" x14ac:dyDescent="0.25">
      <c r="A2929" s="14">
        <v>6045864000106</v>
      </c>
      <c r="B2929" s="15" t="str">
        <f t="shared" si="45"/>
        <v>06.045.864/0001-06</v>
      </c>
      <c r="C2929" s="12" t="str">
        <f>VLOOKUP(B2929,[1]Planilha1!$A:$B,2,0)</f>
        <v>Mariane Nascimento</v>
      </c>
      <c r="D2929" s="3" t="s">
        <v>10471</v>
      </c>
      <c r="E2929" s="3" t="s">
        <v>10471</v>
      </c>
      <c r="F2929" s="3" t="s">
        <v>20</v>
      </c>
      <c r="G2929" s="4">
        <v>37957</v>
      </c>
      <c r="H2929" s="3" t="s">
        <v>21</v>
      </c>
      <c r="I2929" s="3" t="s">
        <v>22</v>
      </c>
      <c r="J2929" s="5">
        <v>820000</v>
      </c>
      <c r="K2929" s="3">
        <v>7112000</v>
      </c>
      <c r="L2929" s="3" t="s">
        <v>276</v>
      </c>
      <c r="M2929" s="3" t="s">
        <v>4699</v>
      </c>
      <c r="N2929" s="3">
        <v>1030</v>
      </c>
      <c r="O2929" s="3" t="s">
        <v>10472</v>
      </c>
      <c r="P2929" s="3" t="s">
        <v>3673</v>
      </c>
      <c r="Q2929" s="3" t="s">
        <v>476</v>
      </c>
      <c r="R2929" s="3" t="s">
        <v>100</v>
      </c>
      <c r="S2929" s="3">
        <v>30170002</v>
      </c>
      <c r="T2929" s="3">
        <v>3132753923</v>
      </c>
      <c r="U2929" s="3" t="s">
        <v>29</v>
      </c>
    </row>
    <row r="2930" spans="1:21" ht="13.2" x14ac:dyDescent="0.25">
      <c r="A2930" s="14">
        <v>61198164000160</v>
      </c>
      <c r="B2930" s="15" t="str">
        <f t="shared" si="45"/>
        <v>61.198.164/0001-60</v>
      </c>
      <c r="C2930" s="12"/>
      <c r="D2930" s="3" t="s">
        <v>10473</v>
      </c>
      <c r="E2930" s="3" t="s">
        <v>10473</v>
      </c>
      <c r="F2930" s="3" t="s">
        <v>20</v>
      </c>
      <c r="G2930" s="4">
        <v>24147</v>
      </c>
      <c r="H2930" s="3" t="s">
        <v>94</v>
      </c>
      <c r="I2930" s="3" t="s">
        <v>33</v>
      </c>
      <c r="J2930" s="5">
        <v>3810299400</v>
      </c>
      <c r="K2930" s="3">
        <v>6512000</v>
      </c>
      <c r="L2930" s="3" t="s">
        <v>6015</v>
      </c>
      <c r="M2930" s="3" t="s">
        <v>645</v>
      </c>
      <c r="N2930" s="3">
        <v>1489</v>
      </c>
      <c r="O2930" s="3" t="s">
        <v>10474</v>
      </c>
      <c r="P2930" s="3" t="s">
        <v>1752</v>
      </c>
      <c r="Q2930" s="3" t="s">
        <v>27</v>
      </c>
      <c r="R2930" s="3" t="s">
        <v>28</v>
      </c>
      <c r="S2930" s="3">
        <v>1205001</v>
      </c>
      <c r="T2930" s="3">
        <v>1123936762</v>
      </c>
      <c r="U2930" s="3" t="s">
        <v>29</v>
      </c>
    </row>
    <row r="2931" spans="1:21" ht="13.2" x14ac:dyDescent="0.25">
      <c r="A2931" s="14">
        <v>14965372000167</v>
      </c>
      <c r="B2931" s="15" t="str">
        <f t="shared" si="45"/>
        <v>14.965.372/0001-67</v>
      </c>
      <c r="C2931" s="12"/>
      <c r="D2931" s="3" t="s">
        <v>10475</v>
      </c>
      <c r="E2931" s="3" t="s">
        <v>10476</v>
      </c>
      <c r="F2931" s="3" t="s">
        <v>20</v>
      </c>
      <c r="G2931" s="4">
        <v>40935</v>
      </c>
      <c r="H2931" s="3" t="s">
        <v>21</v>
      </c>
      <c r="I2931" s="3" t="s">
        <v>47</v>
      </c>
      <c r="J2931" s="5">
        <v>380000</v>
      </c>
      <c r="K2931" s="3">
        <v>4761003</v>
      </c>
      <c r="L2931" s="3" t="s">
        <v>2086</v>
      </c>
      <c r="M2931" s="3" t="s">
        <v>10477</v>
      </c>
      <c r="N2931" s="3">
        <v>59</v>
      </c>
      <c r="P2931" s="3" t="s">
        <v>10478</v>
      </c>
      <c r="Q2931" s="3" t="s">
        <v>1312</v>
      </c>
      <c r="R2931" s="3" t="s">
        <v>28</v>
      </c>
      <c r="S2931" s="3">
        <v>13309800</v>
      </c>
      <c r="T2931" s="3">
        <v>1142293993</v>
      </c>
      <c r="U2931" s="3" t="s">
        <v>29</v>
      </c>
    </row>
    <row r="2932" spans="1:21" ht="13.2" x14ac:dyDescent="0.25">
      <c r="A2932" s="14">
        <v>28497394000154</v>
      </c>
      <c r="B2932" s="15" t="str">
        <f t="shared" si="45"/>
        <v>28.497.394/0001-54</v>
      </c>
      <c r="C2932" s="12" t="str">
        <f>VLOOKUP(B2932,[1]Planilha1!$A:$B,2,0)</f>
        <v>Malu Montesino</v>
      </c>
      <c r="D2932" s="3" t="s">
        <v>10479</v>
      </c>
      <c r="E2932" s="3" t="s">
        <v>10479</v>
      </c>
      <c r="F2932" s="3" t="s">
        <v>20</v>
      </c>
      <c r="G2932" s="4">
        <v>31118</v>
      </c>
      <c r="H2932" s="3" t="s">
        <v>94</v>
      </c>
      <c r="I2932" s="3" t="s">
        <v>33</v>
      </c>
      <c r="J2932" s="5">
        <v>163617180</v>
      </c>
      <c r="K2932" s="3">
        <v>5212500</v>
      </c>
      <c r="L2932" s="3" t="s">
        <v>62</v>
      </c>
      <c r="M2932" s="3" t="s">
        <v>10480</v>
      </c>
      <c r="N2932" s="3" t="s">
        <v>82</v>
      </c>
      <c r="O2932" s="3" t="s">
        <v>10481</v>
      </c>
      <c r="P2932" s="3" t="s">
        <v>10482</v>
      </c>
      <c r="Q2932" s="3" t="s">
        <v>3491</v>
      </c>
      <c r="R2932" s="3" t="s">
        <v>765</v>
      </c>
      <c r="S2932" s="3">
        <v>29190010</v>
      </c>
      <c r="U2932" s="3" t="s">
        <v>29</v>
      </c>
    </row>
    <row r="2933" spans="1:21" ht="13.2" x14ac:dyDescent="0.25">
      <c r="A2933" s="14">
        <v>81243735000148</v>
      </c>
      <c r="B2933" s="15" t="str">
        <f t="shared" si="45"/>
        <v>81.243.735/0001-48</v>
      </c>
      <c r="C2933" s="12" t="str">
        <f>VLOOKUP(B2933,[1]Planilha1!$A:$B,2,0)</f>
        <v>Malu Montesino</v>
      </c>
      <c r="D2933" s="3" t="s">
        <v>10483</v>
      </c>
      <c r="E2933" s="3" t="s">
        <v>10483</v>
      </c>
      <c r="F2933" s="3" t="s">
        <v>20</v>
      </c>
      <c r="G2933" s="4">
        <v>32654</v>
      </c>
      <c r="H2933" s="3" t="s">
        <v>377</v>
      </c>
      <c r="I2933" s="3" t="s">
        <v>33</v>
      </c>
      <c r="J2933" s="5">
        <v>742700000</v>
      </c>
      <c r="K2933" s="3">
        <v>2621300</v>
      </c>
      <c r="L2933" s="3" t="s">
        <v>4620</v>
      </c>
      <c r="M2933" s="3" t="s">
        <v>10484</v>
      </c>
      <c r="N2933" s="3">
        <v>5200</v>
      </c>
      <c r="P2933" s="3" t="s">
        <v>10485</v>
      </c>
      <c r="Q2933" s="3" t="s">
        <v>204</v>
      </c>
      <c r="R2933" s="3" t="s">
        <v>187</v>
      </c>
      <c r="S2933" s="3">
        <v>81350000</v>
      </c>
      <c r="T2933" s="3">
        <v>4133167700</v>
      </c>
      <c r="U2933" s="3" t="s">
        <v>29</v>
      </c>
    </row>
    <row r="2934" spans="1:21" ht="13.2" x14ac:dyDescent="0.25">
      <c r="A2934" s="14">
        <v>12065450000141</v>
      </c>
      <c r="B2934" s="15" t="str">
        <f t="shared" si="45"/>
        <v>12.065.450/0001-41</v>
      </c>
      <c r="C2934" s="12"/>
      <c r="D2934" s="3" t="s">
        <v>10486</v>
      </c>
      <c r="E2934" s="3" t="s">
        <v>10487</v>
      </c>
      <c r="F2934" s="3" t="s">
        <v>20</v>
      </c>
      <c r="G2934" s="4">
        <v>40336</v>
      </c>
      <c r="H2934" s="3" t="s">
        <v>21</v>
      </c>
      <c r="I2934" s="3" t="s">
        <v>33</v>
      </c>
      <c r="J2934" s="5">
        <v>1000000</v>
      </c>
      <c r="K2934" s="3">
        <v>4120400</v>
      </c>
      <c r="L2934" s="3" t="s">
        <v>87</v>
      </c>
      <c r="M2934" s="3" t="s">
        <v>10488</v>
      </c>
      <c r="N2934" s="3">
        <v>166</v>
      </c>
      <c r="O2934" s="3" t="s">
        <v>10489</v>
      </c>
      <c r="P2934" s="3" t="s">
        <v>4951</v>
      </c>
      <c r="Q2934" s="3" t="s">
        <v>65</v>
      </c>
      <c r="R2934" s="3" t="s">
        <v>28</v>
      </c>
      <c r="S2934" s="3">
        <v>13065712</v>
      </c>
      <c r="T2934" s="3">
        <v>1932450106</v>
      </c>
      <c r="U2934" s="3" t="s">
        <v>29</v>
      </c>
    </row>
    <row r="2935" spans="1:21" ht="13.2" x14ac:dyDescent="0.25">
      <c r="A2935" s="14">
        <v>58853169000174</v>
      </c>
      <c r="B2935" s="15" t="str">
        <f t="shared" si="45"/>
        <v>58.853.169/0001-74</v>
      </c>
      <c r="C2935" s="12"/>
      <c r="D2935" s="3" t="s">
        <v>10490</v>
      </c>
      <c r="E2935" s="3" t="s">
        <v>10490</v>
      </c>
      <c r="F2935" s="3" t="s">
        <v>20</v>
      </c>
      <c r="G2935" s="4">
        <v>32253</v>
      </c>
      <c r="H2935" s="3" t="s">
        <v>21</v>
      </c>
      <c r="I2935" s="3" t="s">
        <v>33</v>
      </c>
      <c r="J2935" s="5">
        <v>16000000</v>
      </c>
      <c r="K2935" s="3">
        <v>4213800</v>
      </c>
      <c r="L2935" s="3" t="s">
        <v>4261</v>
      </c>
      <c r="M2935" s="3" t="s">
        <v>10491</v>
      </c>
      <c r="N2935" s="3">
        <v>372</v>
      </c>
      <c r="P2935" s="3" t="s">
        <v>10492</v>
      </c>
      <c r="Q2935" s="3" t="s">
        <v>27</v>
      </c>
      <c r="R2935" s="3" t="s">
        <v>28</v>
      </c>
      <c r="S2935" s="3">
        <v>2060000</v>
      </c>
      <c r="T2935" s="3">
        <v>1129097400</v>
      </c>
      <c r="U2935" s="3" t="s">
        <v>29</v>
      </c>
    </row>
    <row r="2936" spans="1:21" ht="13.2" x14ac:dyDescent="0.25">
      <c r="A2936" s="14">
        <v>36425014000102</v>
      </c>
      <c r="B2936" s="15" t="str">
        <f t="shared" si="45"/>
        <v>36.425.014/0001-02</v>
      </c>
      <c r="C2936" s="12"/>
      <c r="D2936" s="3" t="s">
        <v>10493</v>
      </c>
      <c r="E2936" s="3" t="s">
        <v>10493</v>
      </c>
      <c r="F2936" s="3" t="s">
        <v>20</v>
      </c>
      <c r="G2936" s="4">
        <v>43880</v>
      </c>
      <c r="H2936" s="3" t="s">
        <v>21</v>
      </c>
      <c r="I2936" s="3" t="s">
        <v>33</v>
      </c>
      <c r="J2936" s="5">
        <v>1581000</v>
      </c>
      <c r="K2936" s="3">
        <v>6463800</v>
      </c>
      <c r="L2936" s="3" t="s">
        <v>458</v>
      </c>
      <c r="M2936" s="3" t="s">
        <v>2764</v>
      </c>
      <c r="N2936" s="3">
        <v>55</v>
      </c>
      <c r="O2936" s="3" t="s">
        <v>10494</v>
      </c>
      <c r="P2936" s="3" t="s">
        <v>2766</v>
      </c>
      <c r="Q2936" s="3" t="s">
        <v>667</v>
      </c>
      <c r="R2936" s="3" t="s">
        <v>301</v>
      </c>
      <c r="S2936" s="3">
        <v>60192105</v>
      </c>
      <c r="T2936" s="3">
        <v>8540420959</v>
      </c>
      <c r="U2936" s="3" t="s">
        <v>29</v>
      </c>
    </row>
    <row r="2937" spans="1:21" ht="13.2" x14ac:dyDescent="0.25">
      <c r="A2937" s="14">
        <v>9535897000122</v>
      </c>
      <c r="B2937" s="15" t="str">
        <f t="shared" si="45"/>
        <v>09.535.897/0001-22</v>
      </c>
      <c r="C2937" s="12"/>
      <c r="D2937" s="3" t="s">
        <v>10495</v>
      </c>
      <c r="E2937" s="3" t="s">
        <v>10496</v>
      </c>
      <c r="F2937" s="3" t="s">
        <v>20</v>
      </c>
      <c r="G2937" s="4">
        <v>39545</v>
      </c>
      <c r="H2937" s="3" t="s">
        <v>21</v>
      </c>
      <c r="I2937" s="3" t="s">
        <v>33</v>
      </c>
      <c r="J2937" s="5">
        <v>500000</v>
      </c>
      <c r="K2937" s="3">
        <v>7711000</v>
      </c>
      <c r="L2937" s="3" t="s">
        <v>2763</v>
      </c>
      <c r="M2937" s="3" t="s">
        <v>1655</v>
      </c>
      <c r="N2937" s="3">
        <v>544</v>
      </c>
      <c r="O2937" s="3" t="s">
        <v>2029</v>
      </c>
      <c r="P2937" s="3" t="s">
        <v>70</v>
      </c>
      <c r="Q2937" s="3" t="s">
        <v>883</v>
      </c>
      <c r="R2937" s="3" t="s">
        <v>951</v>
      </c>
      <c r="S2937" s="3">
        <v>64001090</v>
      </c>
      <c r="T2937" s="3">
        <v>8632148181</v>
      </c>
      <c r="U2937" s="3" t="s">
        <v>29</v>
      </c>
    </row>
    <row r="2938" spans="1:21" ht="13.2" x14ac:dyDescent="0.25">
      <c r="A2938" s="14">
        <v>54506589000476</v>
      </c>
      <c r="B2938" s="15" t="str">
        <f t="shared" si="45"/>
        <v>54.506.589/0004-76</v>
      </c>
      <c r="C2938" s="12"/>
      <c r="D2938" s="3" t="s">
        <v>10497</v>
      </c>
      <c r="E2938" s="3" t="s">
        <v>10497</v>
      </c>
      <c r="F2938" s="3" t="s">
        <v>45</v>
      </c>
      <c r="G2938" s="4">
        <v>34733</v>
      </c>
      <c r="H2938" s="3" t="s">
        <v>21</v>
      </c>
      <c r="I2938" s="3" t="s">
        <v>33</v>
      </c>
      <c r="J2938" s="5">
        <v>15500000</v>
      </c>
      <c r="K2938" s="3">
        <v>8011101</v>
      </c>
      <c r="L2938" s="3" t="s">
        <v>943</v>
      </c>
      <c r="M2938" s="3" t="s">
        <v>10498</v>
      </c>
      <c r="N2938" s="3">
        <v>131</v>
      </c>
      <c r="P2938" s="3" t="s">
        <v>70</v>
      </c>
      <c r="Q2938" s="3" t="s">
        <v>3056</v>
      </c>
      <c r="R2938" s="3" t="s">
        <v>28</v>
      </c>
      <c r="S2938" s="3">
        <v>18603320</v>
      </c>
      <c r="T2938" s="3">
        <v>148213990</v>
      </c>
      <c r="U2938" s="3" t="s">
        <v>29</v>
      </c>
    </row>
    <row r="2939" spans="1:21" ht="13.2" x14ac:dyDescent="0.25">
      <c r="A2939" s="14">
        <v>10426974000195</v>
      </c>
      <c r="B2939" s="15" t="str">
        <f t="shared" si="45"/>
        <v>10.426.974/0001-95</v>
      </c>
      <c r="C2939" s="12" t="str">
        <f>VLOOKUP(B2939,[1]Planilha1!$A:$B,2,0)</f>
        <v>Malu Montesino</v>
      </c>
      <c r="D2939" s="3" t="s">
        <v>10499</v>
      </c>
      <c r="E2939" s="3" t="s">
        <v>10500</v>
      </c>
      <c r="F2939" s="3" t="s">
        <v>20</v>
      </c>
      <c r="G2939" s="4">
        <v>39728</v>
      </c>
      <c r="H2939" s="3" t="s">
        <v>21</v>
      </c>
      <c r="I2939" s="3" t="s">
        <v>33</v>
      </c>
      <c r="J2939" s="5">
        <v>84972584</v>
      </c>
      <c r="K2939" s="3">
        <v>7490199</v>
      </c>
      <c r="L2939" s="3" t="s">
        <v>1091</v>
      </c>
      <c r="M2939" s="3" t="s">
        <v>679</v>
      </c>
      <c r="N2939" s="3">
        <v>1142</v>
      </c>
      <c r="O2939" s="3" t="s">
        <v>10501</v>
      </c>
      <c r="P2939" s="3" t="s">
        <v>681</v>
      </c>
      <c r="Q2939" s="3" t="s">
        <v>617</v>
      </c>
      <c r="R2939" s="3" t="s">
        <v>28</v>
      </c>
      <c r="S2939" s="3">
        <v>6455000</v>
      </c>
      <c r="T2939" s="3">
        <v>1136605600</v>
      </c>
      <c r="U2939" s="3" t="s">
        <v>29</v>
      </c>
    </row>
    <row r="2940" spans="1:21" ht="13.2" x14ac:dyDescent="0.25">
      <c r="A2940" s="14">
        <v>4615114000105</v>
      </c>
      <c r="B2940" s="15" t="str">
        <f t="shared" si="45"/>
        <v>04.615.114/0001-05</v>
      </c>
      <c r="C2940" s="12" t="str">
        <f>VLOOKUP(B2940,[1]Planilha1!$A:$B,2,0)</f>
        <v>Malu Montesino</v>
      </c>
      <c r="D2940" s="3" t="s">
        <v>10502</v>
      </c>
      <c r="E2940" s="3" t="s">
        <v>10502</v>
      </c>
      <c r="F2940" s="3" t="s">
        <v>20</v>
      </c>
      <c r="G2940" s="4">
        <v>37119</v>
      </c>
      <c r="H2940" s="3" t="s">
        <v>21</v>
      </c>
      <c r="I2940" s="3" t="s">
        <v>22</v>
      </c>
      <c r="J2940" s="5">
        <v>150000</v>
      </c>
      <c r="K2940" s="3">
        <v>4663000</v>
      </c>
      <c r="L2940" s="3" t="s">
        <v>128</v>
      </c>
      <c r="M2940" s="3" t="s">
        <v>10503</v>
      </c>
      <c r="N2940" s="3">
        <v>212</v>
      </c>
      <c r="P2940" s="3" t="s">
        <v>241</v>
      </c>
      <c r="Q2940" s="3" t="s">
        <v>27</v>
      </c>
      <c r="R2940" s="3" t="s">
        <v>28</v>
      </c>
      <c r="S2940" s="3">
        <v>4755070</v>
      </c>
      <c r="T2940" s="3">
        <v>1150349008</v>
      </c>
      <c r="U2940" s="3" t="s">
        <v>29</v>
      </c>
    </row>
    <row r="2941" spans="1:21" ht="13.2" x14ac:dyDescent="0.25">
      <c r="A2941" s="14">
        <v>6282480000107</v>
      </c>
      <c r="B2941" s="15" t="str">
        <f t="shared" si="45"/>
        <v>06.282.480/0001-07</v>
      </c>
      <c r="C2941" s="12" t="str">
        <f>VLOOKUP(B2941,[1]Planilha1!$A:$B,2,0)</f>
        <v>Malu Montesino</v>
      </c>
      <c r="D2941" s="3" t="s">
        <v>10504</v>
      </c>
      <c r="E2941" s="3" t="s">
        <v>10504</v>
      </c>
      <c r="F2941" s="3" t="s">
        <v>20</v>
      </c>
      <c r="G2941" s="4">
        <v>38121</v>
      </c>
      <c r="H2941" s="3" t="s">
        <v>21</v>
      </c>
      <c r="I2941" s="3" t="s">
        <v>33</v>
      </c>
      <c r="J2941" s="5">
        <v>1000000</v>
      </c>
      <c r="K2941" s="3">
        <v>2721000</v>
      </c>
      <c r="L2941" s="3" t="s">
        <v>10505</v>
      </c>
      <c r="M2941" s="3" t="s">
        <v>10506</v>
      </c>
      <c r="N2941" s="3">
        <v>100</v>
      </c>
      <c r="P2941" s="3" t="s">
        <v>70</v>
      </c>
      <c r="Q2941" s="3" t="s">
        <v>471</v>
      </c>
      <c r="R2941" s="3" t="s">
        <v>28</v>
      </c>
      <c r="S2941" s="3">
        <v>9521320</v>
      </c>
      <c r="T2941" s="3">
        <v>1142272477</v>
      </c>
      <c r="U2941" s="3" t="s">
        <v>29</v>
      </c>
    </row>
    <row r="2942" spans="1:21" ht="13.2" x14ac:dyDescent="0.25">
      <c r="A2942" s="14">
        <v>67643825000103</v>
      </c>
      <c r="B2942" s="15" t="str">
        <f t="shared" si="45"/>
        <v>67.643.825/0001-03</v>
      </c>
      <c r="C2942" s="12"/>
      <c r="D2942" s="3" t="s">
        <v>10507</v>
      </c>
      <c r="E2942" s="3" t="s">
        <v>10507</v>
      </c>
      <c r="F2942" s="3" t="s">
        <v>20</v>
      </c>
      <c r="G2942" s="4">
        <v>33781</v>
      </c>
      <c r="H2942" s="3" t="s">
        <v>1550</v>
      </c>
      <c r="I2942" s="3" t="s">
        <v>33</v>
      </c>
      <c r="J2942" s="5">
        <v>1812000</v>
      </c>
      <c r="K2942" s="3">
        <v>6920602</v>
      </c>
      <c r="L2942" s="3" t="s">
        <v>1022</v>
      </c>
      <c r="M2942" s="3" t="s">
        <v>294</v>
      </c>
      <c r="N2942" s="3">
        <v>1940</v>
      </c>
      <c r="O2942" s="3" t="s">
        <v>10508</v>
      </c>
      <c r="P2942" s="3" t="s">
        <v>296</v>
      </c>
      <c r="Q2942" s="3" t="s">
        <v>27</v>
      </c>
      <c r="R2942" s="3" t="s">
        <v>28</v>
      </c>
      <c r="S2942" s="3">
        <v>1418002</v>
      </c>
      <c r="T2942" s="3">
        <v>1138831600</v>
      </c>
      <c r="U2942" s="3" t="s">
        <v>29</v>
      </c>
    </row>
    <row r="2943" spans="1:21" ht="13.2" x14ac:dyDescent="0.25">
      <c r="A2943" s="14">
        <v>9221044000116</v>
      </c>
      <c r="B2943" s="15" t="str">
        <f t="shared" si="45"/>
        <v>09.221.044/0001-16</v>
      </c>
      <c r="C2943" s="12" t="str">
        <f>VLOOKUP(B2943,[1]Planilha1!$A:$B,2,0)</f>
        <v>Malu Montesino</v>
      </c>
      <c r="D2943" s="3" t="s">
        <v>10509</v>
      </c>
      <c r="E2943" s="3" t="s">
        <v>10510</v>
      </c>
      <c r="F2943" s="3" t="s">
        <v>20</v>
      </c>
      <c r="G2943" s="4">
        <v>39409</v>
      </c>
      <c r="H2943" s="3" t="s">
        <v>21</v>
      </c>
      <c r="I2943" s="3" t="s">
        <v>33</v>
      </c>
      <c r="J2943" s="5">
        <v>330000</v>
      </c>
      <c r="K2943" s="3">
        <v>4663000</v>
      </c>
      <c r="L2943" s="3" t="s">
        <v>128</v>
      </c>
      <c r="M2943" s="3" t="s">
        <v>1671</v>
      </c>
      <c r="N2943" s="3">
        <v>11777</v>
      </c>
      <c r="O2943" s="3" t="s">
        <v>10511</v>
      </c>
      <c r="P2943" s="3" t="s">
        <v>1673</v>
      </c>
      <c r="Q2943" s="3" t="s">
        <v>231</v>
      </c>
      <c r="R2943" s="3" t="s">
        <v>28</v>
      </c>
      <c r="S2943" s="3">
        <v>18078005</v>
      </c>
      <c r="T2943" s="3">
        <v>1532441575</v>
      </c>
      <c r="U2943" s="3" t="s">
        <v>29</v>
      </c>
    </row>
    <row r="2944" spans="1:21" ht="13.2" x14ac:dyDescent="0.25">
      <c r="A2944" s="14">
        <v>86890308000175</v>
      </c>
      <c r="B2944" s="15" t="str">
        <f t="shared" si="45"/>
        <v>86.890.308/0001-75</v>
      </c>
      <c r="C2944" s="12"/>
      <c r="D2944" s="3" t="s">
        <v>10512</v>
      </c>
      <c r="E2944" s="3" t="s">
        <v>10513</v>
      </c>
      <c r="F2944" s="3" t="s">
        <v>20</v>
      </c>
      <c r="G2944" s="4">
        <v>34390</v>
      </c>
      <c r="H2944" s="3" t="s">
        <v>21</v>
      </c>
      <c r="I2944" s="3" t="s">
        <v>33</v>
      </c>
      <c r="J2944" s="5">
        <v>12000000</v>
      </c>
      <c r="K2944" s="3">
        <v>5211702</v>
      </c>
      <c r="L2944" s="3" t="s">
        <v>719</v>
      </c>
      <c r="M2944" s="3" t="s">
        <v>2737</v>
      </c>
      <c r="N2944" s="3">
        <v>635</v>
      </c>
      <c r="P2944" s="3" t="s">
        <v>2739</v>
      </c>
      <c r="Q2944" s="3" t="s">
        <v>27</v>
      </c>
      <c r="R2944" s="3" t="s">
        <v>28</v>
      </c>
      <c r="S2944" s="3">
        <v>3109000</v>
      </c>
      <c r="T2944" s="3">
        <v>1179563192</v>
      </c>
      <c r="U2944" s="3" t="s">
        <v>29</v>
      </c>
    </row>
    <row r="2945" spans="1:21" ht="13.2" x14ac:dyDescent="0.25">
      <c r="A2945" s="14">
        <v>11411336000163</v>
      </c>
      <c r="B2945" s="15" t="str">
        <f t="shared" si="45"/>
        <v>11.411.336/0001-63</v>
      </c>
      <c r="C2945" s="12"/>
      <c r="D2945" s="3" t="s">
        <v>10514</v>
      </c>
      <c r="E2945" s="3" t="s">
        <v>10515</v>
      </c>
      <c r="F2945" s="3" t="s">
        <v>45</v>
      </c>
      <c r="G2945" s="4">
        <v>40164</v>
      </c>
      <c r="H2945" s="3" t="s">
        <v>21</v>
      </c>
      <c r="I2945" s="3" t="s">
        <v>47</v>
      </c>
      <c r="J2945" s="5">
        <v>300000</v>
      </c>
      <c r="K2945" s="3">
        <v>4645101</v>
      </c>
      <c r="L2945" s="3" t="s">
        <v>135</v>
      </c>
      <c r="M2945" s="3" t="s">
        <v>10516</v>
      </c>
      <c r="N2945" s="3">
        <v>24</v>
      </c>
      <c r="P2945" s="3" t="s">
        <v>10517</v>
      </c>
      <c r="Q2945" s="3" t="s">
        <v>9878</v>
      </c>
      <c r="R2945" s="3" t="s">
        <v>301</v>
      </c>
      <c r="S2945" s="3">
        <v>61925450</v>
      </c>
      <c r="T2945" s="3">
        <v>8532322251</v>
      </c>
      <c r="U2945" s="3" t="s">
        <v>29</v>
      </c>
    </row>
    <row r="2946" spans="1:21" ht="13.2" x14ac:dyDescent="0.25">
      <c r="A2946" s="14">
        <v>27797229000155</v>
      </c>
      <c r="B2946" s="15" t="str">
        <f t="shared" si="45"/>
        <v>27.797.229/0001-55</v>
      </c>
      <c r="C2946" s="12"/>
      <c r="D2946" s="3" t="s">
        <v>10518</v>
      </c>
      <c r="E2946" s="3" t="s">
        <v>10519</v>
      </c>
      <c r="F2946" s="3" t="s">
        <v>45</v>
      </c>
      <c r="G2946" s="4">
        <v>42878</v>
      </c>
      <c r="H2946" s="3" t="s">
        <v>21</v>
      </c>
      <c r="I2946" s="3" t="s">
        <v>47</v>
      </c>
      <c r="J2946" s="5">
        <v>10000</v>
      </c>
      <c r="K2946" s="3">
        <v>7311400</v>
      </c>
      <c r="L2946" s="3" t="s">
        <v>656</v>
      </c>
      <c r="M2946" s="3" t="s">
        <v>10520</v>
      </c>
      <c r="N2946" s="3">
        <v>43</v>
      </c>
      <c r="P2946" s="3" t="s">
        <v>10521</v>
      </c>
      <c r="Q2946" s="3" t="s">
        <v>27</v>
      </c>
      <c r="R2946" s="3" t="s">
        <v>28</v>
      </c>
      <c r="S2946" s="3">
        <v>5761190</v>
      </c>
      <c r="T2946" s="3">
        <v>1133849338</v>
      </c>
      <c r="U2946" s="3" t="s">
        <v>29</v>
      </c>
    </row>
    <row r="2947" spans="1:21" ht="13.2" x14ac:dyDescent="0.25">
      <c r="A2947" s="14">
        <v>46634564000187</v>
      </c>
      <c r="B2947" s="15" t="str">
        <f t="shared" ref="B2947:B3010" si="46">TEXT(A2947,"00\.000\.000\/0000\-00")</f>
        <v>46.634.564/0001-87</v>
      </c>
      <c r="C2947" s="12"/>
      <c r="D2947" s="3" t="s">
        <v>10522</v>
      </c>
      <c r="E2947" s="3" t="s">
        <v>10523</v>
      </c>
      <c r="F2947" s="3" t="s">
        <v>20</v>
      </c>
      <c r="G2947" s="4">
        <v>27387</v>
      </c>
      <c r="H2947" s="3" t="s">
        <v>14</v>
      </c>
      <c r="I2947" s="3" t="s">
        <v>33</v>
      </c>
      <c r="J2947" s="5">
        <v>0</v>
      </c>
      <c r="K2947" s="3">
        <v>8411600</v>
      </c>
      <c r="L2947" s="3" t="s">
        <v>621</v>
      </c>
      <c r="M2947" s="3" t="s">
        <v>10524</v>
      </c>
      <c r="N2947" s="3">
        <v>1000</v>
      </c>
      <c r="P2947" s="3" t="s">
        <v>10525</v>
      </c>
      <c r="Q2947" s="3" t="s">
        <v>3941</v>
      </c>
      <c r="R2947" s="3" t="s">
        <v>28</v>
      </c>
      <c r="S2947" s="3">
        <v>18271330</v>
      </c>
      <c r="T2947" s="3">
        <v>1532598400</v>
      </c>
      <c r="U2947" s="3" t="s">
        <v>29</v>
      </c>
    </row>
    <row r="2948" spans="1:21" ht="13.2" x14ac:dyDescent="0.25">
      <c r="A2948" s="14">
        <v>8800995000187</v>
      </c>
      <c r="B2948" s="15" t="str">
        <f t="shared" si="46"/>
        <v>08.800.995/0001-87</v>
      </c>
      <c r="C2948" s="12" t="str">
        <f>VLOOKUP(B2948,[1]Planilha1!$A:$B,2,0)</f>
        <v>Malu Montesino</v>
      </c>
      <c r="D2948" s="3" t="s">
        <v>10526</v>
      </c>
      <c r="E2948" s="3" t="s">
        <v>10527</v>
      </c>
      <c r="F2948" s="3" t="s">
        <v>20</v>
      </c>
      <c r="G2948" s="4">
        <v>39198</v>
      </c>
      <c r="H2948" s="3" t="s">
        <v>21</v>
      </c>
      <c r="I2948" s="3" t="s">
        <v>22</v>
      </c>
      <c r="J2948" s="5">
        <v>93700</v>
      </c>
      <c r="K2948" s="3">
        <v>2829199</v>
      </c>
      <c r="L2948" s="3" t="s">
        <v>1514</v>
      </c>
      <c r="M2948" s="3" t="s">
        <v>10528</v>
      </c>
      <c r="N2948" s="3">
        <v>6210</v>
      </c>
      <c r="P2948" s="3" t="s">
        <v>153</v>
      </c>
      <c r="Q2948" s="3" t="s">
        <v>2345</v>
      </c>
      <c r="R2948" s="3" t="s">
        <v>53</v>
      </c>
      <c r="S2948" s="3">
        <v>94931790</v>
      </c>
      <c r="T2948" s="3">
        <v>5134414020</v>
      </c>
      <c r="U2948" s="3" t="s">
        <v>29</v>
      </c>
    </row>
    <row r="2949" spans="1:21" ht="13.2" x14ac:dyDescent="0.25">
      <c r="A2949" s="14">
        <v>8818229000140</v>
      </c>
      <c r="B2949" s="15" t="str">
        <f t="shared" si="46"/>
        <v>08.818.229/0001-40</v>
      </c>
      <c r="C2949" s="12"/>
      <c r="D2949" s="3" t="s">
        <v>10529</v>
      </c>
      <c r="E2949" s="3" t="s">
        <v>10529</v>
      </c>
      <c r="F2949" s="3" t="s">
        <v>20</v>
      </c>
      <c r="G2949" s="4">
        <v>39210</v>
      </c>
      <c r="H2949" s="3" t="s">
        <v>21</v>
      </c>
      <c r="I2949" s="3" t="s">
        <v>33</v>
      </c>
      <c r="J2949" s="5">
        <v>5000000</v>
      </c>
      <c r="K2949" s="3">
        <v>8011101</v>
      </c>
      <c r="L2949" s="3" t="s">
        <v>943</v>
      </c>
      <c r="M2949" s="3" t="s">
        <v>8481</v>
      </c>
      <c r="N2949" s="3">
        <v>210</v>
      </c>
      <c r="P2949" s="3" t="s">
        <v>4926</v>
      </c>
      <c r="Q2949" s="3" t="s">
        <v>27</v>
      </c>
      <c r="R2949" s="3" t="s">
        <v>28</v>
      </c>
      <c r="S2949" s="3">
        <v>5092030</v>
      </c>
      <c r="T2949" s="3">
        <v>1125072170</v>
      </c>
      <c r="U2949" s="3" t="s">
        <v>29</v>
      </c>
    </row>
    <row r="2950" spans="1:21" ht="13.2" x14ac:dyDescent="0.25">
      <c r="A2950" s="14">
        <v>33174000000167</v>
      </c>
      <c r="B2950" s="15" t="str">
        <f t="shared" si="46"/>
        <v>33.174.000/0001-67</v>
      </c>
      <c r="C2950" s="12"/>
      <c r="D2950" s="3" t="s">
        <v>10530</v>
      </c>
      <c r="E2950" s="3" t="s">
        <v>10531</v>
      </c>
      <c r="F2950" s="3" t="s">
        <v>20</v>
      </c>
      <c r="G2950" s="4">
        <v>43552</v>
      </c>
      <c r="H2950" s="3" t="s">
        <v>21</v>
      </c>
      <c r="I2950" s="3" t="s">
        <v>47</v>
      </c>
      <c r="J2950" s="5">
        <v>400000</v>
      </c>
      <c r="K2950" s="3">
        <v>8121400</v>
      </c>
      <c r="L2950" s="3" t="s">
        <v>494</v>
      </c>
      <c r="M2950" s="3" t="s">
        <v>10532</v>
      </c>
      <c r="N2950" s="3">
        <v>363</v>
      </c>
      <c r="O2950" s="3" t="s">
        <v>10533</v>
      </c>
      <c r="P2950" s="3" t="s">
        <v>10534</v>
      </c>
      <c r="Q2950" s="3" t="s">
        <v>5089</v>
      </c>
      <c r="R2950" s="3" t="s">
        <v>281</v>
      </c>
      <c r="S2950" s="3">
        <v>42710500</v>
      </c>
      <c r="T2950" s="3">
        <v>7135080016</v>
      </c>
      <c r="U2950" s="3" t="s">
        <v>29</v>
      </c>
    </row>
    <row r="2951" spans="1:21" ht="13.2" x14ac:dyDescent="0.25">
      <c r="A2951" s="14">
        <v>7147003000100</v>
      </c>
      <c r="B2951" s="15" t="str">
        <f t="shared" si="46"/>
        <v>07.147.003/0001-00</v>
      </c>
      <c r="C2951" s="12"/>
      <c r="D2951" s="3" t="s">
        <v>10535</v>
      </c>
      <c r="E2951" s="3" t="s">
        <v>10536</v>
      </c>
      <c r="F2951" s="3" t="s">
        <v>31</v>
      </c>
      <c r="G2951" s="4">
        <v>38328</v>
      </c>
      <c r="H2951" s="3" t="s">
        <v>21</v>
      </c>
      <c r="I2951" s="3" t="s">
        <v>47</v>
      </c>
      <c r="J2951" s="5">
        <v>120000</v>
      </c>
      <c r="K2951" s="3">
        <v>8121400</v>
      </c>
      <c r="L2951" s="3" t="s">
        <v>494</v>
      </c>
      <c r="M2951" s="3" t="s">
        <v>10537</v>
      </c>
      <c r="N2951" s="3">
        <v>286</v>
      </c>
      <c r="P2951" s="3" t="s">
        <v>10304</v>
      </c>
      <c r="Q2951" s="3" t="s">
        <v>199</v>
      </c>
      <c r="R2951" s="3" t="s">
        <v>792</v>
      </c>
      <c r="S2951" s="3">
        <v>66050290</v>
      </c>
      <c r="T2951" s="3">
        <v>9132235186</v>
      </c>
      <c r="U2951" s="3" t="s">
        <v>29</v>
      </c>
    </row>
    <row r="2952" spans="1:21" ht="13.2" x14ac:dyDescent="0.25">
      <c r="A2952" s="14">
        <v>13192004000160</v>
      </c>
      <c r="B2952" s="15" t="str">
        <f t="shared" si="46"/>
        <v>13.192.004/0001-60</v>
      </c>
      <c r="C2952" s="12"/>
      <c r="D2952" s="3" t="s">
        <v>10538</v>
      </c>
      <c r="E2952" s="3" t="s">
        <v>10538</v>
      </c>
      <c r="F2952" s="3" t="s">
        <v>31</v>
      </c>
      <c r="G2952" s="4">
        <v>40575</v>
      </c>
      <c r="H2952" s="3" t="s">
        <v>21</v>
      </c>
      <c r="I2952" s="3" t="s">
        <v>47</v>
      </c>
      <c r="J2952" s="5">
        <v>250000</v>
      </c>
      <c r="K2952" s="3">
        <v>8211300</v>
      </c>
      <c r="L2952" s="3" t="s">
        <v>166</v>
      </c>
      <c r="M2952" s="3" t="s">
        <v>10539</v>
      </c>
      <c r="N2952" s="3">
        <v>867</v>
      </c>
      <c r="P2952" s="3" t="s">
        <v>3599</v>
      </c>
      <c r="Q2952" s="3" t="s">
        <v>476</v>
      </c>
      <c r="R2952" s="3" t="s">
        <v>100</v>
      </c>
      <c r="S2952" s="3">
        <v>30260320</v>
      </c>
      <c r="T2952" s="3">
        <v>3538228746</v>
      </c>
      <c r="U2952" s="3" t="s">
        <v>29</v>
      </c>
    </row>
    <row r="2953" spans="1:21" ht="13.2" x14ac:dyDescent="0.25">
      <c r="A2953" s="14">
        <v>59894113000120</v>
      </c>
      <c r="B2953" s="15" t="str">
        <f t="shared" si="46"/>
        <v>59.894.113/0001-20</v>
      </c>
      <c r="C2953" s="12" t="str">
        <f>VLOOKUP(B2953,[1]Planilha1!$A:$B,2,0)</f>
        <v>Malu Montesino</v>
      </c>
      <c r="D2953" s="3" t="s">
        <v>10540</v>
      </c>
      <c r="E2953" s="3" t="s">
        <v>10541</v>
      </c>
      <c r="F2953" s="3" t="s">
        <v>20</v>
      </c>
      <c r="G2953" s="4">
        <v>32535</v>
      </c>
      <c r="H2953" s="3" t="s">
        <v>21</v>
      </c>
      <c r="I2953" s="3" t="s">
        <v>33</v>
      </c>
      <c r="J2953" s="5">
        <v>4000000</v>
      </c>
      <c r="K2953" s="3">
        <v>2651500</v>
      </c>
      <c r="L2953" s="3" t="s">
        <v>600</v>
      </c>
      <c r="M2953" s="3" t="s">
        <v>10542</v>
      </c>
      <c r="N2953" s="3">
        <v>260</v>
      </c>
      <c r="P2953" s="3" t="s">
        <v>2271</v>
      </c>
      <c r="Q2953" s="3" t="s">
        <v>27</v>
      </c>
      <c r="R2953" s="3" t="s">
        <v>28</v>
      </c>
      <c r="S2953" s="3">
        <v>4157020</v>
      </c>
      <c r="T2953" s="3">
        <v>1130561900</v>
      </c>
      <c r="U2953" s="3" t="s">
        <v>29</v>
      </c>
    </row>
    <row r="2954" spans="1:21" ht="13.2" x14ac:dyDescent="0.25">
      <c r="A2954" s="14">
        <v>8749840000163</v>
      </c>
      <c r="B2954" s="15" t="str">
        <f t="shared" si="46"/>
        <v>08.749.840/0001-63</v>
      </c>
      <c r="C2954" s="12"/>
      <c r="D2954" s="3" t="s">
        <v>10543</v>
      </c>
      <c r="E2954" s="3" t="s">
        <v>10543</v>
      </c>
      <c r="F2954" s="3" t="s">
        <v>20</v>
      </c>
      <c r="G2954" s="4">
        <v>39175</v>
      </c>
      <c r="H2954" s="3" t="s">
        <v>21</v>
      </c>
      <c r="I2954" s="3" t="s">
        <v>47</v>
      </c>
      <c r="J2954" s="5">
        <v>10000</v>
      </c>
      <c r="K2954" s="3">
        <v>7490199</v>
      </c>
      <c r="L2954" s="3" t="s">
        <v>1091</v>
      </c>
      <c r="M2954" s="3" t="s">
        <v>10544</v>
      </c>
      <c r="N2954" s="3">
        <v>872</v>
      </c>
      <c r="P2954" s="3" t="s">
        <v>70</v>
      </c>
      <c r="Q2954" s="3" t="s">
        <v>3223</v>
      </c>
      <c r="R2954" s="3" t="s">
        <v>28</v>
      </c>
      <c r="S2954" s="3">
        <v>13730220</v>
      </c>
      <c r="T2954" s="3">
        <v>1936565571</v>
      </c>
      <c r="U2954" s="3" t="s">
        <v>29</v>
      </c>
    </row>
    <row r="2955" spans="1:21" ht="13.2" x14ac:dyDescent="0.25">
      <c r="A2955" s="14">
        <v>14783824000190</v>
      </c>
      <c r="B2955" s="15" t="str">
        <f t="shared" si="46"/>
        <v>14.783.824/0001-90</v>
      </c>
      <c r="C2955" s="12"/>
      <c r="D2955" s="3" t="s">
        <v>10545</v>
      </c>
      <c r="E2955" s="3" t="s">
        <v>10546</v>
      </c>
      <c r="F2955" s="3" t="s">
        <v>20</v>
      </c>
      <c r="G2955" s="4">
        <v>40855</v>
      </c>
      <c r="H2955" s="3" t="s">
        <v>21</v>
      </c>
      <c r="I2955" s="3" t="s">
        <v>33</v>
      </c>
      <c r="J2955" s="5">
        <v>1000000</v>
      </c>
      <c r="K2955" s="3">
        <v>8211300</v>
      </c>
      <c r="L2955" s="3" t="s">
        <v>166</v>
      </c>
      <c r="M2955" s="3" t="s">
        <v>10547</v>
      </c>
      <c r="N2955" s="3">
        <v>114</v>
      </c>
      <c r="O2955" s="3" t="s">
        <v>10548</v>
      </c>
      <c r="P2955" s="3" t="s">
        <v>26</v>
      </c>
      <c r="Q2955" s="3" t="s">
        <v>27</v>
      </c>
      <c r="R2955" s="3" t="s">
        <v>28</v>
      </c>
      <c r="S2955" s="3">
        <v>4144070</v>
      </c>
      <c r="T2955" s="3">
        <v>1180859811</v>
      </c>
      <c r="U2955" s="3" t="s">
        <v>29</v>
      </c>
    </row>
    <row r="2956" spans="1:21" ht="13.2" x14ac:dyDescent="0.25">
      <c r="A2956" s="14">
        <v>6142225000169</v>
      </c>
      <c r="B2956" s="15" t="str">
        <f t="shared" si="46"/>
        <v>06.142.225/0001-69</v>
      </c>
      <c r="C2956" s="12"/>
      <c r="D2956" s="3" t="s">
        <v>10549</v>
      </c>
      <c r="E2956" s="3" t="s">
        <v>10549</v>
      </c>
      <c r="F2956" s="3" t="s">
        <v>20</v>
      </c>
      <c r="G2956" s="4">
        <v>38008</v>
      </c>
      <c r="H2956" s="3" t="s">
        <v>32</v>
      </c>
      <c r="I2956" s="3" t="s">
        <v>33</v>
      </c>
      <c r="J2956" s="5">
        <v>35425910</v>
      </c>
      <c r="K2956" s="3">
        <v>6920601</v>
      </c>
      <c r="L2956" s="3" t="s">
        <v>1507</v>
      </c>
      <c r="M2956" s="3" t="s">
        <v>2340</v>
      </c>
      <c r="N2956" s="3">
        <v>3732</v>
      </c>
      <c r="O2956" s="3" t="s">
        <v>10550</v>
      </c>
      <c r="P2956" s="3" t="s">
        <v>1230</v>
      </c>
      <c r="Q2956" s="3" t="s">
        <v>27</v>
      </c>
      <c r="R2956" s="3" t="s">
        <v>28</v>
      </c>
      <c r="S2956" s="3">
        <v>4538132</v>
      </c>
      <c r="T2956" s="3">
        <v>1140048000</v>
      </c>
      <c r="U2956" s="3" t="s">
        <v>29</v>
      </c>
    </row>
    <row r="2957" spans="1:21" ht="13.2" x14ac:dyDescent="0.25">
      <c r="A2957" s="14">
        <v>28955044000194</v>
      </c>
      <c r="B2957" s="15" t="str">
        <f t="shared" si="46"/>
        <v>28.955.044/0001-94</v>
      </c>
      <c r="C2957" s="12"/>
      <c r="D2957" s="3" t="s">
        <v>10551</v>
      </c>
      <c r="E2957" s="3" t="s">
        <v>10552</v>
      </c>
      <c r="F2957" s="3" t="s">
        <v>20</v>
      </c>
      <c r="G2957" s="4">
        <v>43035</v>
      </c>
      <c r="H2957" s="3" t="s">
        <v>94</v>
      </c>
      <c r="I2957" s="3" t="s">
        <v>33</v>
      </c>
      <c r="J2957" s="5">
        <v>133333</v>
      </c>
      <c r="K2957" s="3">
        <v>6201501</v>
      </c>
      <c r="L2957" s="3" t="s">
        <v>298</v>
      </c>
      <c r="M2957" s="3" t="s">
        <v>10553</v>
      </c>
      <c r="N2957" s="3">
        <v>200</v>
      </c>
      <c r="O2957" s="3" t="s">
        <v>10554</v>
      </c>
      <c r="P2957" s="3" t="s">
        <v>10555</v>
      </c>
      <c r="Q2957" s="3" t="s">
        <v>2313</v>
      </c>
      <c r="R2957" s="3" t="s">
        <v>28</v>
      </c>
      <c r="S2957" s="3">
        <v>12917021</v>
      </c>
      <c r="T2957" s="3">
        <v>1183317633</v>
      </c>
      <c r="U2957" s="3" t="s">
        <v>29</v>
      </c>
    </row>
    <row r="2958" spans="1:21" ht="13.2" x14ac:dyDescent="0.25">
      <c r="A2958" s="14">
        <v>5340639000130</v>
      </c>
      <c r="B2958" s="15" t="str">
        <f t="shared" si="46"/>
        <v>05.340.639/0001-30</v>
      </c>
      <c r="C2958" s="12"/>
      <c r="D2958" s="3" t="s">
        <v>10556</v>
      </c>
      <c r="E2958" s="3" t="s">
        <v>10556</v>
      </c>
      <c r="F2958" s="3" t="s">
        <v>20</v>
      </c>
      <c r="G2958" s="4">
        <v>37546</v>
      </c>
      <c r="H2958" s="3" t="s">
        <v>21</v>
      </c>
      <c r="I2958" s="3" t="s">
        <v>33</v>
      </c>
      <c r="J2958" s="5">
        <v>10000000</v>
      </c>
      <c r="K2958" s="3">
        <v>7020400</v>
      </c>
      <c r="L2958" s="3" t="s">
        <v>170</v>
      </c>
      <c r="M2958" s="3" t="s">
        <v>10557</v>
      </c>
      <c r="N2958" s="3">
        <v>11</v>
      </c>
      <c r="P2958" s="3" t="s">
        <v>2279</v>
      </c>
      <c r="Q2958" s="3" t="s">
        <v>929</v>
      </c>
      <c r="R2958" s="3" t="s">
        <v>28</v>
      </c>
      <c r="S2958" s="3">
        <v>6541078</v>
      </c>
      <c r="T2958" s="3">
        <v>1141542398</v>
      </c>
      <c r="U2958" s="3" t="s">
        <v>29</v>
      </c>
    </row>
    <row r="2959" spans="1:21" ht="13.2" x14ac:dyDescent="0.25">
      <c r="A2959" s="14">
        <v>12441562000150</v>
      </c>
      <c r="B2959" s="15" t="str">
        <f t="shared" si="46"/>
        <v>12.441.562/0001-50</v>
      </c>
      <c r="C2959" s="12"/>
      <c r="D2959" s="3" t="s">
        <v>10558</v>
      </c>
      <c r="E2959" s="3" t="s">
        <v>10558</v>
      </c>
      <c r="F2959" s="3" t="s">
        <v>20</v>
      </c>
      <c r="G2959" s="4">
        <v>40407</v>
      </c>
      <c r="H2959" s="3" t="s">
        <v>32</v>
      </c>
      <c r="I2959" s="3" t="s">
        <v>22</v>
      </c>
      <c r="J2959" s="5">
        <v>200000</v>
      </c>
      <c r="K2959" s="3">
        <v>6920601</v>
      </c>
      <c r="L2959" s="3" t="s">
        <v>1507</v>
      </c>
      <c r="M2959" s="3" t="s">
        <v>10559</v>
      </c>
      <c r="N2959" s="3">
        <v>2439</v>
      </c>
      <c r="O2959" s="3" t="s">
        <v>10560</v>
      </c>
      <c r="P2959" s="3" t="s">
        <v>248</v>
      </c>
      <c r="Q2959" s="3" t="s">
        <v>27</v>
      </c>
      <c r="R2959" s="3" t="s">
        <v>28</v>
      </c>
      <c r="S2959" s="3">
        <v>1311936</v>
      </c>
      <c r="T2959" s="3">
        <v>1131410605</v>
      </c>
      <c r="U2959" s="3" t="s">
        <v>29</v>
      </c>
    </row>
    <row r="2960" spans="1:21" ht="13.2" x14ac:dyDescent="0.25">
      <c r="A2960" s="14">
        <v>11051186000124</v>
      </c>
      <c r="B2960" s="15" t="str">
        <f t="shared" si="46"/>
        <v>11.051.186/0001-24</v>
      </c>
      <c r="C2960" s="12"/>
      <c r="D2960" s="3" t="s">
        <v>10561</v>
      </c>
      <c r="E2960" s="3" t="s">
        <v>10562</v>
      </c>
      <c r="F2960" s="3" t="s">
        <v>45</v>
      </c>
      <c r="G2960" s="4">
        <v>40039</v>
      </c>
      <c r="H2960" s="3" t="s">
        <v>21</v>
      </c>
      <c r="I2960" s="3" t="s">
        <v>33</v>
      </c>
      <c r="J2960" s="5">
        <v>23691832</v>
      </c>
      <c r="K2960" s="3">
        <v>4644301</v>
      </c>
      <c r="L2960" s="3" t="s">
        <v>326</v>
      </c>
      <c r="M2960" s="3" t="s">
        <v>10563</v>
      </c>
      <c r="N2960" s="3">
        <v>908</v>
      </c>
      <c r="O2960" s="3" t="s">
        <v>10564</v>
      </c>
      <c r="P2960" s="3" t="s">
        <v>10565</v>
      </c>
      <c r="Q2960" s="3" t="s">
        <v>10566</v>
      </c>
      <c r="R2960" s="3" t="s">
        <v>281</v>
      </c>
      <c r="S2960" s="3">
        <v>43700000</v>
      </c>
      <c r="T2960" s="3">
        <v>8321062433</v>
      </c>
      <c r="U2960" s="3" t="s">
        <v>29</v>
      </c>
    </row>
    <row r="2961" spans="1:21" ht="13.2" x14ac:dyDescent="0.25">
      <c r="A2961" s="14">
        <v>62803473000184</v>
      </c>
      <c r="B2961" s="15" t="str">
        <f t="shared" si="46"/>
        <v>62.803.473/0001-84</v>
      </c>
      <c r="C2961" s="12"/>
      <c r="D2961" s="3" t="s">
        <v>10567</v>
      </c>
      <c r="E2961" s="3" t="s">
        <v>10567</v>
      </c>
      <c r="F2961" s="3" t="s">
        <v>20</v>
      </c>
      <c r="G2961" s="4">
        <v>32988</v>
      </c>
      <c r="H2961" s="3" t="s">
        <v>21</v>
      </c>
      <c r="I2961" s="3" t="s">
        <v>33</v>
      </c>
      <c r="J2961" s="5">
        <v>1000000</v>
      </c>
      <c r="K2961" s="3">
        <v>7112000</v>
      </c>
      <c r="L2961" s="3" t="s">
        <v>276</v>
      </c>
      <c r="M2961" s="3" t="s">
        <v>3402</v>
      </c>
      <c r="N2961" s="3">
        <v>500</v>
      </c>
      <c r="O2961" s="3" t="s">
        <v>10568</v>
      </c>
      <c r="P2961" s="3" t="s">
        <v>1740</v>
      </c>
      <c r="Q2961" s="3" t="s">
        <v>27</v>
      </c>
      <c r="R2961" s="3" t="s">
        <v>28</v>
      </c>
      <c r="S2961" s="3">
        <v>5424000</v>
      </c>
      <c r="T2961" s="3">
        <v>1155351618</v>
      </c>
      <c r="U2961" s="3" t="s">
        <v>29</v>
      </c>
    </row>
    <row r="2962" spans="1:21" ht="13.2" x14ac:dyDescent="0.25">
      <c r="A2962" s="14">
        <v>9499212000130</v>
      </c>
      <c r="B2962" s="15" t="str">
        <f t="shared" si="46"/>
        <v>09.499.212/0001-30</v>
      </c>
      <c r="C2962" s="12"/>
      <c r="D2962" s="3" t="s">
        <v>10569</v>
      </c>
      <c r="E2962" s="3" t="s">
        <v>10570</v>
      </c>
      <c r="F2962" s="3" t="s">
        <v>20</v>
      </c>
      <c r="G2962" s="4">
        <v>39385</v>
      </c>
      <c r="H2962" s="3" t="s">
        <v>21</v>
      </c>
      <c r="I2962" s="3" t="s">
        <v>33</v>
      </c>
      <c r="J2962" s="5">
        <v>28000</v>
      </c>
      <c r="K2962" s="3">
        <v>4642702</v>
      </c>
      <c r="L2962" s="3" t="s">
        <v>1139</v>
      </c>
      <c r="M2962" s="3" t="s">
        <v>10571</v>
      </c>
      <c r="N2962" s="3">
        <v>183</v>
      </c>
      <c r="P2962" s="3" t="s">
        <v>10572</v>
      </c>
      <c r="Q2962" s="3" t="s">
        <v>471</v>
      </c>
      <c r="R2962" s="3" t="s">
        <v>28</v>
      </c>
      <c r="S2962" s="3">
        <v>9540480</v>
      </c>
      <c r="T2962" s="3">
        <v>1143010595</v>
      </c>
      <c r="U2962" s="3" t="s">
        <v>29</v>
      </c>
    </row>
    <row r="2963" spans="1:21" ht="13.2" x14ac:dyDescent="0.25">
      <c r="A2963" s="14">
        <v>11484444000166</v>
      </c>
      <c r="B2963" s="15" t="str">
        <f t="shared" si="46"/>
        <v>11.484.444/0001-66</v>
      </c>
      <c r="C2963" s="12"/>
      <c r="D2963" s="3" t="s">
        <v>10573</v>
      </c>
      <c r="E2963" s="3" t="s">
        <v>10573</v>
      </c>
      <c r="F2963" s="3" t="s">
        <v>31</v>
      </c>
      <c r="G2963" s="4">
        <v>40200</v>
      </c>
      <c r="H2963" s="3" t="s">
        <v>21</v>
      </c>
      <c r="I2963" s="3" t="s">
        <v>47</v>
      </c>
      <c r="J2963" s="5">
        <v>10000</v>
      </c>
      <c r="K2963" s="3">
        <v>4751201</v>
      </c>
      <c r="L2963" s="3" t="s">
        <v>23</v>
      </c>
      <c r="M2963" s="3" t="s">
        <v>10574</v>
      </c>
      <c r="N2963" s="3">
        <v>567</v>
      </c>
      <c r="O2963" s="3" t="s">
        <v>10575</v>
      </c>
      <c r="P2963" s="3" t="s">
        <v>10576</v>
      </c>
      <c r="Q2963" s="3" t="s">
        <v>1640</v>
      </c>
      <c r="R2963" s="3" t="s">
        <v>78</v>
      </c>
      <c r="S2963" s="3">
        <v>24310972</v>
      </c>
      <c r="T2963" s="3">
        <v>2185096480</v>
      </c>
      <c r="U2963" s="3" t="s">
        <v>29</v>
      </c>
    </row>
    <row r="2964" spans="1:21" ht="13.2" x14ac:dyDescent="0.25">
      <c r="A2964" s="14">
        <v>11619992000156</v>
      </c>
      <c r="B2964" s="15" t="str">
        <f t="shared" si="46"/>
        <v>11.619.992/0001-56</v>
      </c>
      <c r="C2964" s="12" t="str">
        <f>VLOOKUP(B2964,[1]Planilha1!$A:$B,2,0)</f>
        <v>Mariane Nascimento</v>
      </c>
      <c r="D2964" s="3" t="s">
        <v>10577</v>
      </c>
      <c r="E2964" s="3" t="s">
        <v>10578</v>
      </c>
      <c r="F2964" s="3" t="s">
        <v>20</v>
      </c>
      <c r="G2964" s="4">
        <v>40234</v>
      </c>
      <c r="H2964" s="3" t="s">
        <v>21</v>
      </c>
      <c r="I2964" s="3" t="s">
        <v>33</v>
      </c>
      <c r="J2964" s="5">
        <v>1100000</v>
      </c>
      <c r="K2964" s="3">
        <v>4664800</v>
      </c>
      <c r="L2964" s="3" t="s">
        <v>691</v>
      </c>
      <c r="M2964" s="3" t="s">
        <v>10579</v>
      </c>
      <c r="N2964" s="3">
        <v>465</v>
      </c>
      <c r="P2964" s="3" t="s">
        <v>10580</v>
      </c>
      <c r="Q2964" s="3" t="s">
        <v>27</v>
      </c>
      <c r="R2964" s="3" t="s">
        <v>28</v>
      </c>
      <c r="S2964" s="3">
        <v>4346040</v>
      </c>
      <c r="T2964" s="3">
        <v>1138072652</v>
      </c>
      <c r="U2964" s="3" t="s">
        <v>29</v>
      </c>
    </row>
    <row r="2965" spans="1:21" ht="13.2" x14ac:dyDescent="0.25">
      <c r="A2965" s="14">
        <v>11385969000144</v>
      </c>
      <c r="B2965" s="15" t="str">
        <f t="shared" si="46"/>
        <v>11.385.969/0001-44</v>
      </c>
      <c r="C2965" s="12"/>
      <c r="D2965" s="3" t="s">
        <v>10581</v>
      </c>
      <c r="E2965" s="3" t="s">
        <v>10582</v>
      </c>
      <c r="F2965" s="3" t="s">
        <v>20</v>
      </c>
      <c r="G2965" s="4">
        <v>40156</v>
      </c>
      <c r="H2965" s="3" t="s">
        <v>1550</v>
      </c>
      <c r="I2965" s="3" t="s">
        <v>47</v>
      </c>
      <c r="J2965" s="5">
        <v>100000</v>
      </c>
      <c r="K2965" s="3">
        <v>6920601</v>
      </c>
      <c r="L2965" s="3" t="s">
        <v>1507</v>
      </c>
      <c r="M2965" s="3" t="s">
        <v>10583</v>
      </c>
      <c r="N2965" s="3">
        <v>310</v>
      </c>
      <c r="P2965" s="3" t="s">
        <v>10584</v>
      </c>
      <c r="Q2965" s="3" t="s">
        <v>10585</v>
      </c>
      <c r="R2965" s="3" t="s">
        <v>28</v>
      </c>
      <c r="S2965" s="3">
        <v>11256585</v>
      </c>
      <c r="T2965" s="3">
        <v>1120922394</v>
      </c>
      <c r="U2965" s="3" t="s">
        <v>29</v>
      </c>
    </row>
    <row r="2966" spans="1:21" ht="13.2" x14ac:dyDescent="0.25">
      <c r="A2966" s="14">
        <v>13279550000133</v>
      </c>
      <c r="B2966" s="15" t="str">
        <f t="shared" si="46"/>
        <v>13.279.550/0001-33</v>
      </c>
      <c r="C2966" s="12" t="str">
        <f>VLOOKUP(B2966,[1]Planilha1!$A:$B,2,0)</f>
        <v>Malu Montesino</v>
      </c>
      <c r="D2966" s="3" t="s">
        <v>10586</v>
      </c>
      <c r="E2966" s="3" t="s">
        <v>10587</v>
      </c>
      <c r="F2966" s="3" t="s">
        <v>20</v>
      </c>
      <c r="G2966" s="4">
        <v>40589</v>
      </c>
      <c r="H2966" s="3" t="s">
        <v>21</v>
      </c>
      <c r="I2966" s="3" t="s">
        <v>47</v>
      </c>
      <c r="J2966" s="5">
        <v>100000</v>
      </c>
      <c r="K2966" s="3">
        <v>7740300</v>
      </c>
      <c r="L2966" s="3" t="s">
        <v>3618</v>
      </c>
      <c r="M2966" s="3" t="s">
        <v>10588</v>
      </c>
      <c r="N2966" s="3">
        <v>1759</v>
      </c>
      <c r="O2966" s="3" t="s">
        <v>10589</v>
      </c>
      <c r="P2966" s="3" t="s">
        <v>370</v>
      </c>
      <c r="Q2966" s="3" t="s">
        <v>148</v>
      </c>
      <c r="R2966" s="3" t="s">
        <v>28</v>
      </c>
      <c r="S2966" s="3">
        <v>15025120</v>
      </c>
      <c r="T2966" s="3">
        <v>1733531800</v>
      </c>
      <c r="U2966" s="3" t="s">
        <v>29</v>
      </c>
    </row>
    <row r="2967" spans="1:21" ht="13.2" x14ac:dyDescent="0.25">
      <c r="A2967" s="14">
        <v>398022000151</v>
      </c>
      <c r="B2967" s="15" t="str">
        <f t="shared" si="46"/>
        <v>00.398.022/0001-51</v>
      </c>
      <c r="C2967" s="12"/>
      <c r="D2967" s="3" t="s">
        <v>10590</v>
      </c>
      <c r="E2967" s="3" t="s">
        <v>10590</v>
      </c>
      <c r="F2967" s="3" t="s">
        <v>20</v>
      </c>
      <c r="G2967" s="4">
        <v>34718</v>
      </c>
      <c r="H2967" s="3" t="s">
        <v>21</v>
      </c>
      <c r="I2967" s="3" t="s">
        <v>33</v>
      </c>
      <c r="J2967" s="5">
        <v>1400000</v>
      </c>
      <c r="K2967" s="3">
        <v>4664800</v>
      </c>
      <c r="L2967" s="3" t="s">
        <v>691</v>
      </c>
      <c r="M2967" s="3" t="s">
        <v>10591</v>
      </c>
      <c r="N2967" s="3">
        <v>333</v>
      </c>
      <c r="P2967" s="3" t="s">
        <v>6940</v>
      </c>
      <c r="Q2967" s="3" t="s">
        <v>437</v>
      </c>
      <c r="R2967" s="3" t="s">
        <v>53</v>
      </c>
      <c r="S2967" s="3">
        <v>90240611</v>
      </c>
      <c r="T2967" s="3">
        <v>5133262400</v>
      </c>
      <c r="U2967" s="3" t="s">
        <v>29</v>
      </c>
    </row>
    <row r="2968" spans="1:21" ht="13.2" x14ac:dyDescent="0.25">
      <c r="A2968" s="14">
        <v>10263451000175</v>
      </c>
      <c r="B2968" s="15" t="str">
        <f t="shared" si="46"/>
        <v>10.263.451/0001-75</v>
      </c>
      <c r="C2968" s="12"/>
      <c r="D2968" s="3" t="s">
        <v>10592</v>
      </c>
      <c r="E2968" s="3" t="s">
        <v>10593</v>
      </c>
      <c r="F2968" s="3" t="s">
        <v>20</v>
      </c>
      <c r="G2968" s="4">
        <v>39661</v>
      </c>
      <c r="H2968" s="3" t="s">
        <v>21</v>
      </c>
      <c r="I2968" s="3" t="s">
        <v>33</v>
      </c>
      <c r="J2968" s="5">
        <v>12244570</v>
      </c>
      <c r="K2968" s="3">
        <v>4511101</v>
      </c>
      <c r="L2968" s="3" t="s">
        <v>1870</v>
      </c>
      <c r="M2968" s="3" t="s">
        <v>85</v>
      </c>
      <c r="N2968" s="3">
        <v>777</v>
      </c>
      <c r="P2968" s="3" t="s">
        <v>4157</v>
      </c>
      <c r="Q2968" s="3" t="s">
        <v>27</v>
      </c>
      <c r="R2968" s="3" t="s">
        <v>28</v>
      </c>
      <c r="S2968" s="3">
        <v>5016090</v>
      </c>
      <c r="T2968" s="3">
        <v>1122363234</v>
      </c>
      <c r="U2968" s="3" t="s">
        <v>29</v>
      </c>
    </row>
    <row r="2969" spans="1:21" ht="13.2" x14ac:dyDescent="0.25">
      <c r="A2969" s="14">
        <v>4779792000103</v>
      </c>
      <c r="B2969" s="15" t="str">
        <f t="shared" si="46"/>
        <v>04.779.792/0001-03</v>
      </c>
      <c r="C2969" s="12"/>
      <c r="D2969" s="3" t="s">
        <v>10594</v>
      </c>
      <c r="E2969" s="3" t="s">
        <v>10595</v>
      </c>
      <c r="F2969" s="3" t="s">
        <v>20</v>
      </c>
      <c r="G2969" s="4">
        <v>37217</v>
      </c>
      <c r="H2969" s="3" t="s">
        <v>94</v>
      </c>
      <c r="I2969" s="3" t="s">
        <v>33</v>
      </c>
      <c r="J2969" s="5">
        <v>63414800</v>
      </c>
      <c r="K2969" s="3">
        <v>2833000</v>
      </c>
      <c r="L2969" s="3" t="s">
        <v>151</v>
      </c>
      <c r="M2969" s="3" t="s">
        <v>10596</v>
      </c>
      <c r="N2969" s="3">
        <v>1881</v>
      </c>
      <c r="O2969" s="3" t="s">
        <v>10597</v>
      </c>
      <c r="P2969" s="3" t="s">
        <v>4439</v>
      </c>
      <c r="Q2969" s="3" t="s">
        <v>4440</v>
      </c>
      <c r="R2969" s="3" t="s">
        <v>187</v>
      </c>
      <c r="S2969" s="3">
        <v>87302895</v>
      </c>
      <c r="T2969" s="3">
        <v>4430171035</v>
      </c>
      <c r="U2969" s="3" t="s">
        <v>29</v>
      </c>
    </row>
    <row r="2970" spans="1:21" ht="13.2" x14ac:dyDescent="0.25">
      <c r="A2970" s="14">
        <v>32260004000103</v>
      </c>
      <c r="B2970" s="15" t="str">
        <f t="shared" si="46"/>
        <v>32.260.004/0001-03</v>
      </c>
      <c r="C2970" s="12"/>
      <c r="D2970" s="3" t="s">
        <v>10598</v>
      </c>
      <c r="E2970" s="3" t="s">
        <v>10598</v>
      </c>
      <c r="F2970" s="3" t="s">
        <v>20</v>
      </c>
      <c r="G2970" s="4">
        <v>43448</v>
      </c>
      <c r="H2970" s="3" t="s">
        <v>21</v>
      </c>
      <c r="I2970" s="3" t="s">
        <v>33</v>
      </c>
      <c r="J2970" s="5">
        <v>500000</v>
      </c>
      <c r="K2970" s="3">
        <v>7020400</v>
      </c>
      <c r="L2970" s="3" t="s">
        <v>170</v>
      </c>
      <c r="M2970" s="3" t="s">
        <v>1181</v>
      </c>
      <c r="N2970" s="3">
        <v>230</v>
      </c>
      <c r="O2970" s="3" t="s">
        <v>10599</v>
      </c>
      <c r="P2970" s="3" t="s">
        <v>1183</v>
      </c>
      <c r="Q2970" s="3" t="s">
        <v>27</v>
      </c>
      <c r="R2970" s="3" t="s">
        <v>28</v>
      </c>
      <c r="S2970" s="3">
        <v>1139000</v>
      </c>
      <c r="T2970" s="3">
        <v>1132886060</v>
      </c>
      <c r="U2970" s="3" t="s">
        <v>29</v>
      </c>
    </row>
    <row r="2971" spans="1:21" ht="13.2" x14ac:dyDescent="0.25">
      <c r="A2971" s="14">
        <v>66783630000198</v>
      </c>
      <c r="B2971" s="15" t="str">
        <f t="shared" si="46"/>
        <v>66.783.630/0001-98</v>
      </c>
      <c r="C2971" s="12" t="str">
        <f>VLOOKUP(B2971,[1]Planilha1!$A:$B,2,0)</f>
        <v>Malu Montesino</v>
      </c>
      <c r="D2971" s="3" t="s">
        <v>10600</v>
      </c>
      <c r="E2971" s="3" t="s">
        <v>10600</v>
      </c>
      <c r="F2971" s="3" t="s">
        <v>20</v>
      </c>
      <c r="G2971" s="4">
        <v>33477</v>
      </c>
      <c r="H2971" s="3" t="s">
        <v>21</v>
      </c>
      <c r="I2971" s="3" t="s">
        <v>33</v>
      </c>
      <c r="J2971" s="5">
        <v>5000000</v>
      </c>
      <c r="K2971" s="3">
        <v>4664800</v>
      </c>
      <c r="L2971" s="3" t="s">
        <v>691</v>
      </c>
      <c r="M2971" s="3" t="s">
        <v>308</v>
      </c>
      <c r="N2971" s="3">
        <v>18801</v>
      </c>
      <c r="O2971" s="3" t="s">
        <v>10601</v>
      </c>
      <c r="P2971" s="3" t="s">
        <v>6676</v>
      </c>
      <c r="Q2971" s="3" t="s">
        <v>27</v>
      </c>
      <c r="R2971" s="3" t="s">
        <v>28</v>
      </c>
      <c r="S2971" s="3">
        <v>4757025</v>
      </c>
      <c r="T2971" s="3">
        <v>1193001034</v>
      </c>
      <c r="U2971" s="3" t="s">
        <v>29</v>
      </c>
    </row>
    <row r="2972" spans="1:21" ht="13.2" x14ac:dyDescent="0.25">
      <c r="A2972" s="14">
        <v>20385460000192</v>
      </c>
      <c r="B2972" s="15" t="str">
        <f t="shared" si="46"/>
        <v>20.385.460/0001-92</v>
      </c>
      <c r="C2972" s="12"/>
      <c r="D2972" s="3" t="s">
        <v>10602</v>
      </c>
      <c r="E2972" s="3" t="s">
        <v>10603</v>
      </c>
      <c r="F2972" s="3" t="s">
        <v>20</v>
      </c>
      <c r="G2972" s="4">
        <v>41794</v>
      </c>
      <c r="H2972" s="3" t="s">
        <v>21</v>
      </c>
      <c r="I2972" s="3" t="s">
        <v>22</v>
      </c>
      <c r="J2972" s="5">
        <v>250000</v>
      </c>
      <c r="K2972" s="3">
        <v>4120400</v>
      </c>
      <c r="L2972" s="3" t="s">
        <v>87</v>
      </c>
      <c r="M2972" s="3" t="s">
        <v>10604</v>
      </c>
      <c r="N2972" s="3">
        <v>48</v>
      </c>
      <c r="P2972" s="3" t="s">
        <v>5215</v>
      </c>
      <c r="Q2972" s="3" t="s">
        <v>617</v>
      </c>
      <c r="R2972" s="3" t="s">
        <v>28</v>
      </c>
      <c r="S2972" s="3">
        <v>6420160</v>
      </c>
      <c r="T2972" s="3">
        <v>1136954033</v>
      </c>
      <c r="U2972" s="3" t="s">
        <v>29</v>
      </c>
    </row>
    <row r="2973" spans="1:21" ht="13.2" x14ac:dyDescent="0.25">
      <c r="A2973" s="14">
        <v>45597176000100</v>
      </c>
      <c r="B2973" s="15" t="str">
        <f t="shared" si="46"/>
        <v>45.597.176/0001-00</v>
      </c>
      <c r="C2973" s="12"/>
      <c r="D2973" s="3" t="s">
        <v>10605</v>
      </c>
      <c r="E2973" s="3" t="s">
        <v>10606</v>
      </c>
      <c r="F2973" s="3" t="s">
        <v>20</v>
      </c>
      <c r="G2973" s="4">
        <v>29654</v>
      </c>
      <c r="H2973" s="3" t="s">
        <v>21</v>
      </c>
      <c r="I2973" s="3" t="s">
        <v>33</v>
      </c>
      <c r="J2973" s="5">
        <v>0</v>
      </c>
      <c r="K2973" s="3">
        <v>3250705</v>
      </c>
      <c r="L2973" s="3" t="s">
        <v>2420</v>
      </c>
      <c r="M2973" s="3" t="s">
        <v>10607</v>
      </c>
      <c r="N2973" s="3">
        <v>35</v>
      </c>
      <c r="P2973" s="3" t="s">
        <v>5580</v>
      </c>
      <c r="Q2973" s="3" t="s">
        <v>27</v>
      </c>
      <c r="R2973" s="3" t="s">
        <v>28</v>
      </c>
      <c r="S2973" s="3">
        <v>1224001</v>
      </c>
      <c r="T2973" s="3">
        <v>1133674777</v>
      </c>
      <c r="U2973" s="3" t="s">
        <v>29</v>
      </c>
    </row>
    <row r="2974" spans="1:21" ht="13.2" x14ac:dyDescent="0.25">
      <c r="A2974" s="14">
        <v>27500796000106</v>
      </c>
      <c r="B2974" s="15" t="str">
        <f t="shared" si="46"/>
        <v>27.500.796/0001-06</v>
      </c>
      <c r="C2974" s="12"/>
      <c r="D2974" s="3" t="s">
        <v>10608</v>
      </c>
      <c r="E2974" s="3" t="s">
        <v>10609</v>
      </c>
      <c r="F2974" s="3" t="s">
        <v>20</v>
      </c>
      <c r="G2974" s="4">
        <v>42835</v>
      </c>
      <c r="H2974" s="3" t="s">
        <v>21</v>
      </c>
      <c r="I2974" s="3" t="s">
        <v>22</v>
      </c>
      <c r="J2974" s="5">
        <v>400000</v>
      </c>
      <c r="K2974" s="3">
        <v>220906</v>
      </c>
      <c r="L2974" s="3" t="s">
        <v>10610</v>
      </c>
      <c r="M2974" s="3" t="s">
        <v>10611</v>
      </c>
      <c r="N2974" s="3">
        <v>409</v>
      </c>
      <c r="P2974" s="3" t="s">
        <v>185</v>
      </c>
      <c r="Q2974" s="3" t="s">
        <v>10612</v>
      </c>
      <c r="R2974" s="3" t="s">
        <v>100</v>
      </c>
      <c r="S2974" s="3">
        <v>34800000</v>
      </c>
      <c r="T2974" s="3">
        <v>3125760399</v>
      </c>
      <c r="U2974" s="3" t="s">
        <v>29</v>
      </c>
    </row>
    <row r="2975" spans="1:21" ht="13.2" x14ac:dyDescent="0.25">
      <c r="A2975" s="14">
        <v>8084898000135</v>
      </c>
      <c r="B2975" s="15" t="str">
        <f t="shared" si="46"/>
        <v>08.084.898/0001-35</v>
      </c>
      <c r="C2975" s="12"/>
      <c r="D2975" s="3" t="s">
        <v>10613</v>
      </c>
      <c r="E2975" s="3" t="s">
        <v>10613</v>
      </c>
      <c r="F2975" s="3" t="s">
        <v>20</v>
      </c>
      <c r="G2975" s="4">
        <v>38792</v>
      </c>
      <c r="H2975" s="3" t="s">
        <v>21</v>
      </c>
      <c r="I2975" s="3" t="s">
        <v>33</v>
      </c>
      <c r="J2975" s="5">
        <v>3285500</v>
      </c>
      <c r="K2975" s="3">
        <v>4221904</v>
      </c>
      <c r="L2975" s="3" t="s">
        <v>4911</v>
      </c>
      <c r="M2975" s="3" t="s">
        <v>10614</v>
      </c>
      <c r="N2975" s="3">
        <v>45</v>
      </c>
      <c r="P2975" s="3" t="s">
        <v>137</v>
      </c>
      <c r="Q2975" s="3" t="s">
        <v>27</v>
      </c>
      <c r="R2975" s="3" t="s">
        <v>28</v>
      </c>
      <c r="S2975" s="3">
        <v>5036120</v>
      </c>
      <c r="T2975" s="3">
        <v>1126991432</v>
      </c>
      <c r="U2975" s="3" t="s">
        <v>29</v>
      </c>
    </row>
    <row r="2976" spans="1:21" ht="13.2" x14ac:dyDescent="0.25">
      <c r="A2976" s="14">
        <v>68448570000182</v>
      </c>
      <c r="B2976" s="15" t="str">
        <f t="shared" si="46"/>
        <v>68.448.570/0001-82</v>
      </c>
      <c r="C2976" s="12"/>
      <c r="D2976" s="3" t="s">
        <v>10615</v>
      </c>
      <c r="E2976" s="3" t="s">
        <v>10616</v>
      </c>
      <c r="F2976" s="3" t="s">
        <v>20</v>
      </c>
      <c r="G2976" s="4">
        <v>33856</v>
      </c>
      <c r="H2976" s="3" t="s">
        <v>21</v>
      </c>
      <c r="I2976" s="3" t="s">
        <v>22</v>
      </c>
      <c r="J2976" s="5">
        <v>80000</v>
      </c>
      <c r="K2976" s="3">
        <v>3250704</v>
      </c>
      <c r="L2976" s="3" t="s">
        <v>7090</v>
      </c>
      <c r="M2976" s="3" t="s">
        <v>10617</v>
      </c>
      <c r="N2976" s="3">
        <v>77</v>
      </c>
      <c r="P2976" s="3" t="s">
        <v>10618</v>
      </c>
      <c r="Q2976" s="3" t="s">
        <v>805</v>
      </c>
      <c r="R2976" s="3" t="s">
        <v>28</v>
      </c>
      <c r="S2976" s="3">
        <v>17212350</v>
      </c>
      <c r="T2976" s="3">
        <v>1436011010</v>
      </c>
      <c r="U2976" s="3" t="s">
        <v>29</v>
      </c>
    </row>
    <row r="2977" spans="1:21" ht="13.2" x14ac:dyDescent="0.25">
      <c r="A2977" s="14">
        <v>5535694000185</v>
      </c>
      <c r="B2977" s="15" t="str">
        <f t="shared" si="46"/>
        <v>05.535.694/0001-85</v>
      </c>
      <c r="C2977" s="12"/>
      <c r="D2977" s="3" t="s">
        <v>10619</v>
      </c>
      <c r="E2977" s="3" t="s">
        <v>10619</v>
      </c>
      <c r="F2977" s="3" t="s">
        <v>20</v>
      </c>
      <c r="G2977" s="4">
        <v>37638</v>
      </c>
      <c r="H2977" s="3" t="s">
        <v>94</v>
      </c>
      <c r="I2977" s="3" t="s">
        <v>33</v>
      </c>
      <c r="J2977" s="5">
        <v>3032000</v>
      </c>
      <c r="K2977" s="3">
        <v>6203100</v>
      </c>
      <c r="L2977" s="3" t="s">
        <v>2268</v>
      </c>
      <c r="M2977" s="3" t="s">
        <v>246</v>
      </c>
      <c r="N2977" s="3">
        <v>1009</v>
      </c>
      <c r="O2977" s="3" t="s">
        <v>10620</v>
      </c>
      <c r="P2977" s="3" t="s">
        <v>248</v>
      </c>
      <c r="Q2977" s="3" t="s">
        <v>27</v>
      </c>
      <c r="R2977" s="3" t="s">
        <v>28</v>
      </c>
      <c r="S2977" s="3">
        <v>1311100</v>
      </c>
      <c r="T2977" s="3">
        <v>1131462226</v>
      </c>
      <c r="U2977" s="3" t="s">
        <v>29</v>
      </c>
    </row>
    <row r="2978" spans="1:21" ht="13.2" x14ac:dyDescent="0.25">
      <c r="A2978" s="14">
        <v>8183359000153</v>
      </c>
      <c r="B2978" s="15" t="str">
        <f t="shared" si="46"/>
        <v>08.183.359/0001-53</v>
      </c>
      <c r="C2978" s="12"/>
      <c r="D2978" s="3" t="s">
        <v>10621</v>
      </c>
      <c r="E2978" s="3" t="s">
        <v>10622</v>
      </c>
      <c r="F2978" s="3" t="s">
        <v>20</v>
      </c>
      <c r="G2978" s="4">
        <v>38880</v>
      </c>
      <c r="H2978" s="3" t="s">
        <v>94</v>
      </c>
      <c r="I2978" s="3" t="s">
        <v>33</v>
      </c>
      <c r="J2978" s="5">
        <v>61490000</v>
      </c>
      <c r="K2978" s="3">
        <v>1099699</v>
      </c>
      <c r="L2978" s="3" t="s">
        <v>3307</v>
      </c>
      <c r="M2978" s="3" t="s">
        <v>10623</v>
      </c>
      <c r="N2978" s="3">
        <v>1428</v>
      </c>
      <c r="O2978" s="3" t="s">
        <v>10624</v>
      </c>
      <c r="P2978" s="3" t="s">
        <v>10625</v>
      </c>
      <c r="Q2978" s="3" t="s">
        <v>204</v>
      </c>
      <c r="R2978" s="3" t="s">
        <v>187</v>
      </c>
      <c r="S2978" s="3">
        <v>81050500</v>
      </c>
      <c r="T2978" s="3">
        <v>4199752734</v>
      </c>
      <c r="U2978" s="3" t="s">
        <v>29</v>
      </c>
    </row>
    <row r="2979" spans="1:21" ht="13.2" x14ac:dyDescent="0.25">
      <c r="A2979" s="14">
        <v>52742277000193</v>
      </c>
      <c r="B2979" s="15" t="str">
        <f t="shared" si="46"/>
        <v>52.742.277/0001-93</v>
      </c>
      <c r="C2979" s="12"/>
      <c r="D2979" s="3" t="s">
        <v>10626</v>
      </c>
      <c r="E2979" s="3" t="s">
        <v>10626</v>
      </c>
      <c r="F2979" s="3" t="s">
        <v>20</v>
      </c>
      <c r="G2979" s="4">
        <v>26346</v>
      </c>
      <c r="H2979" s="3" t="s">
        <v>21</v>
      </c>
      <c r="I2979" s="3" t="s">
        <v>33</v>
      </c>
      <c r="J2979" s="5">
        <v>18032428</v>
      </c>
      <c r="K2979" s="3">
        <v>2019399</v>
      </c>
      <c r="L2979" s="3" t="s">
        <v>1962</v>
      </c>
      <c r="M2979" s="3" t="s">
        <v>10627</v>
      </c>
      <c r="N2979" s="3">
        <v>1350</v>
      </c>
      <c r="O2979" s="3" t="s">
        <v>3317</v>
      </c>
      <c r="P2979" s="3" t="s">
        <v>70</v>
      </c>
      <c r="Q2979" s="3" t="s">
        <v>10628</v>
      </c>
      <c r="R2979" s="3" t="s">
        <v>28</v>
      </c>
      <c r="S2979" s="3">
        <v>13857000</v>
      </c>
      <c r="T2979" s="3">
        <v>1938683555</v>
      </c>
      <c r="U2979" s="3" t="s">
        <v>29</v>
      </c>
    </row>
    <row r="2980" spans="1:21" ht="13.2" x14ac:dyDescent="0.25">
      <c r="A2980" s="14">
        <v>33009945000123</v>
      </c>
      <c r="B2980" s="15" t="str">
        <f t="shared" si="46"/>
        <v>33.009.945/0001-23</v>
      </c>
      <c r="C2980" s="12"/>
      <c r="D2980" s="3" t="s">
        <v>10629</v>
      </c>
      <c r="E2980" s="3" t="s">
        <v>10629</v>
      </c>
      <c r="F2980" s="3" t="s">
        <v>20</v>
      </c>
      <c r="G2980" s="4">
        <v>26149</v>
      </c>
      <c r="H2980" s="3" t="s">
        <v>94</v>
      </c>
      <c r="I2980" s="3" t="s">
        <v>33</v>
      </c>
      <c r="J2980" s="5">
        <v>1141677000</v>
      </c>
      <c r="K2980" s="3">
        <v>8211300</v>
      </c>
      <c r="L2980" s="3" t="s">
        <v>166</v>
      </c>
      <c r="M2980" s="3" t="s">
        <v>1448</v>
      </c>
      <c r="N2980" s="3">
        <v>691</v>
      </c>
      <c r="O2980" s="3" t="s">
        <v>10630</v>
      </c>
      <c r="P2980" s="3" t="s">
        <v>1450</v>
      </c>
      <c r="Q2980" s="3" t="s">
        <v>27</v>
      </c>
      <c r="R2980" s="3" t="s">
        <v>28</v>
      </c>
      <c r="S2980" s="3">
        <v>4730903</v>
      </c>
      <c r="T2980" s="3">
        <v>1137194566</v>
      </c>
      <c r="U2980" s="3" t="s">
        <v>29</v>
      </c>
    </row>
    <row r="2981" spans="1:21" ht="13.2" x14ac:dyDescent="0.25">
      <c r="A2981" s="14">
        <v>45453214000151</v>
      </c>
      <c r="B2981" s="15" t="str">
        <f t="shared" si="46"/>
        <v>45.453.214/0001-51</v>
      </c>
      <c r="C2981" s="12"/>
      <c r="D2981" s="3" t="s">
        <v>10631</v>
      </c>
      <c r="E2981" s="3" t="s">
        <v>10631</v>
      </c>
      <c r="F2981" s="3" t="s">
        <v>20</v>
      </c>
      <c r="G2981" s="4">
        <v>29622</v>
      </c>
      <c r="H2981" s="3" t="s">
        <v>377</v>
      </c>
      <c r="I2981" s="3" t="s">
        <v>33</v>
      </c>
      <c r="J2981" s="5">
        <v>918663360</v>
      </c>
      <c r="K2981" s="3">
        <v>4644301</v>
      </c>
      <c r="L2981" s="3" t="s">
        <v>326</v>
      </c>
      <c r="M2981" s="3" t="s">
        <v>6879</v>
      </c>
      <c r="N2981" s="3">
        <v>155</v>
      </c>
      <c r="O2981" s="3" t="s">
        <v>10632</v>
      </c>
      <c r="P2981" s="3" t="s">
        <v>252</v>
      </c>
      <c r="Q2981" s="3" t="s">
        <v>253</v>
      </c>
      <c r="R2981" s="3" t="s">
        <v>78</v>
      </c>
      <c r="S2981" s="3">
        <v>22775056</v>
      </c>
      <c r="T2981" s="3">
        <v>2140020900</v>
      </c>
      <c r="U2981" s="3" t="s">
        <v>29</v>
      </c>
    </row>
    <row r="2982" spans="1:21" ht="13.2" x14ac:dyDescent="0.25">
      <c r="A2982" s="14">
        <v>57748204000122</v>
      </c>
      <c r="B2982" s="15" t="str">
        <f t="shared" si="46"/>
        <v>57.748.204/0001-22</v>
      </c>
      <c r="C2982" s="12"/>
      <c r="D2982" s="3" t="s">
        <v>10633</v>
      </c>
      <c r="E2982" s="3" t="s">
        <v>10633</v>
      </c>
      <c r="F2982" s="3" t="s">
        <v>20</v>
      </c>
      <c r="G2982" s="4">
        <v>31973</v>
      </c>
      <c r="H2982" s="3" t="s">
        <v>94</v>
      </c>
      <c r="I2982" s="3" t="s">
        <v>33</v>
      </c>
      <c r="J2982" s="5">
        <v>57680612</v>
      </c>
      <c r="K2982" s="3">
        <v>7112000</v>
      </c>
      <c r="L2982" s="3" t="s">
        <v>276</v>
      </c>
      <c r="M2982" s="3" t="s">
        <v>10634</v>
      </c>
      <c r="N2982" s="3">
        <v>24</v>
      </c>
      <c r="O2982" s="3" t="s">
        <v>10635</v>
      </c>
      <c r="P2982" s="3" t="s">
        <v>3910</v>
      </c>
      <c r="Q2982" s="3" t="s">
        <v>27</v>
      </c>
      <c r="R2982" s="3" t="s">
        <v>28</v>
      </c>
      <c r="S2982" s="3">
        <v>1219902</v>
      </c>
      <c r="T2982" s="3">
        <v>1133529000</v>
      </c>
      <c r="U2982" s="3" t="s">
        <v>29</v>
      </c>
    </row>
    <row r="2983" spans="1:21" ht="13.2" x14ac:dyDescent="0.25">
      <c r="A2983" s="14">
        <v>9485574000171</v>
      </c>
      <c r="B2983" s="15" t="str">
        <f t="shared" si="46"/>
        <v>09.485.574/0001-71</v>
      </c>
      <c r="C2983" s="12" t="str">
        <f>VLOOKUP(B2983,[1]Planilha1!$A:$B,2,0)</f>
        <v>Mariane Nascimento</v>
      </c>
      <c r="D2983" s="3" t="s">
        <v>10636</v>
      </c>
      <c r="E2983" s="3" t="s">
        <v>10636</v>
      </c>
      <c r="F2983" s="3" t="s">
        <v>20</v>
      </c>
      <c r="G2983" s="4">
        <v>29074</v>
      </c>
      <c r="H2983" s="3" t="s">
        <v>21</v>
      </c>
      <c r="I2983" s="3" t="s">
        <v>33</v>
      </c>
      <c r="J2983" s="5">
        <v>5000000</v>
      </c>
      <c r="K2983" s="3">
        <v>4644301</v>
      </c>
      <c r="L2983" s="3" t="s">
        <v>326</v>
      </c>
      <c r="M2983" s="3" t="s">
        <v>10637</v>
      </c>
      <c r="N2983" s="3">
        <v>181</v>
      </c>
      <c r="P2983" s="3" t="s">
        <v>10638</v>
      </c>
      <c r="Q2983" s="3" t="s">
        <v>667</v>
      </c>
      <c r="R2983" s="3" t="s">
        <v>301</v>
      </c>
      <c r="S2983" s="3">
        <v>60862730</v>
      </c>
      <c r="T2983" s="3">
        <v>8532525699</v>
      </c>
      <c r="U2983" s="3" t="s">
        <v>29</v>
      </c>
    </row>
    <row r="2984" spans="1:21" ht="13.2" x14ac:dyDescent="0.25">
      <c r="A2984" s="14">
        <v>80696479000181</v>
      </c>
      <c r="B2984" s="15" t="str">
        <f t="shared" si="46"/>
        <v>80.696.479/0001-81</v>
      </c>
      <c r="C2984" s="12" t="str">
        <f>VLOOKUP(B2984,[1]Planilha1!$A:$B,2,0)</f>
        <v>Malu Montesino</v>
      </c>
      <c r="D2984" s="3" t="s">
        <v>10639</v>
      </c>
      <c r="E2984" s="3" t="s">
        <v>10640</v>
      </c>
      <c r="F2984" s="3" t="s">
        <v>20</v>
      </c>
      <c r="G2984" s="4">
        <v>32302</v>
      </c>
      <c r="H2984" s="3" t="s">
        <v>21</v>
      </c>
      <c r="I2984" s="3" t="s">
        <v>33</v>
      </c>
      <c r="J2984" s="5">
        <v>62114250</v>
      </c>
      <c r="K2984" s="3">
        <v>2019399</v>
      </c>
      <c r="L2984" s="3" t="s">
        <v>1962</v>
      </c>
      <c r="M2984" s="3" t="s">
        <v>3729</v>
      </c>
      <c r="N2984" s="3">
        <v>635</v>
      </c>
      <c r="P2984" s="3" t="s">
        <v>3731</v>
      </c>
      <c r="Q2984" s="3" t="s">
        <v>2969</v>
      </c>
      <c r="R2984" s="3" t="s">
        <v>91</v>
      </c>
      <c r="S2984" s="3">
        <v>89117455</v>
      </c>
      <c r="T2984" s="3">
        <v>4737033000</v>
      </c>
      <c r="U2984" s="3" t="s">
        <v>29</v>
      </c>
    </row>
    <row r="2985" spans="1:21" ht="13.2" x14ac:dyDescent="0.25">
      <c r="A2985" s="14">
        <v>3872011000150</v>
      </c>
      <c r="B2985" s="15" t="str">
        <f t="shared" si="46"/>
        <v>03.872.011/0001-50</v>
      </c>
      <c r="C2985" s="12"/>
      <c r="D2985" s="3" t="s">
        <v>10641</v>
      </c>
      <c r="E2985" s="3" t="s">
        <v>10642</v>
      </c>
      <c r="F2985" s="3" t="s">
        <v>20</v>
      </c>
      <c r="G2985" s="4">
        <v>36682</v>
      </c>
      <c r="H2985" s="3" t="s">
        <v>21</v>
      </c>
      <c r="I2985" s="3" t="s">
        <v>22</v>
      </c>
      <c r="J2985" s="5">
        <v>293700</v>
      </c>
      <c r="K2985" s="3">
        <v>2532201</v>
      </c>
      <c r="L2985" s="3" t="s">
        <v>10643</v>
      </c>
      <c r="M2985" s="3" t="s">
        <v>10644</v>
      </c>
      <c r="N2985" s="3">
        <v>51</v>
      </c>
      <c r="P2985" s="3" t="s">
        <v>10645</v>
      </c>
      <c r="Q2985" s="3" t="s">
        <v>357</v>
      </c>
      <c r="R2985" s="3" t="s">
        <v>28</v>
      </c>
      <c r="S2985" s="3">
        <v>7263020</v>
      </c>
      <c r="T2985" s="3">
        <v>1124803461</v>
      </c>
      <c r="U2985" s="3" t="s">
        <v>29</v>
      </c>
    </row>
    <row r="2986" spans="1:21" ht="13.2" x14ac:dyDescent="0.25">
      <c r="A2986" s="14">
        <v>61531620000141</v>
      </c>
      <c r="B2986" s="15" t="str">
        <f t="shared" si="46"/>
        <v>61.531.620/0001-41</v>
      </c>
      <c r="C2986" s="12" t="str">
        <f>VLOOKUP(B2986,[1]Planilha1!$A:$B,2,0)</f>
        <v>Malu Montesino</v>
      </c>
      <c r="D2986" s="3" t="s">
        <v>10646</v>
      </c>
      <c r="E2986" s="3" t="s">
        <v>10647</v>
      </c>
      <c r="F2986" s="3" t="s">
        <v>20</v>
      </c>
      <c r="G2986" s="4">
        <v>25100</v>
      </c>
      <c r="H2986" s="3" t="s">
        <v>94</v>
      </c>
      <c r="I2986" s="3" t="s">
        <v>33</v>
      </c>
      <c r="J2986" s="5">
        <v>27000000</v>
      </c>
      <c r="K2986" s="3">
        <v>1922599</v>
      </c>
      <c r="L2986" s="3" t="s">
        <v>3246</v>
      </c>
      <c r="M2986" s="3" t="s">
        <v>10648</v>
      </c>
      <c r="N2986" s="3">
        <v>70</v>
      </c>
      <c r="P2986" s="3" t="s">
        <v>2659</v>
      </c>
      <c r="Q2986" s="3" t="s">
        <v>2365</v>
      </c>
      <c r="R2986" s="3" t="s">
        <v>28</v>
      </c>
      <c r="S2986" s="3">
        <v>7776230</v>
      </c>
      <c r="T2986" s="3">
        <v>1148988690</v>
      </c>
      <c r="U2986" s="3" t="s">
        <v>29</v>
      </c>
    </row>
    <row r="2987" spans="1:21" ht="13.2" x14ac:dyDescent="0.25">
      <c r="A2987" s="14">
        <v>81706251000198</v>
      </c>
      <c r="B2987" s="15" t="str">
        <f t="shared" si="46"/>
        <v>81.706.251/0001-98</v>
      </c>
      <c r="C2987" s="12"/>
      <c r="D2987" s="3" t="s">
        <v>10649</v>
      </c>
      <c r="E2987" s="3" t="s">
        <v>10649</v>
      </c>
      <c r="F2987" s="3" t="s">
        <v>20</v>
      </c>
      <c r="G2987" s="4">
        <v>32854</v>
      </c>
      <c r="H2987" s="3" t="s">
        <v>21</v>
      </c>
      <c r="I2987" s="3" t="s">
        <v>33</v>
      </c>
      <c r="J2987" s="5">
        <v>200000</v>
      </c>
      <c r="K2987" s="3">
        <v>4644301</v>
      </c>
      <c r="L2987" s="3" t="s">
        <v>326</v>
      </c>
      <c r="M2987" s="3" t="s">
        <v>10650</v>
      </c>
      <c r="N2987" s="3">
        <v>100</v>
      </c>
      <c r="P2987" s="3" t="s">
        <v>2254</v>
      </c>
      <c r="Q2987" s="3" t="s">
        <v>204</v>
      </c>
      <c r="R2987" s="3" t="s">
        <v>187</v>
      </c>
      <c r="S2987" s="3">
        <v>81170520</v>
      </c>
      <c r="T2987" s="3">
        <v>4130527900</v>
      </c>
      <c r="U2987" s="3" t="s">
        <v>29</v>
      </c>
    </row>
    <row r="2988" spans="1:21" ht="13.2" x14ac:dyDescent="0.25">
      <c r="A2988" s="14">
        <v>11909227000170</v>
      </c>
      <c r="B2988" s="15" t="str">
        <f t="shared" si="46"/>
        <v>11.909.227/0001-70</v>
      </c>
      <c r="C2988" s="12"/>
      <c r="D2988" s="3" t="s">
        <v>10651</v>
      </c>
      <c r="E2988" s="3" t="s">
        <v>10651</v>
      </c>
      <c r="F2988" s="3" t="s">
        <v>20</v>
      </c>
      <c r="G2988" s="4">
        <v>40303</v>
      </c>
      <c r="H2988" s="3" t="s">
        <v>21</v>
      </c>
      <c r="I2988" s="3" t="s">
        <v>33</v>
      </c>
      <c r="J2988" s="5">
        <v>1000000</v>
      </c>
      <c r="K2988" s="3">
        <v>4645101</v>
      </c>
      <c r="L2988" s="3" t="s">
        <v>135</v>
      </c>
      <c r="M2988" s="3" t="s">
        <v>10652</v>
      </c>
      <c r="N2988" s="3">
        <v>88</v>
      </c>
      <c r="O2988" s="3" t="s">
        <v>10653</v>
      </c>
      <c r="P2988" s="3" t="s">
        <v>846</v>
      </c>
      <c r="Q2988" s="3" t="s">
        <v>27</v>
      </c>
      <c r="R2988" s="3" t="s">
        <v>28</v>
      </c>
      <c r="S2988" s="3">
        <v>4602000</v>
      </c>
      <c r="T2988" s="3">
        <v>1150963770</v>
      </c>
      <c r="U2988" s="3" t="s">
        <v>29</v>
      </c>
    </row>
    <row r="2989" spans="1:21" ht="13.2" x14ac:dyDescent="0.25">
      <c r="A2989" s="14">
        <v>22301988000161</v>
      </c>
      <c r="B2989" s="15" t="str">
        <f t="shared" si="46"/>
        <v>22.301.988/0001-61</v>
      </c>
      <c r="C2989" s="12" t="str">
        <f>VLOOKUP(B2989,[1]Planilha1!$A:$B,2,0)</f>
        <v>Malu Montesino</v>
      </c>
      <c r="D2989" s="3" t="s">
        <v>10654</v>
      </c>
      <c r="E2989" s="3" t="s">
        <v>10654</v>
      </c>
      <c r="F2989" s="3" t="s">
        <v>20</v>
      </c>
      <c r="G2989" s="4">
        <v>42116</v>
      </c>
      <c r="H2989" s="3" t="s">
        <v>21</v>
      </c>
      <c r="I2989" s="3" t="s">
        <v>33</v>
      </c>
      <c r="J2989" s="5">
        <v>523881180</v>
      </c>
      <c r="K2989" s="3">
        <v>4530702</v>
      </c>
      <c r="L2989" s="3" t="s">
        <v>2898</v>
      </c>
      <c r="M2989" s="3" t="s">
        <v>10655</v>
      </c>
      <c r="N2989" s="3">
        <v>871</v>
      </c>
      <c r="O2989" s="3" t="s">
        <v>10656</v>
      </c>
      <c r="P2989" s="3" t="s">
        <v>10657</v>
      </c>
      <c r="Q2989" s="3" t="s">
        <v>1410</v>
      </c>
      <c r="R2989" s="3" t="s">
        <v>28</v>
      </c>
      <c r="S2989" s="3">
        <v>9111340</v>
      </c>
      <c r="T2989" s="3">
        <v>1143222426</v>
      </c>
      <c r="U2989" s="3" t="s">
        <v>29</v>
      </c>
    </row>
    <row r="2990" spans="1:21" ht="13.2" x14ac:dyDescent="0.25">
      <c r="A2990" s="14">
        <v>59598946000144</v>
      </c>
      <c r="B2990" s="15" t="str">
        <f t="shared" si="46"/>
        <v>59.598.946/0001-44</v>
      </c>
      <c r="C2990" s="12" t="str">
        <f>VLOOKUP(B2990,[1]Planilha1!$A:$B,2,0)</f>
        <v>Malu Montesino</v>
      </c>
      <c r="D2990" s="3" t="s">
        <v>10658</v>
      </c>
      <c r="E2990" s="3" t="s">
        <v>10658</v>
      </c>
      <c r="F2990" s="3" t="s">
        <v>20</v>
      </c>
      <c r="G2990" s="4">
        <v>24342</v>
      </c>
      <c r="H2990" s="3" t="s">
        <v>21</v>
      </c>
      <c r="I2990" s="3" t="s">
        <v>33</v>
      </c>
      <c r="J2990" s="5">
        <v>17938000</v>
      </c>
      <c r="K2990" s="3">
        <v>2869100</v>
      </c>
      <c r="L2990" s="3" t="s">
        <v>1416</v>
      </c>
      <c r="M2990" s="3" t="s">
        <v>834</v>
      </c>
      <c r="N2990" s="3">
        <v>1600</v>
      </c>
      <c r="P2990" s="3" t="s">
        <v>10659</v>
      </c>
      <c r="Q2990" s="3" t="s">
        <v>2406</v>
      </c>
      <c r="R2990" s="3" t="s">
        <v>28</v>
      </c>
      <c r="S2990" s="3">
        <v>13572000</v>
      </c>
      <c r="T2990" s="3">
        <v>1633759111</v>
      </c>
      <c r="U2990" s="3" t="s">
        <v>29</v>
      </c>
    </row>
    <row r="2991" spans="1:21" ht="13.2" x14ac:dyDescent="0.25">
      <c r="A2991" s="14">
        <v>38875381000125</v>
      </c>
      <c r="B2991" s="15" t="str">
        <f t="shared" si="46"/>
        <v>38.875.381/0001-25</v>
      </c>
      <c r="C2991" s="12"/>
      <c r="D2991" s="3" t="s">
        <v>10660</v>
      </c>
      <c r="E2991" s="3" t="s">
        <v>10660</v>
      </c>
      <c r="F2991" s="3" t="s">
        <v>20</v>
      </c>
      <c r="G2991" s="4">
        <v>33030</v>
      </c>
      <c r="H2991" s="3" t="s">
        <v>21</v>
      </c>
      <c r="I2991" s="3" t="s">
        <v>33</v>
      </c>
      <c r="J2991" s="5">
        <v>11958020</v>
      </c>
      <c r="K2991" s="3">
        <v>4663000</v>
      </c>
      <c r="L2991" s="3" t="s">
        <v>128</v>
      </c>
      <c r="M2991" s="3" t="s">
        <v>10661</v>
      </c>
      <c r="N2991" s="3">
        <v>355</v>
      </c>
      <c r="O2991" s="3" t="s">
        <v>10662</v>
      </c>
      <c r="P2991" s="3" t="s">
        <v>4870</v>
      </c>
      <c r="Q2991" s="3" t="s">
        <v>217</v>
      </c>
      <c r="R2991" s="3" t="s">
        <v>28</v>
      </c>
      <c r="S2991" s="3">
        <v>9662030</v>
      </c>
      <c r="T2991" s="3">
        <v>1141760724</v>
      </c>
      <c r="U2991" s="3" t="s">
        <v>29</v>
      </c>
    </row>
    <row r="2992" spans="1:21" ht="13.2" x14ac:dyDescent="0.25">
      <c r="A2992" s="14">
        <v>141463000173</v>
      </c>
      <c r="B2992" s="15" t="str">
        <f t="shared" si="46"/>
        <v>00.141.463/0001-73</v>
      </c>
      <c r="C2992" s="12"/>
      <c r="D2992" s="3" t="s">
        <v>10663</v>
      </c>
      <c r="E2992" s="3" t="s">
        <v>10663</v>
      </c>
      <c r="F2992" s="3" t="s">
        <v>20</v>
      </c>
      <c r="G2992" s="4">
        <v>34557</v>
      </c>
      <c r="H2992" s="3" t="s">
        <v>94</v>
      </c>
      <c r="I2992" s="3" t="s">
        <v>33</v>
      </c>
      <c r="J2992" s="5">
        <v>136654910</v>
      </c>
      <c r="K2992" s="3">
        <v>6202300</v>
      </c>
      <c r="L2992" s="3" t="s">
        <v>103</v>
      </c>
      <c r="M2992" s="3" t="s">
        <v>10664</v>
      </c>
      <c r="N2992" s="3">
        <v>517</v>
      </c>
      <c r="P2992" s="3" t="s">
        <v>2161</v>
      </c>
      <c r="Q2992" s="3" t="s">
        <v>730</v>
      </c>
      <c r="R2992" s="3" t="s">
        <v>53</v>
      </c>
      <c r="S2992" s="3">
        <v>95012140</v>
      </c>
      <c r="T2992" s="3">
        <v>5133287000</v>
      </c>
      <c r="U2992" s="3" t="s">
        <v>29</v>
      </c>
    </row>
    <row r="2993" spans="1:21" ht="13.2" x14ac:dyDescent="0.25">
      <c r="A2993" s="14">
        <v>7534686000140</v>
      </c>
      <c r="B2993" s="15" t="str">
        <f t="shared" si="46"/>
        <v>07.534.686/0001-40</v>
      </c>
      <c r="C2993" s="12" t="str">
        <f>VLOOKUP(B2993,[1]Planilha1!$A:$B,2,0)</f>
        <v>Malu Montesino</v>
      </c>
      <c r="D2993" s="3" t="s">
        <v>10665</v>
      </c>
      <c r="E2993" s="3" t="s">
        <v>10666</v>
      </c>
      <c r="F2993" s="3" t="s">
        <v>20</v>
      </c>
      <c r="G2993" s="4">
        <v>38573</v>
      </c>
      <c r="H2993" s="3" t="s">
        <v>21</v>
      </c>
      <c r="I2993" s="3" t="s">
        <v>47</v>
      </c>
      <c r="J2993" s="5">
        <v>30000</v>
      </c>
      <c r="K2993" s="3">
        <v>2610800</v>
      </c>
      <c r="L2993" s="3" t="s">
        <v>548</v>
      </c>
      <c r="M2993" s="3" t="s">
        <v>10667</v>
      </c>
      <c r="N2993" s="3">
        <v>803</v>
      </c>
      <c r="P2993" s="3" t="s">
        <v>645</v>
      </c>
      <c r="Q2993" s="3" t="s">
        <v>611</v>
      </c>
      <c r="R2993" s="3" t="s">
        <v>53</v>
      </c>
      <c r="S2993" s="3">
        <v>92200255</v>
      </c>
      <c r="T2993" s="3">
        <v>5198204672</v>
      </c>
      <c r="U2993" s="3" t="s">
        <v>29</v>
      </c>
    </row>
    <row r="2994" spans="1:21" ht="13.2" x14ac:dyDescent="0.25">
      <c r="A2994" s="14">
        <v>57686164000131</v>
      </c>
      <c r="B2994" s="15" t="str">
        <f t="shared" si="46"/>
        <v>57.686.164/0001-31</v>
      </c>
      <c r="C2994" s="12"/>
      <c r="D2994" s="3" t="s">
        <v>10668</v>
      </c>
      <c r="E2994" s="3" t="s">
        <v>10668</v>
      </c>
      <c r="F2994" s="3" t="s">
        <v>20</v>
      </c>
      <c r="G2994" s="4">
        <v>31932</v>
      </c>
      <c r="H2994" s="3" t="s">
        <v>21</v>
      </c>
      <c r="I2994" s="3" t="s">
        <v>33</v>
      </c>
      <c r="J2994" s="5">
        <v>2100000</v>
      </c>
      <c r="K2994" s="3">
        <v>2869100</v>
      </c>
      <c r="L2994" s="3" t="s">
        <v>1416</v>
      </c>
      <c r="M2994" s="3" t="s">
        <v>9242</v>
      </c>
      <c r="N2994" s="3">
        <v>426</v>
      </c>
      <c r="P2994" s="3" t="s">
        <v>9243</v>
      </c>
      <c r="Q2994" s="3" t="s">
        <v>27</v>
      </c>
      <c r="R2994" s="3" t="s">
        <v>28</v>
      </c>
      <c r="S2994" s="3">
        <v>2995000</v>
      </c>
      <c r="T2994" s="3">
        <v>1165760123</v>
      </c>
      <c r="U2994" s="3" t="s">
        <v>29</v>
      </c>
    </row>
    <row r="2995" spans="1:21" ht="13.2" x14ac:dyDescent="0.25">
      <c r="A2995" s="14">
        <v>2837922000183</v>
      </c>
      <c r="B2995" s="15" t="str">
        <f t="shared" si="46"/>
        <v>02.837.922/0001-83</v>
      </c>
      <c r="C2995" s="12"/>
      <c r="D2995" s="3" t="s">
        <v>10669</v>
      </c>
      <c r="E2995" s="3" t="s">
        <v>10670</v>
      </c>
      <c r="F2995" s="3" t="s">
        <v>20</v>
      </c>
      <c r="G2995" s="4">
        <v>35972</v>
      </c>
      <c r="H2995" s="3" t="s">
        <v>21</v>
      </c>
      <c r="I2995" s="3" t="s">
        <v>33</v>
      </c>
      <c r="J2995" s="5">
        <v>1181200</v>
      </c>
      <c r="K2995" s="3">
        <v>8712300</v>
      </c>
      <c r="L2995" s="3" t="s">
        <v>7133</v>
      </c>
      <c r="M2995" s="3" t="s">
        <v>10671</v>
      </c>
      <c r="N2995" s="3">
        <v>2706</v>
      </c>
      <c r="O2995" s="3" t="s">
        <v>10672</v>
      </c>
      <c r="P2995" s="3" t="s">
        <v>1064</v>
      </c>
      <c r="Q2995" s="3" t="s">
        <v>27</v>
      </c>
      <c r="R2995" s="3" t="s">
        <v>28</v>
      </c>
      <c r="S2995" s="3">
        <v>4036100</v>
      </c>
      <c r="T2995" s="3">
        <v>1125385555</v>
      </c>
      <c r="U2995" s="3" t="s">
        <v>29</v>
      </c>
    </row>
    <row r="2996" spans="1:21" ht="13.2" x14ac:dyDescent="0.25">
      <c r="A2996" s="14">
        <v>3368596000175</v>
      </c>
      <c r="B2996" s="15" t="str">
        <f t="shared" si="46"/>
        <v>03.368.596/0001-75</v>
      </c>
      <c r="C2996" s="12"/>
      <c r="D2996" s="3" t="s">
        <v>10673</v>
      </c>
      <c r="E2996" s="3" t="s">
        <v>10673</v>
      </c>
      <c r="F2996" s="3" t="s">
        <v>20</v>
      </c>
      <c r="G2996" s="4">
        <v>36403</v>
      </c>
      <c r="H2996" s="3" t="s">
        <v>94</v>
      </c>
      <c r="I2996" s="3" t="s">
        <v>33</v>
      </c>
      <c r="J2996" s="5">
        <v>27638960</v>
      </c>
      <c r="K2996" s="3">
        <v>7020400</v>
      </c>
      <c r="L2996" s="3" t="s">
        <v>170</v>
      </c>
      <c r="M2996" s="3" t="s">
        <v>246</v>
      </c>
      <c r="N2996" s="3">
        <v>2313</v>
      </c>
      <c r="O2996" s="3" t="s">
        <v>10674</v>
      </c>
      <c r="P2996" s="3" t="s">
        <v>248</v>
      </c>
      <c r="Q2996" s="3" t="s">
        <v>27</v>
      </c>
      <c r="R2996" s="3" t="s">
        <v>28</v>
      </c>
      <c r="S2996" s="3">
        <v>1311934</v>
      </c>
      <c r="T2996" s="3">
        <v>1131429867</v>
      </c>
      <c r="U2996" s="3" t="s">
        <v>29</v>
      </c>
    </row>
    <row r="2997" spans="1:21" ht="13.2" x14ac:dyDescent="0.25">
      <c r="A2997" s="14">
        <v>15630428000195</v>
      </c>
      <c r="B2997" s="15" t="str">
        <f t="shared" si="46"/>
        <v>15.630.428/0001-95</v>
      </c>
      <c r="C2997" s="12" t="str">
        <f>VLOOKUP(B2997,[1]Planilha1!$A:$B,2,0)</f>
        <v>Malu Montesino</v>
      </c>
      <c r="D2997" s="3" t="s">
        <v>10675</v>
      </c>
      <c r="E2997" s="3" t="s">
        <v>10676</v>
      </c>
      <c r="F2997" s="3" t="s">
        <v>20</v>
      </c>
      <c r="G2997" s="4">
        <v>41043</v>
      </c>
      <c r="H2997" s="3" t="s">
        <v>21</v>
      </c>
      <c r="I2997" s="3" t="s">
        <v>22</v>
      </c>
      <c r="J2997" s="5">
        <v>2000000</v>
      </c>
      <c r="K2997" s="3">
        <v>7112000</v>
      </c>
      <c r="L2997" s="3" t="s">
        <v>276</v>
      </c>
      <c r="M2997" s="3" t="s">
        <v>10677</v>
      </c>
      <c r="N2997" s="3">
        <v>186</v>
      </c>
      <c r="O2997" s="3" t="s">
        <v>10678</v>
      </c>
      <c r="P2997" s="3" t="s">
        <v>3858</v>
      </c>
      <c r="Q2997" s="3" t="s">
        <v>423</v>
      </c>
      <c r="R2997" s="3" t="s">
        <v>91</v>
      </c>
      <c r="S2997" s="3">
        <v>89237090</v>
      </c>
      <c r="T2997" s="3">
        <v>4791192982</v>
      </c>
      <c r="U2997" s="3" t="s">
        <v>29</v>
      </c>
    </row>
    <row r="2998" spans="1:21" ht="13.2" x14ac:dyDescent="0.25">
      <c r="A2998" s="14">
        <v>3278519000124</v>
      </c>
      <c r="B2998" s="15" t="str">
        <f t="shared" si="46"/>
        <v>03.278.519/0001-24</v>
      </c>
      <c r="C2998" s="12"/>
      <c r="D2998" s="3" t="s">
        <v>10679</v>
      </c>
      <c r="E2998" s="3" t="s">
        <v>10680</v>
      </c>
      <c r="F2998" s="3" t="s">
        <v>20</v>
      </c>
      <c r="G2998" s="4">
        <v>36355</v>
      </c>
      <c r="H2998" s="3" t="s">
        <v>21</v>
      </c>
      <c r="I2998" s="3" t="s">
        <v>22</v>
      </c>
      <c r="J2998" s="5">
        <v>800000</v>
      </c>
      <c r="K2998" s="3">
        <v>2093200</v>
      </c>
      <c r="L2998" s="3" t="s">
        <v>913</v>
      </c>
      <c r="M2998" s="3" t="s">
        <v>8942</v>
      </c>
      <c r="N2998" s="3">
        <v>580</v>
      </c>
      <c r="P2998" s="3" t="s">
        <v>153</v>
      </c>
      <c r="Q2998" s="3" t="s">
        <v>8943</v>
      </c>
      <c r="R2998" s="3" t="s">
        <v>100</v>
      </c>
      <c r="S2998" s="3">
        <v>36180000</v>
      </c>
      <c r="T2998" s="3">
        <v>3235711968</v>
      </c>
      <c r="U2998" s="3" t="s">
        <v>29</v>
      </c>
    </row>
    <row r="2999" spans="1:21" ht="13.2" x14ac:dyDescent="0.25">
      <c r="A2999" s="14">
        <v>44118249000171</v>
      </c>
      <c r="B2999" s="15" t="str">
        <f t="shared" si="46"/>
        <v>44.118.249/0001-71</v>
      </c>
      <c r="C2999" s="12"/>
      <c r="D2999" s="3" t="s">
        <v>10681</v>
      </c>
      <c r="E2999" s="3" t="s">
        <v>10682</v>
      </c>
      <c r="F2999" s="3" t="s">
        <v>20</v>
      </c>
      <c r="G2999" s="4">
        <v>44504</v>
      </c>
      <c r="H2999" s="3" t="s">
        <v>21</v>
      </c>
      <c r="I2999" s="3" t="s">
        <v>47</v>
      </c>
      <c r="J2999" s="5">
        <v>50000</v>
      </c>
      <c r="K2999" s="3">
        <v>5620104</v>
      </c>
      <c r="L2999" s="3" t="s">
        <v>10683</v>
      </c>
      <c r="M2999" s="3" t="s">
        <v>35</v>
      </c>
      <c r="N2999" s="3">
        <v>45</v>
      </c>
      <c r="O2999" s="3" t="s">
        <v>6573</v>
      </c>
      <c r="P2999" s="3" t="s">
        <v>10684</v>
      </c>
      <c r="Q2999" s="3" t="s">
        <v>37</v>
      </c>
      <c r="R2999" s="3" t="s">
        <v>28</v>
      </c>
      <c r="S2999" s="3">
        <v>13478110</v>
      </c>
      <c r="T2999" s="3">
        <v>1981746640</v>
      </c>
      <c r="U2999" s="3" t="s">
        <v>29</v>
      </c>
    </row>
    <row r="3000" spans="1:21" ht="13.2" x14ac:dyDescent="0.25">
      <c r="A3000" s="14">
        <v>17428731000135</v>
      </c>
      <c r="B3000" s="15" t="str">
        <f t="shared" si="46"/>
        <v>17.428.731/0001-35</v>
      </c>
      <c r="C3000" s="12"/>
      <c r="D3000" s="3" t="s">
        <v>10685</v>
      </c>
      <c r="E3000" s="3" t="s">
        <v>10685</v>
      </c>
      <c r="F3000" s="3" t="s">
        <v>20</v>
      </c>
      <c r="G3000" s="4">
        <v>25590</v>
      </c>
      <c r="H3000" s="3" t="s">
        <v>94</v>
      </c>
      <c r="I3000" s="3" t="s">
        <v>33</v>
      </c>
      <c r="J3000" s="5">
        <v>1036865200</v>
      </c>
      <c r="K3000" s="3">
        <v>8012900</v>
      </c>
      <c r="L3000" s="3" t="s">
        <v>2543</v>
      </c>
      <c r="M3000" s="3" t="s">
        <v>10686</v>
      </c>
      <c r="N3000" s="3">
        <v>633</v>
      </c>
      <c r="P3000" s="3" t="s">
        <v>4736</v>
      </c>
      <c r="Q3000" s="3" t="s">
        <v>476</v>
      </c>
      <c r="R3000" s="3" t="s">
        <v>100</v>
      </c>
      <c r="S3000" s="3">
        <v>30411018</v>
      </c>
      <c r="T3000" s="3">
        <v>3121262430</v>
      </c>
      <c r="U3000" s="3" t="s">
        <v>29</v>
      </c>
    </row>
    <row r="3001" spans="1:21" ht="13.2" x14ac:dyDescent="0.25">
      <c r="A3001" s="14">
        <v>1961452000100</v>
      </c>
      <c r="B3001" s="15" t="str">
        <f t="shared" si="46"/>
        <v>01.961.452/0001-00</v>
      </c>
      <c r="C3001" s="12"/>
      <c r="D3001" s="3" t="s">
        <v>10687</v>
      </c>
      <c r="E3001" s="3" t="s">
        <v>10688</v>
      </c>
      <c r="F3001" s="3" t="s">
        <v>20</v>
      </c>
      <c r="G3001" s="4">
        <v>35621</v>
      </c>
      <c r="H3001" s="3" t="s">
        <v>21</v>
      </c>
      <c r="I3001" s="3" t="s">
        <v>33</v>
      </c>
      <c r="J3001" s="5">
        <v>350000</v>
      </c>
      <c r="K3001" s="3">
        <v>4642702</v>
      </c>
      <c r="L3001" s="3" t="s">
        <v>1139</v>
      </c>
      <c r="M3001" s="3" t="s">
        <v>2870</v>
      </c>
      <c r="N3001" s="3">
        <v>2567</v>
      </c>
      <c r="P3001" s="3" t="s">
        <v>9061</v>
      </c>
      <c r="Q3001" s="3" t="s">
        <v>37</v>
      </c>
      <c r="R3001" s="3" t="s">
        <v>28</v>
      </c>
      <c r="S3001" s="3">
        <v>13470310</v>
      </c>
      <c r="T3001" s="3">
        <v>1934753100</v>
      </c>
      <c r="U3001" s="3" t="s">
        <v>29</v>
      </c>
    </row>
    <row r="3002" spans="1:21" ht="13.2" x14ac:dyDescent="0.25">
      <c r="A3002" s="14">
        <v>40907023000107</v>
      </c>
      <c r="B3002" s="15" t="str">
        <f t="shared" si="46"/>
        <v>40.907.023/0001-07</v>
      </c>
      <c r="C3002" s="12"/>
      <c r="D3002" s="3" t="s">
        <v>10689</v>
      </c>
      <c r="E3002" s="3" t="s">
        <v>10690</v>
      </c>
      <c r="F3002" s="3" t="s">
        <v>20</v>
      </c>
      <c r="G3002" s="4">
        <v>44245</v>
      </c>
      <c r="H3002" s="3" t="s">
        <v>21</v>
      </c>
      <c r="I3002" s="3" t="s">
        <v>22</v>
      </c>
      <c r="J3002" s="5">
        <v>50000</v>
      </c>
      <c r="K3002" s="3">
        <v>8111700</v>
      </c>
      <c r="L3002" s="3" t="s">
        <v>290</v>
      </c>
      <c r="M3002" s="3" t="s">
        <v>9337</v>
      </c>
      <c r="N3002" s="3">
        <v>293</v>
      </c>
      <c r="O3002" s="3" t="s">
        <v>10691</v>
      </c>
      <c r="P3002" s="3" t="s">
        <v>70</v>
      </c>
      <c r="Q3002" s="3" t="s">
        <v>617</v>
      </c>
      <c r="R3002" s="3" t="s">
        <v>28</v>
      </c>
      <c r="S3002" s="3">
        <v>6401147</v>
      </c>
      <c r="T3002" s="3">
        <v>1174771070</v>
      </c>
      <c r="U3002" s="3" t="s">
        <v>29</v>
      </c>
    </row>
    <row r="3003" spans="1:21" ht="13.2" x14ac:dyDescent="0.25">
      <c r="A3003" s="14">
        <v>20489064000105</v>
      </c>
      <c r="B3003" s="15" t="str">
        <f t="shared" si="46"/>
        <v>20.489.064/0001-05</v>
      </c>
      <c r="C3003" s="12"/>
      <c r="D3003" s="3" t="s">
        <v>10692</v>
      </c>
      <c r="E3003" s="3" t="s">
        <v>10693</v>
      </c>
      <c r="F3003" s="3" t="s">
        <v>20</v>
      </c>
      <c r="G3003" s="4">
        <v>41813</v>
      </c>
      <c r="H3003" s="3" t="s">
        <v>21</v>
      </c>
      <c r="I3003" s="3" t="s">
        <v>22</v>
      </c>
      <c r="J3003" s="5">
        <v>450000</v>
      </c>
      <c r="K3003" s="3">
        <v>4644301</v>
      </c>
      <c r="L3003" s="3" t="s">
        <v>326</v>
      </c>
      <c r="M3003" s="3">
        <v>26</v>
      </c>
      <c r="N3003" s="3">
        <v>195</v>
      </c>
      <c r="O3003" s="3" t="s">
        <v>10694</v>
      </c>
      <c r="P3003" s="3" t="s">
        <v>7262</v>
      </c>
      <c r="Q3003" s="3" t="s">
        <v>273</v>
      </c>
      <c r="R3003" s="3" t="s">
        <v>274</v>
      </c>
      <c r="S3003" s="3">
        <v>74150080</v>
      </c>
      <c r="T3003" s="3">
        <v>6235413058</v>
      </c>
      <c r="U3003" s="3" t="s">
        <v>29</v>
      </c>
    </row>
    <row r="3004" spans="1:21" ht="13.2" x14ac:dyDescent="0.25">
      <c r="A3004" s="14">
        <v>6207441000145</v>
      </c>
      <c r="B3004" s="15" t="str">
        <f t="shared" si="46"/>
        <v>06.207.441/0001-45</v>
      </c>
      <c r="C3004" s="12" t="str">
        <f>VLOOKUP(B3004,[1]Planilha1!$A:$B,2,0)</f>
        <v>Malu Montesino</v>
      </c>
      <c r="D3004" s="3" t="s">
        <v>10695</v>
      </c>
      <c r="E3004" s="3" t="s">
        <v>10695</v>
      </c>
      <c r="F3004" s="3" t="s">
        <v>20</v>
      </c>
      <c r="G3004" s="4">
        <v>38090</v>
      </c>
      <c r="H3004" s="3" t="s">
        <v>21</v>
      </c>
      <c r="I3004" s="3" t="s">
        <v>33</v>
      </c>
      <c r="J3004" s="5">
        <v>50000</v>
      </c>
      <c r="K3004" s="3">
        <v>2660400</v>
      </c>
      <c r="L3004" s="3" t="s">
        <v>953</v>
      </c>
      <c r="M3004" s="3" t="s">
        <v>10696</v>
      </c>
      <c r="N3004" s="3">
        <v>49800</v>
      </c>
      <c r="P3004" s="3" t="s">
        <v>10697</v>
      </c>
      <c r="Q3004" s="3" t="s">
        <v>688</v>
      </c>
      <c r="R3004" s="3" t="s">
        <v>28</v>
      </c>
      <c r="S3004" s="3">
        <v>6726300</v>
      </c>
      <c r="T3004" s="3">
        <v>1137686603</v>
      </c>
      <c r="U3004" s="3" t="s">
        <v>29</v>
      </c>
    </row>
    <row r="3005" spans="1:21" ht="13.2" x14ac:dyDescent="0.25">
      <c r="A3005" s="14">
        <v>12133295000153</v>
      </c>
      <c r="B3005" s="15" t="str">
        <f t="shared" si="46"/>
        <v>12.133.295/0001-53</v>
      </c>
      <c r="C3005" s="12"/>
      <c r="D3005" s="3" t="s">
        <v>10698</v>
      </c>
      <c r="E3005" s="3" t="s">
        <v>10699</v>
      </c>
      <c r="F3005" s="3" t="s">
        <v>20</v>
      </c>
      <c r="G3005" s="4">
        <v>40346</v>
      </c>
      <c r="H3005" s="3" t="s">
        <v>21</v>
      </c>
      <c r="I3005" s="3" t="s">
        <v>33</v>
      </c>
      <c r="J3005" s="5">
        <v>1000000</v>
      </c>
      <c r="K3005" s="3">
        <v>3292202</v>
      </c>
      <c r="L3005" s="3" t="s">
        <v>1654</v>
      </c>
      <c r="M3005" s="3" t="s">
        <v>10700</v>
      </c>
      <c r="N3005" s="3">
        <v>160</v>
      </c>
      <c r="P3005" s="3" t="s">
        <v>5065</v>
      </c>
      <c r="Q3005" s="3" t="s">
        <v>3223</v>
      </c>
      <c r="R3005" s="3" t="s">
        <v>28</v>
      </c>
      <c r="S3005" s="3">
        <v>13732540</v>
      </c>
      <c r="T3005" s="3">
        <v>1936657743</v>
      </c>
      <c r="U3005" s="3" t="s">
        <v>29</v>
      </c>
    </row>
    <row r="3006" spans="1:21" ht="13.2" x14ac:dyDescent="0.25">
      <c r="A3006" s="14">
        <v>43035146005578</v>
      </c>
      <c r="B3006" s="15" t="str">
        <f t="shared" si="46"/>
        <v>43.035.146/0055-78</v>
      </c>
      <c r="C3006" s="12" t="str">
        <f>VLOOKUP(B3006,[1]Planilha1!$A:$B,2,0)</f>
        <v>Malu Montesino</v>
      </c>
      <c r="D3006" s="3" t="s">
        <v>10701</v>
      </c>
      <c r="E3006" s="3" t="s">
        <v>10702</v>
      </c>
      <c r="F3006" s="3" t="s">
        <v>20</v>
      </c>
      <c r="G3006" s="4">
        <v>41645</v>
      </c>
      <c r="H3006" s="3" t="s">
        <v>21</v>
      </c>
      <c r="I3006" s="3" t="s">
        <v>33</v>
      </c>
      <c r="J3006" s="5">
        <v>265013280</v>
      </c>
      <c r="K3006" s="3">
        <v>8012900</v>
      </c>
      <c r="L3006" s="3" t="s">
        <v>2543</v>
      </c>
      <c r="M3006" s="3" t="s">
        <v>6555</v>
      </c>
      <c r="N3006" s="3">
        <v>461</v>
      </c>
      <c r="P3006" s="3" t="s">
        <v>9061</v>
      </c>
      <c r="Q3006" s="3" t="s">
        <v>4670</v>
      </c>
      <c r="R3006" s="3" t="s">
        <v>4725</v>
      </c>
      <c r="S3006" s="3">
        <v>69980000</v>
      </c>
      <c r="T3006" s="3">
        <v>1131560800</v>
      </c>
      <c r="U3006" s="3" t="s">
        <v>29</v>
      </c>
    </row>
    <row r="3007" spans="1:21" ht="13.2" x14ac:dyDescent="0.25">
      <c r="A3007" s="14">
        <v>3232014000129</v>
      </c>
      <c r="B3007" s="15" t="str">
        <f t="shared" si="46"/>
        <v>03.232.014/0001-29</v>
      </c>
      <c r="C3007" s="12"/>
      <c r="D3007" s="3" t="s">
        <v>10703</v>
      </c>
      <c r="E3007" s="3" t="s">
        <v>10704</v>
      </c>
      <c r="F3007" s="3" t="s">
        <v>20</v>
      </c>
      <c r="G3007" s="4">
        <v>32013</v>
      </c>
      <c r="H3007" s="3" t="s">
        <v>21</v>
      </c>
      <c r="I3007" s="3" t="s">
        <v>22</v>
      </c>
      <c r="J3007" s="5">
        <v>525000</v>
      </c>
      <c r="K3007" s="3">
        <v>4321500</v>
      </c>
      <c r="L3007" s="3" t="s">
        <v>964</v>
      </c>
      <c r="M3007" s="3" t="s">
        <v>7423</v>
      </c>
      <c r="N3007" s="3">
        <v>366</v>
      </c>
      <c r="O3007" s="3" t="s">
        <v>7063</v>
      </c>
      <c r="P3007" s="3" t="s">
        <v>1545</v>
      </c>
      <c r="Q3007" s="3" t="s">
        <v>224</v>
      </c>
      <c r="R3007" s="3" t="s">
        <v>225</v>
      </c>
      <c r="S3007" s="3">
        <v>78070380</v>
      </c>
      <c r="T3007" s="3">
        <v>6536346000</v>
      </c>
      <c r="U3007" s="3" t="s">
        <v>29</v>
      </c>
    </row>
    <row r="3008" spans="1:21" ht="13.2" x14ac:dyDescent="0.25">
      <c r="A3008" s="14">
        <v>7194496000120</v>
      </c>
      <c r="B3008" s="15" t="str">
        <f t="shared" si="46"/>
        <v>07.194.496/0001-20</v>
      </c>
      <c r="C3008" s="12"/>
      <c r="D3008" s="3" t="s">
        <v>10705</v>
      </c>
      <c r="E3008" s="3" t="s">
        <v>10705</v>
      </c>
      <c r="F3008" s="3" t="s">
        <v>31</v>
      </c>
      <c r="G3008" s="4">
        <v>38365</v>
      </c>
      <c r="H3008" s="3" t="s">
        <v>21</v>
      </c>
      <c r="I3008" s="3" t="s">
        <v>33</v>
      </c>
      <c r="J3008" s="5">
        <v>250000</v>
      </c>
      <c r="K3008" s="3">
        <v>4751201</v>
      </c>
      <c r="L3008" s="3" t="s">
        <v>23</v>
      </c>
      <c r="M3008" s="3" t="s">
        <v>10706</v>
      </c>
      <c r="N3008" s="3">
        <v>954</v>
      </c>
      <c r="O3008" s="3" t="s">
        <v>10707</v>
      </c>
      <c r="P3008" s="3" t="s">
        <v>5670</v>
      </c>
      <c r="Q3008" s="3" t="s">
        <v>27</v>
      </c>
      <c r="R3008" s="3" t="s">
        <v>28</v>
      </c>
      <c r="S3008" s="3">
        <v>4512001</v>
      </c>
      <c r="T3008" s="3">
        <v>1139584389</v>
      </c>
      <c r="U3008" s="3" t="s">
        <v>29</v>
      </c>
    </row>
    <row r="3009" spans="1:21" ht="13.2" x14ac:dyDescent="0.25">
      <c r="A3009" s="14">
        <v>38543065000156</v>
      </c>
      <c r="B3009" s="15" t="str">
        <f t="shared" si="46"/>
        <v>38.543.065/0001-56</v>
      </c>
      <c r="C3009" s="12"/>
      <c r="D3009" s="3" t="s">
        <v>10708</v>
      </c>
      <c r="E3009" s="3" t="s">
        <v>10708</v>
      </c>
      <c r="F3009" s="3" t="s">
        <v>20</v>
      </c>
      <c r="G3009" s="4">
        <v>44085</v>
      </c>
      <c r="H3009" s="3" t="s">
        <v>94</v>
      </c>
      <c r="I3009" s="3" t="s">
        <v>33</v>
      </c>
      <c r="J3009" s="5">
        <v>5000000</v>
      </c>
      <c r="K3009" s="3">
        <v>7020400</v>
      </c>
      <c r="L3009" s="3" t="s">
        <v>170</v>
      </c>
      <c r="M3009" s="3" t="s">
        <v>246</v>
      </c>
      <c r="N3009" s="3">
        <v>37</v>
      </c>
      <c r="O3009" s="3" t="s">
        <v>10709</v>
      </c>
      <c r="P3009" s="3" t="s">
        <v>248</v>
      </c>
      <c r="Q3009" s="3" t="s">
        <v>27</v>
      </c>
      <c r="R3009" s="3" t="s">
        <v>28</v>
      </c>
      <c r="S3009" s="3">
        <v>1311902</v>
      </c>
      <c r="T3009" s="3">
        <v>1148613900</v>
      </c>
      <c r="U3009" s="3" t="s">
        <v>29</v>
      </c>
    </row>
    <row r="3010" spans="1:21" ht="13.2" x14ac:dyDescent="0.25">
      <c r="A3010" s="14">
        <v>54570369000169</v>
      </c>
      <c r="B3010" s="15" t="str">
        <f t="shared" si="46"/>
        <v>54.570.369/0001-69</v>
      </c>
      <c r="C3010" s="12"/>
      <c r="D3010" s="3" t="s">
        <v>10710</v>
      </c>
      <c r="E3010" s="3" t="s">
        <v>10710</v>
      </c>
      <c r="F3010" s="3" t="s">
        <v>20</v>
      </c>
      <c r="G3010" s="4">
        <v>45385</v>
      </c>
      <c r="H3010" s="3" t="s">
        <v>21</v>
      </c>
      <c r="I3010" s="3" t="s">
        <v>22</v>
      </c>
      <c r="J3010" s="5">
        <v>50000</v>
      </c>
      <c r="K3010" s="3">
        <v>4759899</v>
      </c>
      <c r="L3010" s="3" t="s">
        <v>207</v>
      </c>
      <c r="M3010" s="3" t="s">
        <v>10711</v>
      </c>
      <c r="N3010" s="3">
        <v>34</v>
      </c>
      <c r="P3010" s="3" t="s">
        <v>70</v>
      </c>
      <c r="Q3010" s="3" t="s">
        <v>77</v>
      </c>
      <c r="R3010" s="3" t="s">
        <v>78</v>
      </c>
      <c r="S3010" s="3">
        <v>26210070</v>
      </c>
      <c r="T3010" s="3">
        <v>2176280193</v>
      </c>
      <c r="U3010" s="3" t="s">
        <v>29</v>
      </c>
    </row>
    <row r="3011" spans="1:21" ht="13.2" x14ac:dyDescent="0.25">
      <c r="A3011" s="14">
        <v>8823013000172</v>
      </c>
      <c r="B3011" s="15" t="str">
        <f t="shared" ref="B3011:B3074" si="47">TEXT(A3011,"00\.000\.000\/0000\-00")</f>
        <v>08.823.013/0001-72</v>
      </c>
      <c r="C3011" s="12" t="str">
        <f>VLOOKUP(B3011,[1]Planilha1!$A:$B,2,0)</f>
        <v>Malu Montesino</v>
      </c>
      <c r="D3011" s="3" t="s">
        <v>10712</v>
      </c>
      <c r="E3011" s="3" t="s">
        <v>10713</v>
      </c>
      <c r="F3011" s="3" t="s">
        <v>20</v>
      </c>
      <c r="G3011" s="4">
        <v>39212</v>
      </c>
      <c r="H3011" s="3" t="s">
        <v>21</v>
      </c>
      <c r="I3011" s="3" t="s">
        <v>33</v>
      </c>
      <c r="J3011" s="5">
        <v>12307869</v>
      </c>
      <c r="K3011" s="3">
        <v>2610800</v>
      </c>
      <c r="L3011" s="3" t="s">
        <v>548</v>
      </c>
      <c r="M3011" s="3" t="s">
        <v>10714</v>
      </c>
      <c r="N3011" s="3">
        <v>1970</v>
      </c>
      <c r="P3011" s="3" t="s">
        <v>3203</v>
      </c>
      <c r="Q3011" s="3" t="s">
        <v>204</v>
      </c>
      <c r="R3011" s="3" t="s">
        <v>187</v>
      </c>
      <c r="S3011" s="3">
        <v>81650050</v>
      </c>
      <c r="T3011" s="3">
        <v>4130202221</v>
      </c>
      <c r="U3011" s="3" t="s">
        <v>29</v>
      </c>
    </row>
    <row r="3012" spans="1:21" ht="13.2" x14ac:dyDescent="0.25">
      <c r="A3012" s="14">
        <v>20348164000111</v>
      </c>
      <c r="B3012" s="15" t="str">
        <f t="shared" si="47"/>
        <v>20.348.164/0001-11</v>
      </c>
      <c r="C3012" s="12" t="str">
        <f>VLOOKUP(B3012,[1]Planilha1!$A:$B,2,0)</f>
        <v>Malu Montesino</v>
      </c>
      <c r="D3012" s="3" t="s">
        <v>10715</v>
      </c>
      <c r="E3012" s="3" t="s">
        <v>10716</v>
      </c>
      <c r="F3012" s="3" t="s">
        <v>20</v>
      </c>
      <c r="G3012" s="4">
        <v>41788</v>
      </c>
      <c r="H3012" s="3" t="s">
        <v>21</v>
      </c>
      <c r="I3012" s="3" t="s">
        <v>33</v>
      </c>
      <c r="J3012" s="5">
        <v>2000000</v>
      </c>
      <c r="K3012" s="3">
        <v>4744005</v>
      </c>
      <c r="L3012" s="3" t="s">
        <v>1483</v>
      </c>
      <c r="M3012" s="3" t="s">
        <v>10717</v>
      </c>
      <c r="N3012" s="3">
        <v>824</v>
      </c>
      <c r="O3012" s="3" t="s">
        <v>10718</v>
      </c>
      <c r="P3012" s="3" t="s">
        <v>10719</v>
      </c>
      <c r="Q3012" s="3" t="s">
        <v>59</v>
      </c>
      <c r="R3012" s="3" t="s">
        <v>28</v>
      </c>
      <c r="S3012" s="3">
        <v>13274440</v>
      </c>
      <c r="T3012" s="3">
        <v>1938592626</v>
      </c>
      <c r="U3012" s="3" t="s">
        <v>29</v>
      </c>
    </row>
    <row r="3013" spans="1:21" ht="13.2" x14ac:dyDescent="0.25">
      <c r="A3013" s="14">
        <v>43718253000108</v>
      </c>
      <c r="B3013" s="15" t="str">
        <f t="shared" si="47"/>
        <v>43.718.253/0001-08</v>
      </c>
      <c r="C3013" s="12"/>
      <c r="D3013" s="3" t="s">
        <v>10720</v>
      </c>
      <c r="E3013" s="3" t="s">
        <v>10720</v>
      </c>
      <c r="F3013" s="3" t="s">
        <v>20</v>
      </c>
      <c r="G3013" s="4">
        <v>26835</v>
      </c>
      <c r="H3013" s="3" t="s">
        <v>21</v>
      </c>
      <c r="I3013" s="3" t="s">
        <v>33</v>
      </c>
      <c r="J3013" s="5">
        <v>253139980</v>
      </c>
      <c r="K3013" s="3">
        <v>2854200</v>
      </c>
      <c r="L3013" s="3" t="s">
        <v>5124</v>
      </c>
      <c r="M3013" s="3" t="s">
        <v>10721</v>
      </c>
      <c r="N3013" s="3">
        <v>1407</v>
      </c>
      <c r="P3013" s="3" t="s">
        <v>10722</v>
      </c>
      <c r="Q3013" s="3" t="s">
        <v>2905</v>
      </c>
      <c r="R3013" s="3" t="s">
        <v>28</v>
      </c>
      <c r="S3013" s="3">
        <v>12952720</v>
      </c>
      <c r="T3013" s="3">
        <v>1144166200</v>
      </c>
      <c r="U3013" s="3" t="s">
        <v>29</v>
      </c>
    </row>
    <row r="3014" spans="1:21" ht="13.2" x14ac:dyDescent="0.25">
      <c r="A3014" s="14">
        <v>41675889000194</v>
      </c>
      <c r="B3014" s="15" t="str">
        <f t="shared" si="47"/>
        <v>41.675.889/0001-94</v>
      </c>
      <c r="C3014" s="12"/>
      <c r="D3014" s="3" t="s">
        <v>10723</v>
      </c>
      <c r="E3014" s="3" t="s">
        <v>10723</v>
      </c>
      <c r="F3014" s="3" t="s">
        <v>20</v>
      </c>
      <c r="G3014" s="4">
        <v>44309</v>
      </c>
      <c r="H3014" s="3" t="s">
        <v>21</v>
      </c>
      <c r="I3014" s="3" t="s">
        <v>47</v>
      </c>
      <c r="J3014" s="5">
        <v>250000</v>
      </c>
      <c r="K3014" s="3">
        <v>7020400</v>
      </c>
      <c r="L3014" s="3" t="s">
        <v>170</v>
      </c>
      <c r="M3014" s="3" t="s">
        <v>10724</v>
      </c>
      <c r="N3014" s="3">
        <v>161</v>
      </c>
      <c r="O3014" s="3" t="s">
        <v>10725</v>
      </c>
      <c r="P3014" s="3" t="s">
        <v>10726</v>
      </c>
      <c r="Q3014" s="3" t="s">
        <v>2822</v>
      </c>
      <c r="R3014" s="3" t="s">
        <v>28</v>
      </c>
      <c r="S3014" s="3">
        <v>12243840</v>
      </c>
      <c r="T3014" s="3">
        <v>7991757565</v>
      </c>
      <c r="U3014" s="3" t="s">
        <v>29</v>
      </c>
    </row>
    <row r="3015" spans="1:21" ht="13.2" x14ac:dyDescent="0.25">
      <c r="A3015" s="14">
        <v>41251632000105</v>
      </c>
      <c r="B3015" s="15" t="str">
        <f t="shared" si="47"/>
        <v>41.251.632/0001-05</v>
      </c>
      <c r="C3015" s="12"/>
      <c r="D3015" s="3" t="s">
        <v>10727</v>
      </c>
      <c r="E3015" s="3" t="s">
        <v>10727</v>
      </c>
      <c r="F3015" s="3" t="s">
        <v>20</v>
      </c>
      <c r="G3015" s="4">
        <v>44272</v>
      </c>
      <c r="H3015" s="3" t="s">
        <v>21</v>
      </c>
      <c r="I3015" s="3" t="s">
        <v>33</v>
      </c>
      <c r="J3015" s="5">
        <v>1775489</v>
      </c>
      <c r="K3015" s="3">
        <v>7020400</v>
      </c>
      <c r="L3015" s="3" t="s">
        <v>170</v>
      </c>
      <c r="M3015" s="3" t="s">
        <v>1767</v>
      </c>
      <c r="N3015" s="3">
        <v>3507</v>
      </c>
      <c r="O3015" s="3" t="s">
        <v>10728</v>
      </c>
      <c r="P3015" s="3" t="s">
        <v>1740</v>
      </c>
      <c r="Q3015" s="3" t="s">
        <v>27</v>
      </c>
      <c r="R3015" s="3" t="s">
        <v>28</v>
      </c>
      <c r="S3015" s="3">
        <v>5401400</v>
      </c>
      <c r="T3015" s="3">
        <v>1138198969</v>
      </c>
      <c r="U3015" s="3" t="s">
        <v>29</v>
      </c>
    </row>
    <row r="3016" spans="1:21" ht="13.2" x14ac:dyDescent="0.25">
      <c r="A3016" s="14">
        <v>14503978000180</v>
      </c>
      <c r="B3016" s="15" t="str">
        <f t="shared" si="47"/>
        <v>14.503.978/0001-80</v>
      </c>
      <c r="C3016" s="12"/>
      <c r="D3016" s="3" t="s">
        <v>10729</v>
      </c>
      <c r="E3016" s="3" t="s">
        <v>10730</v>
      </c>
      <c r="F3016" s="3" t="s">
        <v>20</v>
      </c>
      <c r="G3016" s="4">
        <v>40820</v>
      </c>
      <c r="H3016" s="3" t="s">
        <v>21</v>
      </c>
      <c r="I3016" s="3" t="s">
        <v>47</v>
      </c>
      <c r="J3016" s="5">
        <v>10000</v>
      </c>
      <c r="K3016" s="3">
        <v>6010100</v>
      </c>
      <c r="L3016" s="3" t="s">
        <v>10731</v>
      </c>
      <c r="M3016" s="3" t="s">
        <v>10732</v>
      </c>
      <c r="N3016" s="3">
        <v>957</v>
      </c>
      <c r="O3016" s="3" t="s">
        <v>10733</v>
      </c>
      <c r="P3016" s="3" t="s">
        <v>3735</v>
      </c>
      <c r="Q3016" s="3" t="s">
        <v>27</v>
      </c>
      <c r="R3016" s="3" t="s">
        <v>28</v>
      </c>
      <c r="S3016" s="3">
        <v>5027000</v>
      </c>
      <c r="T3016" s="3">
        <v>1138756551</v>
      </c>
      <c r="U3016" s="3" t="s">
        <v>29</v>
      </c>
    </row>
    <row r="3017" spans="1:21" ht="13.2" x14ac:dyDescent="0.25">
      <c r="A3017" s="14">
        <v>87146148000117</v>
      </c>
      <c r="B3017" s="15" t="str">
        <f t="shared" si="47"/>
        <v>87.146.148/0001-17</v>
      </c>
      <c r="C3017" s="12"/>
      <c r="D3017" s="3" t="s">
        <v>10734</v>
      </c>
      <c r="E3017" s="3" t="s">
        <v>10735</v>
      </c>
      <c r="F3017" s="3" t="s">
        <v>20</v>
      </c>
      <c r="G3017" s="4">
        <v>29494</v>
      </c>
      <c r="H3017" s="3" t="s">
        <v>21</v>
      </c>
      <c r="I3017" s="3" t="s">
        <v>47</v>
      </c>
      <c r="J3017" s="5">
        <v>100000</v>
      </c>
      <c r="K3017" s="3">
        <v>2229301</v>
      </c>
      <c r="L3017" s="3" t="s">
        <v>1793</v>
      </c>
      <c r="M3017" s="3" t="s">
        <v>10736</v>
      </c>
      <c r="N3017" s="3">
        <v>2000</v>
      </c>
      <c r="P3017" s="3" t="s">
        <v>7670</v>
      </c>
      <c r="Q3017" s="3" t="s">
        <v>10737</v>
      </c>
      <c r="R3017" s="3" t="s">
        <v>53</v>
      </c>
      <c r="S3017" s="3">
        <v>95560000</v>
      </c>
      <c r="T3017" s="3">
        <v>5196889600</v>
      </c>
      <c r="U3017" s="3" t="s">
        <v>29</v>
      </c>
    </row>
    <row r="3018" spans="1:21" ht="13.2" x14ac:dyDescent="0.25">
      <c r="A3018" s="14">
        <v>8464534000180</v>
      </c>
      <c r="B3018" s="15" t="str">
        <f t="shared" si="47"/>
        <v>08.464.534/0001-80</v>
      </c>
      <c r="C3018" s="12"/>
      <c r="D3018" s="3" t="s">
        <v>10738</v>
      </c>
      <c r="E3018" s="3" t="s">
        <v>10739</v>
      </c>
      <c r="F3018" s="3" t="s">
        <v>20</v>
      </c>
      <c r="G3018" s="4">
        <v>39038</v>
      </c>
      <c r="H3018" s="3" t="s">
        <v>32</v>
      </c>
      <c r="I3018" s="3" t="s">
        <v>47</v>
      </c>
      <c r="J3018" s="5">
        <v>5000</v>
      </c>
      <c r="K3018" s="3">
        <v>7120100</v>
      </c>
      <c r="L3018" s="3" t="s">
        <v>2807</v>
      </c>
      <c r="M3018" s="3" t="s">
        <v>10740</v>
      </c>
      <c r="N3018" s="3">
        <v>119</v>
      </c>
      <c r="P3018" s="3" t="s">
        <v>8264</v>
      </c>
      <c r="Q3018" s="3" t="s">
        <v>294</v>
      </c>
      <c r="R3018" s="3" t="s">
        <v>28</v>
      </c>
      <c r="S3018" s="3">
        <v>11040131</v>
      </c>
      <c r="T3018" s="3">
        <v>1332216474</v>
      </c>
      <c r="U3018" s="3" t="s">
        <v>29</v>
      </c>
    </row>
    <row r="3019" spans="1:21" ht="13.2" x14ac:dyDescent="0.25">
      <c r="A3019" s="14">
        <v>2803462000172</v>
      </c>
      <c r="B3019" s="15" t="str">
        <f t="shared" si="47"/>
        <v>02.803.462/0001-72</v>
      </c>
      <c r="C3019" s="12"/>
      <c r="D3019" s="3" t="s">
        <v>10741</v>
      </c>
      <c r="E3019" s="3" t="s">
        <v>10742</v>
      </c>
      <c r="F3019" s="3" t="s">
        <v>20</v>
      </c>
      <c r="G3019" s="4">
        <v>36089</v>
      </c>
      <c r="H3019" s="3" t="s">
        <v>21</v>
      </c>
      <c r="I3019" s="3" t="s">
        <v>33</v>
      </c>
      <c r="J3019" s="5">
        <v>1100000</v>
      </c>
      <c r="K3019" s="3">
        <v>2759799</v>
      </c>
      <c r="L3019" s="3" t="s">
        <v>2527</v>
      </c>
      <c r="M3019" s="3" t="s">
        <v>10743</v>
      </c>
      <c r="N3019" s="3">
        <v>539</v>
      </c>
      <c r="P3019" s="3" t="s">
        <v>10744</v>
      </c>
      <c r="Q3019" s="3" t="s">
        <v>2726</v>
      </c>
      <c r="R3019" s="3" t="s">
        <v>100</v>
      </c>
      <c r="S3019" s="3">
        <v>37538620</v>
      </c>
      <c r="T3019" s="3">
        <v>3534713300</v>
      </c>
      <c r="U3019" s="3" t="s">
        <v>29</v>
      </c>
    </row>
    <row r="3020" spans="1:21" ht="13.2" x14ac:dyDescent="0.25">
      <c r="A3020" s="14">
        <v>4917240000106</v>
      </c>
      <c r="B3020" s="15" t="str">
        <f t="shared" si="47"/>
        <v>04.917.240/0001-06</v>
      </c>
      <c r="C3020" s="12"/>
      <c r="D3020" s="3" t="s">
        <v>10745</v>
      </c>
      <c r="E3020" s="3" t="s">
        <v>10746</v>
      </c>
      <c r="F3020" s="3" t="s">
        <v>20</v>
      </c>
      <c r="G3020" s="4">
        <v>37252</v>
      </c>
      <c r="H3020" s="3" t="s">
        <v>21</v>
      </c>
      <c r="I3020" s="3" t="s">
        <v>22</v>
      </c>
      <c r="J3020" s="5">
        <v>70000</v>
      </c>
      <c r="K3020" s="3">
        <v>7111100</v>
      </c>
      <c r="L3020" s="3" t="s">
        <v>1115</v>
      </c>
      <c r="M3020" s="3" t="s">
        <v>10747</v>
      </c>
      <c r="N3020" s="3">
        <v>36</v>
      </c>
      <c r="P3020" s="3" t="s">
        <v>1745</v>
      </c>
      <c r="Q3020" s="3" t="s">
        <v>631</v>
      </c>
      <c r="R3020" s="3" t="s">
        <v>632</v>
      </c>
      <c r="S3020" s="3">
        <v>70330530</v>
      </c>
      <c r="T3020" s="3">
        <v>6133236700</v>
      </c>
      <c r="U3020" s="3" t="s">
        <v>29</v>
      </c>
    </row>
    <row r="3021" spans="1:21" ht="13.2" x14ac:dyDescent="0.25">
      <c r="A3021" s="14">
        <v>8486594000102</v>
      </c>
      <c r="B3021" s="15" t="str">
        <f t="shared" si="47"/>
        <v>08.486.594/0001-02</v>
      </c>
      <c r="C3021" s="12" t="str">
        <f>VLOOKUP(B3021,[1]Planilha1!$A:$B,2,0)</f>
        <v>Mariane Nascimento</v>
      </c>
      <c r="D3021" s="3" t="s">
        <v>10748</v>
      </c>
      <c r="E3021" s="3" t="s">
        <v>10749</v>
      </c>
      <c r="F3021" s="3" t="s">
        <v>20</v>
      </c>
      <c r="G3021" s="4">
        <v>39035</v>
      </c>
      <c r="H3021" s="3" t="s">
        <v>21</v>
      </c>
      <c r="I3021" s="3" t="s">
        <v>47</v>
      </c>
      <c r="J3021" s="5">
        <v>10000</v>
      </c>
      <c r="K3021" s="3">
        <v>4322302</v>
      </c>
      <c r="L3021" s="3" t="s">
        <v>5651</v>
      </c>
      <c r="M3021" s="3" t="s">
        <v>10750</v>
      </c>
      <c r="N3021" s="3">
        <v>278</v>
      </c>
      <c r="P3021" s="3" t="s">
        <v>10751</v>
      </c>
      <c r="Q3021" s="3" t="s">
        <v>27</v>
      </c>
      <c r="R3021" s="3" t="s">
        <v>28</v>
      </c>
      <c r="S3021" s="3">
        <v>2945040</v>
      </c>
      <c r="T3021" s="3">
        <v>1139048539</v>
      </c>
      <c r="U3021" s="3" t="s">
        <v>29</v>
      </c>
    </row>
    <row r="3022" spans="1:21" ht="13.2" x14ac:dyDescent="0.25">
      <c r="A3022" s="14">
        <v>33525084000136</v>
      </c>
      <c r="B3022" s="15" t="str">
        <f t="shared" si="47"/>
        <v>33.525.084/0001-36</v>
      </c>
      <c r="C3022" s="12"/>
      <c r="D3022" s="3" t="s">
        <v>10752</v>
      </c>
      <c r="E3022" s="3" t="s">
        <v>10753</v>
      </c>
      <c r="F3022" s="3" t="s">
        <v>45</v>
      </c>
      <c r="G3022" s="4">
        <v>43588</v>
      </c>
      <c r="H3022" s="3" t="s">
        <v>21</v>
      </c>
      <c r="I3022" s="3" t="s">
        <v>47</v>
      </c>
      <c r="J3022" s="5">
        <v>100000</v>
      </c>
      <c r="K3022" s="3">
        <v>8291100</v>
      </c>
      <c r="L3022" s="3" t="s">
        <v>1502</v>
      </c>
      <c r="M3022" s="3" t="s">
        <v>10754</v>
      </c>
      <c r="N3022" s="3">
        <v>630</v>
      </c>
      <c r="O3022" s="3" t="s">
        <v>10755</v>
      </c>
      <c r="P3022" s="3" t="s">
        <v>1456</v>
      </c>
      <c r="Q3022" s="3" t="s">
        <v>631</v>
      </c>
      <c r="R3022" s="3" t="s">
        <v>632</v>
      </c>
      <c r="S3022" s="3">
        <v>71200012</v>
      </c>
      <c r="T3022" s="3">
        <v>6130529150</v>
      </c>
      <c r="U3022" s="3" t="s">
        <v>29</v>
      </c>
    </row>
    <row r="3023" spans="1:21" ht="13.2" x14ac:dyDescent="0.25">
      <c r="A3023" s="14">
        <v>27891666000133</v>
      </c>
      <c r="B3023" s="15" t="str">
        <f t="shared" si="47"/>
        <v>27.891.666/0001-33</v>
      </c>
      <c r="C3023" s="12"/>
      <c r="D3023" s="3" t="s">
        <v>10756</v>
      </c>
      <c r="E3023" s="3" t="s">
        <v>10756</v>
      </c>
      <c r="F3023" s="3" t="s">
        <v>20</v>
      </c>
      <c r="G3023" s="4">
        <v>42891</v>
      </c>
      <c r="H3023" s="3" t="s">
        <v>21</v>
      </c>
      <c r="I3023" s="3" t="s">
        <v>47</v>
      </c>
      <c r="J3023" s="5">
        <v>300000</v>
      </c>
      <c r="K3023" s="3">
        <v>8630503</v>
      </c>
      <c r="L3023" s="3" t="s">
        <v>1292</v>
      </c>
      <c r="M3023" s="3" t="s">
        <v>10757</v>
      </c>
      <c r="N3023" s="3">
        <v>61</v>
      </c>
      <c r="O3023" s="3" t="s">
        <v>10758</v>
      </c>
      <c r="P3023" s="3" t="s">
        <v>70</v>
      </c>
      <c r="Q3023" s="3" t="s">
        <v>3456</v>
      </c>
      <c r="R3023" s="3" t="s">
        <v>78</v>
      </c>
      <c r="S3023" s="3">
        <v>25870000</v>
      </c>
      <c r="T3023" s="3">
        <v>2420303721</v>
      </c>
      <c r="U3023" s="3" t="s">
        <v>29</v>
      </c>
    </row>
    <row r="3024" spans="1:21" ht="13.2" x14ac:dyDescent="0.25">
      <c r="A3024" s="14">
        <v>7291959000172</v>
      </c>
      <c r="B3024" s="15" t="str">
        <f t="shared" si="47"/>
        <v>07.291.959/0001-72</v>
      </c>
      <c r="C3024" s="12"/>
      <c r="D3024" s="3" t="s">
        <v>10759</v>
      </c>
      <c r="E3024" s="3" t="s">
        <v>10759</v>
      </c>
      <c r="F3024" s="3" t="s">
        <v>20</v>
      </c>
      <c r="G3024" s="4">
        <v>38434</v>
      </c>
      <c r="H3024" s="3" t="s">
        <v>21</v>
      </c>
      <c r="I3024" s="3" t="s">
        <v>47</v>
      </c>
      <c r="J3024" s="5">
        <v>5000</v>
      </c>
      <c r="K3024" s="3">
        <v>7120100</v>
      </c>
      <c r="L3024" s="3" t="s">
        <v>2807</v>
      </c>
      <c r="M3024" s="3" t="s">
        <v>332</v>
      </c>
      <c r="N3024" s="3">
        <v>169</v>
      </c>
      <c r="O3024" s="3" t="s">
        <v>10760</v>
      </c>
      <c r="P3024" s="3" t="s">
        <v>70</v>
      </c>
      <c r="Q3024" s="3" t="s">
        <v>2556</v>
      </c>
      <c r="R3024" s="3" t="s">
        <v>28</v>
      </c>
      <c r="S3024" s="3">
        <v>12020050</v>
      </c>
      <c r="T3024" s="3">
        <v>1221235223</v>
      </c>
      <c r="U3024" s="3" t="s">
        <v>29</v>
      </c>
    </row>
    <row r="3025" spans="1:21" ht="13.2" x14ac:dyDescent="0.25">
      <c r="A3025" s="14">
        <v>43461789000190</v>
      </c>
      <c r="B3025" s="15" t="str">
        <f t="shared" si="47"/>
        <v>43.461.789/0001-90</v>
      </c>
      <c r="C3025" s="12"/>
      <c r="D3025" s="3" t="s">
        <v>10761</v>
      </c>
      <c r="E3025" s="3" t="s">
        <v>10761</v>
      </c>
      <c r="F3025" s="3" t="s">
        <v>20</v>
      </c>
      <c r="G3025" s="4">
        <v>25013</v>
      </c>
      <c r="H3025" s="3" t="s">
        <v>21</v>
      </c>
      <c r="I3025" s="3" t="s">
        <v>33</v>
      </c>
      <c r="J3025" s="5">
        <v>946414700</v>
      </c>
      <c r="K3025" s="3">
        <v>2061400</v>
      </c>
      <c r="L3025" s="3" t="s">
        <v>2791</v>
      </c>
      <c r="M3025" s="3" t="s">
        <v>10762</v>
      </c>
      <c r="N3025" s="3">
        <v>1000</v>
      </c>
      <c r="O3025" s="3" t="s">
        <v>10763</v>
      </c>
      <c r="P3025" s="3" t="s">
        <v>10764</v>
      </c>
      <c r="Q3025" s="3" t="s">
        <v>7251</v>
      </c>
      <c r="R3025" s="3" t="s">
        <v>28</v>
      </c>
      <c r="S3025" s="3">
        <v>13904906</v>
      </c>
      <c r="T3025" s="3">
        <v>1938088177</v>
      </c>
      <c r="U3025" s="3" t="s">
        <v>29</v>
      </c>
    </row>
    <row r="3026" spans="1:21" ht="13.2" x14ac:dyDescent="0.25">
      <c r="A3026" s="14">
        <v>3882829000153</v>
      </c>
      <c r="B3026" s="15" t="str">
        <f t="shared" si="47"/>
        <v>03.882.829/0001-53</v>
      </c>
      <c r="C3026" s="12"/>
      <c r="D3026" s="3" t="s">
        <v>10765</v>
      </c>
      <c r="E3026" s="3" t="s">
        <v>10766</v>
      </c>
      <c r="F3026" s="3" t="s">
        <v>20</v>
      </c>
      <c r="G3026" s="4">
        <v>36689</v>
      </c>
      <c r="H3026" s="3" t="s">
        <v>21</v>
      </c>
      <c r="I3026" s="3" t="s">
        <v>33</v>
      </c>
      <c r="J3026" s="5">
        <v>10000</v>
      </c>
      <c r="K3026" s="3">
        <v>4754701</v>
      </c>
      <c r="L3026" s="3" t="s">
        <v>2125</v>
      </c>
      <c r="M3026" s="3" t="s">
        <v>2709</v>
      </c>
      <c r="N3026" s="3">
        <v>694</v>
      </c>
      <c r="P3026" s="3" t="s">
        <v>137</v>
      </c>
      <c r="Q3026" s="3" t="s">
        <v>27</v>
      </c>
      <c r="R3026" s="3" t="s">
        <v>28</v>
      </c>
      <c r="S3026" s="3">
        <v>5042000</v>
      </c>
      <c r="T3026" s="3">
        <v>1130214030</v>
      </c>
      <c r="U3026" s="3" t="s">
        <v>29</v>
      </c>
    </row>
    <row r="3027" spans="1:21" ht="13.2" x14ac:dyDescent="0.25">
      <c r="A3027" s="14">
        <v>33149312000110</v>
      </c>
      <c r="B3027" s="15" t="str">
        <f t="shared" si="47"/>
        <v>33.149.312/0001-10</v>
      </c>
      <c r="C3027" s="12"/>
      <c r="D3027" s="3" t="s">
        <v>10767</v>
      </c>
      <c r="E3027" s="3" t="s">
        <v>10768</v>
      </c>
      <c r="F3027" s="3" t="s">
        <v>20</v>
      </c>
      <c r="G3027" s="4">
        <v>43550</v>
      </c>
      <c r="H3027" s="3" t="s">
        <v>21</v>
      </c>
      <c r="I3027" s="3" t="s">
        <v>47</v>
      </c>
      <c r="J3027" s="5">
        <v>100000</v>
      </c>
      <c r="K3027" s="3">
        <v>4642702</v>
      </c>
      <c r="L3027" s="3" t="s">
        <v>1139</v>
      </c>
      <c r="M3027" s="3" t="s">
        <v>10769</v>
      </c>
      <c r="N3027" s="3">
        <v>804</v>
      </c>
      <c r="O3027" s="3" t="s">
        <v>10770</v>
      </c>
      <c r="P3027" s="3" t="s">
        <v>874</v>
      </c>
      <c r="Q3027" s="3" t="s">
        <v>273</v>
      </c>
      <c r="R3027" s="3" t="s">
        <v>274</v>
      </c>
      <c r="S3027" s="3">
        <v>74255170</v>
      </c>
      <c r="T3027" s="3">
        <v>6239454286</v>
      </c>
      <c r="U3027" s="3" t="s">
        <v>29</v>
      </c>
    </row>
    <row r="3028" spans="1:21" ht="13.2" x14ac:dyDescent="0.25">
      <c r="A3028" s="14">
        <v>25029414000174</v>
      </c>
      <c r="B3028" s="15" t="str">
        <f t="shared" si="47"/>
        <v>25.029.414/0001-74</v>
      </c>
      <c r="C3028" s="12" t="str">
        <f>VLOOKUP(B3028,[1]Planilha1!$A:$B,2,0)</f>
        <v>Mariane Nascimento</v>
      </c>
      <c r="D3028" s="3" t="s">
        <v>10771</v>
      </c>
      <c r="E3028" s="3" t="s">
        <v>10772</v>
      </c>
      <c r="F3028" s="3" t="s">
        <v>20</v>
      </c>
      <c r="G3028" s="4">
        <v>32489</v>
      </c>
      <c r="H3028" s="3" t="s">
        <v>21</v>
      </c>
      <c r="I3028" s="3" t="s">
        <v>33</v>
      </c>
      <c r="J3028" s="5">
        <v>2000000</v>
      </c>
      <c r="K3028" s="3">
        <v>4645101</v>
      </c>
      <c r="L3028" s="3" t="s">
        <v>135</v>
      </c>
      <c r="M3028" s="3" t="s">
        <v>10773</v>
      </c>
      <c r="N3028" s="3">
        <v>544</v>
      </c>
      <c r="O3028" s="3" t="s">
        <v>10774</v>
      </c>
      <c r="P3028" s="3" t="s">
        <v>10775</v>
      </c>
      <c r="Q3028" s="3" t="s">
        <v>273</v>
      </c>
      <c r="R3028" s="3" t="s">
        <v>274</v>
      </c>
      <c r="S3028" s="3">
        <v>74413125</v>
      </c>
      <c r="T3028" s="3">
        <v>6240063993</v>
      </c>
      <c r="U3028" s="3" t="s">
        <v>29</v>
      </c>
    </row>
    <row r="3029" spans="1:21" ht="13.2" x14ac:dyDescent="0.25">
      <c r="A3029" s="14">
        <v>5097311000134</v>
      </c>
      <c r="B3029" s="15" t="str">
        <f t="shared" si="47"/>
        <v>05.097.311/0001-34</v>
      </c>
      <c r="C3029" s="12" t="str">
        <f>VLOOKUP(B3029,[1]Planilha1!$A:$B,2,0)</f>
        <v>Malu Montesino</v>
      </c>
      <c r="D3029" s="3" t="s">
        <v>10776</v>
      </c>
      <c r="E3029" s="3" t="s">
        <v>10777</v>
      </c>
      <c r="F3029" s="3" t="s">
        <v>20</v>
      </c>
      <c r="G3029" s="4">
        <v>37390</v>
      </c>
      <c r="H3029" s="3" t="s">
        <v>21</v>
      </c>
      <c r="I3029" s="3" t="s">
        <v>33</v>
      </c>
      <c r="J3029" s="5">
        <v>91401640</v>
      </c>
      <c r="K3029" s="3">
        <v>4530701</v>
      </c>
      <c r="L3029" s="3" t="s">
        <v>2176</v>
      </c>
      <c r="M3029" s="3" t="s">
        <v>10778</v>
      </c>
      <c r="N3029" s="3">
        <v>1060</v>
      </c>
      <c r="P3029" s="3" t="s">
        <v>10442</v>
      </c>
      <c r="Q3029" s="3" t="s">
        <v>2287</v>
      </c>
      <c r="R3029" s="3" t="s">
        <v>91</v>
      </c>
      <c r="S3029" s="3">
        <v>88311740</v>
      </c>
      <c r="T3029" s="3">
        <v>4721041152</v>
      </c>
      <c r="U3029" s="3" t="s">
        <v>29</v>
      </c>
    </row>
    <row r="3030" spans="1:21" ht="13.2" x14ac:dyDescent="0.25">
      <c r="A3030" s="14">
        <v>40691766000184</v>
      </c>
      <c r="B3030" s="15" t="str">
        <f t="shared" si="47"/>
        <v>40.691.766/0001-84</v>
      </c>
      <c r="C3030" s="12"/>
      <c r="D3030" s="3" t="s">
        <v>10779</v>
      </c>
      <c r="E3030" s="3" t="s">
        <v>10780</v>
      </c>
      <c r="F3030" s="3" t="s">
        <v>20</v>
      </c>
      <c r="G3030" s="4">
        <v>44230</v>
      </c>
      <c r="H3030" s="3" t="s">
        <v>21</v>
      </c>
      <c r="I3030" s="3" t="s">
        <v>47</v>
      </c>
      <c r="J3030" s="5">
        <v>115000</v>
      </c>
      <c r="K3030" s="3">
        <v>4321500</v>
      </c>
      <c r="L3030" s="3" t="s">
        <v>964</v>
      </c>
      <c r="M3030" s="3" t="s">
        <v>4686</v>
      </c>
      <c r="N3030" s="3">
        <v>2000</v>
      </c>
      <c r="P3030" s="3" t="s">
        <v>70</v>
      </c>
      <c r="Q3030" s="3" t="s">
        <v>10781</v>
      </c>
      <c r="R3030" s="3" t="s">
        <v>792</v>
      </c>
      <c r="S3030" s="3">
        <v>68570000</v>
      </c>
      <c r="T3030" s="3">
        <v>6392093492</v>
      </c>
      <c r="U3030" s="3" t="s">
        <v>29</v>
      </c>
    </row>
    <row r="3031" spans="1:21" ht="13.2" x14ac:dyDescent="0.25">
      <c r="A3031" s="14">
        <v>95368320000105</v>
      </c>
      <c r="B3031" s="15" t="str">
        <f t="shared" si="47"/>
        <v>95.368.320/0001-05</v>
      </c>
      <c r="C3031" s="12"/>
      <c r="D3031" s="3" t="s">
        <v>10782</v>
      </c>
      <c r="E3031" s="3" t="s">
        <v>10783</v>
      </c>
      <c r="F3031" s="3" t="s">
        <v>20</v>
      </c>
      <c r="G3031" s="4">
        <v>33912</v>
      </c>
      <c r="H3031" s="3" t="s">
        <v>21</v>
      </c>
      <c r="I3031" s="3" t="s">
        <v>22</v>
      </c>
      <c r="J3031" s="5">
        <v>717000</v>
      </c>
      <c r="K3031" s="3">
        <v>6810202</v>
      </c>
      <c r="L3031" s="3" t="s">
        <v>2714</v>
      </c>
      <c r="M3031" s="3" t="s">
        <v>6555</v>
      </c>
      <c r="N3031" s="3">
        <v>299</v>
      </c>
      <c r="O3031" s="3" t="s">
        <v>10784</v>
      </c>
      <c r="P3031" s="3" t="s">
        <v>70</v>
      </c>
      <c r="Q3031" s="3" t="s">
        <v>8619</v>
      </c>
      <c r="R3031" s="3" t="s">
        <v>187</v>
      </c>
      <c r="S3031" s="3">
        <v>85501074</v>
      </c>
      <c r="T3031" s="3">
        <v>5581350052</v>
      </c>
      <c r="U3031" s="3" t="s">
        <v>29</v>
      </c>
    </row>
    <row r="3032" spans="1:21" ht="13.2" x14ac:dyDescent="0.25">
      <c r="A3032" s="14">
        <v>5958030000129</v>
      </c>
      <c r="B3032" s="15" t="str">
        <f t="shared" si="47"/>
        <v>05.958.030/0001-29</v>
      </c>
      <c r="C3032" s="12"/>
      <c r="D3032" s="3" t="s">
        <v>10785</v>
      </c>
      <c r="E3032" s="3" t="s">
        <v>10786</v>
      </c>
      <c r="F3032" s="3" t="s">
        <v>31</v>
      </c>
      <c r="G3032" s="4">
        <v>37904</v>
      </c>
      <c r="H3032" s="3" t="s">
        <v>21</v>
      </c>
      <c r="I3032" s="3" t="s">
        <v>47</v>
      </c>
      <c r="J3032" s="5">
        <v>100000</v>
      </c>
      <c r="K3032" s="3">
        <v>4322302</v>
      </c>
      <c r="L3032" s="3" t="s">
        <v>5651</v>
      </c>
      <c r="M3032" s="3" t="s">
        <v>357</v>
      </c>
      <c r="N3032" s="3">
        <v>2845</v>
      </c>
      <c r="O3032" s="3" t="s">
        <v>10787</v>
      </c>
      <c r="P3032" s="3" t="s">
        <v>10788</v>
      </c>
      <c r="Q3032" s="3" t="s">
        <v>357</v>
      </c>
      <c r="R3032" s="3" t="s">
        <v>28</v>
      </c>
      <c r="S3032" s="3">
        <v>7031000</v>
      </c>
      <c r="T3032" s="3">
        <v>1141352648</v>
      </c>
      <c r="U3032" s="3" t="s">
        <v>29</v>
      </c>
    </row>
    <row r="3033" spans="1:21" ht="13.2" x14ac:dyDescent="0.25">
      <c r="A3033" s="14">
        <v>5389365000173</v>
      </c>
      <c r="B3033" s="15" t="str">
        <f t="shared" si="47"/>
        <v>05.389.365/0001-73</v>
      </c>
      <c r="C3033" s="12" t="str">
        <f>VLOOKUP(B3033,[1]Planilha1!$A:$B,2,0)</f>
        <v>Malu Montesino</v>
      </c>
      <c r="D3033" s="3" t="s">
        <v>10789</v>
      </c>
      <c r="E3033" s="3" t="s">
        <v>10790</v>
      </c>
      <c r="F3033" s="3" t="s">
        <v>20</v>
      </c>
      <c r="G3033" s="4">
        <v>37559</v>
      </c>
      <c r="H3033" s="3" t="s">
        <v>21</v>
      </c>
      <c r="I3033" s="3" t="s">
        <v>33</v>
      </c>
      <c r="J3033" s="5">
        <v>18691120</v>
      </c>
      <c r="K3033" s="3">
        <v>4645101</v>
      </c>
      <c r="L3033" s="3" t="s">
        <v>135</v>
      </c>
      <c r="M3033" s="3" t="s">
        <v>3167</v>
      </c>
      <c r="N3033" s="3">
        <v>65</v>
      </c>
      <c r="P3033" s="3" t="s">
        <v>3169</v>
      </c>
      <c r="Q3033" s="3" t="s">
        <v>2822</v>
      </c>
      <c r="R3033" s="3" t="s">
        <v>28</v>
      </c>
      <c r="S3033" s="3">
        <v>12238577</v>
      </c>
      <c r="T3033" s="3">
        <v>1239042399</v>
      </c>
      <c r="U3033" s="3" t="s">
        <v>29</v>
      </c>
    </row>
    <row r="3034" spans="1:21" ht="13.2" x14ac:dyDescent="0.25">
      <c r="A3034" s="14">
        <v>31342003000137</v>
      </c>
      <c r="B3034" s="15" t="str">
        <f t="shared" si="47"/>
        <v>31.342.003/0001-37</v>
      </c>
      <c r="C3034" s="12"/>
      <c r="D3034" s="3" t="s">
        <v>10791</v>
      </c>
      <c r="E3034" s="3" t="s">
        <v>10792</v>
      </c>
      <c r="F3034" s="3" t="s">
        <v>20</v>
      </c>
      <c r="G3034" s="4">
        <v>43339</v>
      </c>
      <c r="H3034" s="3" t="s">
        <v>21</v>
      </c>
      <c r="I3034" s="3" t="s">
        <v>22</v>
      </c>
      <c r="J3034" s="5">
        <v>110000</v>
      </c>
      <c r="K3034" s="3">
        <v>4619200</v>
      </c>
      <c r="L3034" s="3" t="s">
        <v>3484</v>
      </c>
      <c r="M3034" s="3" t="s">
        <v>10793</v>
      </c>
      <c r="N3034" s="3">
        <v>210</v>
      </c>
      <c r="P3034" s="3" t="s">
        <v>2825</v>
      </c>
      <c r="Q3034" s="3" t="s">
        <v>437</v>
      </c>
      <c r="R3034" s="3" t="s">
        <v>53</v>
      </c>
      <c r="S3034" s="3">
        <v>91710310</v>
      </c>
      <c r="T3034" s="3">
        <v>5196182959</v>
      </c>
      <c r="U3034" s="3" t="s">
        <v>29</v>
      </c>
    </row>
    <row r="3035" spans="1:21" ht="13.2" x14ac:dyDescent="0.25">
      <c r="A3035" s="14">
        <v>9240065000189</v>
      </c>
      <c r="B3035" s="15" t="str">
        <f t="shared" si="47"/>
        <v>09.240.065/0001-89</v>
      </c>
      <c r="C3035" s="12"/>
      <c r="D3035" s="3" t="s">
        <v>10794</v>
      </c>
      <c r="E3035" s="3" t="s">
        <v>10795</v>
      </c>
      <c r="F3035" s="3" t="s">
        <v>20</v>
      </c>
      <c r="G3035" s="4">
        <v>39353</v>
      </c>
      <c r="H3035" s="3" t="s">
        <v>21</v>
      </c>
      <c r="I3035" s="3" t="s">
        <v>33</v>
      </c>
      <c r="J3035" s="5">
        <v>22857600</v>
      </c>
      <c r="K3035" s="3">
        <v>2123800</v>
      </c>
      <c r="L3035" s="3" t="s">
        <v>2412</v>
      </c>
      <c r="M3035" s="3" t="s">
        <v>10796</v>
      </c>
      <c r="N3035" s="3">
        <v>171</v>
      </c>
      <c r="P3035" s="3" t="s">
        <v>7583</v>
      </c>
      <c r="Q3035" s="3" t="s">
        <v>437</v>
      </c>
      <c r="R3035" s="3" t="s">
        <v>53</v>
      </c>
      <c r="S3035" s="3">
        <v>90200200</v>
      </c>
      <c r="T3035" s="3">
        <v>5130167200</v>
      </c>
      <c r="U3035" s="3" t="s">
        <v>29</v>
      </c>
    </row>
    <row r="3036" spans="1:21" ht="13.2" x14ac:dyDescent="0.25">
      <c r="A3036" s="14">
        <v>22009008000151</v>
      </c>
      <c r="B3036" s="15" t="str">
        <f t="shared" si="47"/>
        <v>22.009.008/0001-51</v>
      </c>
      <c r="C3036" s="12"/>
      <c r="D3036" s="3" t="s">
        <v>10797</v>
      </c>
      <c r="E3036" s="3" t="s">
        <v>10797</v>
      </c>
      <c r="F3036" s="3" t="s">
        <v>20</v>
      </c>
      <c r="G3036" s="4">
        <v>42072</v>
      </c>
      <c r="H3036" s="3" t="s">
        <v>21</v>
      </c>
      <c r="I3036" s="3" t="s">
        <v>33</v>
      </c>
      <c r="J3036" s="5">
        <v>2000007</v>
      </c>
      <c r="K3036" s="3">
        <v>7020400</v>
      </c>
      <c r="L3036" s="3" t="s">
        <v>170</v>
      </c>
      <c r="M3036" s="3" t="s">
        <v>314</v>
      </c>
      <c r="N3036" s="3">
        <v>242</v>
      </c>
      <c r="O3036" s="3" t="s">
        <v>10798</v>
      </c>
      <c r="P3036" s="3" t="s">
        <v>316</v>
      </c>
      <c r="Q3036" s="3" t="s">
        <v>27</v>
      </c>
      <c r="R3036" s="3" t="s">
        <v>28</v>
      </c>
      <c r="S3036" s="3">
        <v>4551000</v>
      </c>
      <c r="T3036" s="3">
        <v>1165819678</v>
      </c>
      <c r="U3036" s="3" t="s">
        <v>29</v>
      </c>
    </row>
    <row r="3037" spans="1:21" ht="13.2" x14ac:dyDescent="0.25">
      <c r="A3037" s="14">
        <v>9223465000186</v>
      </c>
      <c r="B3037" s="15" t="str">
        <f t="shared" si="47"/>
        <v>09.223.465/0001-86</v>
      </c>
      <c r="C3037" s="12"/>
      <c r="D3037" s="3" t="s">
        <v>10799</v>
      </c>
      <c r="E3037" s="3" t="s">
        <v>10800</v>
      </c>
      <c r="F3037" s="3" t="s">
        <v>20</v>
      </c>
      <c r="G3037" s="4">
        <v>39374</v>
      </c>
      <c r="H3037" s="3" t="s">
        <v>46</v>
      </c>
      <c r="I3037" s="3" t="s">
        <v>47</v>
      </c>
      <c r="J3037" s="5">
        <v>40000</v>
      </c>
      <c r="K3037" s="3">
        <v>3313901</v>
      </c>
      <c r="L3037" s="3" t="s">
        <v>4610</v>
      </c>
      <c r="M3037" s="3" t="s">
        <v>8331</v>
      </c>
      <c r="N3037" s="3">
        <v>95</v>
      </c>
      <c r="P3037" s="3" t="s">
        <v>10801</v>
      </c>
      <c r="Q3037" s="3" t="s">
        <v>357</v>
      </c>
      <c r="R3037" s="3" t="s">
        <v>28</v>
      </c>
      <c r="S3037" s="3">
        <v>7215200</v>
      </c>
      <c r="T3037" s="3">
        <v>1124111744</v>
      </c>
      <c r="U3037" s="3" t="s">
        <v>29</v>
      </c>
    </row>
    <row r="3038" spans="1:21" ht="13.2" x14ac:dyDescent="0.25">
      <c r="A3038" s="14">
        <v>32646846000190</v>
      </c>
      <c r="B3038" s="15" t="str">
        <f t="shared" si="47"/>
        <v>32.646.846/0001-90</v>
      </c>
      <c r="C3038" s="12"/>
      <c r="D3038" s="3" t="s">
        <v>10802</v>
      </c>
      <c r="E3038" s="3" t="s">
        <v>10802</v>
      </c>
      <c r="F3038" s="3" t="s">
        <v>20</v>
      </c>
      <c r="G3038" s="4">
        <v>32612</v>
      </c>
      <c r="H3038" s="3" t="s">
        <v>1550</v>
      </c>
      <c r="I3038" s="3" t="s">
        <v>22</v>
      </c>
      <c r="J3038" s="5">
        <v>300000</v>
      </c>
      <c r="K3038" s="3">
        <v>6920602</v>
      </c>
      <c r="L3038" s="3" t="s">
        <v>1022</v>
      </c>
      <c r="M3038" s="3" t="s">
        <v>5512</v>
      </c>
      <c r="N3038" s="3">
        <v>6462</v>
      </c>
      <c r="O3038" s="3" t="s">
        <v>10803</v>
      </c>
      <c r="P3038" s="3" t="s">
        <v>10804</v>
      </c>
      <c r="Q3038" s="3" t="s">
        <v>280</v>
      </c>
      <c r="R3038" s="3" t="s">
        <v>281</v>
      </c>
      <c r="S3038" s="3">
        <v>41730101</v>
      </c>
      <c r="T3038" s="3">
        <v>7133452499</v>
      </c>
      <c r="U3038" s="3" t="s">
        <v>29</v>
      </c>
    </row>
    <row r="3039" spans="1:21" ht="13.2" x14ac:dyDescent="0.25">
      <c r="A3039" s="14">
        <v>17624087000170</v>
      </c>
      <c r="B3039" s="15" t="str">
        <f t="shared" si="47"/>
        <v>17.624.087/0001-70</v>
      </c>
      <c r="C3039" s="12"/>
      <c r="D3039" s="3" t="s">
        <v>10805</v>
      </c>
      <c r="E3039" s="3" t="s">
        <v>10806</v>
      </c>
      <c r="F3039" s="3" t="s">
        <v>20</v>
      </c>
      <c r="G3039" s="4">
        <v>41310</v>
      </c>
      <c r="H3039" s="3" t="s">
        <v>21</v>
      </c>
      <c r="I3039" s="3" t="s">
        <v>33</v>
      </c>
      <c r="J3039" s="5">
        <v>3000000</v>
      </c>
      <c r="K3039" s="3">
        <v>4789099</v>
      </c>
      <c r="L3039" s="3" t="s">
        <v>774</v>
      </c>
      <c r="M3039" s="3" t="s">
        <v>3935</v>
      </c>
      <c r="N3039" s="3">
        <v>497</v>
      </c>
      <c r="P3039" s="3" t="s">
        <v>903</v>
      </c>
      <c r="Q3039" s="3" t="s">
        <v>27</v>
      </c>
      <c r="R3039" s="3" t="s">
        <v>28</v>
      </c>
      <c r="S3039" s="3">
        <v>4052120</v>
      </c>
      <c r="T3039" s="3">
        <v>1136479171</v>
      </c>
      <c r="U3039" s="3" t="s">
        <v>29</v>
      </c>
    </row>
    <row r="3040" spans="1:21" ht="13.2" x14ac:dyDescent="0.25">
      <c r="A3040" s="14">
        <v>14565570000133</v>
      </c>
      <c r="B3040" s="15" t="str">
        <f t="shared" si="47"/>
        <v>14.565.570/0001-33</v>
      </c>
      <c r="C3040" s="12"/>
      <c r="D3040" s="3" t="s">
        <v>10807</v>
      </c>
      <c r="E3040" s="3" t="s">
        <v>10807</v>
      </c>
      <c r="F3040" s="3" t="s">
        <v>45</v>
      </c>
      <c r="G3040" s="4">
        <v>40842</v>
      </c>
      <c r="H3040" s="3" t="s">
        <v>94</v>
      </c>
      <c r="I3040" s="3" t="s">
        <v>33</v>
      </c>
      <c r="J3040" s="5">
        <v>11331830</v>
      </c>
      <c r="K3040" s="3">
        <v>6462000</v>
      </c>
      <c r="L3040" s="3" t="s">
        <v>250</v>
      </c>
      <c r="M3040" s="3" t="s">
        <v>10808</v>
      </c>
      <c r="N3040" s="3">
        <v>62</v>
      </c>
      <c r="O3040" s="3" t="s">
        <v>10809</v>
      </c>
      <c r="P3040" s="3" t="s">
        <v>70</v>
      </c>
      <c r="Q3040" s="3" t="s">
        <v>253</v>
      </c>
      <c r="R3040" s="3" t="s">
        <v>78</v>
      </c>
      <c r="S3040" s="3">
        <v>20021290</v>
      </c>
      <c r="T3040" s="3">
        <v>5132275604</v>
      </c>
      <c r="U3040" s="3" t="s">
        <v>29</v>
      </c>
    </row>
    <row r="3041" spans="1:21" ht="13.2" x14ac:dyDescent="0.25">
      <c r="A3041" s="14">
        <v>26907606000107</v>
      </c>
      <c r="B3041" s="15" t="str">
        <f t="shared" si="47"/>
        <v>26.907.606/0001-07</v>
      </c>
      <c r="C3041" s="12"/>
      <c r="D3041" s="3" t="s">
        <v>10810</v>
      </c>
      <c r="E3041" s="3" t="s">
        <v>10810</v>
      </c>
      <c r="F3041" s="3" t="s">
        <v>20</v>
      </c>
      <c r="G3041" s="4">
        <v>42754</v>
      </c>
      <c r="H3041" s="3" t="s">
        <v>46</v>
      </c>
      <c r="I3041" s="3" t="s">
        <v>47</v>
      </c>
      <c r="J3041" s="5">
        <v>1300</v>
      </c>
      <c r="K3041" s="3">
        <v>8593700</v>
      </c>
      <c r="L3041" s="3" t="s">
        <v>5299</v>
      </c>
      <c r="M3041" s="3" t="s">
        <v>2328</v>
      </c>
      <c r="N3041" s="3">
        <v>153</v>
      </c>
      <c r="O3041" s="3" t="s">
        <v>10811</v>
      </c>
      <c r="P3041" s="3" t="s">
        <v>1240</v>
      </c>
      <c r="Q3041" s="3" t="s">
        <v>204</v>
      </c>
      <c r="R3041" s="3" t="s">
        <v>187</v>
      </c>
      <c r="S3041" s="3">
        <v>80530230</v>
      </c>
      <c r="T3041" s="3">
        <v>2194695599</v>
      </c>
      <c r="U3041" s="3" t="s">
        <v>29</v>
      </c>
    </row>
    <row r="3042" spans="1:21" ht="13.2" x14ac:dyDescent="0.25">
      <c r="A3042" s="14">
        <v>61585865000151</v>
      </c>
      <c r="B3042" s="15" t="str">
        <f t="shared" si="47"/>
        <v>61.585.865/0001-51</v>
      </c>
      <c r="C3042" s="12"/>
      <c r="D3042" s="3" t="s">
        <v>10812</v>
      </c>
      <c r="E3042" s="3" t="s">
        <v>10813</v>
      </c>
      <c r="F3042" s="3" t="s">
        <v>20</v>
      </c>
      <c r="G3042" s="4">
        <v>26472</v>
      </c>
      <c r="H3042" s="3" t="s">
        <v>377</v>
      </c>
      <c r="I3042" s="3" t="s">
        <v>33</v>
      </c>
      <c r="J3042" s="5">
        <v>4000000000</v>
      </c>
      <c r="K3042" s="3">
        <v>4771701</v>
      </c>
      <c r="L3042" s="3" t="s">
        <v>4415</v>
      </c>
      <c r="M3042" s="3" t="s">
        <v>10814</v>
      </c>
      <c r="N3042" s="3">
        <v>3097</v>
      </c>
      <c r="P3042" s="3" t="s">
        <v>10815</v>
      </c>
      <c r="Q3042" s="3" t="s">
        <v>27</v>
      </c>
      <c r="R3042" s="3" t="s">
        <v>28</v>
      </c>
      <c r="S3042" s="3">
        <v>5339900</v>
      </c>
      <c r="T3042" s="3">
        <v>1137695731</v>
      </c>
      <c r="U3042" s="3" t="s">
        <v>29</v>
      </c>
    </row>
    <row r="3043" spans="1:21" ht="13.2" x14ac:dyDescent="0.25">
      <c r="A3043" s="14">
        <v>3167227000114</v>
      </c>
      <c r="B3043" s="15" t="str">
        <f t="shared" si="47"/>
        <v>03.167.227/0001-14</v>
      </c>
      <c r="C3043" s="12" t="str">
        <f>VLOOKUP(B3043,[1]Planilha1!$A:$B,2,0)</f>
        <v>Malu Montesino</v>
      </c>
      <c r="D3043" s="3" t="s">
        <v>10816</v>
      </c>
      <c r="E3043" s="3" t="s">
        <v>10816</v>
      </c>
      <c r="F3043" s="3" t="s">
        <v>20</v>
      </c>
      <c r="G3043" s="4">
        <v>36301</v>
      </c>
      <c r="H3043" s="3" t="s">
        <v>21</v>
      </c>
      <c r="I3043" s="3" t="s">
        <v>33</v>
      </c>
      <c r="J3043" s="5">
        <v>11420364</v>
      </c>
      <c r="K3043" s="3">
        <v>4689399</v>
      </c>
      <c r="L3043" s="3" t="s">
        <v>783</v>
      </c>
      <c r="M3043" s="3" t="s">
        <v>10817</v>
      </c>
      <c r="N3043" s="3" t="s">
        <v>111</v>
      </c>
      <c r="O3043" s="3" t="s">
        <v>10818</v>
      </c>
      <c r="P3043" s="3" t="s">
        <v>10819</v>
      </c>
      <c r="Q3043" s="3" t="s">
        <v>987</v>
      </c>
      <c r="R3043" s="3" t="s">
        <v>100</v>
      </c>
      <c r="S3043" s="3">
        <v>38407180</v>
      </c>
      <c r="T3043" s="3">
        <v>3432355884</v>
      </c>
      <c r="U3043" s="3" t="s">
        <v>29</v>
      </c>
    </row>
    <row r="3044" spans="1:21" ht="13.2" x14ac:dyDescent="0.25">
      <c r="A3044" s="14">
        <v>8070508000178</v>
      </c>
      <c r="B3044" s="15" t="str">
        <f t="shared" si="47"/>
        <v>08.070.508/0001-78</v>
      </c>
      <c r="C3044" s="12" t="str">
        <f>VLOOKUP(B3044,[1]Planilha1!$A:$B,2,0)</f>
        <v>Malu Montesino</v>
      </c>
      <c r="D3044" s="3" t="s">
        <v>10820</v>
      </c>
      <c r="E3044" s="3" t="s">
        <v>10820</v>
      </c>
      <c r="F3044" s="3" t="s">
        <v>20</v>
      </c>
      <c r="G3044" s="4">
        <v>38842</v>
      </c>
      <c r="H3044" s="3" t="s">
        <v>377</v>
      </c>
      <c r="I3044" s="3" t="s">
        <v>33</v>
      </c>
      <c r="J3044" s="5">
        <v>21031610000</v>
      </c>
      <c r="K3044" s="3">
        <v>1071600</v>
      </c>
      <c r="L3044" s="3" t="s">
        <v>7816</v>
      </c>
      <c r="M3044" s="3" t="s">
        <v>543</v>
      </c>
      <c r="N3044" s="3">
        <v>4100</v>
      </c>
      <c r="O3044" s="3" t="s">
        <v>10821</v>
      </c>
      <c r="P3044" s="3" t="s">
        <v>1230</v>
      </c>
      <c r="Q3044" s="3" t="s">
        <v>27</v>
      </c>
      <c r="R3044" s="3" t="s">
        <v>28</v>
      </c>
      <c r="S3044" s="3">
        <v>4538132</v>
      </c>
      <c r="T3044" s="3">
        <v>1934238000</v>
      </c>
      <c r="U3044" s="3" t="s">
        <v>29</v>
      </c>
    </row>
    <row r="3045" spans="1:21" ht="13.2" x14ac:dyDescent="0.25">
      <c r="A3045" s="14">
        <v>50429279000100</v>
      </c>
      <c r="B3045" s="15" t="str">
        <f t="shared" si="47"/>
        <v>50.429.279/0001-00</v>
      </c>
      <c r="C3045" s="12"/>
      <c r="D3045" s="3" t="s">
        <v>10822</v>
      </c>
      <c r="E3045" s="3" t="s">
        <v>10822</v>
      </c>
      <c r="F3045" s="3" t="s">
        <v>45</v>
      </c>
      <c r="G3045" s="4">
        <v>44977</v>
      </c>
      <c r="H3045" s="3" t="s">
        <v>2489</v>
      </c>
      <c r="I3045" s="3" t="s">
        <v>33</v>
      </c>
      <c r="J3045" s="5">
        <v>10000</v>
      </c>
      <c r="K3045" s="3">
        <v>2869100</v>
      </c>
      <c r="L3045" s="3" t="s">
        <v>1416</v>
      </c>
      <c r="M3045" s="3" t="s">
        <v>10823</v>
      </c>
      <c r="N3045" s="3">
        <v>2555</v>
      </c>
      <c r="P3045" s="3" t="s">
        <v>10824</v>
      </c>
      <c r="Q3045" s="3" t="s">
        <v>90</v>
      </c>
      <c r="R3045" s="3" t="s">
        <v>91</v>
      </c>
      <c r="S3045" s="3">
        <v>89258000</v>
      </c>
      <c r="T3045" s="3">
        <v>4711111111</v>
      </c>
      <c r="U3045" s="3" t="s">
        <v>29</v>
      </c>
    </row>
    <row r="3046" spans="1:21" ht="13.2" x14ac:dyDescent="0.25">
      <c r="A3046" s="14">
        <v>49716616000152</v>
      </c>
      <c r="B3046" s="15" t="str">
        <f t="shared" si="47"/>
        <v>49.716.616/0001-52</v>
      </c>
      <c r="C3046" s="12"/>
      <c r="D3046" s="3" t="s">
        <v>10825</v>
      </c>
      <c r="E3046" s="3" t="s">
        <v>10826</v>
      </c>
      <c r="F3046" s="3" t="s">
        <v>20</v>
      </c>
      <c r="G3046" s="4">
        <v>28766</v>
      </c>
      <c r="H3046" s="3" t="s">
        <v>21</v>
      </c>
      <c r="I3046" s="3" t="s">
        <v>33</v>
      </c>
      <c r="J3046" s="5">
        <v>2000000</v>
      </c>
      <c r="K3046" s="3">
        <v>2829199</v>
      </c>
      <c r="L3046" s="3" t="s">
        <v>1514</v>
      </c>
      <c r="M3046" s="3" t="s">
        <v>10827</v>
      </c>
      <c r="N3046" s="3">
        <v>746</v>
      </c>
      <c r="P3046" s="3" t="s">
        <v>10828</v>
      </c>
      <c r="Q3046" s="3" t="s">
        <v>929</v>
      </c>
      <c r="R3046" s="3" t="s">
        <v>28</v>
      </c>
      <c r="S3046" s="3">
        <v>6529210</v>
      </c>
      <c r="T3046" s="3">
        <v>1141563433</v>
      </c>
      <c r="U3046" s="3" t="s">
        <v>29</v>
      </c>
    </row>
    <row r="3047" spans="1:21" ht="13.2" x14ac:dyDescent="0.25">
      <c r="A3047" s="14">
        <v>89086144000116</v>
      </c>
      <c r="B3047" s="15" t="str">
        <f t="shared" si="47"/>
        <v>89.086.144/0001-16</v>
      </c>
      <c r="C3047" s="12"/>
      <c r="D3047" s="3" t="s">
        <v>10829</v>
      </c>
      <c r="E3047" s="3" t="s">
        <v>10830</v>
      </c>
      <c r="F3047" s="3" t="s">
        <v>20</v>
      </c>
      <c r="G3047" s="4">
        <v>28073</v>
      </c>
      <c r="H3047" s="3" t="s">
        <v>377</v>
      </c>
      <c r="I3047" s="3" t="s">
        <v>33</v>
      </c>
      <c r="J3047" s="5">
        <v>2000000000</v>
      </c>
      <c r="K3047" s="3">
        <v>2930101</v>
      </c>
      <c r="L3047" s="3" t="s">
        <v>856</v>
      </c>
      <c r="M3047" s="3" t="s">
        <v>10831</v>
      </c>
      <c r="N3047" s="3">
        <v>770</v>
      </c>
      <c r="P3047" s="3" t="s">
        <v>10832</v>
      </c>
      <c r="Q3047" s="3" t="s">
        <v>730</v>
      </c>
      <c r="R3047" s="3" t="s">
        <v>53</v>
      </c>
      <c r="S3047" s="3">
        <v>95055010</v>
      </c>
      <c r="T3047" s="3">
        <v>5432392000</v>
      </c>
      <c r="U3047" s="3" t="s">
        <v>29</v>
      </c>
    </row>
    <row r="3048" spans="1:21" ht="13.2" x14ac:dyDescent="0.25">
      <c r="A3048" s="14">
        <v>14807803000167</v>
      </c>
      <c r="B3048" s="15" t="str">
        <f t="shared" si="47"/>
        <v>14.807.803/0001-67</v>
      </c>
      <c r="C3048" s="12"/>
      <c r="D3048" s="3" t="s">
        <v>10833</v>
      </c>
      <c r="E3048" s="3" t="s">
        <v>10834</v>
      </c>
      <c r="F3048" s="3" t="s">
        <v>20</v>
      </c>
      <c r="G3048" s="4">
        <v>40897</v>
      </c>
      <c r="H3048" s="3" t="s">
        <v>21</v>
      </c>
      <c r="I3048" s="3" t="s">
        <v>22</v>
      </c>
      <c r="J3048" s="5">
        <v>300000</v>
      </c>
      <c r="K3048" s="3">
        <v>4644301</v>
      </c>
      <c r="L3048" s="3" t="s">
        <v>326</v>
      </c>
      <c r="M3048" s="3" t="s">
        <v>10835</v>
      </c>
      <c r="N3048" s="3">
        <v>11264</v>
      </c>
      <c r="P3048" s="3" t="s">
        <v>4015</v>
      </c>
      <c r="Q3048" s="3" t="s">
        <v>883</v>
      </c>
      <c r="R3048" s="3" t="s">
        <v>951</v>
      </c>
      <c r="S3048" s="3">
        <v>64032075</v>
      </c>
      <c r="T3048" s="3">
        <v>8632177913</v>
      </c>
      <c r="U3048" s="3" t="s">
        <v>29</v>
      </c>
    </row>
    <row r="3049" spans="1:21" ht="13.2" x14ac:dyDescent="0.25">
      <c r="A3049" s="14">
        <v>6968107000104</v>
      </c>
      <c r="B3049" s="15" t="str">
        <f t="shared" si="47"/>
        <v>06.968.107/0001-04</v>
      </c>
      <c r="C3049" s="12"/>
      <c r="D3049" s="3" t="s">
        <v>10836</v>
      </c>
      <c r="E3049" s="3" t="s">
        <v>10836</v>
      </c>
      <c r="F3049" s="3" t="s">
        <v>20</v>
      </c>
      <c r="G3049" s="4">
        <v>38226</v>
      </c>
      <c r="H3049" s="3" t="s">
        <v>21</v>
      </c>
      <c r="I3049" s="3" t="s">
        <v>33</v>
      </c>
      <c r="J3049" s="5">
        <v>2000000</v>
      </c>
      <c r="K3049" s="3">
        <v>4644301</v>
      </c>
      <c r="L3049" s="3" t="s">
        <v>326</v>
      </c>
      <c r="M3049" s="3" t="s">
        <v>10837</v>
      </c>
      <c r="N3049" s="3">
        <v>174</v>
      </c>
      <c r="P3049" s="3" t="s">
        <v>10838</v>
      </c>
      <c r="Q3049" s="3" t="s">
        <v>3056</v>
      </c>
      <c r="R3049" s="3" t="s">
        <v>28</v>
      </c>
      <c r="S3049" s="3">
        <v>18609082</v>
      </c>
      <c r="T3049" s="3">
        <v>1438820088</v>
      </c>
      <c r="U3049" s="3" t="s">
        <v>29</v>
      </c>
    </row>
    <row r="3050" spans="1:21" ht="13.2" x14ac:dyDescent="0.25">
      <c r="A3050" s="14">
        <v>6022505000133</v>
      </c>
      <c r="B3050" s="15" t="str">
        <f t="shared" si="47"/>
        <v>06.022.505/0001-33</v>
      </c>
      <c r="C3050" s="12"/>
      <c r="D3050" s="3" t="s">
        <v>10839</v>
      </c>
      <c r="E3050" s="3" t="s">
        <v>10840</v>
      </c>
      <c r="F3050" s="3" t="s">
        <v>20</v>
      </c>
      <c r="G3050" s="4">
        <v>37959</v>
      </c>
      <c r="H3050" s="3" t="s">
        <v>21</v>
      </c>
      <c r="I3050" s="3" t="s">
        <v>33</v>
      </c>
      <c r="J3050" s="5">
        <v>100000</v>
      </c>
      <c r="K3050" s="3">
        <v>7739099</v>
      </c>
      <c r="L3050" s="3" t="s">
        <v>669</v>
      </c>
      <c r="M3050" s="3" t="s">
        <v>8342</v>
      </c>
      <c r="N3050" s="3">
        <v>3344</v>
      </c>
      <c r="O3050" s="3" t="s">
        <v>10841</v>
      </c>
      <c r="P3050" s="3" t="s">
        <v>10842</v>
      </c>
      <c r="Q3050" s="3" t="s">
        <v>10843</v>
      </c>
      <c r="R3050" s="3" t="s">
        <v>91</v>
      </c>
      <c r="S3050" s="3">
        <v>88220000</v>
      </c>
      <c r="T3050" s="3">
        <v>1121046701</v>
      </c>
      <c r="U3050" s="3" t="s">
        <v>29</v>
      </c>
    </row>
    <row r="3051" spans="1:21" ht="13.2" x14ac:dyDescent="0.25">
      <c r="A3051" s="14">
        <v>7852102000184</v>
      </c>
      <c r="B3051" s="15" t="str">
        <f t="shared" si="47"/>
        <v>07.852.102/0001-84</v>
      </c>
      <c r="C3051" s="12" t="str">
        <f>VLOOKUP(B3051,[1]Planilha1!$A:$B,2,0)</f>
        <v>Malu Montesino</v>
      </c>
      <c r="D3051" s="3" t="s">
        <v>10844</v>
      </c>
      <c r="E3051" s="3" t="s">
        <v>10844</v>
      </c>
      <c r="F3051" s="3" t="s">
        <v>20</v>
      </c>
      <c r="G3051" s="4">
        <v>38769</v>
      </c>
      <c r="H3051" s="3" t="s">
        <v>21</v>
      </c>
      <c r="I3051" s="3" t="s">
        <v>47</v>
      </c>
      <c r="J3051" s="5">
        <v>300000</v>
      </c>
      <c r="K3051" s="3">
        <v>2812700</v>
      </c>
      <c r="L3051" s="3" t="s">
        <v>1534</v>
      </c>
      <c r="M3051" s="3" t="s">
        <v>10845</v>
      </c>
      <c r="N3051" s="3">
        <v>21</v>
      </c>
      <c r="P3051" s="3" t="s">
        <v>10846</v>
      </c>
      <c r="Q3051" s="3" t="s">
        <v>6371</v>
      </c>
      <c r="R3051" s="3" t="s">
        <v>100</v>
      </c>
      <c r="S3051" s="3">
        <v>33822503</v>
      </c>
      <c r="T3051" s="3">
        <v>3125203344</v>
      </c>
      <c r="U3051" s="3" t="s">
        <v>29</v>
      </c>
    </row>
    <row r="3052" spans="1:21" ht="13.2" x14ac:dyDescent="0.25">
      <c r="A3052" s="14">
        <v>6906404000125</v>
      </c>
      <c r="B3052" s="15" t="str">
        <f t="shared" si="47"/>
        <v>06.906.404/0001-25</v>
      </c>
      <c r="C3052" s="12" t="str">
        <f>VLOOKUP(B3052,[1]Planilha1!$A:$B,2,0)</f>
        <v>Malu Montesino</v>
      </c>
      <c r="D3052" s="3" t="s">
        <v>10847</v>
      </c>
      <c r="E3052" s="3" t="s">
        <v>10848</v>
      </c>
      <c r="F3052" s="3" t="s">
        <v>20</v>
      </c>
      <c r="G3052" s="4">
        <v>38190</v>
      </c>
      <c r="H3052" s="3" t="s">
        <v>21</v>
      </c>
      <c r="I3052" s="3" t="s">
        <v>33</v>
      </c>
      <c r="J3052" s="5">
        <v>12000000</v>
      </c>
      <c r="K3052" s="3">
        <v>1066000</v>
      </c>
      <c r="L3052" s="3" t="s">
        <v>8941</v>
      </c>
      <c r="M3052" s="3">
        <v>135</v>
      </c>
      <c r="N3052" s="3">
        <v>40</v>
      </c>
      <c r="O3052" s="3" t="s">
        <v>10849</v>
      </c>
      <c r="P3052" s="3" t="s">
        <v>10850</v>
      </c>
      <c r="Q3052" s="3" t="s">
        <v>273</v>
      </c>
      <c r="R3052" s="3" t="s">
        <v>274</v>
      </c>
      <c r="S3052" s="3">
        <v>74470310</v>
      </c>
      <c r="T3052" s="3">
        <v>6239450062</v>
      </c>
      <c r="U3052" s="3" t="s">
        <v>29</v>
      </c>
    </row>
    <row r="3053" spans="1:21" ht="13.2" x14ac:dyDescent="0.25">
      <c r="A3053" s="14">
        <v>88910252001502</v>
      </c>
      <c r="B3053" s="15" t="str">
        <f t="shared" si="47"/>
        <v>88.910.252/0015-02</v>
      </c>
      <c r="C3053" s="12"/>
      <c r="D3053" s="3" t="s">
        <v>10851</v>
      </c>
      <c r="E3053" s="3" t="s">
        <v>10852</v>
      </c>
      <c r="F3053" s="3" t="s">
        <v>20</v>
      </c>
      <c r="G3053" s="4">
        <v>44545</v>
      </c>
      <c r="H3053" s="3" t="s">
        <v>21</v>
      </c>
      <c r="I3053" s="3" t="s">
        <v>33</v>
      </c>
      <c r="J3053" s="5">
        <v>45000000</v>
      </c>
      <c r="K3053" s="3">
        <v>4789099</v>
      </c>
      <c r="L3053" s="3" t="s">
        <v>774</v>
      </c>
      <c r="M3053" s="3" t="s">
        <v>10853</v>
      </c>
      <c r="N3053" s="3" t="s">
        <v>82</v>
      </c>
      <c r="O3053" s="3" t="s">
        <v>10854</v>
      </c>
      <c r="P3053" s="3" t="s">
        <v>536</v>
      </c>
      <c r="Q3053" s="3" t="s">
        <v>3854</v>
      </c>
      <c r="R3053" s="3" t="s">
        <v>53</v>
      </c>
      <c r="S3053" s="3">
        <v>99052840</v>
      </c>
      <c r="T3053" s="3">
        <v>5433113555</v>
      </c>
      <c r="U3053" s="3" t="s">
        <v>29</v>
      </c>
    </row>
    <row r="3054" spans="1:21" ht="13.2" x14ac:dyDescent="0.25">
      <c r="A3054" s="14">
        <v>4124182000163</v>
      </c>
      <c r="B3054" s="15" t="str">
        <f t="shared" si="47"/>
        <v>04.124.182/0001-63</v>
      </c>
      <c r="C3054" s="12"/>
      <c r="D3054" s="3" t="s">
        <v>10855</v>
      </c>
      <c r="E3054" s="3" t="s">
        <v>10856</v>
      </c>
      <c r="F3054" s="3" t="s">
        <v>20</v>
      </c>
      <c r="G3054" s="4">
        <v>36825</v>
      </c>
      <c r="H3054" s="3" t="s">
        <v>21</v>
      </c>
      <c r="I3054" s="3" t="s">
        <v>33</v>
      </c>
      <c r="J3054" s="5">
        <v>12500000</v>
      </c>
      <c r="K3054" s="3">
        <v>7490104</v>
      </c>
      <c r="L3054" s="3" t="s">
        <v>1597</v>
      </c>
      <c r="M3054" s="3" t="s">
        <v>10857</v>
      </c>
      <c r="N3054" s="3">
        <v>159</v>
      </c>
      <c r="O3054" s="3" t="s">
        <v>10858</v>
      </c>
      <c r="P3054" s="3" t="s">
        <v>70</v>
      </c>
      <c r="Q3054" s="3" t="s">
        <v>357</v>
      </c>
      <c r="R3054" s="3" t="s">
        <v>28</v>
      </c>
      <c r="S3054" s="3">
        <v>7012020</v>
      </c>
      <c r="T3054" s="3">
        <v>1124475777</v>
      </c>
      <c r="U3054" s="3" t="s">
        <v>29</v>
      </c>
    </row>
    <row r="3055" spans="1:21" ht="13.2" x14ac:dyDescent="0.25">
      <c r="A3055" s="14">
        <v>5963596000149</v>
      </c>
      <c r="B3055" s="15" t="str">
        <f t="shared" si="47"/>
        <v>05.963.596/0001-49</v>
      </c>
      <c r="C3055" s="12" t="str">
        <f>VLOOKUP(B3055,[1]Planilha1!$A:$B,2,0)</f>
        <v>Malu Montesino</v>
      </c>
      <c r="D3055" s="3" t="s">
        <v>10859</v>
      </c>
      <c r="E3055" s="3" t="s">
        <v>10859</v>
      </c>
      <c r="F3055" s="3" t="s">
        <v>20</v>
      </c>
      <c r="G3055" s="4">
        <v>37910</v>
      </c>
      <c r="H3055" s="3" t="s">
        <v>21</v>
      </c>
      <c r="I3055" s="3" t="s">
        <v>47</v>
      </c>
      <c r="J3055" s="5">
        <v>6000</v>
      </c>
      <c r="K3055" s="3">
        <v>4744099</v>
      </c>
      <c r="L3055" s="3" t="s">
        <v>115</v>
      </c>
      <c r="M3055" s="3" t="s">
        <v>10860</v>
      </c>
      <c r="N3055" s="3">
        <v>764</v>
      </c>
      <c r="P3055" s="3" t="s">
        <v>70</v>
      </c>
      <c r="Q3055" s="3" t="s">
        <v>1410</v>
      </c>
      <c r="R3055" s="3" t="s">
        <v>28</v>
      </c>
      <c r="S3055" s="3">
        <v>9010160</v>
      </c>
      <c r="U3055" s="3" t="s">
        <v>29</v>
      </c>
    </row>
    <row r="3056" spans="1:21" ht="13.2" x14ac:dyDescent="0.25">
      <c r="A3056" s="14">
        <v>2377937000106</v>
      </c>
      <c r="B3056" s="15" t="str">
        <f t="shared" si="47"/>
        <v>02.377.937/0001-06</v>
      </c>
      <c r="C3056" s="12" t="str">
        <f>VLOOKUP(B3056,[1]Planilha1!$A:$B,2,0)</f>
        <v>Mariane Nascimento</v>
      </c>
      <c r="D3056" s="3" t="s">
        <v>10861</v>
      </c>
      <c r="E3056" s="3" t="s">
        <v>10862</v>
      </c>
      <c r="F3056" s="3" t="s">
        <v>20</v>
      </c>
      <c r="G3056" s="4">
        <v>35852</v>
      </c>
      <c r="H3056" s="3" t="s">
        <v>21</v>
      </c>
      <c r="I3056" s="3" t="s">
        <v>33</v>
      </c>
      <c r="J3056" s="5">
        <v>5000000</v>
      </c>
      <c r="K3056" s="3">
        <v>3250702</v>
      </c>
      <c r="L3056" s="3" t="s">
        <v>2159</v>
      </c>
      <c r="M3056" s="3" t="s">
        <v>10863</v>
      </c>
      <c r="N3056" s="3">
        <v>1230</v>
      </c>
      <c r="P3056" s="3" t="s">
        <v>9099</v>
      </c>
      <c r="Q3056" s="3" t="s">
        <v>1054</v>
      </c>
      <c r="R3056" s="3" t="s">
        <v>28</v>
      </c>
      <c r="S3056" s="3">
        <v>13368100</v>
      </c>
      <c r="T3056" s="3">
        <v>1921199000</v>
      </c>
      <c r="U3056" s="3" t="s">
        <v>29</v>
      </c>
    </row>
    <row r="3057" spans="1:21" ht="13.2" x14ac:dyDescent="0.25">
      <c r="A3057" s="14">
        <v>17222117000112</v>
      </c>
      <c r="B3057" s="15" t="str">
        <f t="shared" si="47"/>
        <v>17.222.117/0001-12</v>
      </c>
      <c r="C3057" s="12"/>
      <c r="D3057" s="3" t="s">
        <v>10864</v>
      </c>
      <c r="E3057" s="3" t="s">
        <v>10864</v>
      </c>
      <c r="F3057" s="3" t="s">
        <v>20</v>
      </c>
      <c r="G3057" s="4">
        <v>41234</v>
      </c>
      <c r="H3057" s="3" t="s">
        <v>21</v>
      </c>
      <c r="I3057" s="3" t="s">
        <v>33</v>
      </c>
      <c r="J3057" s="5">
        <v>3000000</v>
      </c>
      <c r="K3057" s="3">
        <v>8011101</v>
      </c>
      <c r="L3057" s="3" t="s">
        <v>943</v>
      </c>
      <c r="M3057" s="3" t="s">
        <v>2515</v>
      </c>
      <c r="N3057" s="3">
        <v>728</v>
      </c>
      <c r="O3057" s="3" t="s">
        <v>1734</v>
      </c>
      <c r="P3057" s="3" t="s">
        <v>2516</v>
      </c>
      <c r="Q3057" s="3" t="s">
        <v>27</v>
      </c>
      <c r="R3057" s="3" t="s">
        <v>28</v>
      </c>
      <c r="S3057" s="3">
        <v>3508000</v>
      </c>
      <c r="T3057" s="3">
        <v>1146520050</v>
      </c>
      <c r="U3057" s="3" t="s">
        <v>29</v>
      </c>
    </row>
    <row r="3058" spans="1:21" ht="13.2" x14ac:dyDescent="0.25">
      <c r="A3058" s="14">
        <v>56977937000176</v>
      </c>
      <c r="B3058" s="15" t="str">
        <f t="shared" si="47"/>
        <v>56.977.937/0001-76</v>
      </c>
      <c r="C3058" s="12"/>
      <c r="D3058" s="3" t="s">
        <v>10865</v>
      </c>
      <c r="E3058" s="3" t="s">
        <v>10866</v>
      </c>
      <c r="F3058" s="3" t="s">
        <v>20</v>
      </c>
      <c r="G3058" s="4">
        <v>32441</v>
      </c>
      <c r="H3058" s="3" t="s">
        <v>21</v>
      </c>
      <c r="I3058" s="3" t="s">
        <v>33</v>
      </c>
      <c r="J3058" s="5">
        <v>700000</v>
      </c>
      <c r="K3058" s="3">
        <v>8299799</v>
      </c>
      <c r="L3058" s="3" t="s">
        <v>532</v>
      </c>
      <c r="M3058" s="3" t="s">
        <v>3791</v>
      </c>
      <c r="N3058" s="3">
        <v>33</v>
      </c>
      <c r="O3058" s="3" t="s">
        <v>496</v>
      </c>
      <c r="P3058" s="3" t="s">
        <v>10867</v>
      </c>
      <c r="Q3058" s="3" t="s">
        <v>1177</v>
      </c>
      <c r="R3058" s="3" t="s">
        <v>28</v>
      </c>
      <c r="S3058" s="3">
        <v>13451107</v>
      </c>
      <c r="T3058" s="3">
        <v>1934991870</v>
      </c>
      <c r="U3058" s="3" t="s">
        <v>29</v>
      </c>
    </row>
    <row r="3059" spans="1:21" ht="13.2" x14ac:dyDescent="0.25">
      <c r="A3059" s="14">
        <v>18408522000192</v>
      </c>
      <c r="B3059" s="15" t="str">
        <f t="shared" si="47"/>
        <v>18.408.522/0001-92</v>
      </c>
      <c r="C3059" s="12"/>
      <c r="D3059" s="3" t="s">
        <v>10868</v>
      </c>
      <c r="E3059" s="3" t="s">
        <v>10869</v>
      </c>
      <c r="F3059" s="3" t="s">
        <v>20</v>
      </c>
      <c r="G3059" s="4">
        <v>41457</v>
      </c>
      <c r="H3059" s="3" t="s">
        <v>21</v>
      </c>
      <c r="I3059" s="3" t="s">
        <v>47</v>
      </c>
      <c r="J3059" s="5">
        <v>200000</v>
      </c>
      <c r="K3059" s="3">
        <v>4679699</v>
      </c>
      <c r="L3059" s="3" t="s">
        <v>40</v>
      </c>
      <c r="M3059" s="3" t="s">
        <v>10870</v>
      </c>
      <c r="N3059" s="3" t="s">
        <v>82</v>
      </c>
      <c r="O3059" s="3" t="s">
        <v>10871</v>
      </c>
      <c r="P3059" s="3" t="s">
        <v>10872</v>
      </c>
      <c r="Q3059" s="3" t="s">
        <v>573</v>
      </c>
      <c r="R3059" s="3" t="s">
        <v>274</v>
      </c>
      <c r="S3059" s="3">
        <v>74933270</v>
      </c>
      <c r="T3059" s="3">
        <v>6298114155</v>
      </c>
      <c r="U3059" s="3" t="s">
        <v>29</v>
      </c>
    </row>
    <row r="3060" spans="1:21" ht="13.2" x14ac:dyDescent="0.25">
      <c r="A3060" s="14">
        <v>3758508000141</v>
      </c>
      <c r="B3060" s="15" t="str">
        <f t="shared" si="47"/>
        <v>03.758.508/0001-41</v>
      </c>
      <c r="C3060" s="12"/>
      <c r="D3060" s="3" t="s">
        <v>10873</v>
      </c>
      <c r="E3060" s="3" t="s">
        <v>10873</v>
      </c>
      <c r="F3060" s="3" t="s">
        <v>45</v>
      </c>
      <c r="G3060" s="4">
        <v>36630</v>
      </c>
      <c r="H3060" s="3" t="s">
        <v>21</v>
      </c>
      <c r="I3060" s="3" t="s">
        <v>22</v>
      </c>
      <c r="J3060" s="5">
        <v>1800000</v>
      </c>
      <c r="K3060" s="3">
        <v>7420005</v>
      </c>
      <c r="L3060" s="3" t="s">
        <v>3355</v>
      </c>
      <c r="M3060" s="3" t="s">
        <v>10874</v>
      </c>
      <c r="N3060" s="3">
        <v>363</v>
      </c>
      <c r="O3060" s="3" t="s">
        <v>10875</v>
      </c>
      <c r="P3060" s="3" t="s">
        <v>10876</v>
      </c>
      <c r="Q3060" s="3" t="s">
        <v>1572</v>
      </c>
      <c r="R3060" s="3" t="s">
        <v>91</v>
      </c>
      <c r="S3060" s="3">
        <v>88137300</v>
      </c>
      <c r="T3060" s="3">
        <v>4899195115</v>
      </c>
      <c r="U3060" s="3" t="s">
        <v>29</v>
      </c>
    </row>
    <row r="3061" spans="1:21" ht="13.2" x14ac:dyDescent="0.25">
      <c r="A3061" s="14">
        <v>38714672000131</v>
      </c>
      <c r="B3061" s="15" t="str">
        <f t="shared" si="47"/>
        <v>38.714.672/0001-31</v>
      </c>
      <c r="C3061" s="12"/>
      <c r="D3061" s="3" t="s">
        <v>10877</v>
      </c>
      <c r="E3061" s="3" t="s">
        <v>10878</v>
      </c>
      <c r="F3061" s="3" t="s">
        <v>20</v>
      </c>
      <c r="G3061" s="4">
        <v>44097</v>
      </c>
      <c r="H3061" s="3" t="s">
        <v>21</v>
      </c>
      <c r="I3061" s="3" t="s">
        <v>33</v>
      </c>
      <c r="J3061" s="5">
        <v>100000</v>
      </c>
      <c r="K3061" s="3">
        <v>4664800</v>
      </c>
      <c r="L3061" s="3" t="s">
        <v>691</v>
      </c>
      <c r="M3061" s="3" t="s">
        <v>3498</v>
      </c>
      <c r="N3061" s="3">
        <v>1335</v>
      </c>
      <c r="O3061" s="3" t="s">
        <v>505</v>
      </c>
      <c r="P3061" s="3" t="s">
        <v>2681</v>
      </c>
      <c r="Q3061" s="3" t="s">
        <v>471</v>
      </c>
      <c r="R3061" s="3" t="s">
        <v>28</v>
      </c>
      <c r="S3061" s="3">
        <v>9560010</v>
      </c>
      <c r="T3061" s="3">
        <v>1130900636</v>
      </c>
      <c r="U3061" s="3" t="s">
        <v>29</v>
      </c>
    </row>
    <row r="3062" spans="1:21" ht="13.2" x14ac:dyDescent="0.25">
      <c r="A3062" s="14">
        <v>7426902000133</v>
      </c>
      <c r="B3062" s="15" t="str">
        <f t="shared" si="47"/>
        <v>07.426.902/0001-33</v>
      </c>
      <c r="C3062" s="12"/>
      <c r="D3062" s="3" t="s">
        <v>10879</v>
      </c>
      <c r="E3062" s="3" t="s">
        <v>10880</v>
      </c>
      <c r="F3062" s="3" t="s">
        <v>20</v>
      </c>
      <c r="G3062" s="4">
        <v>38491</v>
      </c>
      <c r="H3062" s="3" t="s">
        <v>21</v>
      </c>
      <c r="I3062" s="3" t="s">
        <v>33</v>
      </c>
      <c r="J3062" s="5">
        <v>500000</v>
      </c>
      <c r="K3062" s="3">
        <v>6110803</v>
      </c>
      <c r="L3062" s="3" t="s">
        <v>339</v>
      </c>
      <c r="M3062" s="3" t="s">
        <v>294</v>
      </c>
      <c r="N3062" s="3">
        <v>398</v>
      </c>
      <c r="O3062" s="3" t="s">
        <v>10881</v>
      </c>
      <c r="P3062" s="3" t="s">
        <v>10882</v>
      </c>
      <c r="Q3062" s="3" t="s">
        <v>273</v>
      </c>
      <c r="R3062" s="3" t="s">
        <v>274</v>
      </c>
      <c r="S3062" s="3">
        <v>74715450</v>
      </c>
      <c r="T3062" s="3">
        <v>6233323496</v>
      </c>
      <c r="U3062" s="3" t="s">
        <v>29</v>
      </c>
    </row>
    <row r="3063" spans="1:21" ht="13.2" x14ac:dyDescent="0.25">
      <c r="A3063" s="14">
        <v>13325593000108</v>
      </c>
      <c r="B3063" s="15" t="str">
        <f t="shared" si="47"/>
        <v>13.325.593/0001-08</v>
      </c>
      <c r="C3063" s="12"/>
      <c r="D3063" s="3" t="s">
        <v>10883</v>
      </c>
      <c r="E3063" s="3" t="s">
        <v>10884</v>
      </c>
      <c r="F3063" s="3" t="s">
        <v>20</v>
      </c>
      <c r="G3063" s="4">
        <v>40599</v>
      </c>
      <c r="H3063" s="3" t="s">
        <v>21</v>
      </c>
      <c r="I3063" s="3" t="s">
        <v>22</v>
      </c>
      <c r="J3063" s="5">
        <v>1200000</v>
      </c>
      <c r="K3063" s="3">
        <v>8230001</v>
      </c>
      <c r="L3063" s="3" t="s">
        <v>2141</v>
      </c>
      <c r="M3063" s="3" t="s">
        <v>10885</v>
      </c>
      <c r="N3063" s="3" t="s">
        <v>111</v>
      </c>
      <c r="O3063" s="3" t="s">
        <v>10886</v>
      </c>
      <c r="P3063" s="3" t="s">
        <v>1456</v>
      </c>
      <c r="Q3063" s="3" t="s">
        <v>631</v>
      </c>
      <c r="R3063" s="3" t="s">
        <v>632</v>
      </c>
      <c r="S3063" s="3">
        <v>71250105</v>
      </c>
      <c r="T3063" s="3">
        <v>6130421316</v>
      </c>
      <c r="U3063" s="3" t="s">
        <v>29</v>
      </c>
    </row>
    <row r="3064" spans="1:21" ht="13.2" x14ac:dyDescent="0.25">
      <c r="A3064" s="14">
        <v>14127813000151</v>
      </c>
      <c r="B3064" s="15" t="str">
        <f t="shared" si="47"/>
        <v>14.127.813/0001-51</v>
      </c>
      <c r="C3064" s="12"/>
      <c r="D3064" s="3" t="s">
        <v>10887</v>
      </c>
      <c r="E3064" s="3" t="s">
        <v>10887</v>
      </c>
      <c r="F3064" s="3" t="s">
        <v>20</v>
      </c>
      <c r="G3064" s="4">
        <v>40749</v>
      </c>
      <c r="H3064" s="3" t="s">
        <v>377</v>
      </c>
      <c r="I3064" s="3" t="s">
        <v>33</v>
      </c>
      <c r="J3064" s="5">
        <v>585136400</v>
      </c>
      <c r="K3064" s="3">
        <v>6319400</v>
      </c>
      <c r="L3064" s="3" t="s">
        <v>1953</v>
      </c>
      <c r="M3064" s="3" t="s">
        <v>10888</v>
      </c>
      <c r="N3064" s="3">
        <v>2345</v>
      </c>
      <c r="O3064" s="3" t="s">
        <v>2676</v>
      </c>
      <c r="P3064" s="3" t="s">
        <v>874</v>
      </c>
      <c r="Q3064" s="3" t="s">
        <v>27</v>
      </c>
      <c r="R3064" s="3" t="s">
        <v>28</v>
      </c>
      <c r="S3064" s="3">
        <v>1441001</v>
      </c>
      <c r="T3064" s="3">
        <v>1111111111</v>
      </c>
      <c r="U3064" s="3" t="s">
        <v>29</v>
      </c>
    </row>
    <row r="3065" spans="1:21" ht="13.2" x14ac:dyDescent="0.25">
      <c r="A3065" s="14">
        <v>4054617000140</v>
      </c>
      <c r="B3065" s="15" t="str">
        <f t="shared" si="47"/>
        <v>04.054.617/0001-40</v>
      </c>
      <c r="C3065" s="12"/>
      <c r="D3065" s="3" t="s">
        <v>10889</v>
      </c>
      <c r="E3065" s="3" t="s">
        <v>10890</v>
      </c>
      <c r="F3065" s="3" t="s">
        <v>20</v>
      </c>
      <c r="G3065" s="4">
        <v>36790</v>
      </c>
      <c r="H3065" s="3" t="s">
        <v>21</v>
      </c>
      <c r="I3065" s="3" t="s">
        <v>33</v>
      </c>
      <c r="J3065" s="5">
        <v>1400000</v>
      </c>
      <c r="K3065" s="3">
        <v>4645101</v>
      </c>
      <c r="L3065" s="3" t="s">
        <v>135</v>
      </c>
      <c r="M3065" s="3" t="s">
        <v>10891</v>
      </c>
      <c r="N3065" s="3">
        <v>3076</v>
      </c>
      <c r="P3065" s="3" t="s">
        <v>2392</v>
      </c>
      <c r="Q3065" s="3" t="s">
        <v>6463</v>
      </c>
      <c r="R3065" s="3" t="s">
        <v>1604</v>
      </c>
      <c r="S3065" s="3">
        <v>76803854</v>
      </c>
      <c r="T3065" s="3">
        <v>6932235602</v>
      </c>
      <c r="U3065" s="3" t="s">
        <v>29</v>
      </c>
    </row>
    <row r="3066" spans="1:21" ht="13.2" x14ac:dyDescent="0.25">
      <c r="A3066" s="14">
        <v>18960907000168</v>
      </c>
      <c r="B3066" s="15" t="str">
        <f t="shared" si="47"/>
        <v>18.960.907/0001-68</v>
      </c>
      <c r="C3066" s="12" t="str">
        <f>VLOOKUP(B3066,[1]Planilha1!$A:$B,2,0)</f>
        <v>Malu Montesino</v>
      </c>
      <c r="D3066" s="3" t="s">
        <v>10892</v>
      </c>
      <c r="E3066" s="3" t="s">
        <v>10893</v>
      </c>
      <c r="F3066" s="3" t="s">
        <v>20</v>
      </c>
      <c r="G3066" s="4">
        <v>41543</v>
      </c>
      <c r="H3066" s="3" t="s">
        <v>21</v>
      </c>
      <c r="I3066" s="3" t="s">
        <v>22</v>
      </c>
      <c r="J3066" s="5">
        <v>300000</v>
      </c>
      <c r="K3066" s="3">
        <v>4662100</v>
      </c>
      <c r="L3066" s="3" t="s">
        <v>2324</v>
      </c>
      <c r="M3066" s="3" t="s">
        <v>107</v>
      </c>
      <c r="N3066" s="3">
        <v>622</v>
      </c>
      <c r="P3066" s="3" t="s">
        <v>885</v>
      </c>
      <c r="Q3066" s="3" t="s">
        <v>27</v>
      </c>
      <c r="R3066" s="3" t="s">
        <v>28</v>
      </c>
      <c r="S3066" s="3">
        <v>3185050</v>
      </c>
      <c r="T3066" s="3">
        <v>1126017417</v>
      </c>
      <c r="U3066" s="3" t="s">
        <v>29</v>
      </c>
    </row>
    <row r="3067" spans="1:21" ht="13.2" x14ac:dyDescent="0.25">
      <c r="A3067" s="14">
        <v>13001933000145</v>
      </c>
      <c r="B3067" s="15" t="str">
        <f t="shared" si="47"/>
        <v>13.001.933/0001-45</v>
      </c>
      <c r="C3067" s="12"/>
      <c r="D3067" s="3" t="s">
        <v>10894</v>
      </c>
      <c r="E3067" s="3" t="s">
        <v>10895</v>
      </c>
      <c r="F3067" s="3" t="s">
        <v>20</v>
      </c>
      <c r="G3067" s="4">
        <v>40522</v>
      </c>
      <c r="H3067" s="3" t="s">
        <v>21</v>
      </c>
      <c r="I3067" s="3" t="s">
        <v>22</v>
      </c>
      <c r="J3067" s="5">
        <v>200000</v>
      </c>
      <c r="K3067" s="3">
        <v>5911102</v>
      </c>
      <c r="L3067" s="3" t="s">
        <v>10896</v>
      </c>
      <c r="M3067" s="3" t="s">
        <v>10897</v>
      </c>
      <c r="N3067" s="3">
        <v>38</v>
      </c>
      <c r="O3067" s="3" t="s">
        <v>10898</v>
      </c>
      <c r="P3067" s="3" t="s">
        <v>1745</v>
      </c>
      <c r="Q3067" s="3" t="s">
        <v>631</v>
      </c>
      <c r="R3067" s="3" t="s">
        <v>632</v>
      </c>
      <c r="S3067" s="3">
        <v>70340906</v>
      </c>
      <c r="T3067" s="3">
        <v>6184241131</v>
      </c>
      <c r="U3067" s="3" t="s">
        <v>29</v>
      </c>
    </row>
    <row r="3068" spans="1:21" ht="13.2" x14ac:dyDescent="0.25">
      <c r="A3068" s="14">
        <v>11275560000175</v>
      </c>
      <c r="B3068" s="15" t="str">
        <f t="shared" si="47"/>
        <v>11.275.560/0001-75</v>
      </c>
      <c r="C3068" s="12"/>
      <c r="D3068" s="3" t="s">
        <v>10899</v>
      </c>
      <c r="E3068" s="3" t="s">
        <v>10900</v>
      </c>
      <c r="F3068" s="3" t="s">
        <v>20</v>
      </c>
      <c r="G3068" s="4">
        <v>40114</v>
      </c>
      <c r="H3068" s="3" t="s">
        <v>21</v>
      </c>
      <c r="I3068" s="3" t="s">
        <v>33</v>
      </c>
      <c r="J3068" s="5">
        <v>300653760</v>
      </c>
      <c r="K3068" s="3">
        <v>6619399</v>
      </c>
      <c r="L3068" s="3" t="s">
        <v>4160</v>
      </c>
      <c r="M3068" s="3" t="s">
        <v>2340</v>
      </c>
      <c r="N3068" s="3">
        <v>4055</v>
      </c>
      <c r="O3068" s="3" t="s">
        <v>10901</v>
      </c>
      <c r="P3068" s="3" t="s">
        <v>1230</v>
      </c>
      <c r="Q3068" s="3" t="s">
        <v>27</v>
      </c>
      <c r="R3068" s="3" t="s">
        <v>28</v>
      </c>
      <c r="S3068" s="3">
        <v>4538133</v>
      </c>
      <c r="T3068" s="3">
        <v>1134436256</v>
      </c>
      <c r="U3068" s="3" t="s">
        <v>29</v>
      </c>
    </row>
    <row r="3069" spans="1:21" ht="13.2" x14ac:dyDescent="0.25">
      <c r="A3069" s="14">
        <v>59557124000115</v>
      </c>
      <c r="B3069" s="15" t="str">
        <f t="shared" si="47"/>
        <v>59.557.124/0001-15</v>
      </c>
      <c r="C3069" s="12"/>
      <c r="D3069" s="3" t="s">
        <v>10902</v>
      </c>
      <c r="E3069" s="3" t="s">
        <v>10902</v>
      </c>
      <c r="F3069" s="3" t="s">
        <v>20</v>
      </c>
      <c r="G3069" s="4">
        <v>32428</v>
      </c>
      <c r="H3069" s="3" t="s">
        <v>21</v>
      </c>
      <c r="I3069" s="3" t="s">
        <v>33</v>
      </c>
      <c r="J3069" s="5">
        <v>390527500</v>
      </c>
      <c r="K3069" s="3">
        <v>2062200</v>
      </c>
      <c r="L3069" s="3" t="s">
        <v>2500</v>
      </c>
      <c r="M3069" s="3" t="s">
        <v>1797</v>
      </c>
      <c r="N3069" s="3">
        <v>8015</v>
      </c>
      <c r="O3069" s="3" t="s">
        <v>5035</v>
      </c>
      <c r="P3069" s="3" t="s">
        <v>10903</v>
      </c>
      <c r="Q3069" s="3" t="s">
        <v>27</v>
      </c>
      <c r="R3069" s="3" t="s">
        <v>28</v>
      </c>
      <c r="S3069" s="3">
        <v>5577900</v>
      </c>
      <c r="T3069" s="3">
        <v>1137837356</v>
      </c>
      <c r="U3069" s="3" t="s">
        <v>29</v>
      </c>
    </row>
    <row r="3070" spans="1:21" ht="13.2" x14ac:dyDescent="0.25">
      <c r="A3070" s="14">
        <v>3286444000123</v>
      </c>
      <c r="B3070" s="15" t="str">
        <f t="shared" si="47"/>
        <v>03.286.444/0001-23</v>
      </c>
      <c r="C3070" s="12"/>
      <c r="D3070" s="3" t="s">
        <v>10904</v>
      </c>
      <c r="E3070" s="3" t="s">
        <v>10904</v>
      </c>
      <c r="F3070" s="3" t="s">
        <v>20</v>
      </c>
      <c r="G3070" s="4">
        <v>36355</v>
      </c>
      <c r="H3070" s="3" t="s">
        <v>21</v>
      </c>
      <c r="I3070" s="3" t="s">
        <v>22</v>
      </c>
      <c r="J3070" s="5">
        <v>300000</v>
      </c>
      <c r="K3070" s="3">
        <v>4751201</v>
      </c>
      <c r="L3070" s="3" t="s">
        <v>23</v>
      </c>
      <c r="M3070" s="3" t="s">
        <v>10905</v>
      </c>
      <c r="N3070" s="3">
        <v>302</v>
      </c>
      <c r="O3070" s="3" t="s">
        <v>10906</v>
      </c>
      <c r="P3070" s="3" t="s">
        <v>70</v>
      </c>
      <c r="Q3070" s="3" t="s">
        <v>262</v>
      </c>
      <c r="R3070" s="3" t="s">
        <v>28</v>
      </c>
      <c r="S3070" s="3">
        <v>6097070</v>
      </c>
      <c r="T3070" s="3">
        <v>1136882727</v>
      </c>
      <c r="U3070" s="3" t="s">
        <v>29</v>
      </c>
    </row>
    <row r="3071" spans="1:21" ht="13.2" x14ac:dyDescent="0.25">
      <c r="A3071" s="14">
        <v>944539000107</v>
      </c>
      <c r="B3071" s="15" t="str">
        <f t="shared" si="47"/>
        <v>00.944.539/0001-07</v>
      </c>
      <c r="C3071" s="12"/>
      <c r="D3071" s="3" t="s">
        <v>10907</v>
      </c>
      <c r="E3071" s="3" t="s">
        <v>10907</v>
      </c>
      <c r="F3071" s="3" t="s">
        <v>20</v>
      </c>
      <c r="G3071" s="4">
        <v>35037</v>
      </c>
      <c r="H3071" s="3" t="s">
        <v>21</v>
      </c>
      <c r="I3071" s="3" t="s">
        <v>22</v>
      </c>
      <c r="J3071" s="5">
        <v>245000</v>
      </c>
      <c r="K3071" s="3">
        <v>4744099</v>
      </c>
      <c r="L3071" s="3" t="s">
        <v>115</v>
      </c>
      <c r="M3071" s="3" t="s">
        <v>10908</v>
      </c>
      <c r="N3071" s="3">
        <v>616</v>
      </c>
      <c r="P3071" s="3" t="s">
        <v>70</v>
      </c>
      <c r="Q3071" s="3" t="s">
        <v>4917</v>
      </c>
      <c r="R3071" s="3" t="s">
        <v>53</v>
      </c>
      <c r="S3071" s="3">
        <v>98780001</v>
      </c>
      <c r="T3071" s="3">
        <v>5535126323</v>
      </c>
      <c r="U3071" s="3" t="s">
        <v>29</v>
      </c>
    </row>
    <row r="3072" spans="1:21" ht="13.2" x14ac:dyDescent="0.25">
      <c r="A3072" s="14">
        <v>91333666000117</v>
      </c>
      <c r="B3072" s="15" t="str">
        <f t="shared" si="47"/>
        <v>91.333.666/0001-17</v>
      </c>
      <c r="C3072" s="12"/>
      <c r="D3072" s="3" t="s">
        <v>10909</v>
      </c>
      <c r="E3072" s="3" t="s">
        <v>10909</v>
      </c>
      <c r="F3072" s="3" t="s">
        <v>20</v>
      </c>
      <c r="G3072" s="4">
        <v>25755</v>
      </c>
      <c r="H3072" s="3" t="s">
        <v>377</v>
      </c>
      <c r="I3072" s="3" t="s">
        <v>33</v>
      </c>
      <c r="J3072" s="5">
        <v>350000000</v>
      </c>
      <c r="K3072" s="3">
        <v>2930101</v>
      </c>
      <c r="L3072" s="3" t="s">
        <v>856</v>
      </c>
      <c r="M3072" s="3" t="s">
        <v>1130</v>
      </c>
      <c r="N3072" s="3">
        <v>972</v>
      </c>
      <c r="P3072" s="3" t="s">
        <v>7583</v>
      </c>
      <c r="Q3072" s="3" t="s">
        <v>437</v>
      </c>
      <c r="R3072" s="3" t="s">
        <v>53</v>
      </c>
      <c r="S3072" s="3">
        <v>90200290</v>
      </c>
      <c r="T3072" s="3">
        <v>5139860200</v>
      </c>
      <c r="U3072" s="3" t="s">
        <v>29</v>
      </c>
    </row>
    <row r="3073" spans="1:21" ht="13.2" x14ac:dyDescent="0.25">
      <c r="A3073" s="14">
        <v>7069791000155</v>
      </c>
      <c r="B3073" s="15" t="str">
        <f t="shared" si="47"/>
        <v>07.069.791/0001-55</v>
      </c>
      <c r="C3073" s="12"/>
      <c r="D3073" s="3" t="s">
        <v>10910</v>
      </c>
      <c r="E3073" s="3" t="s">
        <v>10910</v>
      </c>
      <c r="F3073" s="3" t="s">
        <v>20</v>
      </c>
      <c r="G3073" s="4">
        <v>38295</v>
      </c>
      <c r="H3073" s="3" t="s">
        <v>21</v>
      </c>
      <c r="I3073" s="3" t="s">
        <v>33</v>
      </c>
      <c r="J3073" s="5">
        <v>11728419</v>
      </c>
      <c r="K3073" s="3">
        <v>6203100</v>
      </c>
      <c r="L3073" s="3" t="s">
        <v>2268</v>
      </c>
      <c r="M3073" s="3" t="s">
        <v>2340</v>
      </c>
      <c r="N3073" s="3">
        <v>3732</v>
      </c>
      <c r="O3073" s="3" t="s">
        <v>10911</v>
      </c>
      <c r="P3073" s="3" t="s">
        <v>1230</v>
      </c>
      <c r="Q3073" s="3" t="s">
        <v>27</v>
      </c>
      <c r="R3073" s="3" t="s">
        <v>28</v>
      </c>
      <c r="S3073" s="3">
        <v>4538132</v>
      </c>
      <c r="T3073" s="3">
        <v>1135296041</v>
      </c>
      <c r="U3073" s="3" t="s">
        <v>29</v>
      </c>
    </row>
    <row r="3074" spans="1:21" ht="13.2" x14ac:dyDescent="0.25">
      <c r="A3074" s="14">
        <v>3508097000136</v>
      </c>
      <c r="B3074" s="15" t="str">
        <f t="shared" si="47"/>
        <v>03.508.097/0001-36</v>
      </c>
      <c r="C3074" s="12"/>
      <c r="D3074" s="3" t="s">
        <v>10912</v>
      </c>
      <c r="E3074" s="3" t="s">
        <v>10912</v>
      </c>
      <c r="F3074" s="3" t="s">
        <v>20</v>
      </c>
      <c r="G3074" s="4">
        <v>36475</v>
      </c>
      <c r="H3074" s="3" t="s">
        <v>244</v>
      </c>
      <c r="I3074" s="3" t="s">
        <v>33</v>
      </c>
      <c r="J3074" s="5">
        <v>0</v>
      </c>
      <c r="K3074" s="3">
        <v>9430800</v>
      </c>
      <c r="L3074" s="3" t="s">
        <v>626</v>
      </c>
      <c r="M3074" s="3" t="s">
        <v>6493</v>
      </c>
      <c r="N3074" s="3">
        <v>116</v>
      </c>
      <c r="O3074" s="3" t="s">
        <v>10913</v>
      </c>
      <c r="P3074" s="3" t="s">
        <v>3697</v>
      </c>
      <c r="Q3074" s="3" t="s">
        <v>253</v>
      </c>
      <c r="R3074" s="3" t="s">
        <v>78</v>
      </c>
      <c r="S3074" s="3">
        <v>22290906</v>
      </c>
      <c r="T3074" s="3">
        <v>2121029660</v>
      </c>
      <c r="U3074" s="3" t="s">
        <v>29</v>
      </c>
    </row>
    <row r="3075" spans="1:21" ht="13.2" x14ac:dyDescent="0.25">
      <c r="A3075" s="14">
        <v>14058868000157</v>
      </c>
      <c r="B3075" s="15" t="str">
        <f t="shared" ref="B3075:B3138" si="48">TEXT(A3075,"00\.000\.000\/0000\-00")</f>
        <v>14.058.868/0001-57</v>
      </c>
      <c r="C3075" s="12"/>
      <c r="D3075" s="3" t="s">
        <v>10914</v>
      </c>
      <c r="E3075" s="3" t="s">
        <v>10915</v>
      </c>
      <c r="F3075" s="3" t="s">
        <v>20</v>
      </c>
      <c r="G3075" s="4">
        <v>40701</v>
      </c>
      <c r="H3075" s="3" t="s">
        <v>21</v>
      </c>
      <c r="I3075" s="3" t="s">
        <v>22</v>
      </c>
      <c r="J3075" s="5">
        <v>10000</v>
      </c>
      <c r="K3075" s="3">
        <v>4751201</v>
      </c>
      <c r="L3075" s="3" t="s">
        <v>23</v>
      </c>
      <c r="M3075" s="3" t="s">
        <v>6341</v>
      </c>
      <c r="N3075" s="3">
        <v>297</v>
      </c>
      <c r="O3075" s="3" t="s">
        <v>496</v>
      </c>
      <c r="P3075" s="3" t="s">
        <v>6343</v>
      </c>
      <c r="Q3075" s="3" t="s">
        <v>27</v>
      </c>
      <c r="R3075" s="3" t="s">
        <v>28</v>
      </c>
      <c r="S3075" s="3">
        <v>4257145</v>
      </c>
      <c r="T3075" s="3">
        <v>1123535555</v>
      </c>
      <c r="U3075" s="3" t="s">
        <v>29</v>
      </c>
    </row>
    <row r="3076" spans="1:21" ht="13.2" x14ac:dyDescent="0.25">
      <c r="A3076" s="14">
        <v>45769285000168</v>
      </c>
      <c r="B3076" s="15" t="str">
        <f t="shared" si="48"/>
        <v>45.769.285/0001-68</v>
      </c>
      <c r="C3076" s="12"/>
      <c r="D3076" s="3" t="s">
        <v>10916</v>
      </c>
      <c r="E3076" s="3" t="s">
        <v>10917</v>
      </c>
      <c r="F3076" s="3" t="s">
        <v>20</v>
      </c>
      <c r="G3076" s="4">
        <v>44644</v>
      </c>
      <c r="H3076" s="3" t="s">
        <v>21</v>
      </c>
      <c r="I3076" s="3" t="s">
        <v>22</v>
      </c>
      <c r="J3076" s="5">
        <v>500000</v>
      </c>
      <c r="K3076" s="3">
        <v>4672900</v>
      </c>
      <c r="L3076" s="3" t="s">
        <v>1389</v>
      </c>
      <c r="M3076" s="3" t="s">
        <v>10918</v>
      </c>
      <c r="N3076" s="3">
        <v>149</v>
      </c>
      <c r="P3076" s="3" t="s">
        <v>2014</v>
      </c>
      <c r="Q3076" s="3" t="s">
        <v>2015</v>
      </c>
      <c r="R3076" s="3" t="s">
        <v>91</v>
      </c>
      <c r="S3076" s="3">
        <v>89066530</v>
      </c>
      <c r="T3076" s="3">
        <v>4792687675</v>
      </c>
      <c r="U3076" s="3" t="s">
        <v>29</v>
      </c>
    </row>
    <row r="3077" spans="1:21" ht="13.2" x14ac:dyDescent="0.25">
      <c r="A3077" s="14">
        <v>47419270000529</v>
      </c>
      <c r="B3077" s="15" t="str">
        <f t="shared" si="48"/>
        <v>47.419.270/0005-29</v>
      </c>
      <c r="C3077" s="12" t="str">
        <f>VLOOKUP(B3077,[1]Planilha1!$A:$B,2,0)</f>
        <v>Malu Montesino</v>
      </c>
      <c r="D3077" s="3" t="s">
        <v>10919</v>
      </c>
      <c r="E3077" s="3" t="s">
        <v>10919</v>
      </c>
      <c r="F3077" s="3" t="s">
        <v>20</v>
      </c>
      <c r="G3077" s="4">
        <v>36494</v>
      </c>
      <c r="H3077" s="3" t="s">
        <v>21</v>
      </c>
      <c r="I3077" s="3" t="s">
        <v>33</v>
      </c>
      <c r="J3077" s="5">
        <v>101718660</v>
      </c>
      <c r="K3077" s="3">
        <v>4689399</v>
      </c>
      <c r="L3077" s="3" t="s">
        <v>783</v>
      </c>
      <c r="M3077" s="3" t="s">
        <v>10920</v>
      </c>
      <c r="N3077" s="3">
        <v>61</v>
      </c>
      <c r="O3077" s="3" t="s">
        <v>10921</v>
      </c>
      <c r="P3077" s="3" t="s">
        <v>4930</v>
      </c>
      <c r="Q3077" s="3" t="s">
        <v>417</v>
      </c>
      <c r="R3077" s="3" t="s">
        <v>53</v>
      </c>
      <c r="S3077" s="3">
        <v>95170010</v>
      </c>
      <c r="T3077" s="3">
        <v>5432158100</v>
      </c>
      <c r="U3077" s="3" t="s">
        <v>29</v>
      </c>
    </row>
    <row r="3078" spans="1:21" ht="13.2" x14ac:dyDescent="0.25">
      <c r="A3078" s="14">
        <v>625094000194</v>
      </c>
      <c r="B3078" s="15" t="str">
        <f t="shared" si="48"/>
        <v>00.625.094/0001-94</v>
      </c>
      <c r="C3078" s="12"/>
      <c r="D3078" s="3" t="s">
        <v>10922</v>
      </c>
      <c r="E3078" s="3" t="s">
        <v>10922</v>
      </c>
      <c r="F3078" s="3" t="s">
        <v>20</v>
      </c>
      <c r="G3078" s="4">
        <v>34843</v>
      </c>
      <c r="H3078" s="3" t="s">
        <v>21</v>
      </c>
      <c r="I3078" s="3" t="s">
        <v>22</v>
      </c>
      <c r="J3078" s="5">
        <v>150000</v>
      </c>
      <c r="K3078" s="3">
        <v>2543800</v>
      </c>
      <c r="L3078" s="3" t="s">
        <v>1469</v>
      </c>
      <c r="M3078" s="3" t="s">
        <v>10923</v>
      </c>
      <c r="N3078" s="3">
        <v>2001</v>
      </c>
      <c r="P3078" s="3" t="s">
        <v>10924</v>
      </c>
      <c r="Q3078" s="3" t="s">
        <v>2313</v>
      </c>
      <c r="R3078" s="3" t="s">
        <v>28</v>
      </c>
      <c r="S3078" s="3">
        <v>12929365</v>
      </c>
      <c r="T3078" s="3">
        <v>1140326481</v>
      </c>
      <c r="U3078" s="3" t="s">
        <v>29</v>
      </c>
    </row>
    <row r="3079" spans="1:21" ht="13.2" x14ac:dyDescent="0.25">
      <c r="A3079" s="14">
        <v>14425368000106</v>
      </c>
      <c r="B3079" s="15" t="str">
        <f t="shared" si="48"/>
        <v>14.425.368/0001-06</v>
      </c>
      <c r="C3079" s="12"/>
      <c r="D3079" s="3" t="s">
        <v>10925</v>
      </c>
      <c r="E3079" s="3" t="s">
        <v>10925</v>
      </c>
      <c r="F3079" s="3" t="s">
        <v>45</v>
      </c>
      <c r="G3079" s="4">
        <v>40806</v>
      </c>
      <c r="H3079" s="3" t="s">
        <v>21</v>
      </c>
      <c r="I3079" s="3" t="s">
        <v>47</v>
      </c>
      <c r="J3079" s="5">
        <v>1000</v>
      </c>
      <c r="K3079" s="3">
        <v>4322302</v>
      </c>
      <c r="L3079" s="3" t="s">
        <v>5651</v>
      </c>
      <c r="M3079" s="3" t="s">
        <v>10926</v>
      </c>
      <c r="N3079" s="3">
        <v>326</v>
      </c>
      <c r="O3079" s="3" t="s">
        <v>505</v>
      </c>
      <c r="P3079" s="3" t="s">
        <v>2181</v>
      </c>
      <c r="Q3079" s="3" t="s">
        <v>27</v>
      </c>
      <c r="R3079" s="3" t="s">
        <v>28</v>
      </c>
      <c r="S3079" s="3">
        <v>5073000</v>
      </c>
      <c r="T3079" s="3">
        <v>1139366672</v>
      </c>
      <c r="U3079" s="3" t="s">
        <v>29</v>
      </c>
    </row>
    <row r="3080" spans="1:21" ht="13.2" x14ac:dyDescent="0.25">
      <c r="A3080" s="14">
        <v>30660587000126</v>
      </c>
      <c r="B3080" s="15" t="str">
        <f t="shared" si="48"/>
        <v>30.660.587/0001-26</v>
      </c>
      <c r="C3080" s="12"/>
      <c r="D3080" s="3" t="s">
        <v>10927</v>
      </c>
      <c r="E3080" s="3" t="s">
        <v>10927</v>
      </c>
      <c r="F3080" s="3" t="s">
        <v>20</v>
      </c>
      <c r="G3080" s="4">
        <v>43259</v>
      </c>
      <c r="H3080" s="3" t="s">
        <v>46</v>
      </c>
      <c r="I3080" s="3" t="s">
        <v>47</v>
      </c>
      <c r="J3080" s="5">
        <v>10000</v>
      </c>
      <c r="K3080" s="3">
        <v>7111100</v>
      </c>
      <c r="L3080" s="3" t="s">
        <v>1115</v>
      </c>
      <c r="M3080" s="3" t="s">
        <v>901</v>
      </c>
      <c r="N3080" s="3">
        <v>1771</v>
      </c>
      <c r="O3080" s="3" t="s">
        <v>10928</v>
      </c>
      <c r="P3080" s="3" t="s">
        <v>903</v>
      </c>
      <c r="Q3080" s="3" t="s">
        <v>27</v>
      </c>
      <c r="R3080" s="3" t="s">
        <v>28</v>
      </c>
      <c r="S3080" s="3">
        <v>4045003</v>
      </c>
      <c r="T3080" s="3">
        <v>1185034877</v>
      </c>
      <c r="U3080" s="3" t="s">
        <v>29</v>
      </c>
    </row>
    <row r="3081" spans="1:21" ht="13.2" x14ac:dyDescent="0.25">
      <c r="A3081" s="14">
        <v>14444448000109</v>
      </c>
      <c r="B3081" s="15" t="str">
        <f t="shared" si="48"/>
        <v>14.444.448/0001-09</v>
      </c>
      <c r="C3081" s="12"/>
      <c r="D3081" s="3" t="s">
        <v>10929</v>
      </c>
      <c r="E3081" s="3" t="s">
        <v>10930</v>
      </c>
      <c r="F3081" s="3" t="s">
        <v>45</v>
      </c>
      <c r="G3081" s="4">
        <v>40815</v>
      </c>
      <c r="H3081" s="3" t="s">
        <v>21</v>
      </c>
      <c r="I3081" s="3" t="s">
        <v>22</v>
      </c>
      <c r="J3081" s="5">
        <v>100000</v>
      </c>
      <c r="K3081" s="3">
        <v>3299099</v>
      </c>
      <c r="L3081" s="3" t="s">
        <v>2484</v>
      </c>
      <c r="M3081" s="3" t="s">
        <v>10931</v>
      </c>
      <c r="N3081" s="3">
        <v>74</v>
      </c>
      <c r="P3081" s="3" t="s">
        <v>10932</v>
      </c>
      <c r="Q3081" s="3" t="s">
        <v>357</v>
      </c>
      <c r="R3081" s="3" t="s">
        <v>28</v>
      </c>
      <c r="S3081" s="3">
        <v>7180240</v>
      </c>
      <c r="T3081" s="3">
        <v>1122790496</v>
      </c>
      <c r="U3081" s="3" t="s">
        <v>29</v>
      </c>
    </row>
    <row r="3082" spans="1:21" ht="13.2" x14ac:dyDescent="0.25">
      <c r="A3082" s="14">
        <v>1069573000134</v>
      </c>
      <c r="B3082" s="15" t="str">
        <f t="shared" si="48"/>
        <v>01.069.573/0001-34</v>
      </c>
      <c r="C3082" s="12"/>
      <c r="D3082" s="3" t="s">
        <v>10933</v>
      </c>
      <c r="E3082" s="3" t="s">
        <v>10933</v>
      </c>
      <c r="F3082" s="3" t="s">
        <v>20</v>
      </c>
      <c r="G3082" s="4">
        <v>35116</v>
      </c>
      <c r="H3082" s="3" t="s">
        <v>21</v>
      </c>
      <c r="I3082" s="3" t="s">
        <v>33</v>
      </c>
      <c r="J3082" s="5">
        <v>9852300</v>
      </c>
      <c r="K3082" s="3">
        <v>4530701</v>
      </c>
      <c r="L3082" s="3" t="s">
        <v>2176</v>
      </c>
      <c r="M3082" s="3" t="s">
        <v>6148</v>
      </c>
      <c r="N3082" s="3">
        <v>223</v>
      </c>
      <c r="O3082" s="3" t="s">
        <v>10934</v>
      </c>
      <c r="P3082" s="3" t="s">
        <v>316</v>
      </c>
      <c r="Q3082" s="3" t="s">
        <v>27</v>
      </c>
      <c r="R3082" s="3" t="s">
        <v>28</v>
      </c>
      <c r="S3082" s="3">
        <v>4551010</v>
      </c>
      <c r="T3082" s="3">
        <v>1155092454</v>
      </c>
      <c r="U3082" s="3" t="s">
        <v>29</v>
      </c>
    </row>
    <row r="3083" spans="1:21" ht="13.2" x14ac:dyDescent="0.25">
      <c r="A3083" s="14">
        <v>61142865000187</v>
      </c>
      <c r="B3083" s="15" t="str">
        <f t="shared" si="48"/>
        <v>61.142.865/0001-87</v>
      </c>
      <c r="C3083" s="12"/>
      <c r="D3083" s="3" t="s">
        <v>10935</v>
      </c>
      <c r="E3083" s="3" t="s">
        <v>10935</v>
      </c>
      <c r="F3083" s="3" t="s">
        <v>45</v>
      </c>
      <c r="G3083" s="4">
        <v>24301</v>
      </c>
      <c r="H3083" s="3" t="s">
        <v>94</v>
      </c>
      <c r="I3083" s="3" t="s">
        <v>33</v>
      </c>
      <c r="J3083" s="5">
        <v>317000000</v>
      </c>
      <c r="K3083" s="3">
        <v>2071100</v>
      </c>
      <c r="L3083" s="3" t="s">
        <v>877</v>
      </c>
      <c r="M3083" s="3" t="s">
        <v>10936</v>
      </c>
      <c r="N3083" s="3" t="s">
        <v>82</v>
      </c>
      <c r="P3083" s="3" t="s">
        <v>9112</v>
      </c>
      <c r="Q3083" s="3" t="s">
        <v>603</v>
      </c>
      <c r="R3083" s="3" t="s">
        <v>53</v>
      </c>
      <c r="S3083" s="3">
        <v>94090120</v>
      </c>
      <c r="T3083" s="3">
        <v>514898190</v>
      </c>
      <c r="U3083" s="3" t="s">
        <v>29</v>
      </c>
    </row>
    <row r="3084" spans="1:21" ht="13.2" x14ac:dyDescent="0.25">
      <c r="A3084" s="14">
        <v>2825971000104</v>
      </c>
      <c r="B3084" s="15" t="str">
        <f t="shared" si="48"/>
        <v>02.825.971/0001-04</v>
      </c>
      <c r="C3084" s="12"/>
      <c r="D3084" s="3" t="s">
        <v>10937</v>
      </c>
      <c r="E3084" s="3" t="s">
        <v>10938</v>
      </c>
      <c r="F3084" s="3" t="s">
        <v>20</v>
      </c>
      <c r="G3084" s="4">
        <v>36077</v>
      </c>
      <c r="H3084" s="3" t="s">
        <v>21</v>
      </c>
      <c r="I3084" s="3" t="s">
        <v>33</v>
      </c>
      <c r="J3084" s="5">
        <v>1500000</v>
      </c>
      <c r="K3084" s="3">
        <v>3321000</v>
      </c>
      <c r="L3084" s="3" t="s">
        <v>2479</v>
      </c>
      <c r="M3084" s="3" t="s">
        <v>10939</v>
      </c>
      <c r="N3084" s="3">
        <v>715</v>
      </c>
      <c r="P3084" s="3" t="s">
        <v>10625</v>
      </c>
      <c r="Q3084" s="3" t="s">
        <v>204</v>
      </c>
      <c r="R3084" s="3" t="s">
        <v>187</v>
      </c>
      <c r="S3084" s="3">
        <v>81050450</v>
      </c>
      <c r="T3084" s="3">
        <v>4132682030</v>
      </c>
      <c r="U3084" s="3" t="s">
        <v>29</v>
      </c>
    </row>
    <row r="3085" spans="1:21" ht="13.2" x14ac:dyDescent="0.25">
      <c r="A3085" s="14">
        <v>40294379000376</v>
      </c>
      <c r="B3085" s="15" t="str">
        <f t="shared" si="48"/>
        <v>40.294.379/0003-76</v>
      </c>
      <c r="C3085" s="12"/>
      <c r="D3085" s="3" t="s">
        <v>10940</v>
      </c>
      <c r="E3085" s="3" t="s">
        <v>10940</v>
      </c>
      <c r="F3085" s="3" t="s">
        <v>20</v>
      </c>
      <c r="G3085" s="4">
        <v>44333</v>
      </c>
      <c r="H3085" s="3" t="s">
        <v>21</v>
      </c>
      <c r="I3085" s="3" t="s">
        <v>33</v>
      </c>
      <c r="J3085" s="5">
        <v>500000</v>
      </c>
      <c r="K3085" s="3">
        <v>4691500</v>
      </c>
      <c r="L3085" s="3" t="s">
        <v>1850</v>
      </c>
      <c r="M3085" s="3" t="s">
        <v>10941</v>
      </c>
      <c r="N3085" s="3">
        <v>1316</v>
      </c>
      <c r="P3085" s="3" t="s">
        <v>10492</v>
      </c>
      <c r="Q3085" s="3" t="s">
        <v>27</v>
      </c>
      <c r="R3085" s="3" t="s">
        <v>28</v>
      </c>
      <c r="S3085" s="3">
        <v>2055001</v>
      </c>
      <c r="T3085" s="3">
        <v>1239313830</v>
      </c>
      <c r="U3085" s="3" t="s">
        <v>29</v>
      </c>
    </row>
    <row r="3086" spans="1:21" ht="13.2" x14ac:dyDescent="0.25">
      <c r="A3086" s="14">
        <v>13610200000108</v>
      </c>
      <c r="B3086" s="15" t="str">
        <f t="shared" si="48"/>
        <v>13.610.200/0001-08</v>
      </c>
      <c r="C3086" s="12" t="str">
        <f>VLOOKUP(B3086,[1]Planilha1!$A:$B,2,0)</f>
        <v>Malu Montesino</v>
      </c>
      <c r="D3086" s="3" t="s">
        <v>10942</v>
      </c>
      <c r="E3086" s="3" t="s">
        <v>10942</v>
      </c>
      <c r="F3086" s="3" t="s">
        <v>20</v>
      </c>
      <c r="G3086" s="4">
        <v>40659</v>
      </c>
      <c r="H3086" s="3" t="s">
        <v>21</v>
      </c>
      <c r="I3086" s="3" t="s">
        <v>33</v>
      </c>
      <c r="J3086" s="5">
        <v>1148909</v>
      </c>
      <c r="K3086" s="3">
        <v>3822000</v>
      </c>
      <c r="L3086" s="3" t="s">
        <v>10943</v>
      </c>
      <c r="M3086" s="3" t="s">
        <v>10944</v>
      </c>
      <c r="N3086" s="3">
        <v>178</v>
      </c>
      <c r="P3086" s="3" t="s">
        <v>10945</v>
      </c>
      <c r="Q3086" s="3" t="s">
        <v>3966</v>
      </c>
      <c r="R3086" s="3" t="s">
        <v>28</v>
      </c>
      <c r="S3086" s="3">
        <v>7411710</v>
      </c>
      <c r="T3086" s="3">
        <v>1146554895</v>
      </c>
      <c r="U3086" s="3" t="s">
        <v>29</v>
      </c>
    </row>
    <row r="3087" spans="1:21" ht="13.2" x14ac:dyDescent="0.25">
      <c r="A3087" s="14">
        <v>7474287000300</v>
      </c>
      <c r="B3087" s="15" t="str">
        <f t="shared" si="48"/>
        <v>07.474.287/0003-00</v>
      </c>
      <c r="C3087" s="12"/>
      <c r="D3087" s="3" t="s">
        <v>10946</v>
      </c>
      <c r="E3087" s="3" t="s">
        <v>10947</v>
      </c>
      <c r="F3087" s="3" t="s">
        <v>20</v>
      </c>
      <c r="G3087" s="4">
        <v>41634</v>
      </c>
      <c r="H3087" s="3" t="s">
        <v>21</v>
      </c>
      <c r="I3087" s="3" t="s">
        <v>33</v>
      </c>
      <c r="J3087" s="5">
        <v>5500000</v>
      </c>
      <c r="K3087" s="3">
        <v>4120400</v>
      </c>
      <c r="L3087" s="3" t="s">
        <v>87</v>
      </c>
      <c r="M3087" s="3" t="s">
        <v>10948</v>
      </c>
      <c r="N3087" s="3">
        <v>76</v>
      </c>
      <c r="P3087" s="3" t="s">
        <v>1456</v>
      </c>
      <c r="Q3087" s="3" t="s">
        <v>631</v>
      </c>
      <c r="R3087" s="3" t="s">
        <v>632</v>
      </c>
      <c r="S3087" s="3">
        <v>71215267</v>
      </c>
      <c r="T3087" s="3">
        <v>6130346665</v>
      </c>
      <c r="U3087" s="3" t="s">
        <v>29</v>
      </c>
    </row>
    <row r="3088" spans="1:21" ht="13.2" x14ac:dyDescent="0.25">
      <c r="A3088" s="14">
        <v>5847054000100</v>
      </c>
      <c r="B3088" s="15" t="str">
        <f t="shared" si="48"/>
        <v>05.847.054/0001-00</v>
      </c>
      <c r="C3088" s="12" t="str">
        <f>VLOOKUP(B3088,[1]Planilha1!$A:$B,2,0)</f>
        <v>Malu Montesino</v>
      </c>
      <c r="D3088" s="3" t="s">
        <v>10949</v>
      </c>
      <c r="E3088" s="3" t="s">
        <v>10950</v>
      </c>
      <c r="F3088" s="3" t="s">
        <v>20</v>
      </c>
      <c r="G3088" s="4">
        <v>37826</v>
      </c>
      <c r="H3088" s="3" t="s">
        <v>21</v>
      </c>
      <c r="I3088" s="3" t="s">
        <v>33</v>
      </c>
      <c r="J3088" s="5">
        <v>1080000</v>
      </c>
      <c r="K3088" s="3">
        <v>4789099</v>
      </c>
      <c r="L3088" s="3" t="s">
        <v>774</v>
      </c>
      <c r="M3088" s="3" t="s">
        <v>10951</v>
      </c>
      <c r="N3088" s="3" t="s">
        <v>82</v>
      </c>
      <c r="P3088" s="3" t="s">
        <v>70</v>
      </c>
      <c r="Q3088" s="3" t="s">
        <v>10952</v>
      </c>
      <c r="R3088" s="3" t="s">
        <v>28</v>
      </c>
      <c r="S3088" s="3">
        <v>18220000</v>
      </c>
      <c r="T3088" s="3">
        <v>1130810001</v>
      </c>
      <c r="U3088" s="3" t="s">
        <v>29</v>
      </c>
    </row>
    <row r="3089" spans="1:21" ht="13.2" x14ac:dyDescent="0.25">
      <c r="A3089" s="14">
        <v>40062395000171</v>
      </c>
      <c r="B3089" s="15" t="str">
        <f t="shared" si="48"/>
        <v>40.062.395/0001-71</v>
      </c>
      <c r="C3089" s="12"/>
      <c r="D3089" s="3" t="s">
        <v>10953</v>
      </c>
      <c r="E3089" s="3" t="s">
        <v>10954</v>
      </c>
      <c r="F3089" s="3" t="s">
        <v>20</v>
      </c>
      <c r="G3089" s="4">
        <v>44174</v>
      </c>
      <c r="H3089" s="3" t="s">
        <v>21</v>
      </c>
      <c r="I3089" s="3" t="s">
        <v>22</v>
      </c>
      <c r="J3089" s="5">
        <v>110000</v>
      </c>
      <c r="K3089" s="3">
        <v>7739099</v>
      </c>
      <c r="L3089" s="3" t="s">
        <v>669</v>
      </c>
      <c r="M3089" s="3" t="s">
        <v>10955</v>
      </c>
      <c r="N3089" s="3">
        <v>685</v>
      </c>
      <c r="O3089" s="3" t="s">
        <v>10956</v>
      </c>
      <c r="P3089" s="3" t="s">
        <v>336</v>
      </c>
      <c r="Q3089" s="3" t="s">
        <v>27</v>
      </c>
      <c r="R3089" s="3" t="s">
        <v>28</v>
      </c>
      <c r="S3089" s="3">
        <v>3162010</v>
      </c>
      <c r="T3089" s="3">
        <v>1120923961</v>
      </c>
      <c r="U3089" s="3" t="s">
        <v>29</v>
      </c>
    </row>
    <row r="3090" spans="1:21" ht="13.2" x14ac:dyDescent="0.25">
      <c r="A3090" s="14">
        <v>65149197000170</v>
      </c>
      <c r="B3090" s="15" t="str">
        <f t="shared" si="48"/>
        <v>65.149.197/0001-70</v>
      </c>
      <c r="C3090" s="12"/>
      <c r="D3090" s="3" t="s">
        <v>10957</v>
      </c>
      <c r="E3090" s="3" t="s">
        <v>10957</v>
      </c>
      <c r="F3090" s="3" t="s">
        <v>20</v>
      </c>
      <c r="G3090" s="4">
        <v>33564</v>
      </c>
      <c r="H3090" s="3" t="s">
        <v>21</v>
      </c>
      <c r="I3090" s="3" t="s">
        <v>33</v>
      </c>
      <c r="J3090" s="5">
        <v>234000</v>
      </c>
      <c r="K3090" s="3">
        <v>4651601</v>
      </c>
      <c r="L3090" s="3" t="s">
        <v>684</v>
      </c>
      <c r="M3090" s="3" t="s">
        <v>10958</v>
      </c>
      <c r="N3090" s="3">
        <v>275</v>
      </c>
      <c r="O3090" s="3" t="s">
        <v>1570</v>
      </c>
      <c r="P3090" s="3" t="s">
        <v>10959</v>
      </c>
      <c r="Q3090" s="3" t="s">
        <v>476</v>
      </c>
      <c r="R3090" s="3" t="s">
        <v>100</v>
      </c>
      <c r="S3090" s="3">
        <v>30860130</v>
      </c>
      <c r="T3090" s="3">
        <v>3130474990</v>
      </c>
      <c r="U3090" s="3" t="s">
        <v>29</v>
      </c>
    </row>
    <row r="3091" spans="1:21" ht="13.2" x14ac:dyDescent="0.25">
      <c r="A3091" s="14">
        <v>1986608000108</v>
      </c>
      <c r="B3091" s="15" t="str">
        <f t="shared" si="48"/>
        <v>01.986.608/0001-08</v>
      </c>
      <c r="C3091" s="12"/>
      <c r="D3091" s="3" t="s">
        <v>10960</v>
      </c>
      <c r="E3091" s="3" t="s">
        <v>10961</v>
      </c>
      <c r="F3091" s="3" t="s">
        <v>20</v>
      </c>
      <c r="G3091" s="4">
        <v>35591</v>
      </c>
      <c r="H3091" s="3" t="s">
        <v>21</v>
      </c>
      <c r="I3091" s="3" t="s">
        <v>33</v>
      </c>
      <c r="J3091" s="5">
        <v>5665000</v>
      </c>
      <c r="K3091" s="3">
        <v>2829199</v>
      </c>
      <c r="L3091" s="3" t="s">
        <v>1514</v>
      </c>
      <c r="M3091" s="3" t="s">
        <v>10962</v>
      </c>
      <c r="N3091" s="3">
        <v>6350</v>
      </c>
      <c r="O3091" s="3" t="s">
        <v>10963</v>
      </c>
      <c r="P3091" s="3" t="s">
        <v>10964</v>
      </c>
      <c r="Q3091" s="3" t="s">
        <v>10965</v>
      </c>
      <c r="R3091" s="3" t="s">
        <v>53</v>
      </c>
      <c r="S3091" s="3">
        <v>95210250</v>
      </c>
      <c r="T3091" s="3">
        <v>5435111111</v>
      </c>
      <c r="U3091" s="3" t="s">
        <v>29</v>
      </c>
    </row>
    <row r="3092" spans="1:21" ht="13.2" x14ac:dyDescent="0.25">
      <c r="A3092" s="14">
        <v>26075068000123</v>
      </c>
      <c r="B3092" s="15" t="str">
        <f t="shared" si="48"/>
        <v>26.075.068/0001-23</v>
      </c>
      <c r="C3092" s="12"/>
      <c r="D3092" s="3" t="s">
        <v>10966</v>
      </c>
      <c r="E3092" s="3" t="s">
        <v>10966</v>
      </c>
      <c r="F3092" s="3" t="s">
        <v>20</v>
      </c>
      <c r="G3092" s="4">
        <v>42613</v>
      </c>
      <c r="H3092" s="3" t="s">
        <v>21</v>
      </c>
      <c r="I3092" s="3" t="s">
        <v>33</v>
      </c>
      <c r="J3092" s="5">
        <v>250002</v>
      </c>
      <c r="K3092" s="3">
        <v>8121400</v>
      </c>
      <c r="L3092" s="3" t="s">
        <v>494</v>
      </c>
      <c r="M3092" s="3" t="s">
        <v>10967</v>
      </c>
      <c r="N3092" s="3">
        <v>246</v>
      </c>
      <c r="O3092" s="3" t="s">
        <v>496</v>
      </c>
      <c r="P3092" s="3" t="s">
        <v>8134</v>
      </c>
      <c r="Q3092" s="3" t="s">
        <v>524</v>
      </c>
      <c r="R3092" s="3" t="s">
        <v>28</v>
      </c>
      <c r="S3092" s="3">
        <v>14024270</v>
      </c>
      <c r="T3092" s="3">
        <v>1636243291</v>
      </c>
      <c r="U3092" s="3" t="s">
        <v>29</v>
      </c>
    </row>
    <row r="3093" spans="1:21" ht="13.2" x14ac:dyDescent="0.25">
      <c r="A3093" s="14">
        <v>2178997000108</v>
      </c>
      <c r="B3093" s="15" t="str">
        <f t="shared" si="48"/>
        <v>02.178.997/0001-08</v>
      </c>
      <c r="C3093" s="12"/>
      <c r="D3093" s="3" t="s">
        <v>10968</v>
      </c>
      <c r="E3093" s="3" t="s">
        <v>10969</v>
      </c>
      <c r="F3093" s="3" t="s">
        <v>20</v>
      </c>
      <c r="G3093" s="4">
        <v>35723</v>
      </c>
      <c r="H3093" s="3" t="s">
        <v>21</v>
      </c>
      <c r="I3093" s="3" t="s">
        <v>22</v>
      </c>
      <c r="J3093" s="5">
        <v>32000</v>
      </c>
      <c r="K3093" s="3">
        <v>5611201</v>
      </c>
      <c r="L3093" s="3" t="s">
        <v>3834</v>
      </c>
      <c r="M3093" s="3" t="s">
        <v>10970</v>
      </c>
      <c r="N3093" s="3">
        <v>200</v>
      </c>
      <c r="O3093" s="3" t="s">
        <v>10971</v>
      </c>
      <c r="P3093" s="3" t="s">
        <v>10972</v>
      </c>
      <c r="Q3093" s="3" t="s">
        <v>2406</v>
      </c>
      <c r="R3093" s="3" t="s">
        <v>28</v>
      </c>
      <c r="S3093" s="3">
        <v>13560970</v>
      </c>
      <c r="T3093" s="3">
        <v>1633741234</v>
      </c>
      <c r="U3093" s="3" t="s">
        <v>29</v>
      </c>
    </row>
    <row r="3094" spans="1:21" ht="13.2" x14ac:dyDescent="0.25">
      <c r="A3094" s="14">
        <v>650434000137</v>
      </c>
      <c r="B3094" s="15" t="str">
        <f t="shared" si="48"/>
        <v>00.650.434/0001-37</v>
      </c>
      <c r="C3094" s="12"/>
      <c r="D3094" s="3" t="s">
        <v>10973</v>
      </c>
      <c r="E3094" s="3" t="s">
        <v>10973</v>
      </c>
      <c r="F3094" s="3" t="s">
        <v>20</v>
      </c>
      <c r="G3094" s="4">
        <v>34863</v>
      </c>
      <c r="H3094" s="3" t="s">
        <v>21</v>
      </c>
      <c r="I3094" s="3" t="s">
        <v>22</v>
      </c>
      <c r="J3094" s="5">
        <v>230000</v>
      </c>
      <c r="K3094" s="3">
        <v>5611203</v>
      </c>
      <c r="L3094" s="3" t="s">
        <v>1594</v>
      </c>
      <c r="M3094" s="3" t="s">
        <v>246</v>
      </c>
      <c r="N3094" s="3">
        <v>2113</v>
      </c>
      <c r="P3094" s="3" t="s">
        <v>10974</v>
      </c>
      <c r="Q3094" s="3" t="s">
        <v>27</v>
      </c>
      <c r="R3094" s="3" t="s">
        <v>28</v>
      </c>
      <c r="S3094" s="3">
        <v>1311000</v>
      </c>
      <c r="T3094" s="3">
        <v>1132620568</v>
      </c>
      <c r="U3094" s="3" t="s">
        <v>29</v>
      </c>
    </row>
    <row r="3095" spans="1:21" ht="13.2" x14ac:dyDescent="0.25">
      <c r="A3095" s="14">
        <v>62125836000170</v>
      </c>
      <c r="B3095" s="15" t="str">
        <f t="shared" si="48"/>
        <v>62.125.836/0001-70</v>
      </c>
      <c r="C3095" s="12" t="str">
        <f>VLOOKUP(B3095,[1]Planilha1!$A:$B,2,0)</f>
        <v>Malu Montesino</v>
      </c>
      <c r="D3095" s="3" t="s">
        <v>10975</v>
      </c>
      <c r="E3095" s="3" t="s">
        <v>10976</v>
      </c>
      <c r="F3095" s="3" t="s">
        <v>20</v>
      </c>
      <c r="G3095" s="4">
        <v>32857</v>
      </c>
      <c r="H3095" s="3" t="s">
        <v>21</v>
      </c>
      <c r="I3095" s="3" t="s">
        <v>33</v>
      </c>
      <c r="J3095" s="5">
        <v>5000000</v>
      </c>
      <c r="K3095" s="3">
        <v>2219600</v>
      </c>
      <c r="L3095" s="3" t="s">
        <v>613</v>
      </c>
      <c r="M3095" s="3" t="s">
        <v>10977</v>
      </c>
      <c r="N3095" s="3">
        <v>132</v>
      </c>
      <c r="P3095" s="3" t="s">
        <v>10978</v>
      </c>
      <c r="Q3095" s="3" t="s">
        <v>10979</v>
      </c>
      <c r="R3095" s="3" t="s">
        <v>28</v>
      </c>
      <c r="S3095" s="3">
        <v>16306504</v>
      </c>
      <c r="T3095" s="3">
        <v>1836542000</v>
      </c>
      <c r="U3095" s="3" t="s">
        <v>29</v>
      </c>
    </row>
    <row r="3096" spans="1:21" ht="13.2" x14ac:dyDescent="0.25">
      <c r="A3096" s="14">
        <v>28736974000157</v>
      </c>
      <c r="B3096" s="15" t="str">
        <f t="shared" si="48"/>
        <v>28.736.974/0001-57</v>
      </c>
      <c r="C3096" s="12" t="str">
        <f>VLOOKUP(B3096,[1]Planilha1!$A:$B,2,0)</f>
        <v>Malu Montesino</v>
      </c>
      <c r="D3096" s="3" t="s">
        <v>10980</v>
      </c>
      <c r="E3096" s="3" t="s">
        <v>10981</v>
      </c>
      <c r="F3096" s="3" t="s">
        <v>45</v>
      </c>
      <c r="G3096" s="4">
        <v>43005</v>
      </c>
      <c r="H3096" s="3" t="s">
        <v>21</v>
      </c>
      <c r="I3096" s="3" t="s">
        <v>47</v>
      </c>
      <c r="J3096" s="5">
        <v>200000</v>
      </c>
      <c r="K3096" s="3">
        <v>2950600</v>
      </c>
      <c r="L3096" s="3" t="s">
        <v>10982</v>
      </c>
      <c r="M3096" s="3" t="s">
        <v>6622</v>
      </c>
      <c r="N3096" s="3">
        <v>957</v>
      </c>
      <c r="P3096" s="3" t="s">
        <v>2630</v>
      </c>
      <c r="Q3096" s="3" t="s">
        <v>10983</v>
      </c>
      <c r="R3096" s="3" t="s">
        <v>100</v>
      </c>
      <c r="S3096" s="3">
        <v>35794571</v>
      </c>
      <c r="T3096" s="3">
        <v>3899880080</v>
      </c>
      <c r="U3096" s="3" t="s">
        <v>29</v>
      </c>
    </row>
    <row r="3097" spans="1:21" ht="13.2" x14ac:dyDescent="0.25">
      <c r="A3097" s="14">
        <v>52434156000184</v>
      </c>
      <c r="B3097" s="15" t="str">
        <f t="shared" si="48"/>
        <v>52.434.156/0001-84</v>
      </c>
      <c r="C3097" s="12"/>
      <c r="D3097" s="3" t="s">
        <v>10984</v>
      </c>
      <c r="E3097" s="3" t="s">
        <v>10985</v>
      </c>
      <c r="F3097" s="3" t="s">
        <v>20</v>
      </c>
      <c r="G3097" s="4">
        <v>30413</v>
      </c>
      <c r="H3097" s="3" t="s">
        <v>21</v>
      </c>
      <c r="I3097" s="3" t="s">
        <v>33</v>
      </c>
      <c r="J3097" s="5">
        <v>35600000</v>
      </c>
      <c r="K3097" s="3">
        <v>4647801</v>
      </c>
      <c r="L3097" s="3" t="s">
        <v>4947</v>
      </c>
      <c r="M3097" s="3" t="s">
        <v>4015</v>
      </c>
      <c r="N3097" s="3">
        <v>1699</v>
      </c>
      <c r="P3097" s="3" t="s">
        <v>153</v>
      </c>
      <c r="Q3097" s="3" t="s">
        <v>8201</v>
      </c>
      <c r="R3097" s="3" t="s">
        <v>28</v>
      </c>
      <c r="S3097" s="3">
        <v>17232232</v>
      </c>
      <c r="T3097" s="3">
        <v>1436649811</v>
      </c>
      <c r="U3097" s="3" t="s">
        <v>29</v>
      </c>
    </row>
    <row r="3098" spans="1:21" ht="13.2" x14ac:dyDescent="0.25">
      <c r="A3098" s="14">
        <v>13019295000190</v>
      </c>
      <c r="B3098" s="15" t="str">
        <f t="shared" si="48"/>
        <v>13.019.295/0001-90</v>
      </c>
      <c r="C3098" s="12"/>
      <c r="D3098" s="3" t="s">
        <v>10986</v>
      </c>
      <c r="E3098" s="3" t="s">
        <v>10987</v>
      </c>
      <c r="F3098" s="3" t="s">
        <v>20</v>
      </c>
      <c r="G3098" s="4">
        <v>40528</v>
      </c>
      <c r="H3098" s="3" t="s">
        <v>21</v>
      </c>
      <c r="I3098" s="3" t="s">
        <v>33</v>
      </c>
      <c r="J3098" s="5">
        <v>2430000</v>
      </c>
      <c r="K3098" s="3">
        <v>8011101</v>
      </c>
      <c r="L3098" s="3" t="s">
        <v>943</v>
      </c>
      <c r="M3098" s="3" t="s">
        <v>10988</v>
      </c>
      <c r="N3098" s="3">
        <v>333</v>
      </c>
      <c r="O3098" s="3" t="s">
        <v>10989</v>
      </c>
      <c r="P3098" s="3" t="s">
        <v>10990</v>
      </c>
      <c r="Q3098" s="3" t="s">
        <v>273</v>
      </c>
      <c r="R3098" s="3" t="s">
        <v>274</v>
      </c>
      <c r="S3098" s="3">
        <v>74672680</v>
      </c>
      <c r="T3098" s="3">
        <v>6239235350</v>
      </c>
      <c r="U3098" s="3" t="s">
        <v>29</v>
      </c>
    </row>
    <row r="3099" spans="1:21" ht="13.2" x14ac:dyDescent="0.25">
      <c r="A3099" s="14">
        <v>17843718000142</v>
      </c>
      <c r="B3099" s="15" t="str">
        <f t="shared" si="48"/>
        <v>17.843.718/0001-42</v>
      </c>
      <c r="C3099" s="12"/>
      <c r="D3099" s="3" t="s">
        <v>10991</v>
      </c>
      <c r="E3099" s="3" t="s">
        <v>10992</v>
      </c>
      <c r="F3099" s="3" t="s">
        <v>31</v>
      </c>
      <c r="G3099" s="4">
        <v>41365</v>
      </c>
      <c r="H3099" s="3" t="s">
        <v>21</v>
      </c>
      <c r="I3099" s="3" t="s">
        <v>47</v>
      </c>
      <c r="J3099" s="5">
        <v>850000</v>
      </c>
      <c r="K3099" s="3">
        <v>3314710</v>
      </c>
      <c r="L3099" s="3" t="s">
        <v>7345</v>
      </c>
      <c r="M3099" s="3" t="s">
        <v>10993</v>
      </c>
      <c r="N3099" s="3">
        <v>375</v>
      </c>
      <c r="P3099" s="3" t="s">
        <v>475</v>
      </c>
      <c r="Q3099" s="3" t="s">
        <v>2487</v>
      </c>
      <c r="R3099" s="3" t="s">
        <v>78</v>
      </c>
      <c r="S3099" s="3">
        <v>27338070</v>
      </c>
      <c r="T3099" s="3">
        <v>2433227382</v>
      </c>
      <c r="U3099" s="3" t="s">
        <v>29</v>
      </c>
    </row>
    <row r="3100" spans="1:21" ht="13.2" x14ac:dyDescent="0.25">
      <c r="A3100" s="14">
        <v>57507626000106</v>
      </c>
      <c r="B3100" s="15" t="str">
        <f t="shared" si="48"/>
        <v>57.507.626/0001-06</v>
      </c>
      <c r="C3100" s="12"/>
      <c r="D3100" s="3" t="s">
        <v>10994</v>
      </c>
      <c r="E3100" s="3" t="s">
        <v>10994</v>
      </c>
      <c r="F3100" s="3" t="s">
        <v>20</v>
      </c>
      <c r="G3100" s="4">
        <v>24345</v>
      </c>
      <c r="H3100" s="3" t="s">
        <v>94</v>
      </c>
      <c r="I3100" s="3" t="s">
        <v>33</v>
      </c>
      <c r="J3100" s="5">
        <v>690810240</v>
      </c>
      <c r="K3100" s="3">
        <v>2029100</v>
      </c>
      <c r="L3100" s="3" t="s">
        <v>3615</v>
      </c>
      <c r="M3100" s="3" t="s">
        <v>3076</v>
      </c>
      <c r="N3100" s="3">
        <v>215</v>
      </c>
      <c r="O3100" s="3" t="s">
        <v>10995</v>
      </c>
      <c r="P3100" s="3" t="s">
        <v>3078</v>
      </c>
      <c r="Q3100" s="3" t="s">
        <v>27</v>
      </c>
      <c r="R3100" s="3" t="s">
        <v>28</v>
      </c>
      <c r="S3100" s="3">
        <v>5805000</v>
      </c>
      <c r="T3100" s="3">
        <v>1137417505</v>
      </c>
      <c r="U3100" s="3" t="s">
        <v>29</v>
      </c>
    </row>
    <row r="3101" spans="1:21" ht="13.2" x14ac:dyDescent="0.25">
      <c r="A3101" s="14">
        <v>4440002000152</v>
      </c>
      <c r="B3101" s="15" t="str">
        <f t="shared" si="48"/>
        <v>04.440.002/0001-52</v>
      </c>
      <c r="C3101" s="12" t="str">
        <f>VLOOKUP(B3101,[1]Planilha1!$A:$B,2,0)</f>
        <v>Malu Montesino</v>
      </c>
      <c r="D3101" s="3" t="s">
        <v>10996</v>
      </c>
      <c r="E3101" s="3" t="s">
        <v>10997</v>
      </c>
      <c r="F3101" s="3" t="s">
        <v>20</v>
      </c>
      <c r="G3101" s="4">
        <v>37022</v>
      </c>
      <c r="H3101" s="3" t="s">
        <v>21</v>
      </c>
      <c r="I3101" s="3" t="s">
        <v>22</v>
      </c>
      <c r="J3101" s="5">
        <v>300000</v>
      </c>
      <c r="K3101" s="3">
        <v>4645101</v>
      </c>
      <c r="L3101" s="3" t="s">
        <v>135</v>
      </c>
      <c r="M3101" s="3" t="s">
        <v>10998</v>
      </c>
      <c r="N3101" s="3">
        <v>495</v>
      </c>
      <c r="P3101" s="3" t="s">
        <v>1029</v>
      </c>
      <c r="Q3101" s="3" t="s">
        <v>524</v>
      </c>
      <c r="R3101" s="3" t="s">
        <v>28</v>
      </c>
      <c r="S3101" s="3">
        <v>14097020</v>
      </c>
      <c r="T3101" s="3">
        <v>1636296400</v>
      </c>
      <c r="U3101" s="3" t="s">
        <v>29</v>
      </c>
    </row>
    <row r="3102" spans="1:21" ht="13.2" x14ac:dyDescent="0.25">
      <c r="A3102" s="14">
        <v>5591590000198</v>
      </c>
      <c r="B3102" s="15" t="str">
        <f t="shared" si="48"/>
        <v>05.591.590/0001-98</v>
      </c>
      <c r="C3102" s="12"/>
      <c r="D3102" s="3" t="s">
        <v>10999</v>
      </c>
      <c r="E3102" s="3" t="s">
        <v>11000</v>
      </c>
      <c r="F3102" s="3" t="s">
        <v>20</v>
      </c>
      <c r="G3102" s="4">
        <v>37398</v>
      </c>
      <c r="H3102" s="3" t="s">
        <v>21</v>
      </c>
      <c r="I3102" s="3" t="s">
        <v>22</v>
      </c>
      <c r="J3102" s="5">
        <v>700000</v>
      </c>
      <c r="K3102" s="3">
        <v>4669999</v>
      </c>
      <c r="L3102" s="3" t="s">
        <v>558</v>
      </c>
      <c r="M3102" s="3" t="s">
        <v>11001</v>
      </c>
      <c r="N3102" s="3">
        <v>395</v>
      </c>
      <c r="O3102" s="3" t="s">
        <v>11002</v>
      </c>
      <c r="P3102" s="3" t="s">
        <v>11003</v>
      </c>
      <c r="Q3102" s="3" t="s">
        <v>5046</v>
      </c>
      <c r="R3102" s="3" t="s">
        <v>28</v>
      </c>
      <c r="S3102" s="3">
        <v>13920000</v>
      </c>
      <c r="T3102" s="3">
        <v>1938937112</v>
      </c>
      <c r="U3102" s="3" t="s">
        <v>29</v>
      </c>
    </row>
    <row r="3103" spans="1:21" ht="13.2" x14ac:dyDescent="0.25">
      <c r="A3103" s="14">
        <v>45231016000143</v>
      </c>
      <c r="B3103" s="15" t="str">
        <f t="shared" si="48"/>
        <v>45.231.016/0001-43</v>
      </c>
      <c r="C3103" s="12" t="str">
        <f>VLOOKUP(B3103,[1]Planilha1!$A:$B,2,0)</f>
        <v>Malu Montesino</v>
      </c>
      <c r="D3103" s="3" t="s">
        <v>11004</v>
      </c>
      <c r="E3103" s="3" t="s">
        <v>11004</v>
      </c>
      <c r="F3103" s="3" t="s">
        <v>20</v>
      </c>
      <c r="G3103" s="4">
        <v>26085</v>
      </c>
      <c r="H3103" s="3" t="s">
        <v>94</v>
      </c>
      <c r="I3103" s="3" t="s">
        <v>33</v>
      </c>
      <c r="J3103" s="5">
        <v>24500000</v>
      </c>
      <c r="K3103" s="3">
        <v>4511104</v>
      </c>
      <c r="L3103" s="3" t="s">
        <v>2728</v>
      </c>
      <c r="M3103" s="3" t="s">
        <v>11005</v>
      </c>
      <c r="N3103" s="3" t="s">
        <v>82</v>
      </c>
      <c r="O3103" s="3" t="s">
        <v>11006</v>
      </c>
      <c r="P3103" s="3" t="s">
        <v>11007</v>
      </c>
      <c r="Q3103" s="3" t="s">
        <v>524</v>
      </c>
      <c r="R3103" s="3" t="s">
        <v>28</v>
      </c>
      <c r="S3103" s="3">
        <v>14079000</v>
      </c>
      <c r="T3103" s="3">
        <v>1621020575</v>
      </c>
      <c r="U3103" s="3" t="s">
        <v>29</v>
      </c>
    </row>
    <row r="3104" spans="1:21" ht="13.2" x14ac:dyDescent="0.25">
      <c r="A3104" s="14">
        <v>67903765000102</v>
      </c>
      <c r="B3104" s="15" t="str">
        <f t="shared" si="48"/>
        <v>67.903.765/0001-02</v>
      </c>
      <c r="C3104" s="12"/>
      <c r="D3104" s="3" t="s">
        <v>11008</v>
      </c>
      <c r="E3104" s="3" t="s">
        <v>11009</v>
      </c>
      <c r="F3104" s="3" t="s">
        <v>20</v>
      </c>
      <c r="G3104" s="4">
        <v>33731</v>
      </c>
      <c r="H3104" s="3" t="s">
        <v>21</v>
      </c>
      <c r="I3104" s="3" t="s">
        <v>33</v>
      </c>
      <c r="J3104" s="5">
        <v>200000</v>
      </c>
      <c r="K3104" s="3">
        <v>4661300</v>
      </c>
      <c r="L3104" s="3" t="s">
        <v>595</v>
      </c>
      <c r="M3104" s="3" t="s">
        <v>11010</v>
      </c>
      <c r="N3104" s="3">
        <v>477</v>
      </c>
      <c r="P3104" s="3" t="s">
        <v>4659</v>
      </c>
      <c r="Q3104" s="3" t="s">
        <v>27</v>
      </c>
      <c r="R3104" s="3" t="s">
        <v>28</v>
      </c>
      <c r="S3104" s="3">
        <v>2522000</v>
      </c>
      <c r="T3104" s="3">
        <v>1121640300</v>
      </c>
      <c r="U3104" s="3" t="s">
        <v>29</v>
      </c>
    </row>
    <row r="3105" spans="1:21" ht="13.2" x14ac:dyDescent="0.25">
      <c r="A3105" s="14">
        <v>50743692000136</v>
      </c>
      <c r="B3105" s="15" t="str">
        <f t="shared" si="48"/>
        <v>50.743.692/0001-36</v>
      </c>
      <c r="C3105" s="12"/>
      <c r="D3105" s="3" t="s">
        <v>11011</v>
      </c>
      <c r="E3105" s="3" t="s">
        <v>11011</v>
      </c>
      <c r="F3105" s="3" t="s">
        <v>20</v>
      </c>
      <c r="G3105" s="4">
        <v>45065</v>
      </c>
      <c r="H3105" s="3" t="s">
        <v>21</v>
      </c>
      <c r="I3105" s="3" t="s">
        <v>47</v>
      </c>
      <c r="J3105" s="5">
        <v>60000</v>
      </c>
      <c r="K3105" s="3">
        <v>4789099</v>
      </c>
      <c r="L3105" s="3" t="s">
        <v>774</v>
      </c>
      <c r="M3105" s="3" t="s">
        <v>11012</v>
      </c>
      <c r="N3105" s="3">
        <v>711</v>
      </c>
      <c r="P3105" s="3" t="s">
        <v>336</v>
      </c>
      <c r="Q3105" s="3" t="s">
        <v>27</v>
      </c>
      <c r="R3105" s="3" t="s">
        <v>28</v>
      </c>
      <c r="S3105" s="3">
        <v>3119001</v>
      </c>
      <c r="T3105" s="3">
        <v>1122012000</v>
      </c>
      <c r="U3105" s="3" t="s">
        <v>29</v>
      </c>
    </row>
    <row r="3106" spans="1:21" ht="13.2" x14ac:dyDescent="0.25">
      <c r="A3106" s="14">
        <v>33597659001602</v>
      </c>
      <c r="B3106" s="15" t="str">
        <f t="shared" si="48"/>
        <v>33.597.659/0016-02</v>
      </c>
      <c r="C3106" s="12"/>
      <c r="D3106" s="3" t="s">
        <v>11013</v>
      </c>
      <c r="E3106" s="3" t="s">
        <v>11013</v>
      </c>
      <c r="F3106" s="3" t="s">
        <v>20</v>
      </c>
      <c r="G3106" s="4">
        <v>42541</v>
      </c>
      <c r="H3106" s="3" t="s">
        <v>94</v>
      </c>
      <c r="I3106" s="3" t="s">
        <v>33</v>
      </c>
      <c r="J3106" s="5">
        <v>485362050</v>
      </c>
      <c r="K3106" s="3">
        <v>4669999</v>
      </c>
      <c r="L3106" s="3" t="s">
        <v>558</v>
      </c>
      <c r="M3106" s="3" t="s">
        <v>679</v>
      </c>
      <c r="N3106" s="3">
        <v>2104</v>
      </c>
      <c r="O3106" s="3" t="s">
        <v>11014</v>
      </c>
      <c r="P3106" s="3" t="s">
        <v>681</v>
      </c>
      <c r="Q3106" s="3" t="s">
        <v>617</v>
      </c>
      <c r="R3106" s="3" t="s">
        <v>28</v>
      </c>
      <c r="S3106" s="3">
        <v>6455000</v>
      </c>
      <c r="T3106" s="3">
        <v>1125754271</v>
      </c>
      <c r="U3106" s="3" t="s">
        <v>29</v>
      </c>
    </row>
    <row r="3107" spans="1:21" ht="13.2" x14ac:dyDescent="0.25">
      <c r="A3107" s="14">
        <v>18279158000108</v>
      </c>
      <c r="B3107" s="15" t="str">
        <f t="shared" si="48"/>
        <v>18.279.158/0001-08</v>
      </c>
      <c r="C3107" s="12"/>
      <c r="D3107" s="3" t="s">
        <v>11015</v>
      </c>
      <c r="E3107" s="3" t="s">
        <v>11015</v>
      </c>
      <c r="F3107" s="3" t="s">
        <v>20</v>
      </c>
      <c r="G3107" s="4">
        <v>27402</v>
      </c>
      <c r="H3107" s="3" t="s">
        <v>94</v>
      </c>
      <c r="I3107" s="3" t="s">
        <v>33</v>
      </c>
      <c r="J3107" s="5">
        <v>328995500</v>
      </c>
      <c r="K3107" s="3">
        <v>2412100</v>
      </c>
      <c r="L3107" s="3" t="s">
        <v>11016</v>
      </c>
      <c r="M3107" s="3" t="s">
        <v>11017</v>
      </c>
      <c r="N3107" s="3" t="s">
        <v>111</v>
      </c>
      <c r="P3107" s="3" t="s">
        <v>11018</v>
      </c>
      <c r="Q3107" s="3" t="s">
        <v>11019</v>
      </c>
      <c r="R3107" s="3" t="s">
        <v>100</v>
      </c>
      <c r="S3107" s="3">
        <v>39390000</v>
      </c>
      <c r="U3107" s="3" t="s">
        <v>29</v>
      </c>
    </row>
    <row r="3108" spans="1:21" ht="13.2" x14ac:dyDescent="0.25">
      <c r="A3108" s="14">
        <v>61096178000172</v>
      </c>
      <c r="B3108" s="15" t="str">
        <f t="shared" si="48"/>
        <v>61.096.178/0001-72</v>
      </c>
      <c r="C3108" s="12"/>
      <c r="D3108" s="3" t="s">
        <v>11020</v>
      </c>
      <c r="E3108" s="3" t="s">
        <v>11021</v>
      </c>
      <c r="F3108" s="3" t="s">
        <v>20</v>
      </c>
      <c r="G3108" s="4">
        <v>32717</v>
      </c>
      <c r="H3108" s="3" t="s">
        <v>21</v>
      </c>
      <c r="I3108" s="3" t="s">
        <v>33</v>
      </c>
      <c r="J3108" s="5">
        <v>10000</v>
      </c>
      <c r="K3108" s="3">
        <v>4673700</v>
      </c>
      <c r="L3108" s="3" t="s">
        <v>861</v>
      </c>
      <c r="M3108" s="3" t="s">
        <v>11022</v>
      </c>
      <c r="N3108" s="3">
        <v>201</v>
      </c>
      <c r="P3108" s="3" t="s">
        <v>2181</v>
      </c>
      <c r="Q3108" s="3" t="s">
        <v>27</v>
      </c>
      <c r="R3108" s="3" t="s">
        <v>28</v>
      </c>
      <c r="S3108" s="3">
        <v>5075030</v>
      </c>
      <c r="T3108" s="3">
        <v>1133679777</v>
      </c>
      <c r="U3108" s="3" t="s">
        <v>29</v>
      </c>
    </row>
    <row r="3109" spans="1:21" ht="13.2" x14ac:dyDescent="0.25">
      <c r="A3109" s="14">
        <v>68773597000140</v>
      </c>
      <c r="B3109" s="15" t="str">
        <f t="shared" si="48"/>
        <v>68.773.597/0001-40</v>
      </c>
      <c r="C3109" s="12"/>
      <c r="D3109" s="3" t="s">
        <v>11023</v>
      </c>
      <c r="E3109" s="3" t="s">
        <v>11024</v>
      </c>
      <c r="F3109" s="3" t="s">
        <v>20</v>
      </c>
      <c r="G3109" s="4">
        <v>34001</v>
      </c>
      <c r="H3109" s="3" t="s">
        <v>21</v>
      </c>
      <c r="I3109" s="3" t="s">
        <v>33</v>
      </c>
      <c r="J3109" s="5">
        <v>7782977</v>
      </c>
      <c r="K3109" s="3">
        <v>7490199</v>
      </c>
      <c r="L3109" s="3" t="s">
        <v>1091</v>
      </c>
      <c r="M3109" s="3" t="s">
        <v>1047</v>
      </c>
      <c r="N3109" s="3">
        <v>2041</v>
      </c>
      <c r="O3109" s="3" t="s">
        <v>11025</v>
      </c>
      <c r="P3109" s="3" t="s">
        <v>1049</v>
      </c>
      <c r="Q3109" s="3" t="s">
        <v>27</v>
      </c>
      <c r="R3109" s="3" t="s">
        <v>28</v>
      </c>
      <c r="S3109" s="3">
        <v>4543011</v>
      </c>
      <c r="T3109" s="3">
        <v>1121222487</v>
      </c>
      <c r="U3109" s="3" t="s">
        <v>29</v>
      </c>
    </row>
    <row r="3110" spans="1:21" ht="13.2" x14ac:dyDescent="0.25">
      <c r="A3110" s="14">
        <v>47173950000181</v>
      </c>
      <c r="B3110" s="15" t="str">
        <f t="shared" si="48"/>
        <v>47.173.950/0001-81</v>
      </c>
      <c r="C3110" s="12" t="str">
        <f>VLOOKUP(B3110,[1]Planilha1!$A:$B,2,0)</f>
        <v>Malu Montesino</v>
      </c>
      <c r="D3110" s="3" t="s">
        <v>11026</v>
      </c>
      <c r="E3110" s="3" t="s">
        <v>11026</v>
      </c>
      <c r="F3110" s="3" t="s">
        <v>20</v>
      </c>
      <c r="G3110" s="4">
        <v>27607</v>
      </c>
      <c r="H3110" s="3" t="s">
        <v>21</v>
      </c>
      <c r="I3110" s="3" t="s">
        <v>33</v>
      </c>
      <c r="J3110" s="5">
        <v>4256212</v>
      </c>
      <c r="K3110" s="3">
        <v>2759799</v>
      </c>
      <c r="L3110" s="3" t="s">
        <v>2527</v>
      </c>
      <c r="M3110" s="3" t="s">
        <v>11027</v>
      </c>
      <c r="N3110" s="3">
        <v>200</v>
      </c>
      <c r="P3110" s="3" t="s">
        <v>5009</v>
      </c>
      <c r="Q3110" s="3" t="s">
        <v>3193</v>
      </c>
      <c r="R3110" s="3" t="s">
        <v>28</v>
      </c>
      <c r="S3110" s="3">
        <v>8770041</v>
      </c>
      <c r="T3110" s="3">
        <v>1147919663</v>
      </c>
      <c r="U3110" s="3" t="s">
        <v>29</v>
      </c>
    </row>
    <row r="3111" spans="1:21" ht="13.2" x14ac:dyDescent="0.25">
      <c r="A3111" s="14">
        <v>5915153000182</v>
      </c>
      <c r="B3111" s="15" t="str">
        <f t="shared" si="48"/>
        <v>05.915.153/0001-82</v>
      </c>
      <c r="C3111" s="12"/>
      <c r="D3111" s="3" t="s">
        <v>11028</v>
      </c>
      <c r="E3111" s="3" t="s">
        <v>11029</v>
      </c>
      <c r="F3111" s="3" t="s">
        <v>31</v>
      </c>
      <c r="G3111" s="4">
        <v>37859</v>
      </c>
      <c r="H3111" s="3" t="s">
        <v>21</v>
      </c>
      <c r="I3111" s="3" t="s">
        <v>33</v>
      </c>
      <c r="J3111" s="5">
        <v>500000</v>
      </c>
      <c r="K3111" s="3">
        <v>8011101</v>
      </c>
      <c r="L3111" s="3" t="s">
        <v>943</v>
      </c>
      <c r="M3111" s="3" t="s">
        <v>11030</v>
      </c>
      <c r="N3111" s="3">
        <v>95</v>
      </c>
      <c r="O3111" s="3" t="s">
        <v>11031</v>
      </c>
      <c r="P3111" s="3" t="s">
        <v>11032</v>
      </c>
      <c r="Q3111" s="3" t="s">
        <v>199</v>
      </c>
      <c r="R3111" s="3" t="s">
        <v>792</v>
      </c>
      <c r="S3111" s="3">
        <v>66620270</v>
      </c>
      <c r="T3111" s="3">
        <v>9130337366</v>
      </c>
      <c r="U3111" s="3" t="s">
        <v>29</v>
      </c>
    </row>
    <row r="3112" spans="1:21" ht="13.2" x14ac:dyDescent="0.25">
      <c r="A3112" s="14">
        <v>8491163000126</v>
      </c>
      <c r="B3112" s="15" t="str">
        <f t="shared" si="48"/>
        <v>08.491.163/0001-26</v>
      </c>
      <c r="C3112" s="12"/>
      <c r="D3112" s="3" t="s">
        <v>11033</v>
      </c>
      <c r="E3112" s="3" t="s">
        <v>11034</v>
      </c>
      <c r="F3112" s="3" t="s">
        <v>20</v>
      </c>
      <c r="G3112" s="4">
        <v>39049</v>
      </c>
      <c r="H3112" s="3" t="s">
        <v>21</v>
      </c>
      <c r="I3112" s="3" t="s">
        <v>33</v>
      </c>
      <c r="J3112" s="5">
        <v>800000</v>
      </c>
      <c r="K3112" s="3">
        <v>6209100</v>
      </c>
      <c r="L3112" s="3" t="s">
        <v>303</v>
      </c>
      <c r="M3112" s="3" t="s">
        <v>3982</v>
      </c>
      <c r="N3112" s="3">
        <v>156</v>
      </c>
      <c r="P3112" s="3" t="s">
        <v>748</v>
      </c>
      <c r="Q3112" s="3" t="s">
        <v>476</v>
      </c>
      <c r="R3112" s="3" t="s">
        <v>100</v>
      </c>
      <c r="S3112" s="3">
        <v>30525200</v>
      </c>
      <c r="T3112" s="3">
        <v>3133882625</v>
      </c>
      <c r="U3112" s="3" t="s">
        <v>29</v>
      </c>
    </row>
    <row r="3113" spans="1:21" ht="13.2" x14ac:dyDescent="0.25">
      <c r="A3113" s="14">
        <v>42292007000174</v>
      </c>
      <c r="B3113" s="15" t="str">
        <f t="shared" si="48"/>
        <v>42.292.007/0001-74</v>
      </c>
      <c r="C3113" s="12"/>
      <c r="D3113" s="3" t="s">
        <v>11035</v>
      </c>
      <c r="E3113" s="3" t="s">
        <v>11035</v>
      </c>
      <c r="F3113" s="3" t="s">
        <v>20</v>
      </c>
      <c r="G3113" s="4">
        <v>44358</v>
      </c>
      <c r="H3113" s="3" t="s">
        <v>377</v>
      </c>
      <c r="I3113" s="3" t="s">
        <v>33</v>
      </c>
      <c r="J3113" s="5">
        <v>875002500</v>
      </c>
      <c r="K3113" s="3">
        <v>3600601</v>
      </c>
      <c r="L3113" s="3" t="s">
        <v>788</v>
      </c>
      <c r="M3113" s="3" t="s">
        <v>6693</v>
      </c>
      <c r="N3113" s="3">
        <v>66</v>
      </c>
      <c r="O3113" s="3" t="s">
        <v>11036</v>
      </c>
      <c r="P3113" s="3" t="s">
        <v>1136</v>
      </c>
      <c r="Q3113" s="3" t="s">
        <v>253</v>
      </c>
      <c r="R3113" s="3" t="s">
        <v>78</v>
      </c>
      <c r="S3113" s="3">
        <v>22775044</v>
      </c>
      <c r="T3113" s="3">
        <v>2127299200</v>
      </c>
      <c r="U3113" s="3" t="s">
        <v>29</v>
      </c>
    </row>
    <row r="3114" spans="1:21" ht="13.2" x14ac:dyDescent="0.25">
      <c r="A3114" s="14">
        <v>15145035000196</v>
      </c>
      <c r="B3114" s="15" t="str">
        <f t="shared" si="48"/>
        <v>15.145.035/0001-96</v>
      </c>
      <c r="C3114" s="12"/>
      <c r="D3114" s="3" t="s">
        <v>11037</v>
      </c>
      <c r="E3114" s="3" t="s">
        <v>11038</v>
      </c>
      <c r="F3114" s="3" t="s">
        <v>20</v>
      </c>
      <c r="G3114" s="4">
        <v>40973</v>
      </c>
      <c r="H3114" s="3" t="s">
        <v>21</v>
      </c>
      <c r="I3114" s="3" t="s">
        <v>33</v>
      </c>
      <c r="J3114" s="5">
        <v>2000000</v>
      </c>
      <c r="K3114" s="3">
        <v>4644301</v>
      </c>
      <c r="L3114" s="3" t="s">
        <v>326</v>
      </c>
      <c r="M3114" s="3" t="s">
        <v>11039</v>
      </c>
      <c r="N3114" s="3">
        <v>0</v>
      </c>
      <c r="O3114" s="3" t="s">
        <v>11040</v>
      </c>
      <c r="P3114" s="3" t="s">
        <v>9049</v>
      </c>
      <c r="Q3114" s="3" t="s">
        <v>280</v>
      </c>
      <c r="R3114" s="3" t="s">
        <v>281</v>
      </c>
      <c r="S3114" s="3">
        <v>41230130</v>
      </c>
      <c r="T3114" s="3">
        <v>7130159887</v>
      </c>
      <c r="U3114" s="3" t="s">
        <v>29</v>
      </c>
    </row>
    <row r="3115" spans="1:21" ht="13.2" x14ac:dyDescent="0.25">
      <c r="A3115" s="14">
        <v>770937000146</v>
      </c>
      <c r="B3115" s="15" t="str">
        <f t="shared" si="48"/>
        <v>00.770.937/0001-46</v>
      </c>
      <c r="C3115" s="12"/>
      <c r="D3115" s="3" t="s">
        <v>11041</v>
      </c>
      <c r="E3115" s="3" t="s">
        <v>11042</v>
      </c>
      <c r="F3115" s="3" t="s">
        <v>20</v>
      </c>
      <c r="G3115" s="4">
        <v>34928</v>
      </c>
      <c r="H3115" s="3" t="s">
        <v>21</v>
      </c>
      <c r="I3115" s="3" t="s">
        <v>33</v>
      </c>
      <c r="J3115" s="5">
        <v>10789600</v>
      </c>
      <c r="K3115" s="3">
        <v>3821100</v>
      </c>
      <c r="L3115" s="3" t="s">
        <v>11043</v>
      </c>
      <c r="M3115" s="3" t="s">
        <v>11044</v>
      </c>
      <c r="N3115" s="3">
        <v>200</v>
      </c>
      <c r="P3115" s="3" t="s">
        <v>11045</v>
      </c>
      <c r="Q3115" s="3" t="s">
        <v>11046</v>
      </c>
      <c r="R3115" s="3" t="s">
        <v>91</v>
      </c>
      <c r="S3115" s="3">
        <v>88355280</v>
      </c>
      <c r="T3115" s="3">
        <v>4732120200</v>
      </c>
      <c r="U3115" s="3" t="s">
        <v>29</v>
      </c>
    </row>
    <row r="3116" spans="1:21" ht="13.2" x14ac:dyDescent="0.25">
      <c r="A3116" s="14">
        <v>5033026000150</v>
      </c>
      <c r="B3116" s="15" t="str">
        <f t="shared" si="48"/>
        <v>05.033.026/0001-50</v>
      </c>
      <c r="C3116" s="12" t="str">
        <f>VLOOKUP(B3116,[1]Planilha1!$A:$B,2,0)</f>
        <v>Malu Montesino</v>
      </c>
      <c r="D3116" s="3" t="s">
        <v>11047</v>
      </c>
      <c r="E3116" s="3" t="s">
        <v>11047</v>
      </c>
      <c r="F3116" s="3" t="s">
        <v>20</v>
      </c>
      <c r="G3116" s="4">
        <v>37354</v>
      </c>
      <c r="H3116" s="3" t="s">
        <v>21</v>
      </c>
      <c r="I3116" s="3" t="s">
        <v>33</v>
      </c>
      <c r="J3116" s="5">
        <v>53950040</v>
      </c>
      <c r="K3116" s="3">
        <v>2832100</v>
      </c>
      <c r="L3116" s="3" t="s">
        <v>2184</v>
      </c>
      <c r="M3116" s="3" t="s">
        <v>11048</v>
      </c>
      <c r="N3116" s="3">
        <v>255</v>
      </c>
      <c r="P3116" s="3" t="s">
        <v>153</v>
      </c>
      <c r="Q3116" s="3" t="s">
        <v>987</v>
      </c>
      <c r="R3116" s="3" t="s">
        <v>100</v>
      </c>
      <c r="S3116" s="3">
        <v>38402326</v>
      </c>
      <c r="U3116" s="3" t="s">
        <v>29</v>
      </c>
    </row>
    <row r="3117" spans="1:21" ht="13.2" x14ac:dyDescent="0.25">
      <c r="A3117" s="14">
        <v>12000146000116</v>
      </c>
      <c r="B3117" s="15" t="str">
        <f t="shared" si="48"/>
        <v>12.000.146/0001-16</v>
      </c>
      <c r="C3117" s="12"/>
      <c r="D3117" s="3" t="s">
        <v>11049</v>
      </c>
      <c r="E3117" s="3" t="s">
        <v>11050</v>
      </c>
      <c r="F3117" s="3" t="s">
        <v>20</v>
      </c>
      <c r="G3117" s="4">
        <v>40309</v>
      </c>
      <c r="H3117" s="3" t="s">
        <v>21</v>
      </c>
      <c r="I3117" s="3" t="s">
        <v>47</v>
      </c>
      <c r="J3117" s="5">
        <v>1000000</v>
      </c>
      <c r="K3117" s="3">
        <v>4292802</v>
      </c>
      <c r="L3117" s="3" t="s">
        <v>11051</v>
      </c>
      <c r="M3117" s="3" t="s">
        <v>11052</v>
      </c>
      <c r="N3117" s="3">
        <v>956</v>
      </c>
      <c r="P3117" s="3" t="s">
        <v>4917</v>
      </c>
      <c r="Q3117" s="3" t="s">
        <v>367</v>
      </c>
      <c r="R3117" s="3" t="s">
        <v>28</v>
      </c>
      <c r="S3117" s="3">
        <v>13414244</v>
      </c>
      <c r="T3117" s="3">
        <v>1981128187</v>
      </c>
      <c r="U3117" s="3" t="s">
        <v>29</v>
      </c>
    </row>
    <row r="3118" spans="1:21" ht="13.2" x14ac:dyDescent="0.25">
      <c r="A3118" s="14">
        <v>9183142000106</v>
      </c>
      <c r="B3118" s="15" t="str">
        <f t="shared" si="48"/>
        <v>09.183.142/0001-06</v>
      </c>
      <c r="C3118" s="12"/>
      <c r="D3118" s="3" t="s">
        <v>11053</v>
      </c>
      <c r="E3118" s="3" t="s">
        <v>11053</v>
      </c>
      <c r="F3118" s="3" t="s">
        <v>20</v>
      </c>
      <c r="G3118" s="4">
        <v>39352</v>
      </c>
      <c r="H3118" s="3" t="s">
        <v>21</v>
      </c>
      <c r="I3118" s="3" t="s">
        <v>33</v>
      </c>
      <c r="J3118" s="5">
        <v>1200000</v>
      </c>
      <c r="K3118" s="3">
        <v>1532700</v>
      </c>
      <c r="L3118" s="3" t="s">
        <v>11054</v>
      </c>
      <c r="M3118" s="3" t="s">
        <v>11055</v>
      </c>
      <c r="N3118" s="3">
        <v>352</v>
      </c>
      <c r="P3118" s="3" t="s">
        <v>11056</v>
      </c>
      <c r="Q3118" s="3" t="s">
        <v>11057</v>
      </c>
      <c r="R3118" s="3" t="s">
        <v>100</v>
      </c>
      <c r="S3118" s="3">
        <v>35519000</v>
      </c>
      <c r="T3118" s="3">
        <v>3732259999</v>
      </c>
      <c r="U3118" s="3" t="s">
        <v>29</v>
      </c>
    </row>
    <row r="3119" spans="1:21" ht="13.2" x14ac:dyDescent="0.25">
      <c r="A3119" s="14">
        <v>65596744000166</v>
      </c>
      <c r="B3119" s="15" t="str">
        <f t="shared" si="48"/>
        <v>65.596.744/0001-66</v>
      </c>
      <c r="C3119" s="12"/>
      <c r="D3119" s="3" t="s">
        <v>11058</v>
      </c>
      <c r="E3119" s="3" t="s">
        <v>11059</v>
      </c>
      <c r="F3119" s="3" t="s">
        <v>20</v>
      </c>
      <c r="G3119" s="4">
        <v>33304</v>
      </c>
      <c r="H3119" s="3" t="s">
        <v>21</v>
      </c>
      <c r="I3119" s="3" t="s">
        <v>33</v>
      </c>
      <c r="J3119" s="5">
        <v>300000</v>
      </c>
      <c r="K3119" s="3">
        <v>6201501</v>
      </c>
      <c r="L3119" s="3" t="s">
        <v>298</v>
      </c>
      <c r="M3119" s="3" t="s">
        <v>11060</v>
      </c>
      <c r="N3119" s="3">
        <v>366</v>
      </c>
      <c r="P3119" s="3" t="s">
        <v>5102</v>
      </c>
      <c r="Q3119" s="3" t="s">
        <v>148</v>
      </c>
      <c r="R3119" s="3" t="s">
        <v>28</v>
      </c>
      <c r="S3119" s="3">
        <v>15061310</v>
      </c>
      <c r="T3119" s="3">
        <v>1732347277</v>
      </c>
      <c r="U3119" s="3" t="s">
        <v>29</v>
      </c>
    </row>
    <row r="3120" spans="1:21" ht="13.2" x14ac:dyDescent="0.25">
      <c r="A3120" s="14">
        <v>4798761000191</v>
      </c>
      <c r="B3120" s="15" t="str">
        <f t="shared" si="48"/>
        <v>04.798.761/0001-91</v>
      </c>
      <c r="C3120" s="12"/>
      <c r="D3120" s="3" t="s">
        <v>11061</v>
      </c>
      <c r="E3120" s="3" t="s">
        <v>11061</v>
      </c>
      <c r="F3120" s="3" t="s">
        <v>20</v>
      </c>
      <c r="G3120" s="4">
        <v>37230</v>
      </c>
      <c r="H3120" s="3" t="s">
        <v>32</v>
      </c>
      <c r="I3120" s="3" t="s">
        <v>47</v>
      </c>
      <c r="J3120" s="5">
        <v>1000</v>
      </c>
      <c r="K3120" s="3">
        <v>7020400</v>
      </c>
      <c r="L3120" s="3" t="s">
        <v>170</v>
      </c>
      <c r="M3120" s="3" t="s">
        <v>11062</v>
      </c>
      <c r="N3120" s="3">
        <v>195</v>
      </c>
      <c r="O3120" s="3" t="s">
        <v>11063</v>
      </c>
      <c r="P3120" s="3" t="s">
        <v>70</v>
      </c>
      <c r="Q3120" s="3" t="s">
        <v>4914</v>
      </c>
      <c r="R3120" s="3" t="s">
        <v>187</v>
      </c>
      <c r="S3120" s="3">
        <v>86010917</v>
      </c>
      <c r="T3120" s="3">
        <v>4399940705</v>
      </c>
      <c r="U3120" s="3" t="s">
        <v>29</v>
      </c>
    </row>
    <row r="3121" spans="1:21" ht="13.2" x14ac:dyDescent="0.25">
      <c r="A3121" s="14">
        <v>94622230000306</v>
      </c>
      <c r="B3121" s="15" t="str">
        <f t="shared" si="48"/>
        <v>94.622.230/0003-06</v>
      </c>
      <c r="C3121" s="12"/>
      <c r="D3121" s="3" t="s">
        <v>11064</v>
      </c>
      <c r="E3121" s="3" t="s">
        <v>11064</v>
      </c>
      <c r="F3121" s="3" t="s">
        <v>45</v>
      </c>
      <c r="G3121" s="4">
        <v>39161</v>
      </c>
      <c r="H3121" s="3" t="s">
        <v>21</v>
      </c>
      <c r="I3121" s="3" t="s">
        <v>33</v>
      </c>
      <c r="J3121" s="5">
        <v>4000000</v>
      </c>
      <c r="K3121" s="3">
        <v>3101200</v>
      </c>
      <c r="L3121" s="3" t="s">
        <v>359</v>
      </c>
      <c r="M3121" s="3" t="s">
        <v>11065</v>
      </c>
      <c r="N3121" s="3">
        <v>280</v>
      </c>
      <c r="O3121" s="3" t="s">
        <v>11066</v>
      </c>
      <c r="P3121" s="3" t="s">
        <v>11067</v>
      </c>
      <c r="Q3121" s="3" t="s">
        <v>730</v>
      </c>
      <c r="R3121" s="3" t="s">
        <v>53</v>
      </c>
      <c r="S3121" s="3">
        <v>95112320</v>
      </c>
      <c r="T3121" s="3">
        <v>5432892400</v>
      </c>
      <c r="U3121" s="3" t="s">
        <v>29</v>
      </c>
    </row>
    <row r="3122" spans="1:21" ht="13.2" x14ac:dyDescent="0.25">
      <c r="A3122" s="14">
        <v>45990181000189</v>
      </c>
      <c r="B3122" s="15" t="str">
        <f t="shared" si="48"/>
        <v>45.990.181/0001-89</v>
      </c>
      <c r="C3122" s="12" t="str">
        <f>VLOOKUP(B3122,[1]Planilha1!$A:$B,2,0)</f>
        <v>Malu Montesino</v>
      </c>
      <c r="D3122" s="3" t="s">
        <v>11068</v>
      </c>
      <c r="E3122" s="3" t="s">
        <v>11068</v>
      </c>
      <c r="F3122" s="3" t="s">
        <v>20</v>
      </c>
      <c r="G3122" s="4">
        <v>24309</v>
      </c>
      <c r="H3122" s="3" t="s">
        <v>21</v>
      </c>
      <c r="I3122" s="3" t="s">
        <v>33</v>
      </c>
      <c r="J3122" s="5">
        <v>1814844500</v>
      </c>
      <c r="K3122" s="3">
        <v>2941700</v>
      </c>
      <c r="L3122" s="3" t="s">
        <v>2610</v>
      </c>
      <c r="M3122" s="3" t="s">
        <v>11069</v>
      </c>
      <c r="N3122" s="3" t="s">
        <v>111</v>
      </c>
      <c r="O3122" s="3" t="s">
        <v>11070</v>
      </c>
      <c r="P3122" s="3" t="s">
        <v>11071</v>
      </c>
      <c r="Q3122" s="3" t="s">
        <v>65</v>
      </c>
      <c r="R3122" s="3" t="s">
        <v>28</v>
      </c>
      <c r="S3122" s="3">
        <v>13065900</v>
      </c>
      <c r="T3122" s="3">
        <v>1921031954</v>
      </c>
      <c r="U3122" s="3" t="s">
        <v>29</v>
      </c>
    </row>
    <row r="3123" spans="1:21" ht="13.2" x14ac:dyDescent="0.25">
      <c r="A3123" s="14">
        <v>61135711001482</v>
      </c>
      <c r="B3123" s="15" t="str">
        <f t="shared" si="48"/>
        <v>61.135.711/0014-82</v>
      </c>
      <c r="C3123" s="12"/>
      <c r="D3123" s="3" t="s">
        <v>11072</v>
      </c>
      <c r="E3123" s="3" t="s">
        <v>11073</v>
      </c>
      <c r="F3123" s="3" t="s">
        <v>45</v>
      </c>
      <c r="G3123" s="4">
        <v>36875</v>
      </c>
      <c r="H3123" s="3" t="s">
        <v>21</v>
      </c>
      <c r="I3123" s="3" t="s">
        <v>33</v>
      </c>
      <c r="J3123" s="5">
        <v>280005150</v>
      </c>
      <c r="K3123" s="3">
        <v>899199</v>
      </c>
      <c r="L3123" s="3" t="s">
        <v>5547</v>
      </c>
      <c r="M3123" s="3" t="s">
        <v>11074</v>
      </c>
      <c r="N3123" s="3" t="s">
        <v>82</v>
      </c>
      <c r="P3123" s="3" t="s">
        <v>911</v>
      </c>
      <c r="Q3123" s="3" t="s">
        <v>11075</v>
      </c>
      <c r="R3123" s="3" t="s">
        <v>100</v>
      </c>
      <c r="S3123" s="3">
        <v>38900000</v>
      </c>
      <c r="T3123" s="3">
        <v>316493500</v>
      </c>
      <c r="U3123" s="3" t="s">
        <v>29</v>
      </c>
    </row>
    <row r="3124" spans="1:21" ht="13.2" x14ac:dyDescent="0.25">
      <c r="A3124" s="14">
        <v>54890805000187</v>
      </c>
      <c r="B3124" s="15" t="str">
        <f t="shared" si="48"/>
        <v>54.890.805/0001-87</v>
      </c>
      <c r="C3124" s="12" t="str">
        <f>VLOOKUP(B3124,[1]Planilha1!$A:$B,2,0)</f>
        <v>Malu Montesino</v>
      </c>
      <c r="D3124" s="3" t="s">
        <v>11076</v>
      </c>
      <c r="E3124" s="3" t="s">
        <v>11076</v>
      </c>
      <c r="F3124" s="3" t="s">
        <v>20</v>
      </c>
      <c r="G3124" s="4">
        <v>45407</v>
      </c>
      <c r="H3124" s="3" t="s">
        <v>21</v>
      </c>
      <c r="I3124" s="3" t="s">
        <v>33</v>
      </c>
      <c r="J3124" s="5">
        <v>100000</v>
      </c>
      <c r="K3124" s="3">
        <v>4511102</v>
      </c>
      <c r="L3124" s="3" t="s">
        <v>9324</v>
      </c>
      <c r="M3124" s="3" t="s">
        <v>9766</v>
      </c>
      <c r="N3124" s="3">
        <v>4220</v>
      </c>
      <c r="P3124" s="3" t="s">
        <v>11077</v>
      </c>
      <c r="Q3124" s="3" t="s">
        <v>567</v>
      </c>
      <c r="R3124" s="3" t="s">
        <v>28</v>
      </c>
      <c r="S3124" s="3">
        <v>13213105</v>
      </c>
      <c r="T3124" s="3">
        <v>1142303332</v>
      </c>
      <c r="U3124" s="3" t="s">
        <v>29</v>
      </c>
    </row>
    <row r="3125" spans="1:21" ht="13.2" x14ac:dyDescent="0.25">
      <c r="A3125" s="14">
        <v>51305622000169</v>
      </c>
      <c r="B3125" s="15" t="str">
        <f t="shared" si="48"/>
        <v>51.305.622/0001-69</v>
      </c>
      <c r="C3125" s="12"/>
      <c r="D3125" s="3" t="s">
        <v>11078</v>
      </c>
      <c r="E3125" s="3" t="s">
        <v>11078</v>
      </c>
      <c r="F3125" s="3" t="s">
        <v>45</v>
      </c>
      <c r="G3125" s="4">
        <v>45112</v>
      </c>
      <c r="H3125" s="3" t="s">
        <v>21</v>
      </c>
      <c r="I3125" s="3" t="s">
        <v>47</v>
      </c>
      <c r="J3125" s="5">
        <v>30000</v>
      </c>
      <c r="K3125" s="3">
        <v>7111100</v>
      </c>
      <c r="L3125" s="3" t="s">
        <v>1115</v>
      </c>
      <c r="M3125" s="3" t="s">
        <v>11079</v>
      </c>
      <c r="N3125" s="3">
        <v>520</v>
      </c>
      <c r="P3125" s="3" t="s">
        <v>1397</v>
      </c>
      <c r="Q3125" s="3" t="s">
        <v>27</v>
      </c>
      <c r="R3125" s="3" t="s">
        <v>28</v>
      </c>
      <c r="S3125" s="3">
        <v>4560001</v>
      </c>
      <c r="T3125" s="3">
        <v>1196317624</v>
      </c>
      <c r="U3125" s="3" t="s">
        <v>29</v>
      </c>
    </row>
    <row r="3126" spans="1:21" ht="13.2" x14ac:dyDescent="0.25">
      <c r="A3126" s="14">
        <v>11401002000109</v>
      </c>
      <c r="B3126" s="15" t="str">
        <f t="shared" si="48"/>
        <v>11.401.002/0001-09</v>
      </c>
      <c r="C3126" s="12"/>
      <c r="D3126" s="3" t="s">
        <v>11080</v>
      </c>
      <c r="E3126" s="3" t="s">
        <v>11081</v>
      </c>
      <c r="F3126" s="3" t="s">
        <v>20</v>
      </c>
      <c r="G3126" s="4">
        <v>40133</v>
      </c>
      <c r="H3126" s="3" t="s">
        <v>21</v>
      </c>
      <c r="I3126" s="3" t="s">
        <v>22</v>
      </c>
      <c r="J3126" s="5">
        <v>80000</v>
      </c>
      <c r="K3126" s="3">
        <v>4530705</v>
      </c>
      <c r="L3126" s="3" t="s">
        <v>1488</v>
      </c>
      <c r="M3126" s="3" t="s">
        <v>3223</v>
      </c>
      <c r="N3126" s="3">
        <v>82</v>
      </c>
      <c r="P3126" s="3" t="s">
        <v>9296</v>
      </c>
      <c r="Q3126" s="3" t="s">
        <v>65</v>
      </c>
      <c r="R3126" s="3" t="s">
        <v>28</v>
      </c>
      <c r="S3126" s="3">
        <v>13050451</v>
      </c>
      <c r="T3126" s="3">
        <v>1156392827</v>
      </c>
      <c r="U3126" s="3" t="s">
        <v>29</v>
      </c>
    </row>
    <row r="3127" spans="1:21" ht="13.2" x14ac:dyDescent="0.25">
      <c r="A3127" s="14">
        <v>8531759000102</v>
      </c>
      <c r="B3127" s="15" t="str">
        <f t="shared" si="48"/>
        <v>08.531.759/0001-02</v>
      </c>
      <c r="C3127" s="12" t="str">
        <f>VLOOKUP(B3127,[1]Planilha1!$A:$B,2,0)</f>
        <v>Malu Montesino</v>
      </c>
      <c r="D3127" s="3" t="s">
        <v>11082</v>
      </c>
      <c r="E3127" s="3" t="s">
        <v>11082</v>
      </c>
      <c r="F3127" s="3" t="s">
        <v>20</v>
      </c>
      <c r="G3127" s="4">
        <v>39045</v>
      </c>
      <c r="H3127" s="3" t="s">
        <v>21</v>
      </c>
      <c r="I3127" s="3" t="s">
        <v>22</v>
      </c>
      <c r="J3127" s="5">
        <v>50000</v>
      </c>
      <c r="K3127" s="3">
        <v>4649499</v>
      </c>
      <c r="L3127" s="3" t="s">
        <v>5842</v>
      </c>
      <c r="M3127" s="3" t="s">
        <v>1175</v>
      </c>
      <c r="N3127" s="3">
        <v>288</v>
      </c>
      <c r="O3127" s="3" t="s">
        <v>11083</v>
      </c>
      <c r="P3127" s="3" t="s">
        <v>11084</v>
      </c>
      <c r="Q3127" s="3" t="s">
        <v>730</v>
      </c>
      <c r="R3127" s="3" t="s">
        <v>53</v>
      </c>
      <c r="S3127" s="3">
        <v>95010040</v>
      </c>
      <c r="T3127" s="3">
        <v>5499773668</v>
      </c>
      <c r="U3127" s="3" t="s">
        <v>29</v>
      </c>
    </row>
    <row r="3128" spans="1:21" ht="13.2" x14ac:dyDescent="0.25">
      <c r="A3128" s="14">
        <v>58516782000104</v>
      </c>
      <c r="B3128" s="15" t="str">
        <f t="shared" si="48"/>
        <v>58.516.782/0001-04</v>
      </c>
      <c r="C3128" s="12" t="str">
        <f>VLOOKUP(B3128,[1]Planilha1!$A:$B,2,0)</f>
        <v>Malu Montesino</v>
      </c>
      <c r="D3128" s="3" t="s">
        <v>11085</v>
      </c>
      <c r="E3128" s="3" t="s">
        <v>11085</v>
      </c>
      <c r="F3128" s="3" t="s">
        <v>20</v>
      </c>
      <c r="G3128" s="4">
        <v>32149</v>
      </c>
      <c r="H3128" s="3" t="s">
        <v>21</v>
      </c>
      <c r="I3128" s="3" t="s">
        <v>33</v>
      </c>
      <c r="J3128" s="5">
        <v>3000000</v>
      </c>
      <c r="K3128" s="3">
        <v>4511105</v>
      </c>
      <c r="L3128" s="3" t="s">
        <v>9102</v>
      </c>
      <c r="M3128" s="3" t="s">
        <v>11086</v>
      </c>
      <c r="N3128" s="3">
        <v>831</v>
      </c>
      <c r="P3128" s="3" t="s">
        <v>11087</v>
      </c>
      <c r="Q3128" s="3" t="s">
        <v>3034</v>
      </c>
      <c r="R3128" s="3" t="s">
        <v>28</v>
      </c>
      <c r="S3128" s="3">
        <v>14803685</v>
      </c>
      <c r="T3128" s="3">
        <v>1633034112</v>
      </c>
      <c r="U3128" s="3" t="s">
        <v>29</v>
      </c>
    </row>
    <row r="3129" spans="1:21" ht="13.2" x14ac:dyDescent="0.25">
      <c r="A3129" s="14">
        <v>97467856000103</v>
      </c>
      <c r="B3129" s="15" t="str">
        <f t="shared" si="48"/>
        <v>97.467.856/0001-03</v>
      </c>
      <c r="C3129" s="12"/>
      <c r="D3129" s="3" t="s">
        <v>11088</v>
      </c>
      <c r="E3129" s="3" t="s">
        <v>11089</v>
      </c>
      <c r="F3129" s="3" t="s">
        <v>20</v>
      </c>
      <c r="G3129" s="4">
        <v>34446</v>
      </c>
      <c r="H3129" s="3" t="s">
        <v>21</v>
      </c>
      <c r="I3129" s="3" t="s">
        <v>33</v>
      </c>
      <c r="J3129" s="5">
        <v>90000000</v>
      </c>
      <c r="K3129" s="3">
        <v>4511105</v>
      </c>
      <c r="L3129" s="3" t="s">
        <v>9102</v>
      </c>
      <c r="M3129" s="3" t="s">
        <v>3690</v>
      </c>
      <c r="N3129" s="3">
        <v>3545</v>
      </c>
      <c r="P3129" s="3" t="s">
        <v>2254</v>
      </c>
      <c r="Q3129" s="3" t="s">
        <v>204</v>
      </c>
      <c r="R3129" s="3" t="s">
        <v>187</v>
      </c>
      <c r="S3129" s="3">
        <v>81270200</v>
      </c>
      <c r="T3129" s="3">
        <v>4133171414</v>
      </c>
      <c r="U3129" s="3" t="s">
        <v>29</v>
      </c>
    </row>
    <row r="3130" spans="1:21" ht="13.2" x14ac:dyDescent="0.25">
      <c r="A3130" s="14">
        <v>921048000132</v>
      </c>
      <c r="B3130" s="15" t="str">
        <f t="shared" si="48"/>
        <v>00.921.048/0001-32</v>
      </c>
      <c r="C3130" s="12"/>
      <c r="D3130" s="3" t="s">
        <v>11090</v>
      </c>
      <c r="E3130" s="3" t="s">
        <v>11090</v>
      </c>
      <c r="F3130" s="3" t="s">
        <v>20</v>
      </c>
      <c r="G3130" s="4">
        <v>34988</v>
      </c>
      <c r="H3130" s="3" t="s">
        <v>21</v>
      </c>
      <c r="I3130" s="3" t="s">
        <v>33</v>
      </c>
      <c r="J3130" s="5">
        <v>5000000</v>
      </c>
      <c r="K3130" s="3">
        <v>4511105</v>
      </c>
      <c r="L3130" s="3" t="s">
        <v>9102</v>
      </c>
      <c r="M3130" s="3" t="s">
        <v>81</v>
      </c>
      <c r="N3130" s="3" t="s">
        <v>111</v>
      </c>
      <c r="O3130" s="3" t="s">
        <v>11091</v>
      </c>
      <c r="P3130" s="3" t="s">
        <v>11092</v>
      </c>
      <c r="Q3130" s="3" t="s">
        <v>524</v>
      </c>
      <c r="R3130" s="3" t="s">
        <v>28</v>
      </c>
      <c r="S3130" s="3">
        <v>14070730</v>
      </c>
      <c r="T3130" s="3">
        <v>1639342200</v>
      </c>
      <c r="U3130" s="3" t="s">
        <v>29</v>
      </c>
    </row>
    <row r="3131" spans="1:21" ht="13.2" x14ac:dyDescent="0.25">
      <c r="A3131" s="14">
        <v>55747588000133</v>
      </c>
      <c r="B3131" s="15" t="str">
        <f t="shared" si="48"/>
        <v>55.747.588/0001-33</v>
      </c>
      <c r="C3131" s="12"/>
      <c r="D3131" s="3" t="s">
        <v>11093</v>
      </c>
      <c r="E3131" s="3" t="s">
        <v>11094</v>
      </c>
      <c r="F3131" s="3" t="s">
        <v>20</v>
      </c>
      <c r="G3131" s="4">
        <v>31546</v>
      </c>
      <c r="H3131" s="3" t="s">
        <v>21</v>
      </c>
      <c r="I3131" s="3" t="s">
        <v>33</v>
      </c>
      <c r="J3131" s="5">
        <v>300000</v>
      </c>
      <c r="K3131" s="3">
        <v>2790299</v>
      </c>
      <c r="L3131" s="3" t="s">
        <v>2875</v>
      </c>
      <c r="M3131" s="3" t="s">
        <v>6510</v>
      </c>
      <c r="N3131" s="3">
        <v>1614</v>
      </c>
      <c r="P3131" s="3" t="s">
        <v>3970</v>
      </c>
      <c r="Q3131" s="3" t="s">
        <v>27</v>
      </c>
      <c r="R3131" s="3" t="s">
        <v>28</v>
      </c>
      <c r="S3131" s="3">
        <v>4209001</v>
      </c>
      <c r="T3131" s="3">
        <v>1129149345</v>
      </c>
      <c r="U3131" s="3" t="s">
        <v>29</v>
      </c>
    </row>
    <row r="3132" spans="1:21" ht="13.2" x14ac:dyDescent="0.25">
      <c r="A3132" s="14">
        <v>14974969000178</v>
      </c>
      <c r="B3132" s="15" t="str">
        <f t="shared" si="48"/>
        <v>14.974.969/0001-78</v>
      </c>
      <c r="C3132" s="12"/>
      <c r="D3132" s="3" t="s">
        <v>11095</v>
      </c>
      <c r="E3132" s="3" t="s">
        <v>11096</v>
      </c>
      <c r="F3132" s="3" t="s">
        <v>20</v>
      </c>
      <c r="G3132" s="4">
        <v>40935</v>
      </c>
      <c r="H3132" s="3" t="s">
        <v>21</v>
      </c>
      <c r="I3132" s="3" t="s">
        <v>22</v>
      </c>
      <c r="J3132" s="5">
        <v>93700</v>
      </c>
      <c r="K3132" s="3">
        <v>4520001</v>
      </c>
      <c r="L3132" s="3" t="s">
        <v>993</v>
      </c>
      <c r="M3132" s="3" t="s">
        <v>11097</v>
      </c>
      <c r="N3132" s="3">
        <v>810</v>
      </c>
      <c r="P3132" s="3" t="s">
        <v>2482</v>
      </c>
      <c r="Q3132" s="3" t="s">
        <v>262</v>
      </c>
      <c r="R3132" s="3" t="s">
        <v>28</v>
      </c>
      <c r="S3132" s="3">
        <v>6140052</v>
      </c>
      <c r="T3132" s="3">
        <v>1145576879</v>
      </c>
      <c r="U3132" s="3" t="s">
        <v>29</v>
      </c>
    </row>
    <row r="3133" spans="1:21" ht="13.2" x14ac:dyDescent="0.25">
      <c r="A3133" s="14">
        <v>9597038000168</v>
      </c>
      <c r="B3133" s="15" t="str">
        <f t="shared" si="48"/>
        <v>09.597.038/0001-68</v>
      </c>
      <c r="C3133" s="12"/>
      <c r="D3133" s="3" t="s">
        <v>11098</v>
      </c>
      <c r="E3133" s="3" t="s">
        <v>11098</v>
      </c>
      <c r="F3133" s="3" t="s">
        <v>31</v>
      </c>
      <c r="G3133" s="4">
        <v>39576</v>
      </c>
      <c r="H3133" s="3" t="s">
        <v>46</v>
      </c>
      <c r="I3133" s="3" t="s">
        <v>47</v>
      </c>
      <c r="J3133" s="5">
        <v>5000</v>
      </c>
      <c r="K3133" s="3">
        <v>4321500</v>
      </c>
      <c r="L3133" s="3" t="s">
        <v>964</v>
      </c>
      <c r="M3133" s="3" t="s">
        <v>11099</v>
      </c>
      <c r="N3133" s="3">
        <v>149</v>
      </c>
      <c r="P3133" s="3" t="s">
        <v>11100</v>
      </c>
      <c r="Q3133" s="3" t="s">
        <v>27</v>
      </c>
      <c r="R3133" s="3" t="s">
        <v>28</v>
      </c>
      <c r="S3133" s="3">
        <v>4407020</v>
      </c>
      <c r="T3133" s="3">
        <v>1177881624</v>
      </c>
      <c r="U3133" s="3" t="s">
        <v>29</v>
      </c>
    </row>
    <row r="3134" spans="1:21" ht="13.2" x14ac:dyDescent="0.25">
      <c r="A3134" s="14">
        <v>75853168000149</v>
      </c>
      <c r="B3134" s="15" t="str">
        <f t="shared" si="48"/>
        <v>75.853.168/0001-49</v>
      </c>
      <c r="C3134" s="12" t="str">
        <f>VLOOKUP(B3134,[1]Planilha1!$A:$B,2,0)</f>
        <v>Malu Montesino</v>
      </c>
      <c r="D3134" s="3" t="s">
        <v>11101</v>
      </c>
      <c r="E3134" s="3" t="s">
        <v>11101</v>
      </c>
      <c r="F3134" s="3" t="s">
        <v>20</v>
      </c>
      <c r="G3134" s="4">
        <v>30025</v>
      </c>
      <c r="H3134" s="3" t="s">
        <v>21</v>
      </c>
      <c r="I3134" s="3" t="s">
        <v>33</v>
      </c>
      <c r="J3134" s="5">
        <v>112047100</v>
      </c>
      <c r="K3134" s="3">
        <v>1622602</v>
      </c>
      <c r="L3134" s="3" t="s">
        <v>11102</v>
      </c>
      <c r="M3134" s="3" t="s">
        <v>370</v>
      </c>
      <c r="N3134" s="3">
        <v>500</v>
      </c>
      <c r="P3134" s="3" t="s">
        <v>70</v>
      </c>
      <c r="Q3134" s="3" t="s">
        <v>11103</v>
      </c>
      <c r="R3134" s="3" t="s">
        <v>91</v>
      </c>
      <c r="S3134" s="3">
        <v>89196000</v>
      </c>
      <c r="T3134" s="3">
        <v>4735639100</v>
      </c>
      <c r="U3134" s="3" t="s">
        <v>29</v>
      </c>
    </row>
    <row r="3135" spans="1:21" ht="13.2" x14ac:dyDescent="0.25">
      <c r="A3135" s="14">
        <v>61072625000153</v>
      </c>
      <c r="B3135" s="15" t="str">
        <f t="shared" si="48"/>
        <v>61.072.625/0001-53</v>
      </c>
      <c r="C3135" s="12"/>
      <c r="D3135" s="3" t="s">
        <v>11104</v>
      </c>
      <c r="E3135" s="3" t="s">
        <v>11104</v>
      </c>
      <c r="F3135" s="3" t="s">
        <v>20</v>
      </c>
      <c r="G3135" s="4">
        <v>19946</v>
      </c>
      <c r="H3135" s="3" t="s">
        <v>21</v>
      </c>
      <c r="I3135" s="3" t="s">
        <v>33</v>
      </c>
      <c r="J3135" s="5">
        <v>4350000</v>
      </c>
      <c r="K3135" s="3">
        <v>4663000</v>
      </c>
      <c r="L3135" s="3" t="s">
        <v>128</v>
      </c>
      <c r="M3135" s="3" t="s">
        <v>11105</v>
      </c>
      <c r="N3135" s="3">
        <v>105</v>
      </c>
      <c r="P3135" s="3" t="s">
        <v>2020</v>
      </c>
      <c r="Q3135" s="3" t="s">
        <v>27</v>
      </c>
      <c r="R3135" s="3" t="s">
        <v>28</v>
      </c>
      <c r="S3135" s="3">
        <v>1153000</v>
      </c>
      <c r="U3135" s="3" t="s">
        <v>29</v>
      </c>
    </row>
    <row r="3136" spans="1:21" ht="13.2" x14ac:dyDescent="0.25">
      <c r="A3136" s="14">
        <v>5453447000130</v>
      </c>
      <c r="B3136" s="15" t="str">
        <f t="shared" si="48"/>
        <v>05.453.447/0001-30</v>
      </c>
      <c r="C3136" s="12" t="str">
        <f>VLOOKUP(B3136,[1]Planilha1!$A:$B,2,0)</f>
        <v>Malu Montesino</v>
      </c>
      <c r="D3136" s="3" t="s">
        <v>11106</v>
      </c>
      <c r="E3136" s="3" t="s">
        <v>11107</v>
      </c>
      <c r="F3136" s="3" t="s">
        <v>20</v>
      </c>
      <c r="G3136" s="4">
        <v>37609</v>
      </c>
      <c r="H3136" s="3" t="s">
        <v>21</v>
      </c>
      <c r="I3136" s="3" t="s">
        <v>33</v>
      </c>
      <c r="J3136" s="5">
        <v>2600000</v>
      </c>
      <c r="K3136" s="3">
        <v>2930101</v>
      </c>
      <c r="L3136" s="3" t="s">
        <v>856</v>
      </c>
      <c r="M3136" s="3" t="s">
        <v>2450</v>
      </c>
      <c r="N3136" s="3">
        <v>3793</v>
      </c>
      <c r="P3136" s="3" t="s">
        <v>11108</v>
      </c>
      <c r="Q3136" s="3" t="s">
        <v>2402</v>
      </c>
      <c r="R3136" s="3" t="s">
        <v>187</v>
      </c>
      <c r="S3136" s="3">
        <v>86181570</v>
      </c>
      <c r="T3136" s="3">
        <v>4333236282</v>
      </c>
      <c r="U3136" s="3" t="s">
        <v>29</v>
      </c>
    </row>
    <row r="3137" spans="1:21" ht="13.2" x14ac:dyDescent="0.25">
      <c r="A3137" s="14">
        <v>3031948000100</v>
      </c>
      <c r="B3137" s="15" t="str">
        <f t="shared" si="48"/>
        <v>03.031.948/0001-00</v>
      </c>
      <c r="C3137" s="12"/>
      <c r="D3137" s="3" t="s">
        <v>11109</v>
      </c>
      <c r="E3137" s="3" t="s">
        <v>11110</v>
      </c>
      <c r="F3137" s="3" t="s">
        <v>20</v>
      </c>
      <c r="G3137" s="4">
        <v>36231</v>
      </c>
      <c r="H3137" s="3" t="s">
        <v>21</v>
      </c>
      <c r="I3137" s="3" t="s">
        <v>22</v>
      </c>
      <c r="J3137" s="5">
        <v>95400</v>
      </c>
      <c r="K3137" s="3">
        <v>2869100</v>
      </c>
      <c r="L3137" s="3" t="s">
        <v>1416</v>
      </c>
      <c r="M3137" s="3" t="s">
        <v>11111</v>
      </c>
      <c r="N3137" s="3">
        <v>193</v>
      </c>
      <c r="P3137" s="3" t="s">
        <v>11112</v>
      </c>
      <c r="Q3137" s="3" t="s">
        <v>27</v>
      </c>
      <c r="R3137" s="3" t="s">
        <v>28</v>
      </c>
      <c r="S3137" s="3">
        <v>3158040</v>
      </c>
      <c r="T3137" s="3">
        <v>1120218255</v>
      </c>
      <c r="U3137" s="3" t="s">
        <v>29</v>
      </c>
    </row>
    <row r="3138" spans="1:21" ht="13.2" x14ac:dyDescent="0.25">
      <c r="A3138" s="14">
        <v>56720428000163</v>
      </c>
      <c r="B3138" s="15" t="str">
        <f t="shared" si="48"/>
        <v>56.720.428/0001-63</v>
      </c>
      <c r="C3138" s="12" t="str">
        <f>VLOOKUP(B3138,[1]Planilha1!$A:$B,2,0)</f>
        <v>Malu Montesino</v>
      </c>
      <c r="D3138" s="3" t="s">
        <v>11113</v>
      </c>
      <c r="E3138" s="3" t="s">
        <v>11113</v>
      </c>
      <c r="F3138" s="3" t="s">
        <v>20</v>
      </c>
      <c r="G3138" s="4">
        <v>24300</v>
      </c>
      <c r="H3138" s="3" t="s">
        <v>377</v>
      </c>
      <c r="I3138" s="3" t="s">
        <v>33</v>
      </c>
      <c r="J3138" s="5">
        <v>1001432770</v>
      </c>
      <c r="K3138" s="3">
        <v>2840200</v>
      </c>
      <c r="L3138" s="3" t="s">
        <v>2053</v>
      </c>
      <c r="M3138" s="3" t="s">
        <v>11114</v>
      </c>
      <c r="N3138" s="3">
        <v>56</v>
      </c>
      <c r="P3138" s="3" t="s">
        <v>11115</v>
      </c>
      <c r="Q3138" s="3" t="s">
        <v>1177</v>
      </c>
      <c r="R3138" s="3" t="s">
        <v>28</v>
      </c>
      <c r="S3138" s="3">
        <v>13453900</v>
      </c>
      <c r="T3138" s="3">
        <v>1934559220</v>
      </c>
      <c r="U3138" s="3" t="s">
        <v>29</v>
      </c>
    </row>
    <row r="3139" spans="1:21" ht="13.2" x14ac:dyDescent="0.25">
      <c r="A3139" s="14">
        <v>6229343000109</v>
      </c>
      <c r="B3139" s="15" t="str">
        <f t="shared" ref="B3139:B3202" si="49">TEXT(A3139,"00\.000\.000\/0000\-00")</f>
        <v>06.229.343/0001-09</v>
      </c>
      <c r="C3139" s="12"/>
      <c r="D3139" s="3" t="s">
        <v>11116</v>
      </c>
      <c r="E3139" s="3" t="s">
        <v>11117</v>
      </c>
      <c r="F3139" s="3" t="s">
        <v>20</v>
      </c>
      <c r="G3139" s="4">
        <v>38099</v>
      </c>
      <c r="H3139" s="3" t="s">
        <v>21</v>
      </c>
      <c r="I3139" s="3" t="s">
        <v>33</v>
      </c>
      <c r="J3139" s="5">
        <v>1500000</v>
      </c>
      <c r="K3139" s="3">
        <v>4120400</v>
      </c>
      <c r="L3139" s="3" t="s">
        <v>87</v>
      </c>
      <c r="M3139" s="3" t="s">
        <v>11118</v>
      </c>
      <c r="N3139" s="3">
        <v>81</v>
      </c>
      <c r="P3139" s="3" t="s">
        <v>7152</v>
      </c>
      <c r="Q3139" s="3" t="s">
        <v>567</v>
      </c>
      <c r="R3139" s="3" t="s">
        <v>28</v>
      </c>
      <c r="S3139" s="3">
        <v>13212124</v>
      </c>
      <c r="T3139" s="3">
        <v>1139648363</v>
      </c>
      <c r="U3139" s="3" t="s">
        <v>29</v>
      </c>
    </row>
    <row r="3140" spans="1:21" ht="13.2" x14ac:dyDescent="0.25">
      <c r="A3140" s="14">
        <v>25480914000128</v>
      </c>
      <c r="B3140" s="15" t="str">
        <f t="shared" si="49"/>
        <v>25.480.914/0001-28</v>
      </c>
      <c r="C3140" s="12"/>
      <c r="D3140" s="3" t="s">
        <v>11119</v>
      </c>
      <c r="E3140" s="3" t="s">
        <v>11119</v>
      </c>
      <c r="F3140" s="3" t="s">
        <v>20</v>
      </c>
      <c r="G3140" s="4">
        <v>32456</v>
      </c>
      <c r="H3140" s="3" t="s">
        <v>21</v>
      </c>
      <c r="I3140" s="3" t="s">
        <v>33</v>
      </c>
      <c r="J3140" s="5">
        <v>15000000</v>
      </c>
      <c r="K3140" s="3">
        <v>7711000</v>
      </c>
      <c r="L3140" s="3" t="s">
        <v>2763</v>
      </c>
      <c r="M3140" s="3" t="s">
        <v>4575</v>
      </c>
      <c r="N3140" s="3">
        <v>777</v>
      </c>
      <c r="P3140" s="3" t="s">
        <v>11120</v>
      </c>
      <c r="Q3140" s="3" t="s">
        <v>476</v>
      </c>
      <c r="R3140" s="3" t="s">
        <v>100</v>
      </c>
      <c r="S3140" s="3">
        <v>31230240</v>
      </c>
      <c r="T3140" s="3">
        <v>3134281515</v>
      </c>
      <c r="U3140" s="3" t="s">
        <v>29</v>
      </c>
    </row>
    <row r="3141" spans="1:21" ht="13.2" x14ac:dyDescent="0.25">
      <c r="A3141" s="14">
        <v>62858352000210</v>
      </c>
      <c r="B3141" s="15" t="str">
        <f t="shared" si="49"/>
        <v>62.858.352/0002-10</v>
      </c>
      <c r="C3141" s="12"/>
      <c r="D3141" s="3" t="s">
        <v>11121</v>
      </c>
      <c r="E3141" s="3" t="s">
        <v>11121</v>
      </c>
      <c r="F3141" s="3" t="s">
        <v>31</v>
      </c>
      <c r="G3141" s="4">
        <v>31519</v>
      </c>
      <c r="H3141" s="3" t="s">
        <v>21</v>
      </c>
      <c r="I3141" s="3" t="s">
        <v>33</v>
      </c>
      <c r="J3141" s="5">
        <v>4500000</v>
      </c>
      <c r="K3141" s="3">
        <v>8299799</v>
      </c>
      <c r="L3141" s="3" t="s">
        <v>532</v>
      </c>
      <c r="M3141" s="3" t="s">
        <v>11122</v>
      </c>
      <c r="N3141" s="3">
        <v>230</v>
      </c>
      <c r="P3141" s="3" t="s">
        <v>1688</v>
      </c>
      <c r="Q3141" s="3" t="s">
        <v>27</v>
      </c>
      <c r="R3141" s="3" t="s">
        <v>28</v>
      </c>
      <c r="S3141" s="3">
        <v>5463070</v>
      </c>
      <c r="U3141" s="3" t="s">
        <v>29</v>
      </c>
    </row>
    <row r="3142" spans="1:21" ht="13.2" x14ac:dyDescent="0.25">
      <c r="A3142" s="14">
        <v>2341470000144</v>
      </c>
      <c r="B3142" s="15" t="str">
        <f t="shared" si="49"/>
        <v>02.341.470/0001-44</v>
      </c>
      <c r="C3142" s="12"/>
      <c r="D3142" s="3" t="s">
        <v>11123</v>
      </c>
      <c r="E3142" s="3" t="s">
        <v>11123</v>
      </c>
      <c r="F3142" s="3" t="s">
        <v>20</v>
      </c>
      <c r="G3142" s="4">
        <v>35825</v>
      </c>
      <c r="H3142" s="3" t="s">
        <v>94</v>
      </c>
      <c r="I3142" s="3" t="s">
        <v>33</v>
      </c>
      <c r="J3142" s="5">
        <v>1202324000</v>
      </c>
      <c r="K3142" s="3">
        <v>3514000</v>
      </c>
      <c r="L3142" s="3" t="s">
        <v>3329</v>
      </c>
      <c r="M3142" s="3" t="s">
        <v>11124</v>
      </c>
      <c r="N3142" s="3">
        <v>691</v>
      </c>
      <c r="P3142" s="3" t="s">
        <v>70</v>
      </c>
      <c r="Q3142" s="3" t="s">
        <v>370</v>
      </c>
      <c r="R3142" s="3" t="s">
        <v>5945</v>
      </c>
      <c r="S3142" s="3">
        <v>69301160</v>
      </c>
      <c r="T3142" s="3">
        <v>956239380</v>
      </c>
      <c r="U3142" s="3" t="s">
        <v>29</v>
      </c>
    </row>
    <row r="3143" spans="1:21" ht="13.2" x14ac:dyDescent="0.25">
      <c r="A3143" s="14">
        <v>8979527000111</v>
      </c>
      <c r="B3143" s="15" t="str">
        <f t="shared" si="49"/>
        <v>08.979.527/0001-11</v>
      </c>
      <c r="C3143" s="12" t="str">
        <f>VLOOKUP(B3143,[1]Planilha1!$A:$B,2,0)</f>
        <v>Malu Montesino</v>
      </c>
      <c r="D3143" s="3" t="s">
        <v>11125</v>
      </c>
      <c r="E3143" s="3" t="s">
        <v>11126</v>
      </c>
      <c r="F3143" s="3" t="s">
        <v>20</v>
      </c>
      <c r="G3143" s="4">
        <v>39295</v>
      </c>
      <c r="H3143" s="3" t="s">
        <v>21</v>
      </c>
      <c r="I3143" s="3" t="s">
        <v>33</v>
      </c>
      <c r="J3143" s="5">
        <v>8692937</v>
      </c>
      <c r="K3143" s="3">
        <v>4649499</v>
      </c>
      <c r="L3143" s="3" t="s">
        <v>5842</v>
      </c>
      <c r="M3143" s="3" t="s">
        <v>11127</v>
      </c>
      <c r="N3143" s="3">
        <v>663</v>
      </c>
      <c r="O3143" s="3" t="s">
        <v>11128</v>
      </c>
      <c r="P3143" s="3" t="s">
        <v>10400</v>
      </c>
      <c r="Q3143" s="3" t="s">
        <v>273</v>
      </c>
      <c r="R3143" s="3" t="s">
        <v>274</v>
      </c>
      <c r="S3143" s="3">
        <v>74853050</v>
      </c>
      <c r="T3143" s="3">
        <v>6230952737</v>
      </c>
      <c r="U3143" s="3" t="s">
        <v>29</v>
      </c>
    </row>
    <row r="3144" spans="1:21" ht="13.2" x14ac:dyDescent="0.25">
      <c r="A3144" s="14">
        <v>32866280000101</v>
      </c>
      <c r="B3144" s="15" t="str">
        <f t="shared" si="49"/>
        <v>32.866.280/0001-01</v>
      </c>
      <c r="C3144" s="12"/>
      <c r="D3144" s="3" t="s">
        <v>11129</v>
      </c>
      <c r="E3144" s="3" t="s">
        <v>11129</v>
      </c>
      <c r="F3144" s="3" t="s">
        <v>31</v>
      </c>
      <c r="G3144" s="4">
        <v>43518</v>
      </c>
      <c r="H3144" s="3" t="s">
        <v>46</v>
      </c>
      <c r="I3144" s="3" t="s">
        <v>47</v>
      </c>
      <c r="J3144" s="5">
        <v>5000</v>
      </c>
      <c r="K3144" s="3">
        <v>4399103</v>
      </c>
      <c r="L3144" s="3" t="s">
        <v>7982</v>
      </c>
      <c r="M3144" s="3" t="s">
        <v>11130</v>
      </c>
      <c r="N3144" s="3">
        <v>15</v>
      </c>
      <c r="P3144" s="3" t="s">
        <v>11131</v>
      </c>
      <c r="Q3144" s="3" t="s">
        <v>199</v>
      </c>
      <c r="R3144" s="3" t="s">
        <v>792</v>
      </c>
      <c r="S3144" s="3">
        <v>66079016</v>
      </c>
      <c r="T3144" s="3">
        <v>9189933985</v>
      </c>
      <c r="U3144" s="3" t="s">
        <v>29</v>
      </c>
    </row>
    <row r="3145" spans="1:21" ht="13.2" x14ac:dyDescent="0.25">
      <c r="A3145" s="14">
        <v>57365116000141</v>
      </c>
      <c r="B3145" s="15" t="str">
        <f t="shared" si="49"/>
        <v>57.365.116/0001-41</v>
      </c>
      <c r="C3145" s="12"/>
      <c r="D3145" s="3" t="s">
        <v>11132</v>
      </c>
      <c r="E3145" s="3" t="s">
        <v>11132</v>
      </c>
      <c r="F3145" s="3" t="s">
        <v>20</v>
      </c>
      <c r="G3145" s="4">
        <v>31903</v>
      </c>
      <c r="H3145" s="3" t="s">
        <v>21</v>
      </c>
      <c r="I3145" s="3" t="s">
        <v>22</v>
      </c>
      <c r="J3145" s="5">
        <v>1000000</v>
      </c>
      <c r="K3145" s="3">
        <v>4645101</v>
      </c>
      <c r="L3145" s="3" t="s">
        <v>135</v>
      </c>
      <c r="M3145" s="3">
        <v>12</v>
      </c>
      <c r="N3145" s="3">
        <v>2606</v>
      </c>
      <c r="P3145" s="3" t="s">
        <v>3584</v>
      </c>
      <c r="Q3145" s="3" t="s">
        <v>2721</v>
      </c>
      <c r="R3145" s="3" t="s">
        <v>28</v>
      </c>
      <c r="S3145" s="3">
        <v>13503019</v>
      </c>
      <c r="T3145" s="3">
        <v>1935345162</v>
      </c>
      <c r="U3145" s="3" t="s">
        <v>29</v>
      </c>
    </row>
    <row r="3146" spans="1:21" ht="13.2" x14ac:dyDescent="0.25">
      <c r="A3146" s="14">
        <v>54125679000174</v>
      </c>
      <c r="B3146" s="15" t="str">
        <f t="shared" si="49"/>
        <v>54.125.679/0001-74</v>
      </c>
      <c r="C3146" s="12"/>
      <c r="D3146" s="3" t="s">
        <v>11133</v>
      </c>
      <c r="E3146" s="3" t="s">
        <v>11133</v>
      </c>
      <c r="F3146" s="3" t="s">
        <v>20</v>
      </c>
      <c r="G3146" s="4">
        <v>31071</v>
      </c>
      <c r="H3146" s="3" t="s">
        <v>21</v>
      </c>
      <c r="I3146" s="3" t="s">
        <v>22</v>
      </c>
      <c r="J3146" s="5">
        <v>200000</v>
      </c>
      <c r="K3146" s="3">
        <v>2543800</v>
      </c>
      <c r="L3146" s="3" t="s">
        <v>1469</v>
      </c>
      <c r="M3146" s="3" t="s">
        <v>11134</v>
      </c>
      <c r="N3146" s="3">
        <v>162</v>
      </c>
      <c r="P3146" s="3" t="s">
        <v>11135</v>
      </c>
      <c r="Q3146" s="3" t="s">
        <v>881</v>
      </c>
      <c r="R3146" s="3" t="s">
        <v>28</v>
      </c>
      <c r="S3146" s="3">
        <v>9380116</v>
      </c>
      <c r="T3146" s="3">
        <v>1145136955</v>
      </c>
      <c r="U3146" s="3" t="s">
        <v>29</v>
      </c>
    </row>
    <row r="3147" spans="1:21" ht="13.2" x14ac:dyDescent="0.25">
      <c r="A3147" s="14">
        <v>59884502000175</v>
      </c>
      <c r="B3147" s="15" t="str">
        <f t="shared" si="49"/>
        <v>59.884.502/0001-75</v>
      </c>
      <c r="C3147" s="12"/>
      <c r="D3147" s="3" t="s">
        <v>11136</v>
      </c>
      <c r="E3147" s="3" t="s">
        <v>11137</v>
      </c>
      <c r="F3147" s="3" t="s">
        <v>20</v>
      </c>
      <c r="G3147" s="4">
        <v>32500</v>
      </c>
      <c r="H3147" s="3" t="s">
        <v>21</v>
      </c>
      <c r="I3147" s="3" t="s">
        <v>33</v>
      </c>
      <c r="J3147" s="5">
        <v>5880000</v>
      </c>
      <c r="K3147" s="3">
        <v>2930101</v>
      </c>
      <c r="L3147" s="3" t="s">
        <v>856</v>
      </c>
      <c r="M3147" s="3" t="s">
        <v>2113</v>
      </c>
      <c r="N3147" s="3">
        <v>3715</v>
      </c>
      <c r="P3147" s="3" t="s">
        <v>2113</v>
      </c>
      <c r="Q3147" s="3" t="s">
        <v>357</v>
      </c>
      <c r="R3147" s="3" t="s">
        <v>28</v>
      </c>
      <c r="S3147" s="3">
        <v>7251000</v>
      </c>
      <c r="T3147" s="3">
        <v>1121910900</v>
      </c>
      <c r="U3147" s="3" t="s">
        <v>29</v>
      </c>
    </row>
    <row r="3148" spans="1:21" ht="13.2" x14ac:dyDescent="0.25">
      <c r="A3148" s="14">
        <v>4192991000102</v>
      </c>
      <c r="B3148" s="15" t="str">
        <f t="shared" si="49"/>
        <v>04.192.991/0001-02</v>
      </c>
      <c r="C3148" s="12"/>
      <c r="D3148" s="3" t="s">
        <v>11138</v>
      </c>
      <c r="E3148" s="3" t="s">
        <v>11138</v>
      </c>
      <c r="F3148" s="3" t="s">
        <v>20</v>
      </c>
      <c r="G3148" s="4">
        <v>36857</v>
      </c>
      <c r="H3148" s="3" t="s">
        <v>21</v>
      </c>
      <c r="I3148" s="3" t="s">
        <v>22</v>
      </c>
      <c r="J3148" s="5">
        <v>100000</v>
      </c>
      <c r="K3148" s="3">
        <v>2229399</v>
      </c>
      <c r="L3148" s="3" t="s">
        <v>414</v>
      </c>
      <c r="M3148" s="3" t="s">
        <v>11139</v>
      </c>
      <c r="N3148" s="3">
        <v>1839</v>
      </c>
      <c r="P3148" s="3" t="s">
        <v>3634</v>
      </c>
      <c r="Q3148" s="3" t="s">
        <v>217</v>
      </c>
      <c r="R3148" s="3" t="s">
        <v>28</v>
      </c>
      <c r="S3148" s="3">
        <v>9771211</v>
      </c>
      <c r="T3148" s="3">
        <v>1144256951</v>
      </c>
      <c r="U3148" s="3" t="s">
        <v>29</v>
      </c>
    </row>
    <row r="3149" spans="1:21" ht="13.2" x14ac:dyDescent="0.25">
      <c r="A3149" s="14">
        <v>17855575000199</v>
      </c>
      <c r="B3149" s="15" t="str">
        <f t="shared" si="49"/>
        <v>17.855.575/0001-99</v>
      </c>
      <c r="C3149" s="12"/>
      <c r="D3149" s="3" t="s">
        <v>11140</v>
      </c>
      <c r="E3149" s="3" t="s">
        <v>11141</v>
      </c>
      <c r="F3149" s="3" t="s">
        <v>20</v>
      </c>
      <c r="G3149" s="4">
        <v>41365</v>
      </c>
      <c r="H3149" s="3" t="s">
        <v>94</v>
      </c>
      <c r="I3149" s="3" t="s">
        <v>33</v>
      </c>
      <c r="J3149" s="5">
        <v>10000</v>
      </c>
      <c r="K3149" s="3">
        <v>6462000</v>
      </c>
      <c r="L3149" s="3" t="s">
        <v>250</v>
      </c>
      <c r="M3149" s="3" t="s">
        <v>6461</v>
      </c>
      <c r="N3149" s="3">
        <v>1383</v>
      </c>
      <c r="O3149" s="3" t="s">
        <v>11142</v>
      </c>
      <c r="P3149" s="3" t="s">
        <v>11143</v>
      </c>
      <c r="Q3149" s="3" t="s">
        <v>6463</v>
      </c>
      <c r="R3149" s="3" t="s">
        <v>1604</v>
      </c>
      <c r="S3149" s="3">
        <v>76803705</v>
      </c>
      <c r="T3149" s="3">
        <v>6932169600</v>
      </c>
      <c r="U3149" s="3" t="s">
        <v>29</v>
      </c>
    </row>
    <row r="3150" spans="1:21" ht="13.2" x14ac:dyDescent="0.25">
      <c r="A3150" s="14">
        <v>5461822000193</v>
      </c>
      <c r="B3150" s="15" t="str">
        <f t="shared" si="49"/>
        <v>05.461.822/0001-93</v>
      </c>
      <c r="C3150" s="12"/>
      <c r="D3150" s="3" t="s">
        <v>11144</v>
      </c>
      <c r="E3150" s="3" t="s">
        <v>11145</v>
      </c>
      <c r="F3150" s="3" t="s">
        <v>20</v>
      </c>
      <c r="G3150" s="4">
        <v>37602</v>
      </c>
      <c r="H3150" s="3" t="s">
        <v>21</v>
      </c>
      <c r="I3150" s="3" t="s">
        <v>33</v>
      </c>
      <c r="J3150" s="5">
        <v>2012364</v>
      </c>
      <c r="K3150" s="3">
        <v>4663000</v>
      </c>
      <c r="L3150" s="3" t="s">
        <v>128</v>
      </c>
      <c r="M3150" s="3" t="s">
        <v>2071</v>
      </c>
      <c r="N3150" s="3">
        <v>3500</v>
      </c>
      <c r="O3150" s="3" t="s">
        <v>11146</v>
      </c>
      <c r="P3150" s="3" t="s">
        <v>252</v>
      </c>
      <c r="Q3150" s="3" t="s">
        <v>253</v>
      </c>
      <c r="R3150" s="3" t="s">
        <v>78</v>
      </c>
      <c r="S3150" s="3">
        <v>22640102</v>
      </c>
      <c r="T3150" s="3">
        <v>2132825173</v>
      </c>
      <c r="U3150" s="3" t="s">
        <v>29</v>
      </c>
    </row>
    <row r="3151" spans="1:21" ht="13.2" x14ac:dyDescent="0.25">
      <c r="A3151" s="14">
        <v>65622946000135</v>
      </c>
      <c r="B3151" s="15" t="str">
        <f t="shared" si="49"/>
        <v>65.622.946/0001-35</v>
      </c>
      <c r="C3151" s="12"/>
      <c r="D3151" s="3" t="s">
        <v>11147</v>
      </c>
      <c r="E3151" s="3" t="s">
        <v>11147</v>
      </c>
      <c r="F3151" s="3" t="s">
        <v>20</v>
      </c>
      <c r="G3151" s="4">
        <v>33309</v>
      </c>
      <c r="H3151" s="3" t="s">
        <v>21</v>
      </c>
      <c r="I3151" s="3" t="s">
        <v>33</v>
      </c>
      <c r="J3151" s="5">
        <v>400000</v>
      </c>
      <c r="K3151" s="3">
        <v>4751201</v>
      </c>
      <c r="L3151" s="3" t="s">
        <v>23</v>
      </c>
      <c r="M3151" s="3" t="s">
        <v>6116</v>
      </c>
      <c r="N3151" s="3">
        <v>4857</v>
      </c>
      <c r="O3151" s="3" t="s">
        <v>10841</v>
      </c>
      <c r="P3151" s="3" t="s">
        <v>2207</v>
      </c>
      <c r="Q3151" s="3" t="s">
        <v>27</v>
      </c>
      <c r="R3151" s="3" t="s">
        <v>28</v>
      </c>
      <c r="S3151" s="3">
        <v>2401400</v>
      </c>
      <c r="T3151" s="3">
        <v>1132273354</v>
      </c>
      <c r="U3151" s="3" t="s">
        <v>29</v>
      </c>
    </row>
    <row r="3152" spans="1:21" ht="13.2" x14ac:dyDescent="0.25">
      <c r="A3152" s="14">
        <v>62969951000120</v>
      </c>
      <c r="B3152" s="15" t="str">
        <f t="shared" si="49"/>
        <v>62.969.951/0001-20</v>
      </c>
      <c r="C3152" s="12"/>
      <c r="D3152" s="3" t="s">
        <v>11148</v>
      </c>
      <c r="E3152" s="3" t="s">
        <v>11149</v>
      </c>
      <c r="F3152" s="3" t="s">
        <v>20</v>
      </c>
      <c r="G3152" s="4">
        <v>25875</v>
      </c>
      <c r="H3152" s="3" t="s">
        <v>21</v>
      </c>
      <c r="I3152" s="3" t="s">
        <v>33</v>
      </c>
      <c r="J3152" s="5">
        <v>1000000</v>
      </c>
      <c r="K3152" s="3">
        <v>4663000</v>
      </c>
      <c r="L3152" s="3" t="s">
        <v>128</v>
      </c>
      <c r="M3152" s="3" t="s">
        <v>701</v>
      </c>
      <c r="N3152" s="3">
        <v>812</v>
      </c>
      <c r="P3152" s="3" t="s">
        <v>753</v>
      </c>
      <c r="Q3152" s="3" t="s">
        <v>27</v>
      </c>
      <c r="R3152" s="3" t="s">
        <v>28</v>
      </c>
      <c r="S3152" s="3">
        <v>5319000</v>
      </c>
      <c r="T3152" s="3">
        <v>1130244020</v>
      </c>
      <c r="U3152" s="3" t="s">
        <v>29</v>
      </c>
    </row>
    <row r="3153" spans="1:21" ht="13.2" x14ac:dyDescent="0.25">
      <c r="A3153" s="14">
        <v>21711216000135</v>
      </c>
      <c r="B3153" s="15" t="str">
        <f t="shared" si="49"/>
        <v>21.711.216/0001-35</v>
      </c>
      <c r="C3153" s="12"/>
      <c r="D3153" s="3" t="s">
        <v>11150</v>
      </c>
      <c r="E3153" s="3" t="s">
        <v>11150</v>
      </c>
      <c r="F3153" s="3" t="s">
        <v>20</v>
      </c>
      <c r="G3153" s="4">
        <v>42024</v>
      </c>
      <c r="H3153" s="3" t="s">
        <v>21</v>
      </c>
      <c r="I3153" s="3" t="s">
        <v>47</v>
      </c>
      <c r="J3153" s="5">
        <v>650000</v>
      </c>
      <c r="K3153" s="3">
        <v>8230001</v>
      </c>
      <c r="L3153" s="3" t="s">
        <v>2141</v>
      </c>
      <c r="M3153" s="3" t="s">
        <v>11151</v>
      </c>
      <c r="N3153" s="3">
        <v>587</v>
      </c>
      <c r="O3153" s="3" t="s">
        <v>9473</v>
      </c>
      <c r="P3153" s="3" t="s">
        <v>5496</v>
      </c>
      <c r="Q3153" s="3" t="s">
        <v>262</v>
      </c>
      <c r="R3153" s="3" t="s">
        <v>28</v>
      </c>
      <c r="S3153" s="3">
        <v>6028115</v>
      </c>
      <c r="T3153" s="3">
        <v>1136094422</v>
      </c>
      <c r="U3153" s="3" t="s">
        <v>29</v>
      </c>
    </row>
    <row r="3154" spans="1:21" ht="13.2" x14ac:dyDescent="0.25">
      <c r="A3154" s="14">
        <v>429640000111</v>
      </c>
      <c r="B3154" s="15" t="str">
        <f t="shared" si="49"/>
        <v>00.429.640/0001-11</v>
      </c>
      <c r="C3154" s="12"/>
      <c r="D3154" s="3" t="s">
        <v>11152</v>
      </c>
      <c r="E3154" s="3" t="s">
        <v>11152</v>
      </c>
      <c r="F3154" s="3" t="s">
        <v>20</v>
      </c>
      <c r="G3154" s="4">
        <v>34738</v>
      </c>
      <c r="H3154" s="3" t="s">
        <v>21</v>
      </c>
      <c r="I3154" s="3" t="s">
        <v>33</v>
      </c>
      <c r="J3154" s="5">
        <v>9458462</v>
      </c>
      <c r="K3154" s="3">
        <v>2790299</v>
      </c>
      <c r="L3154" s="3" t="s">
        <v>2875</v>
      </c>
      <c r="M3154" s="3" t="s">
        <v>8587</v>
      </c>
      <c r="N3154" s="3">
        <v>651</v>
      </c>
      <c r="P3154" s="3" t="s">
        <v>8589</v>
      </c>
      <c r="Q3154" s="3" t="s">
        <v>688</v>
      </c>
      <c r="R3154" s="3" t="s">
        <v>28</v>
      </c>
      <c r="S3154" s="3">
        <v>6715865</v>
      </c>
      <c r="T3154" s="3">
        <v>1532334089</v>
      </c>
      <c r="U3154" s="3" t="s">
        <v>29</v>
      </c>
    </row>
    <row r="3155" spans="1:21" ht="13.2" x14ac:dyDescent="0.25">
      <c r="A3155" s="14">
        <v>4050750000129</v>
      </c>
      <c r="B3155" s="15" t="str">
        <f t="shared" si="49"/>
        <v>04.050.750/0001-29</v>
      </c>
      <c r="C3155" s="12"/>
      <c r="D3155" s="3" t="s">
        <v>11153</v>
      </c>
      <c r="E3155" s="3" t="s">
        <v>11154</v>
      </c>
      <c r="F3155" s="3" t="s">
        <v>20</v>
      </c>
      <c r="G3155" s="4">
        <v>36675</v>
      </c>
      <c r="H3155" s="3" t="s">
        <v>94</v>
      </c>
      <c r="I3155" s="3" t="s">
        <v>33</v>
      </c>
      <c r="J3155" s="5">
        <v>10000000</v>
      </c>
      <c r="K3155" s="3">
        <v>4664800</v>
      </c>
      <c r="L3155" s="3" t="s">
        <v>691</v>
      </c>
      <c r="M3155" s="3" t="s">
        <v>4972</v>
      </c>
      <c r="N3155" s="3">
        <v>943</v>
      </c>
      <c r="O3155" s="3" t="s">
        <v>11155</v>
      </c>
      <c r="P3155" s="3" t="s">
        <v>4982</v>
      </c>
      <c r="Q3155" s="3" t="s">
        <v>253</v>
      </c>
      <c r="R3155" s="3" t="s">
        <v>78</v>
      </c>
      <c r="S3155" s="3">
        <v>21031611</v>
      </c>
      <c r="T3155" s="3">
        <v>2138697801</v>
      </c>
      <c r="U3155" s="3" t="s">
        <v>29</v>
      </c>
    </row>
    <row r="3156" spans="1:21" ht="13.2" x14ac:dyDescent="0.25">
      <c r="A3156" s="14">
        <v>89519706000178</v>
      </c>
      <c r="B3156" s="15" t="str">
        <f t="shared" si="49"/>
        <v>89.519.706/0001-78</v>
      </c>
      <c r="C3156" s="12" t="str">
        <f>VLOOKUP(B3156,[1]Planilha1!$A:$B,2,0)</f>
        <v>Malu Montesino</v>
      </c>
      <c r="D3156" s="3" t="s">
        <v>11156</v>
      </c>
      <c r="E3156" s="3" t="s">
        <v>11156</v>
      </c>
      <c r="F3156" s="3" t="s">
        <v>20</v>
      </c>
      <c r="G3156" s="4">
        <v>28607</v>
      </c>
      <c r="H3156" s="3" t="s">
        <v>21</v>
      </c>
      <c r="I3156" s="3" t="s">
        <v>33</v>
      </c>
      <c r="J3156" s="5">
        <v>35000000</v>
      </c>
      <c r="K3156" s="3">
        <v>2599399</v>
      </c>
      <c r="L3156" s="3" t="s">
        <v>1144</v>
      </c>
      <c r="M3156" s="3" t="s">
        <v>11157</v>
      </c>
      <c r="N3156" s="3">
        <v>381</v>
      </c>
      <c r="P3156" s="3" t="s">
        <v>567</v>
      </c>
      <c r="Q3156" s="3" t="s">
        <v>3193</v>
      </c>
      <c r="R3156" s="3" t="s">
        <v>28</v>
      </c>
      <c r="S3156" s="3">
        <v>8745260</v>
      </c>
      <c r="T3156" s="3">
        <v>1147234933</v>
      </c>
      <c r="U3156" s="3" t="s">
        <v>29</v>
      </c>
    </row>
    <row r="3157" spans="1:21" ht="13.2" x14ac:dyDescent="0.25">
      <c r="A3157" s="14">
        <v>11341399000190</v>
      </c>
      <c r="B3157" s="15" t="str">
        <f t="shared" si="49"/>
        <v>11.341.399/0001-90</v>
      </c>
      <c r="C3157" s="12"/>
      <c r="D3157" s="3" t="s">
        <v>11158</v>
      </c>
      <c r="E3157" s="3" t="s">
        <v>11158</v>
      </c>
      <c r="F3157" s="3" t="s">
        <v>45</v>
      </c>
      <c r="G3157" s="4">
        <v>40072</v>
      </c>
      <c r="H3157" s="3" t="s">
        <v>21</v>
      </c>
      <c r="I3157" s="3" t="s">
        <v>33</v>
      </c>
      <c r="J3157" s="5">
        <v>137639600</v>
      </c>
      <c r="K3157" s="3">
        <v>4669901</v>
      </c>
      <c r="L3157" s="3" t="s">
        <v>1543</v>
      </c>
      <c r="M3157" s="3" t="s">
        <v>11159</v>
      </c>
      <c r="N3157" s="3">
        <v>275</v>
      </c>
      <c r="O3157" s="3" t="s">
        <v>11160</v>
      </c>
      <c r="P3157" s="3" t="s">
        <v>336</v>
      </c>
      <c r="Q3157" s="3" t="s">
        <v>27</v>
      </c>
      <c r="R3157" s="3" t="s">
        <v>28</v>
      </c>
      <c r="S3157" s="3">
        <v>3119020</v>
      </c>
      <c r="T3157" s="3">
        <v>1137998175</v>
      </c>
      <c r="U3157" s="3" t="s">
        <v>29</v>
      </c>
    </row>
    <row r="3158" spans="1:21" ht="13.2" x14ac:dyDescent="0.25">
      <c r="A3158" s="14">
        <v>2387241000160</v>
      </c>
      <c r="B3158" s="15" t="str">
        <f t="shared" si="49"/>
        <v>02.387.241/0001-60</v>
      </c>
      <c r="C3158" s="12"/>
      <c r="D3158" s="3" t="s">
        <v>11161</v>
      </c>
      <c r="E3158" s="3" t="s">
        <v>11161</v>
      </c>
      <c r="F3158" s="3" t="s">
        <v>20</v>
      </c>
      <c r="G3158" s="4">
        <v>35856</v>
      </c>
      <c r="H3158" s="3" t="s">
        <v>377</v>
      </c>
      <c r="I3158" s="3" t="s">
        <v>33</v>
      </c>
      <c r="J3158" s="5">
        <v>12579725000</v>
      </c>
      <c r="K3158" s="3">
        <v>6462000</v>
      </c>
      <c r="L3158" s="3" t="s">
        <v>250</v>
      </c>
      <c r="M3158" s="3" t="s">
        <v>11162</v>
      </c>
      <c r="N3158" s="3">
        <v>100</v>
      </c>
      <c r="O3158" s="3" t="s">
        <v>496</v>
      </c>
      <c r="P3158" s="3" t="s">
        <v>11163</v>
      </c>
      <c r="Q3158" s="3" t="s">
        <v>204</v>
      </c>
      <c r="R3158" s="3" t="s">
        <v>187</v>
      </c>
      <c r="S3158" s="3">
        <v>82920030</v>
      </c>
      <c r="T3158" s="3">
        <v>1934238000</v>
      </c>
      <c r="U3158" s="3" t="s">
        <v>29</v>
      </c>
    </row>
    <row r="3159" spans="1:21" ht="13.2" x14ac:dyDescent="0.25">
      <c r="A3159" s="14">
        <v>13098174000180</v>
      </c>
      <c r="B3159" s="15" t="str">
        <f t="shared" si="49"/>
        <v>13.098.174/0001-80</v>
      </c>
      <c r="C3159" s="12"/>
      <c r="D3159" s="3" t="s">
        <v>11164</v>
      </c>
      <c r="E3159" s="3" t="s">
        <v>11165</v>
      </c>
      <c r="F3159" s="3" t="s">
        <v>20</v>
      </c>
      <c r="G3159" s="4">
        <v>40541</v>
      </c>
      <c r="H3159" s="3" t="s">
        <v>1550</v>
      </c>
      <c r="I3159" s="3" t="s">
        <v>33</v>
      </c>
      <c r="J3159" s="5">
        <v>900000</v>
      </c>
      <c r="K3159" s="3">
        <v>6920602</v>
      </c>
      <c r="L3159" s="3" t="s">
        <v>1022</v>
      </c>
      <c r="M3159" s="3" t="s">
        <v>1891</v>
      </c>
      <c r="N3159" s="3">
        <v>1030</v>
      </c>
      <c r="O3159" s="3" t="s">
        <v>7710</v>
      </c>
      <c r="P3159" s="3" t="s">
        <v>940</v>
      </c>
      <c r="Q3159" s="3" t="s">
        <v>617</v>
      </c>
      <c r="R3159" s="3" t="s">
        <v>28</v>
      </c>
      <c r="S3159" s="3">
        <v>6454000</v>
      </c>
      <c r="T3159" s="3">
        <v>5140071219</v>
      </c>
      <c r="U3159" s="3" t="s">
        <v>29</v>
      </c>
    </row>
    <row r="3160" spans="1:21" ht="13.2" x14ac:dyDescent="0.25">
      <c r="A3160" s="14">
        <v>5454389000169</v>
      </c>
      <c r="B3160" s="15" t="str">
        <f t="shared" si="49"/>
        <v>05.454.389/0001-69</v>
      </c>
      <c r="C3160" s="12"/>
      <c r="D3160" s="3" t="s">
        <v>11166</v>
      </c>
      <c r="E3160" s="3" t="s">
        <v>11166</v>
      </c>
      <c r="F3160" s="3" t="s">
        <v>20</v>
      </c>
      <c r="G3160" s="4">
        <v>37608</v>
      </c>
      <c r="H3160" s="3" t="s">
        <v>21</v>
      </c>
      <c r="I3160" s="3" t="s">
        <v>33</v>
      </c>
      <c r="J3160" s="5">
        <v>1000000</v>
      </c>
      <c r="K3160" s="3">
        <v>2660400</v>
      </c>
      <c r="L3160" s="3" t="s">
        <v>953</v>
      </c>
      <c r="M3160" s="3" t="s">
        <v>11167</v>
      </c>
      <c r="N3160" s="3">
        <v>589</v>
      </c>
      <c r="P3160" s="3" t="s">
        <v>11168</v>
      </c>
      <c r="Q3160" s="3" t="s">
        <v>1235</v>
      </c>
      <c r="R3160" s="3" t="s">
        <v>28</v>
      </c>
      <c r="S3160" s="3">
        <v>13347404</v>
      </c>
      <c r="T3160" s="3">
        <v>1938259900</v>
      </c>
      <c r="U3160" s="3" t="s">
        <v>29</v>
      </c>
    </row>
    <row r="3161" spans="1:21" ht="13.2" x14ac:dyDescent="0.25">
      <c r="A3161" s="14">
        <v>12488131000149</v>
      </c>
      <c r="B3161" s="15" t="str">
        <f t="shared" si="49"/>
        <v>12.488.131/0001-49</v>
      </c>
      <c r="C3161" s="12"/>
      <c r="D3161" s="3" t="s">
        <v>11169</v>
      </c>
      <c r="E3161" s="3" t="s">
        <v>11169</v>
      </c>
      <c r="F3161" s="3" t="s">
        <v>20</v>
      </c>
      <c r="G3161" s="4">
        <v>40423</v>
      </c>
      <c r="H3161" s="3" t="s">
        <v>21</v>
      </c>
      <c r="I3161" s="3" t="s">
        <v>33</v>
      </c>
      <c r="J3161" s="5">
        <v>2200000</v>
      </c>
      <c r="K3161" s="3">
        <v>4649408</v>
      </c>
      <c r="L3161" s="3" t="s">
        <v>464</v>
      </c>
      <c r="M3161" s="3" t="s">
        <v>11170</v>
      </c>
      <c r="N3161" s="3">
        <v>2121</v>
      </c>
      <c r="O3161" s="3" t="s">
        <v>11171</v>
      </c>
      <c r="P3161" s="3" t="s">
        <v>70</v>
      </c>
      <c r="Q3161" s="3" t="s">
        <v>11172</v>
      </c>
      <c r="R3161" s="3" t="s">
        <v>28</v>
      </c>
      <c r="S3161" s="3">
        <v>18190000</v>
      </c>
      <c r="T3161" s="3">
        <v>1532813538</v>
      </c>
      <c r="U3161" s="3" t="s">
        <v>29</v>
      </c>
    </row>
    <row r="3162" spans="1:21" ht="13.2" x14ac:dyDescent="0.25">
      <c r="A3162" s="14">
        <v>49481138000149</v>
      </c>
      <c r="B3162" s="15" t="str">
        <f t="shared" si="49"/>
        <v>49.481.138/0001-49</v>
      </c>
      <c r="C3162" s="12"/>
      <c r="D3162" s="3" t="s">
        <v>11173</v>
      </c>
      <c r="E3162" s="3" t="s">
        <v>11173</v>
      </c>
      <c r="F3162" s="3" t="s">
        <v>20</v>
      </c>
      <c r="G3162" s="4">
        <v>28418</v>
      </c>
      <c r="H3162" s="3" t="s">
        <v>21</v>
      </c>
      <c r="I3162" s="3" t="s">
        <v>33</v>
      </c>
      <c r="J3162" s="5">
        <v>500000</v>
      </c>
      <c r="K3162" s="3">
        <v>2229302</v>
      </c>
      <c r="L3162" s="3" t="s">
        <v>576</v>
      </c>
      <c r="M3162" s="3" t="s">
        <v>2971</v>
      </c>
      <c r="N3162" s="3">
        <v>4030</v>
      </c>
      <c r="P3162" s="3" t="s">
        <v>2973</v>
      </c>
      <c r="Q3162" s="3" t="s">
        <v>357</v>
      </c>
      <c r="R3162" s="3" t="s">
        <v>28</v>
      </c>
      <c r="S3162" s="3">
        <v>7210250</v>
      </c>
      <c r="T3162" s="3">
        <v>1124127097</v>
      </c>
      <c r="U3162" s="3" t="s">
        <v>29</v>
      </c>
    </row>
    <row r="3163" spans="1:21" ht="13.2" x14ac:dyDescent="0.25">
      <c r="A3163" s="14">
        <v>60332319000146</v>
      </c>
      <c r="B3163" s="15" t="str">
        <f t="shared" si="49"/>
        <v>60.332.319/0001-46</v>
      </c>
      <c r="C3163" s="12"/>
      <c r="D3163" s="3" t="s">
        <v>11174</v>
      </c>
      <c r="E3163" s="3" t="s">
        <v>11175</v>
      </c>
      <c r="F3163" s="3" t="s">
        <v>20</v>
      </c>
      <c r="G3163" s="4">
        <v>24490</v>
      </c>
      <c r="H3163" s="3" t="s">
        <v>94</v>
      </c>
      <c r="I3163" s="3" t="s">
        <v>33</v>
      </c>
      <c r="J3163" s="5">
        <v>573753700</v>
      </c>
      <c r="K3163" s="3">
        <v>4211101</v>
      </c>
      <c r="L3163" s="3" t="s">
        <v>313</v>
      </c>
      <c r="M3163" s="3" t="s">
        <v>6795</v>
      </c>
      <c r="N3163" s="3">
        <v>466</v>
      </c>
      <c r="O3163" s="3" t="s">
        <v>11176</v>
      </c>
      <c r="P3163" s="3" t="s">
        <v>1230</v>
      </c>
      <c r="Q3163" s="3" t="s">
        <v>27</v>
      </c>
      <c r="R3163" s="3" t="s">
        <v>28</v>
      </c>
      <c r="S3163" s="3">
        <v>4534002</v>
      </c>
      <c r="T3163" s="3">
        <v>1137078300</v>
      </c>
      <c r="U3163" s="3" t="s">
        <v>29</v>
      </c>
    </row>
    <row r="3164" spans="1:21" ht="13.2" x14ac:dyDescent="0.25">
      <c r="A3164" s="14">
        <v>1070791000199</v>
      </c>
      <c r="B3164" s="15" t="str">
        <f t="shared" si="49"/>
        <v>01.070.791/0001-99</v>
      </c>
      <c r="C3164" s="12"/>
      <c r="D3164" s="3" t="s">
        <v>11177</v>
      </c>
      <c r="E3164" s="3" t="s">
        <v>11178</v>
      </c>
      <c r="F3164" s="3" t="s">
        <v>20</v>
      </c>
      <c r="G3164" s="4">
        <v>35111</v>
      </c>
      <c r="H3164" s="3" t="s">
        <v>46</v>
      </c>
      <c r="I3164" s="3" t="s">
        <v>22</v>
      </c>
      <c r="J3164" s="5">
        <v>50000</v>
      </c>
      <c r="K3164" s="3">
        <v>1529700</v>
      </c>
      <c r="L3164" s="3" t="s">
        <v>1437</v>
      </c>
      <c r="M3164" s="3" t="s">
        <v>1932</v>
      </c>
      <c r="N3164" s="3">
        <v>146</v>
      </c>
      <c r="O3164" s="3" t="s">
        <v>2253</v>
      </c>
      <c r="P3164" s="3" t="s">
        <v>70</v>
      </c>
      <c r="Q3164" s="3" t="s">
        <v>893</v>
      </c>
      <c r="R3164" s="3" t="s">
        <v>28</v>
      </c>
      <c r="S3164" s="3">
        <v>17240000</v>
      </c>
      <c r="U3164" s="3" t="s">
        <v>29</v>
      </c>
    </row>
    <row r="3165" spans="1:21" ht="13.2" x14ac:dyDescent="0.25">
      <c r="A3165" s="14">
        <v>34533802000260</v>
      </c>
      <c r="B3165" s="15" t="str">
        <f t="shared" si="49"/>
        <v>34.533.802/0002-60</v>
      </c>
      <c r="C3165" s="12" t="str">
        <f>VLOOKUP(B3165,[1]Planilha1!$A:$B,2,0)</f>
        <v>Malu Montesino</v>
      </c>
      <c r="D3165" s="3" t="s">
        <v>11179</v>
      </c>
      <c r="E3165" s="3" t="s">
        <v>11179</v>
      </c>
      <c r="F3165" s="3" t="s">
        <v>45</v>
      </c>
      <c r="G3165" s="4">
        <v>33800</v>
      </c>
      <c r="H3165" s="3" t="s">
        <v>94</v>
      </c>
      <c r="I3165" s="3" t="s">
        <v>33</v>
      </c>
      <c r="J3165" s="5">
        <v>0</v>
      </c>
      <c r="K3165" s="3">
        <v>3312103</v>
      </c>
      <c r="L3165" s="3" t="s">
        <v>4694</v>
      </c>
      <c r="M3165" s="3" t="s">
        <v>2429</v>
      </c>
      <c r="N3165" s="3">
        <v>203</v>
      </c>
      <c r="O3165" s="3" t="s">
        <v>11180</v>
      </c>
      <c r="P3165" s="3" t="s">
        <v>11181</v>
      </c>
      <c r="Q3165" s="3" t="s">
        <v>27</v>
      </c>
      <c r="R3165" s="3" t="s">
        <v>28</v>
      </c>
      <c r="S3165" s="3">
        <v>4551060</v>
      </c>
      <c r="U3165" s="3" t="s">
        <v>29</v>
      </c>
    </row>
    <row r="3166" spans="1:21" ht="13.2" x14ac:dyDescent="0.25">
      <c r="A3166" s="14">
        <v>14055256000100</v>
      </c>
      <c r="B3166" s="15" t="str">
        <f t="shared" si="49"/>
        <v>14.055.256/0001-00</v>
      </c>
      <c r="C3166" s="12" t="str">
        <f>VLOOKUP(B3166,[1]Planilha1!$A:$B,2,0)</f>
        <v>Malu Montesino</v>
      </c>
      <c r="D3166" s="3" t="s">
        <v>11182</v>
      </c>
      <c r="E3166" s="3" t="s">
        <v>11182</v>
      </c>
      <c r="F3166" s="3" t="s">
        <v>20</v>
      </c>
      <c r="G3166" s="4">
        <v>40742</v>
      </c>
      <c r="H3166" s="3" t="s">
        <v>46</v>
      </c>
      <c r="I3166" s="3" t="s">
        <v>33</v>
      </c>
      <c r="J3166" s="5">
        <v>300000</v>
      </c>
      <c r="K3166" s="3">
        <v>2930101</v>
      </c>
      <c r="L3166" s="3" t="s">
        <v>856</v>
      </c>
      <c r="M3166" s="3" t="s">
        <v>11183</v>
      </c>
      <c r="N3166" s="3" t="s">
        <v>82</v>
      </c>
      <c r="O3166" s="3" t="s">
        <v>117</v>
      </c>
      <c r="P3166" s="3" t="s">
        <v>11184</v>
      </c>
      <c r="Q3166" s="3" t="s">
        <v>2423</v>
      </c>
      <c r="R3166" s="3" t="s">
        <v>187</v>
      </c>
      <c r="S3166" s="3">
        <v>86208890</v>
      </c>
      <c r="T3166" s="3">
        <v>4331583838</v>
      </c>
      <c r="U3166" s="3" t="s">
        <v>29</v>
      </c>
    </row>
    <row r="3167" spans="1:21" ht="13.2" x14ac:dyDescent="0.25">
      <c r="A3167" s="14">
        <v>9443124000116</v>
      </c>
      <c r="B3167" s="15" t="str">
        <f t="shared" si="49"/>
        <v>09.443.124/0001-16</v>
      </c>
      <c r="C3167" s="12"/>
      <c r="D3167" s="3" t="s">
        <v>11185</v>
      </c>
      <c r="E3167" s="3" t="s">
        <v>11185</v>
      </c>
      <c r="F3167" s="3" t="s">
        <v>20</v>
      </c>
      <c r="G3167" s="4">
        <v>39510</v>
      </c>
      <c r="H3167" s="3" t="s">
        <v>21</v>
      </c>
      <c r="I3167" s="3" t="s">
        <v>47</v>
      </c>
      <c r="J3167" s="5">
        <v>150000</v>
      </c>
      <c r="K3167" s="3">
        <v>7112000</v>
      </c>
      <c r="L3167" s="3" t="s">
        <v>276</v>
      </c>
      <c r="M3167" s="3" t="s">
        <v>2436</v>
      </c>
      <c r="N3167" s="3">
        <v>185</v>
      </c>
      <c r="O3167" s="3" t="s">
        <v>11186</v>
      </c>
      <c r="P3167" s="3" t="s">
        <v>2438</v>
      </c>
      <c r="Q3167" s="3" t="s">
        <v>471</v>
      </c>
      <c r="R3167" s="3" t="s">
        <v>28</v>
      </c>
      <c r="S3167" s="3">
        <v>9531190</v>
      </c>
      <c r="T3167" s="3">
        <v>1144364925</v>
      </c>
      <c r="U3167" s="3" t="s">
        <v>29</v>
      </c>
    </row>
    <row r="3168" spans="1:21" ht="13.2" x14ac:dyDescent="0.25">
      <c r="A3168" s="14">
        <v>3928511000166</v>
      </c>
      <c r="B3168" s="15" t="str">
        <f t="shared" si="49"/>
        <v>03.928.511/0001-66</v>
      </c>
      <c r="C3168" s="12"/>
      <c r="D3168" s="3" t="s">
        <v>11187</v>
      </c>
      <c r="E3168" s="3" t="s">
        <v>11188</v>
      </c>
      <c r="F3168" s="3" t="s">
        <v>20</v>
      </c>
      <c r="G3168" s="4">
        <v>36691</v>
      </c>
      <c r="H3168" s="3" t="s">
        <v>21</v>
      </c>
      <c r="I3168" s="3" t="s">
        <v>33</v>
      </c>
      <c r="J3168" s="5">
        <v>1892000</v>
      </c>
      <c r="K3168" s="3">
        <v>4642702</v>
      </c>
      <c r="L3168" s="3" t="s">
        <v>1139</v>
      </c>
      <c r="M3168" s="3" t="s">
        <v>11189</v>
      </c>
      <c r="N3168" s="3">
        <v>2267</v>
      </c>
      <c r="O3168" s="3" t="s">
        <v>11190</v>
      </c>
      <c r="P3168" s="3" t="s">
        <v>11191</v>
      </c>
      <c r="Q3168" s="3" t="s">
        <v>204</v>
      </c>
      <c r="R3168" s="3" t="s">
        <v>187</v>
      </c>
      <c r="S3168" s="3">
        <v>81530434</v>
      </c>
      <c r="T3168" s="3">
        <v>4130719000</v>
      </c>
      <c r="U3168" s="3" t="s">
        <v>29</v>
      </c>
    </row>
    <row r="3169" spans="1:21" ht="13.2" x14ac:dyDescent="0.25">
      <c r="A3169" s="14">
        <v>10268999000108</v>
      </c>
      <c r="B3169" s="15" t="str">
        <f t="shared" si="49"/>
        <v>10.268.999/0001-08</v>
      </c>
      <c r="C3169" s="12"/>
      <c r="D3169" s="3" t="s">
        <v>11192</v>
      </c>
      <c r="E3169" s="3" t="s">
        <v>11192</v>
      </c>
      <c r="F3169" s="3" t="s">
        <v>20</v>
      </c>
      <c r="G3169" s="4">
        <v>39661</v>
      </c>
      <c r="H3169" s="3" t="s">
        <v>21</v>
      </c>
      <c r="I3169" s="3" t="s">
        <v>22</v>
      </c>
      <c r="J3169" s="5">
        <v>94000</v>
      </c>
      <c r="K3169" s="3">
        <v>2222600</v>
      </c>
      <c r="L3169" s="3" t="s">
        <v>183</v>
      </c>
      <c r="M3169" s="3" t="s">
        <v>11193</v>
      </c>
      <c r="N3169" s="3">
        <v>177</v>
      </c>
      <c r="P3169" s="3" t="s">
        <v>153</v>
      </c>
      <c r="Q3169" s="3" t="s">
        <v>1177</v>
      </c>
      <c r="R3169" s="3" t="s">
        <v>28</v>
      </c>
      <c r="S3169" s="3">
        <v>13457196</v>
      </c>
      <c r="T3169" s="3">
        <v>1934554333</v>
      </c>
      <c r="U3169" s="3" t="s">
        <v>29</v>
      </c>
    </row>
    <row r="3170" spans="1:21" ht="13.2" x14ac:dyDescent="0.25">
      <c r="A3170" s="14">
        <v>2486359000146</v>
      </c>
      <c r="B3170" s="15" t="str">
        <f t="shared" si="49"/>
        <v>02.486.359/0001-46</v>
      </c>
      <c r="C3170" s="12"/>
      <c r="D3170" s="3" t="s">
        <v>11194</v>
      </c>
      <c r="E3170" s="3" t="s">
        <v>11194</v>
      </c>
      <c r="F3170" s="3" t="s">
        <v>20</v>
      </c>
      <c r="G3170" s="4">
        <v>35909</v>
      </c>
      <c r="H3170" s="3" t="s">
        <v>21</v>
      </c>
      <c r="I3170" s="3" t="s">
        <v>22</v>
      </c>
      <c r="J3170" s="5">
        <v>340000</v>
      </c>
      <c r="K3170" s="3">
        <v>4663000</v>
      </c>
      <c r="L3170" s="3" t="s">
        <v>128</v>
      </c>
      <c r="M3170" s="3" t="s">
        <v>11195</v>
      </c>
      <c r="N3170" s="3">
        <v>169</v>
      </c>
      <c r="O3170" s="3" t="s">
        <v>4000</v>
      </c>
      <c r="P3170" s="3" t="s">
        <v>597</v>
      </c>
      <c r="Q3170" s="3" t="s">
        <v>343</v>
      </c>
      <c r="R3170" s="3" t="s">
        <v>91</v>
      </c>
      <c r="S3170" s="3">
        <v>89810280</v>
      </c>
      <c r="U3170" s="3" t="s">
        <v>29</v>
      </c>
    </row>
    <row r="3171" spans="1:21" ht="13.2" x14ac:dyDescent="0.25">
      <c r="A3171" s="14">
        <v>45743580000145</v>
      </c>
      <c r="B3171" s="15" t="str">
        <f t="shared" si="49"/>
        <v>45.743.580/0001-45</v>
      </c>
      <c r="C3171" s="12"/>
      <c r="D3171" s="3" t="s">
        <v>11196</v>
      </c>
      <c r="E3171" s="3" t="s">
        <v>11196</v>
      </c>
      <c r="F3171" s="3" t="s">
        <v>20</v>
      </c>
      <c r="G3171" s="4">
        <v>27542</v>
      </c>
      <c r="H3171" s="3" t="s">
        <v>640</v>
      </c>
      <c r="I3171" s="3" t="s">
        <v>33</v>
      </c>
      <c r="J3171" s="5">
        <v>41497316</v>
      </c>
      <c r="K3171" s="3">
        <v>3600601</v>
      </c>
      <c r="L3171" s="3" t="s">
        <v>788</v>
      </c>
      <c r="M3171" s="3" t="s">
        <v>11197</v>
      </c>
      <c r="N3171" s="3">
        <v>11</v>
      </c>
      <c r="O3171" s="3" t="s">
        <v>11198</v>
      </c>
      <c r="P3171" s="3" t="s">
        <v>11199</v>
      </c>
      <c r="Q3171" s="3" t="s">
        <v>2905</v>
      </c>
      <c r="R3171" s="3" t="s">
        <v>28</v>
      </c>
      <c r="S3171" s="3">
        <v>12941606</v>
      </c>
      <c r="T3171" s="3">
        <v>1144143551</v>
      </c>
      <c r="U3171" s="3" t="s">
        <v>29</v>
      </c>
    </row>
    <row r="3172" spans="1:21" ht="13.2" x14ac:dyDescent="0.25">
      <c r="A3172" s="14">
        <v>48962625000160</v>
      </c>
      <c r="B3172" s="15" t="str">
        <f t="shared" si="49"/>
        <v>48.962.625/0001-60</v>
      </c>
      <c r="C3172" s="12"/>
      <c r="D3172" s="3" t="s">
        <v>11200</v>
      </c>
      <c r="E3172" s="3" t="s">
        <v>11200</v>
      </c>
      <c r="F3172" s="3" t="s">
        <v>20</v>
      </c>
      <c r="G3172" s="4">
        <v>28577</v>
      </c>
      <c r="H3172" s="3" t="s">
        <v>640</v>
      </c>
      <c r="I3172" s="3" t="s">
        <v>33</v>
      </c>
      <c r="J3172" s="5">
        <v>0</v>
      </c>
      <c r="K3172" s="3">
        <v>3600601</v>
      </c>
      <c r="L3172" s="3" t="s">
        <v>788</v>
      </c>
      <c r="M3172" s="3" t="s">
        <v>11201</v>
      </c>
      <c r="N3172" s="3">
        <v>121</v>
      </c>
      <c r="P3172" s="3" t="s">
        <v>11202</v>
      </c>
      <c r="Q3172" s="3" t="s">
        <v>375</v>
      </c>
      <c r="R3172" s="3" t="s">
        <v>28</v>
      </c>
      <c r="S3172" s="3">
        <v>12327703</v>
      </c>
      <c r="T3172" s="3">
        <v>1239540300</v>
      </c>
      <c r="U3172" s="3" t="s">
        <v>29</v>
      </c>
    </row>
    <row r="3173" spans="1:21" ht="13.2" x14ac:dyDescent="0.25">
      <c r="A3173" s="14">
        <v>2701029000126</v>
      </c>
      <c r="B3173" s="15" t="str">
        <f t="shared" si="49"/>
        <v>02.701.029/0001-26</v>
      </c>
      <c r="C3173" s="12"/>
      <c r="D3173" s="3" t="s">
        <v>11203</v>
      </c>
      <c r="E3173" s="3" t="s">
        <v>11203</v>
      </c>
      <c r="F3173" s="3" t="s">
        <v>20</v>
      </c>
      <c r="G3173" s="4">
        <v>35976</v>
      </c>
      <c r="H3173" s="3" t="s">
        <v>640</v>
      </c>
      <c r="I3173" s="3" t="s">
        <v>33</v>
      </c>
      <c r="J3173" s="5">
        <v>0</v>
      </c>
      <c r="K3173" s="3">
        <v>3600601</v>
      </c>
      <c r="L3173" s="3" t="s">
        <v>788</v>
      </c>
      <c r="M3173" s="3" t="s">
        <v>11204</v>
      </c>
      <c r="N3173" s="3">
        <v>862</v>
      </c>
      <c r="P3173" s="3" t="s">
        <v>70</v>
      </c>
      <c r="Q3173" s="3" t="s">
        <v>1204</v>
      </c>
      <c r="R3173" s="3" t="s">
        <v>28</v>
      </c>
      <c r="S3173" s="3">
        <v>17300000</v>
      </c>
      <c r="T3173" s="3">
        <v>1436529494</v>
      </c>
      <c r="U3173" s="3" t="s">
        <v>29</v>
      </c>
    </row>
    <row r="3174" spans="1:21" ht="13.2" x14ac:dyDescent="0.25">
      <c r="A3174" s="14">
        <v>7336801000171</v>
      </c>
      <c r="B3174" s="15" t="str">
        <f t="shared" si="49"/>
        <v>07.336.801/0001-71</v>
      </c>
      <c r="C3174" s="12"/>
      <c r="D3174" s="3" t="s">
        <v>11205</v>
      </c>
      <c r="E3174" s="3" t="s">
        <v>11206</v>
      </c>
      <c r="F3174" s="3" t="s">
        <v>20</v>
      </c>
      <c r="G3174" s="4">
        <v>38383</v>
      </c>
      <c r="H3174" s="3" t="s">
        <v>21</v>
      </c>
      <c r="I3174" s="3" t="s">
        <v>33</v>
      </c>
      <c r="J3174" s="5">
        <v>2000000</v>
      </c>
      <c r="K3174" s="3">
        <v>3812200</v>
      </c>
      <c r="L3174" s="3" t="s">
        <v>1255</v>
      </c>
      <c r="M3174" s="3" t="s">
        <v>11207</v>
      </c>
      <c r="N3174" s="3">
        <v>620</v>
      </c>
      <c r="O3174" s="3" t="s">
        <v>6790</v>
      </c>
      <c r="P3174" s="3" t="s">
        <v>11208</v>
      </c>
      <c r="Q3174" s="3" t="s">
        <v>2969</v>
      </c>
      <c r="R3174" s="3" t="s">
        <v>91</v>
      </c>
      <c r="S3174" s="3">
        <v>89110001</v>
      </c>
      <c r="T3174" s="3">
        <v>4799810945</v>
      </c>
      <c r="U3174" s="3" t="s">
        <v>29</v>
      </c>
    </row>
    <row r="3175" spans="1:21" ht="13.2" x14ac:dyDescent="0.25">
      <c r="A3175" s="14">
        <v>12884672000196</v>
      </c>
      <c r="B3175" s="15" t="str">
        <f t="shared" si="49"/>
        <v>12.884.672/0001-96</v>
      </c>
      <c r="C3175" s="12" t="str">
        <f>VLOOKUP(B3175,[1]Planilha1!$A:$B,2,0)</f>
        <v>Malu Montesino</v>
      </c>
      <c r="D3175" s="3" t="s">
        <v>11209</v>
      </c>
      <c r="E3175" s="3" t="s">
        <v>11210</v>
      </c>
      <c r="F3175" s="3" t="s">
        <v>20</v>
      </c>
      <c r="G3175" s="4">
        <v>32300</v>
      </c>
      <c r="H3175" s="3" t="s">
        <v>94</v>
      </c>
      <c r="I3175" s="3" t="s">
        <v>33</v>
      </c>
      <c r="J3175" s="5">
        <v>42704600</v>
      </c>
      <c r="K3175" s="3">
        <v>2099199</v>
      </c>
      <c r="L3175" s="3" t="s">
        <v>80</v>
      </c>
      <c r="M3175" s="3" t="s">
        <v>11211</v>
      </c>
      <c r="N3175" s="3" t="s">
        <v>82</v>
      </c>
      <c r="P3175" s="3" t="s">
        <v>153</v>
      </c>
      <c r="Q3175" s="3" t="s">
        <v>11212</v>
      </c>
      <c r="R3175" s="3" t="s">
        <v>456</v>
      </c>
      <c r="S3175" s="3">
        <v>53700000</v>
      </c>
      <c r="U3175" s="3" t="s">
        <v>29</v>
      </c>
    </row>
    <row r="3176" spans="1:21" ht="13.2" x14ac:dyDescent="0.25">
      <c r="A3176" s="14">
        <v>23677604000172</v>
      </c>
      <c r="B3176" s="15" t="str">
        <f t="shared" si="49"/>
        <v>23.677.604/0001-72</v>
      </c>
      <c r="C3176" s="12" t="str">
        <f>VLOOKUP(B3176,[1]Planilha1!$A:$B,2,0)</f>
        <v>Mariane Nascimento</v>
      </c>
      <c r="D3176" s="3" t="s">
        <v>11213</v>
      </c>
      <c r="E3176" s="3" t="s">
        <v>11214</v>
      </c>
      <c r="F3176" s="3" t="s">
        <v>45</v>
      </c>
      <c r="G3176" s="4">
        <v>42219</v>
      </c>
      <c r="H3176" s="3" t="s">
        <v>94</v>
      </c>
      <c r="I3176" s="3" t="s">
        <v>33</v>
      </c>
      <c r="J3176" s="5">
        <v>64951580</v>
      </c>
      <c r="K3176" s="3">
        <v>6462000</v>
      </c>
      <c r="L3176" s="3" t="s">
        <v>250</v>
      </c>
      <c r="M3176" s="3" t="s">
        <v>11215</v>
      </c>
      <c r="N3176" s="3">
        <v>50</v>
      </c>
      <c r="O3176" s="3" t="s">
        <v>5316</v>
      </c>
      <c r="P3176" s="3" t="s">
        <v>630</v>
      </c>
      <c r="Q3176" s="3" t="s">
        <v>631</v>
      </c>
      <c r="R3176" s="3" t="s">
        <v>632</v>
      </c>
      <c r="S3176" s="3">
        <v>70715900</v>
      </c>
      <c r="T3176" s="3">
        <v>6133298000</v>
      </c>
      <c r="U3176" s="3" t="s">
        <v>29</v>
      </c>
    </row>
    <row r="3177" spans="1:21" ht="13.2" x14ac:dyDescent="0.25">
      <c r="A3177" s="14">
        <v>60860681000513</v>
      </c>
      <c r="B3177" s="15" t="str">
        <f t="shared" si="49"/>
        <v>60.860.681/0005-13</v>
      </c>
      <c r="C3177" s="12"/>
      <c r="D3177" s="3" t="s">
        <v>11216</v>
      </c>
      <c r="E3177" s="3" t="s">
        <v>11217</v>
      </c>
      <c r="F3177" s="3" t="s">
        <v>45</v>
      </c>
      <c r="G3177" s="4">
        <v>27698</v>
      </c>
      <c r="H3177" s="3" t="s">
        <v>21</v>
      </c>
      <c r="I3177" s="3" t="s">
        <v>33</v>
      </c>
      <c r="J3177" s="5">
        <v>50000000</v>
      </c>
      <c r="K3177" s="3">
        <v>2532201</v>
      </c>
      <c r="L3177" s="3" t="s">
        <v>10643</v>
      </c>
      <c r="M3177" s="3" t="s">
        <v>11218</v>
      </c>
      <c r="N3177" s="3">
        <v>320</v>
      </c>
      <c r="P3177" s="3" t="s">
        <v>2181</v>
      </c>
      <c r="Q3177" s="3" t="s">
        <v>27</v>
      </c>
      <c r="R3177" s="3" t="s">
        <v>28</v>
      </c>
      <c r="S3177" s="3">
        <v>5038160</v>
      </c>
      <c r="U3177" s="3" t="s">
        <v>29</v>
      </c>
    </row>
    <row r="3178" spans="1:21" ht="13.2" x14ac:dyDescent="0.25">
      <c r="A3178" s="14">
        <v>74006719000176</v>
      </c>
      <c r="B3178" s="15" t="str">
        <f t="shared" si="49"/>
        <v>74.006.719/0001-76</v>
      </c>
      <c r="C3178" s="12"/>
      <c r="D3178" s="3" t="s">
        <v>11219</v>
      </c>
      <c r="E3178" s="3" t="s">
        <v>11219</v>
      </c>
      <c r="F3178" s="3" t="s">
        <v>20</v>
      </c>
      <c r="G3178" s="4">
        <v>34332</v>
      </c>
      <c r="H3178" s="3" t="s">
        <v>1550</v>
      </c>
      <c r="I3178" s="3" t="s">
        <v>22</v>
      </c>
      <c r="J3178" s="5">
        <v>112500</v>
      </c>
      <c r="K3178" s="3">
        <v>6920602</v>
      </c>
      <c r="L3178" s="3" t="s">
        <v>1022</v>
      </c>
      <c r="M3178" s="3" t="s">
        <v>9885</v>
      </c>
      <c r="N3178" s="3">
        <v>66</v>
      </c>
      <c r="P3178" s="3" t="s">
        <v>11220</v>
      </c>
      <c r="Q3178" s="3" t="s">
        <v>27</v>
      </c>
      <c r="R3178" s="3" t="s">
        <v>28</v>
      </c>
      <c r="S3178" s="3">
        <v>3060010</v>
      </c>
      <c r="T3178" s="3">
        <v>1160962977</v>
      </c>
      <c r="U3178" s="3" t="s">
        <v>29</v>
      </c>
    </row>
    <row r="3179" spans="1:21" ht="13.2" x14ac:dyDescent="0.25">
      <c r="A3179" s="14">
        <v>50760370000103</v>
      </c>
      <c r="B3179" s="15" t="str">
        <f t="shared" si="49"/>
        <v>50.760.370/0001-03</v>
      </c>
      <c r="C3179" s="12"/>
      <c r="D3179" s="3" t="s">
        <v>11221</v>
      </c>
      <c r="E3179" s="3" t="s">
        <v>11221</v>
      </c>
      <c r="F3179" s="3" t="s">
        <v>20</v>
      </c>
      <c r="G3179" s="4">
        <v>25828</v>
      </c>
      <c r="H3179" s="3" t="s">
        <v>640</v>
      </c>
      <c r="I3179" s="3" t="s">
        <v>33</v>
      </c>
      <c r="J3179" s="5">
        <v>0</v>
      </c>
      <c r="K3179" s="3">
        <v>8413200</v>
      </c>
      <c r="L3179" s="3" t="s">
        <v>641</v>
      </c>
      <c r="M3179" s="3" t="s">
        <v>9566</v>
      </c>
      <c r="N3179" s="3">
        <v>455</v>
      </c>
      <c r="P3179" s="3" t="s">
        <v>70</v>
      </c>
      <c r="Q3179" s="3" t="s">
        <v>805</v>
      </c>
      <c r="R3179" s="3" t="s">
        <v>28</v>
      </c>
      <c r="S3179" s="3">
        <v>17201330</v>
      </c>
      <c r="U3179" s="3" t="s">
        <v>29</v>
      </c>
    </row>
    <row r="3180" spans="1:21" ht="13.2" x14ac:dyDescent="0.25">
      <c r="A3180" s="14">
        <v>8675394000190</v>
      </c>
      <c r="B3180" s="15" t="str">
        <f t="shared" si="49"/>
        <v>08.675.394/0001-90</v>
      </c>
      <c r="C3180" s="12" t="str">
        <f>VLOOKUP(B3180,[1]Planilha1!$A:$B,2,0)</f>
        <v>Mariane Nascimento</v>
      </c>
      <c r="D3180" s="3" t="s">
        <v>11222</v>
      </c>
      <c r="E3180" s="3" t="s">
        <v>11223</v>
      </c>
      <c r="F3180" s="3" t="s">
        <v>20</v>
      </c>
      <c r="G3180" s="4">
        <v>39140</v>
      </c>
      <c r="H3180" s="3" t="s">
        <v>21</v>
      </c>
      <c r="I3180" s="3" t="s">
        <v>33</v>
      </c>
      <c r="J3180" s="5">
        <v>22000000</v>
      </c>
      <c r="K3180" s="3">
        <v>4664800</v>
      </c>
      <c r="L3180" s="3" t="s">
        <v>691</v>
      </c>
      <c r="M3180" s="3" t="s">
        <v>11224</v>
      </c>
      <c r="N3180" s="3">
        <v>20</v>
      </c>
      <c r="P3180" s="3" t="s">
        <v>11225</v>
      </c>
      <c r="Q3180" s="3" t="s">
        <v>1339</v>
      </c>
      <c r="R3180" s="3" t="s">
        <v>456</v>
      </c>
      <c r="S3180" s="3">
        <v>50751430</v>
      </c>
      <c r="T3180" s="3">
        <v>8182300493</v>
      </c>
      <c r="U3180" s="3" t="s">
        <v>29</v>
      </c>
    </row>
    <row r="3181" spans="1:21" ht="13.2" x14ac:dyDescent="0.25">
      <c r="A3181" s="14">
        <v>45750411000132</v>
      </c>
      <c r="B3181" s="15" t="str">
        <f t="shared" si="49"/>
        <v>45.750.411/0001-32</v>
      </c>
      <c r="C3181" s="12"/>
      <c r="D3181" s="3" t="s">
        <v>11226</v>
      </c>
      <c r="E3181" s="3" t="s">
        <v>11226</v>
      </c>
      <c r="F3181" s="3" t="s">
        <v>20</v>
      </c>
      <c r="G3181" s="4">
        <v>27284</v>
      </c>
      <c r="H3181" s="3" t="s">
        <v>21</v>
      </c>
      <c r="I3181" s="3" t="s">
        <v>33</v>
      </c>
      <c r="J3181" s="5">
        <v>6183000</v>
      </c>
      <c r="K3181" s="3">
        <v>1531901</v>
      </c>
      <c r="L3181" s="3" t="s">
        <v>1330</v>
      </c>
      <c r="M3181" s="3" t="s">
        <v>11227</v>
      </c>
      <c r="N3181" s="3" t="s">
        <v>82</v>
      </c>
      <c r="O3181" s="3" t="s">
        <v>11228</v>
      </c>
      <c r="P3181" s="3" t="s">
        <v>11229</v>
      </c>
      <c r="Q3181" s="3" t="s">
        <v>5398</v>
      </c>
      <c r="R3181" s="3" t="s">
        <v>28</v>
      </c>
      <c r="S3181" s="3">
        <v>13188900</v>
      </c>
      <c r="T3181" s="3">
        <v>1921194000</v>
      </c>
      <c r="U3181" s="3" t="s">
        <v>29</v>
      </c>
    </row>
    <row r="3182" spans="1:21" ht="13.2" x14ac:dyDescent="0.25">
      <c r="A3182" s="14">
        <v>8753670000190</v>
      </c>
      <c r="B3182" s="15" t="str">
        <f t="shared" si="49"/>
        <v>08.753.670/0001-90</v>
      </c>
      <c r="C3182" s="12"/>
      <c r="D3182" s="3" t="s">
        <v>11230</v>
      </c>
      <c r="E3182" s="3" t="s">
        <v>11231</v>
      </c>
      <c r="F3182" s="3" t="s">
        <v>20</v>
      </c>
      <c r="G3182" s="4">
        <v>39181</v>
      </c>
      <c r="H3182" s="3" t="s">
        <v>21</v>
      </c>
      <c r="I3182" s="3" t="s">
        <v>47</v>
      </c>
      <c r="J3182" s="5">
        <v>30000</v>
      </c>
      <c r="K3182" s="3">
        <v>3292201</v>
      </c>
      <c r="L3182" s="3" t="s">
        <v>11232</v>
      </c>
      <c r="M3182" s="3" t="s">
        <v>11233</v>
      </c>
      <c r="N3182" s="3">
        <v>130</v>
      </c>
      <c r="P3182" s="3" t="s">
        <v>11234</v>
      </c>
      <c r="Q3182" s="3" t="s">
        <v>11235</v>
      </c>
      <c r="R3182" s="3" t="s">
        <v>100</v>
      </c>
      <c r="S3182" s="3">
        <v>37476000</v>
      </c>
      <c r="T3182" s="3">
        <v>3532811575</v>
      </c>
      <c r="U3182" s="3" t="s">
        <v>29</v>
      </c>
    </row>
    <row r="3183" spans="1:21" ht="13.2" x14ac:dyDescent="0.25">
      <c r="A3183" s="14">
        <v>23571314000140</v>
      </c>
      <c r="B3183" s="15" t="str">
        <f t="shared" si="49"/>
        <v>23.571.314/0001-40</v>
      </c>
      <c r="C3183" s="12"/>
      <c r="D3183" s="3" t="s">
        <v>11236</v>
      </c>
      <c r="E3183" s="3" t="s">
        <v>11237</v>
      </c>
      <c r="F3183" s="3" t="s">
        <v>20</v>
      </c>
      <c r="G3183" s="4">
        <v>42306</v>
      </c>
      <c r="H3183" s="3" t="s">
        <v>21</v>
      </c>
      <c r="I3183" s="3" t="s">
        <v>22</v>
      </c>
      <c r="J3183" s="5">
        <v>50000</v>
      </c>
      <c r="K3183" s="3">
        <v>4642702</v>
      </c>
      <c r="L3183" s="3" t="s">
        <v>1139</v>
      </c>
      <c r="M3183" s="3" t="s">
        <v>11238</v>
      </c>
      <c r="N3183" s="3">
        <v>190</v>
      </c>
      <c r="O3183" s="3" t="s">
        <v>2243</v>
      </c>
      <c r="P3183" s="3" t="s">
        <v>11239</v>
      </c>
      <c r="Q3183" s="3" t="s">
        <v>231</v>
      </c>
      <c r="R3183" s="3" t="s">
        <v>28</v>
      </c>
      <c r="S3183" s="3">
        <v>18095340</v>
      </c>
      <c r="T3183" s="3">
        <v>1597211535</v>
      </c>
      <c r="U3183" s="3" t="s">
        <v>29</v>
      </c>
    </row>
    <row r="3184" spans="1:21" ht="13.2" x14ac:dyDescent="0.25">
      <c r="A3184" s="14">
        <v>59996829000139</v>
      </c>
      <c r="B3184" s="15" t="str">
        <f t="shared" si="49"/>
        <v>59.996.829/0001-39</v>
      </c>
      <c r="C3184" s="12" t="str">
        <f>VLOOKUP(B3184,[1]Planilha1!$A:$B,2,0)</f>
        <v>Malu Montesino</v>
      </c>
      <c r="D3184" s="3" t="s">
        <v>11240</v>
      </c>
      <c r="E3184" s="3" t="s">
        <v>11240</v>
      </c>
      <c r="F3184" s="3" t="s">
        <v>20</v>
      </c>
      <c r="G3184" s="4">
        <v>45736</v>
      </c>
      <c r="H3184" s="3" t="s">
        <v>21</v>
      </c>
      <c r="I3184" s="3" t="s">
        <v>22</v>
      </c>
      <c r="J3184" s="5">
        <v>50000</v>
      </c>
      <c r="K3184" s="3">
        <v>4321500</v>
      </c>
      <c r="L3184" s="3" t="s">
        <v>964</v>
      </c>
      <c r="M3184" s="3" t="s">
        <v>2406</v>
      </c>
      <c r="N3184" s="3">
        <v>2754</v>
      </c>
      <c r="P3184" s="3" t="s">
        <v>70</v>
      </c>
      <c r="Q3184" s="3" t="s">
        <v>2406</v>
      </c>
      <c r="R3184" s="3" t="s">
        <v>28</v>
      </c>
      <c r="S3184" s="3">
        <v>13560001</v>
      </c>
      <c r="T3184" s="3">
        <v>3182017844</v>
      </c>
      <c r="U3184" s="3" t="s">
        <v>29</v>
      </c>
    </row>
    <row r="3185" spans="1:21" ht="13.2" x14ac:dyDescent="0.25">
      <c r="A3185" s="14">
        <v>61064838000133</v>
      </c>
      <c r="B3185" s="15" t="str">
        <f t="shared" si="49"/>
        <v>61.064.838/0001-33</v>
      </c>
      <c r="C3185" s="12" t="str">
        <f>VLOOKUP(B3185,[1]Planilha1!$A:$B,2,0)</f>
        <v>Malu Montesino</v>
      </c>
      <c r="D3185" s="3" t="s">
        <v>11241</v>
      </c>
      <c r="E3185" s="3" t="s">
        <v>11241</v>
      </c>
      <c r="F3185" s="3" t="s">
        <v>20</v>
      </c>
      <c r="G3185" s="4">
        <v>24296</v>
      </c>
      <c r="H3185" s="3" t="s">
        <v>21</v>
      </c>
      <c r="I3185" s="3" t="s">
        <v>33</v>
      </c>
      <c r="J3185" s="5">
        <v>1697564300</v>
      </c>
      <c r="K3185" s="3">
        <v>2330303</v>
      </c>
      <c r="L3185" s="3" t="s">
        <v>5830</v>
      </c>
      <c r="M3185" s="3" t="s">
        <v>837</v>
      </c>
      <c r="N3185" s="3">
        <v>1400</v>
      </c>
      <c r="O3185" s="3" t="s">
        <v>11242</v>
      </c>
      <c r="P3185" s="3" t="s">
        <v>137</v>
      </c>
      <c r="Q3185" s="3" t="s">
        <v>27</v>
      </c>
      <c r="R3185" s="3" t="s">
        <v>28</v>
      </c>
      <c r="S3185" s="3">
        <v>5001903</v>
      </c>
      <c r="T3185" s="3">
        <v>1122467655</v>
      </c>
      <c r="U3185" s="3" t="s">
        <v>29</v>
      </c>
    </row>
    <row r="3186" spans="1:21" ht="13.2" x14ac:dyDescent="0.25">
      <c r="A3186" s="14">
        <v>61064838016560</v>
      </c>
      <c r="B3186" s="15" t="str">
        <f t="shared" si="49"/>
        <v>61.064.838/0165-60</v>
      </c>
      <c r="C3186" s="12"/>
      <c r="D3186" s="3" t="s">
        <v>11241</v>
      </c>
      <c r="E3186" s="3" t="s">
        <v>11241</v>
      </c>
      <c r="F3186" s="3" t="s">
        <v>20</v>
      </c>
      <c r="G3186" s="4">
        <v>43712</v>
      </c>
      <c r="H3186" s="3" t="s">
        <v>21</v>
      </c>
      <c r="I3186" s="3" t="s">
        <v>33</v>
      </c>
      <c r="J3186" s="5">
        <v>1697564300</v>
      </c>
      <c r="K3186" s="3">
        <v>4684299</v>
      </c>
      <c r="L3186" s="3" t="s">
        <v>419</v>
      </c>
      <c r="M3186" s="3" t="s">
        <v>1578</v>
      </c>
      <c r="N3186" s="3">
        <v>1962</v>
      </c>
      <c r="O3186" s="3" t="s">
        <v>3407</v>
      </c>
      <c r="P3186" s="3" t="s">
        <v>5990</v>
      </c>
      <c r="Q3186" s="3" t="s">
        <v>1878</v>
      </c>
      <c r="R3186" s="3" t="s">
        <v>28</v>
      </c>
      <c r="S3186" s="3">
        <v>6818000</v>
      </c>
      <c r="T3186" s="3">
        <v>1122464745</v>
      </c>
      <c r="U3186" s="3" t="s">
        <v>29</v>
      </c>
    </row>
    <row r="3187" spans="1:21" ht="13.2" x14ac:dyDescent="0.25">
      <c r="A3187" s="14">
        <v>61064838009009</v>
      </c>
      <c r="B3187" s="15" t="str">
        <f t="shared" si="49"/>
        <v>61.064.838/0090-09</v>
      </c>
      <c r="C3187" s="12"/>
      <c r="D3187" s="3" t="s">
        <v>11241</v>
      </c>
      <c r="E3187" s="3" t="s">
        <v>11243</v>
      </c>
      <c r="F3187" s="3" t="s">
        <v>20</v>
      </c>
      <c r="G3187" s="4">
        <v>39512</v>
      </c>
      <c r="H3187" s="3" t="s">
        <v>21</v>
      </c>
      <c r="I3187" s="3" t="s">
        <v>33</v>
      </c>
      <c r="J3187" s="5">
        <v>1697564300</v>
      </c>
      <c r="K3187" s="3">
        <v>2399199</v>
      </c>
      <c r="L3187" s="3" t="s">
        <v>3272</v>
      </c>
      <c r="M3187" s="3" t="s">
        <v>11244</v>
      </c>
      <c r="N3187" s="3">
        <v>177</v>
      </c>
      <c r="P3187" s="3" t="s">
        <v>241</v>
      </c>
      <c r="Q3187" s="3" t="s">
        <v>27</v>
      </c>
      <c r="R3187" s="3" t="s">
        <v>28</v>
      </c>
      <c r="S3187" s="3">
        <v>4747000</v>
      </c>
      <c r="T3187" s="3">
        <v>1122467655</v>
      </c>
      <c r="U3187" s="3" t="s">
        <v>29</v>
      </c>
    </row>
    <row r="3188" spans="1:21" ht="13.2" x14ac:dyDescent="0.25">
      <c r="A3188" s="14">
        <v>61064838003159</v>
      </c>
      <c r="B3188" s="15" t="str">
        <f t="shared" si="49"/>
        <v>61.064.838/0031-59</v>
      </c>
      <c r="C3188" s="12" t="str">
        <f>VLOOKUP(B3188,[1]Planilha1!$A:$B,2,0)</f>
        <v>Malu Montesino</v>
      </c>
      <c r="D3188" s="3" t="s">
        <v>11241</v>
      </c>
      <c r="E3188" s="3" t="s">
        <v>11245</v>
      </c>
      <c r="F3188" s="3" t="s">
        <v>20</v>
      </c>
      <c r="G3188" s="4">
        <v>39546</v>
      </c>
      <c r="H3188" s="3" t="s">
        <v>21</v>
      </c>
      <c r="I3188" s="3" t="s">
        <v>33</v>
      </c>
      <c r="J3188" s="5">
        <v>1697564300</v>
      </c>
      <c r="K3188" s="3">
        <v>2399199</v>
      </c>
      <c r="L3188" s="3" t="s">
        <v>3272</v>
      </c>
      <c r="M3188" s="3" t="s">
        <v>248</v>
      </c>
      <c r="N3188" s="3">
        <v>81</v>
      </c>
      <c r="O3188" s="3" t="s">
        <v>9278</v>
      </c>
      <c r="P3188" s="3" t="s">
        <v>950</v>
      </c>
      <c r="Q3188" s="3" t="s">
        <v>654</v>
      </c>
      <c r="R3188" s="3" t="s">
        <v>91</v>
      </c>
      <c r="S3188" s="3">
        <v>88703112</v>
      </c>
      <c r="T3188" s="3">
        <v>1122467655</v>
      </c>
      <c r="U3188" s="3" t="s">
        <v>29</v>
      </c>
    </row>
    <row r="3189" spans="1:21" ht="13.2" x14ac:dyDescent="0.25">
      <c r="A3189" s="14">
        <v>5706897000197</v>
      </c>
      <c r="B3189" s="15" t="str">
        <f t="shared" si="49"/>
        <v>05.706.897/0001-97</v>
      </c>
      <c r="C3189" s="12" t="str">
        <f>VLOOKUP(B3189,[1]Planilha1!$A:$B,2,0)</f>
        <v>Malu Montesino</v>
      </c>
      <c r="D3189" s="3" t="s">
        <v>11246</v>
      </c>
      <c r="E3189" s="3" t="s">
        <v>11246</v>
      </c>
      <c r="F3189" s="3" t="s">
        <v>20</v>
      </c>
      <c r="G3189" s="4">
        <v>37797</v>
      </c>
      <c r="H3189" s="3" t="s">
        <v>2634</v>
      </c>
      <c r="I3189" s="3" t="s">
        <v>33</v>
      </c>
      <c r="J3189" s="5">
        <v>0</v>
      </c>
      <c r="K3189" s="3">
        <v>6462000</v>
      </c>
      <c r="L3189" s="3" t="s">
        <v>250</v>
      </c>
      <c r="M3189" s="3" t="s">
        <v>9265</v>
      </c>
      <c r="N3189" s="3" t="s">
        <v>82</v>
      </c>
      <c r="R3189" s="3" t="s">
        <v>2637</v>
      </c>
      <c r="U3189" s="3" t="s">
        <v>29</v>
      </c>
    </row>
    <row r="3190" spans="1:21" ht="13.2" x14ac:dyDescent="0.25">
      <c r="A3190" s="14">
        <v>10290557000168</v>
      </c>
      <c r="B3190" s="15" t="str">
        <f t="shared" si="49"/>
        <v>10.290.557/0001-68</v>
      </c>
      <c r="C3190" s="12"/>
      <c r="D3190" s="3" t="s">
        <v>11247</v>
      </c>
      <c r="E3190" s="3" t="s">
        <v>11247</v>
      </c>
      <c r="F3190" s="3" t="s">
        <v>20</v>
      </c>
      <c r="G3190" s="4">
        <v>39665</v>
      </c>
      <c r="H3190" s="3" t="s">
        <v>21</v>
      </c>
      <c r="I3190" s="3" t="s">
        <v>33</v>
      </c>
      <c r="J3190" s="5">
        <v>3500000</v>
      </c>
      <c r="K3190" s="3">
        <v>4649408</v>
      </c>
      <c r="L3190" s="3" t="s">
        <v>464</v>
      </c>
      <c r="M3190" s="3" t="s">
        <v>11248</v>
      </c>
      <c r="N3190" s="3">
        <v>299</v>
      </c>
      <c r="P3190" s="3" t="s">
        <v>7774</v>
      </c>
      <c r="Q3190" s="3" t="s">
        <v>27</v>
      </c>
      <c r="R3190" s="3" t="s">
        <v>28</v>
      </c>
      <c r="S3190" s="3">
        <v>8260090</v>
      </c>
      <c r="T3190" s="3">
        <v>1127234080</v>
      </c>
      <c r="U3190" s="3" t="s">
        <v>29</v>
      </c>
    </row>
    <row r="3191" spans="1:21" ht="13.2" x14ac:dyDescent="0.25">
      <c r="A3191" s="14">
        <v>13738094000142</v>
      </c>
      <c r="B3191" s="15" t="str">
        <f t="shared" si="49"/>
        <v>13.738.094/0001-42</v>
      </c>
      <c r="C3191" s="12"/>
      <c r="D3191" s="3" t="s">
        <v>11249</v>
      </c>
      <c r="E3191" s="3" t="s">
        <v>11250</v>
      </c>
      <c r="F3191" s="3" t="s">
        <v>20</v>
      </c>
      <c r="G3191" s="4">
        <v>40694</v>
      </c>
      <c r="H3191" s="3" t="s">
        <v>21</v>
      </c>
      <c r="I3191" s="3" t="s">
        <v>22</v>
      </c>
      <c r="J3191" s="5">
        <v>800000</v>
      </c>
      <c r="K3191" s="3">
        <v>4120400</v>
      </c>
      <c r="L3191" s="3" t="s">
        <v>87</v>
      </c>
      <c r="M3191" s="3" t="s">
        <v>11251</v>
      </c>
      <c r="N3191" s="3" t="s">
        <v>111</v>
      </c>
      <c r="O3191" s="3" t="s">
        <v>11252</v>
      </c>
      <c r="P3191" s="3" t="s">
        <v>1885</v>
      </c>
      <c r="Q3191" s="3" t="s">
        <v>1886</v>
      </c>
      <c r="R3191" s="3" t="s">
        <v>1887</v>
      </c>
      <c r="S3191" s="3">
        <v>77020040</v>
      </c>
      <c r="T3191" s="3">
        <v>6332148199</v>
      </c>
      <c r="U3191" s="3" t="s">
        <v>29</v>
      </c>
    </row>
    <row r="3192" spans="1:21" ht="13.2" x14ac:dyDescent="0.25">
      <c r="A3192" s="14">
        <v>20102529000123</v>
      </c>
      <c r="B3192" s="15" t="str">
        <f t="shared" si="49"/>
        <v>20.102.529/0001-23</v>
      </c>
      <c r="C3192" s="12" t="str">
        <f>VLOOKUP(B3192,[1]Planilha1!$A:$B,2,0)</f>
        <v>Malu Montesino</v>
      </c>
      <c r="D3192" s="3" t="s">
        <v>11253</v>
      </c>
      <c r="E3192" s="3" t="s">
        <v>11254</v>
      </c>
      <c r="F3192" s="3" t="s">
        <v>20</v>
      </c>
      <c r="G3192" s="4">
        <v>41740</v>
      </c>
      <c r="H3192" s="3" t="s">
        <v>21</v>
      </c>
      <c r="I3192" s="3" t="s">
        <v>22</v>
      </c>
      <c r="J3192" s="5">
        <v>500000</v>
      </c>
      <c r="K3192" s="3">
        <v>4664800</v>
      </c>
      <c r="L3192" s="3" t="s">
        <v>691</v>
      </c>
      <c r="M3192" s="3" t="s">
        <v>11255</v>
      </c>
      <c r="N3192" s="3">
        <v>40</v>
      </c>
      <c r="P3192" s="3" t="s">
        <v>8245</v>
      </c>
      <c r="Q3192" s="3" t="s">
        <v>186</v>
      </c>
      <c r="R3192" s="3" t="s">
        <v>187</v>
      </c>
      <c r="S3192" s="3">
        <v>83050535</v>
      </c>
      <c r="T3192" s="3">
        <v>4131385900</v>
      </c>
      <c r="U3192" s="3" t="s">
        <v>29</v>
      </c>
    </row>
    <row r="3193" spans="1:21" ht="13.2" x14ac:dyDescent="0.25">
      <c r="A3193" s="14">
        <v>9053114000174</v>
      </c>
      <c r="B3193" s="15" t="str">
        <f t="shared" si="49"/>
        <v>09.053.114/0001-74</v>
      </c>
      <c r="C3193" s="12"/>
      <c r="D3193" s="3" t="s">
        <v>11256</v>
      </c>
      <c r="E3193" s="3" t="s">
        <v>11256</v>
      </c>
      <c r="F3193" s="3" t="s">
        <v>45</v>
      </c>
      <c r="G3193" s="4">
        <v>39274</v>
      </c>
      <c r="H3193" s="3" t="s">
        <v>21</v>
      </c>
      <c r="I3193" s="3" t="s">
        <v>47</v>
      </c>
      <c r="J3193" s="5">
        <v>50000</v>
      </c>
      <c r="K3193" s="3">
        <v>5620101</v>
      </c>
      <c r="L3193" s="3" t="s">
        <v>1369</v>
      </c>
      <c r="M3193" s="3" t="s">
        <v>11257</v>
      </c>
      <c r="N3193" s="3">
        <v>58</v>
      </c>
      <c r="O3193" s="3">
        <v>64</v>
      </c>
      <c r="P3193" s="3" t="s">
        <v>11258</v>
      </c>
      <c r="Q3193" s="3" t="s">
        <v>27</v>
      </c>
      <c r="R3193" s="3" t="s">
        <v>28</v>
      </c>
      <c r="S3193" s="3">
        <v>1223000</v>
      </c>
      <c r="T3193" s="3">
        <v>1138681604</v>
      </c>
      <c r="U3193" s="3" t="s">
        <v>29</v>
      </c>
    </row>
    <row r="3194" spans="1:21" ht="13.2" x14ac:dyDescent="0.25">
      <c r="A3194" s="14">
        <v>521113000132</v>
      </c>
      <c r="B3194" s="15" t="str">
        <f t="shared" si="49"/>
        <v>00.521.113/0001-32</v>
      </c>
      <c r="C3194" s="12"/>
      <c r="D3194" s="3" t="s">
        <v>11259</v>
      </c>
      <c r="E3194" s="3" t="s">
        <v>11260</v>
      </c>
      <c r="F3194" s="3" t="s">
        <v>20</v>
      </c>
      <c r="G3194" s="4">
        <v>34792</v>
      </c>
      <c r="H3194" s="3" t="s">
        <v>21</v>
      </c>
      <c r="I3194" s="3" t="s">
        <v>33</v>
      </c>
      <c r="J3194" s="5">
        <v>11000000</v>
      </c>
      <c r="K3194" s="3">
        <v>4120400</v>
      </c>
      <c r="L3194" s="3" t="s">
        <v>87</v>
      </c>
      <c r="M3194" s="3" t="s">
        <v>11261</v>
      </c>
      <c r="N3194" s="7">
        <v>2030</v>
      </c>
      <c r="O3194" s="3" t="s">
        <v>6106</v>
      </c>
      <c r="P3194" s="3" t="s">
        <v>3858</v>
      </c>
      <c r="Q3194" s="3" t="s">
        <v>11262</v>
      </c>
      <c r="R3194" s="3" t="s">
        <v>91</v>
      </c>
      <c r="S3194" s="3">
        <v>88400000</v>
      </c>
      <c r="T3194" s="3">
        <v>4735331777</v>
      </c>
      <c r="U3194" s="3" t="s">
        <v>29</v>
      </c>
    </row>
    <row r="3195" spans="1:21" ht="13.2" x14ac:dyDescent="0.25">
      <c r="A3195" s="14">
        <v>8299636000198</v>
      </c>
      <c r="B3195" s="15" t="str">
        <f t="shared" si="49"/>
        <v>08.299.636/0001-98</v>
      </c>
      <c r="C3195" s="12" t="str">
        <f>VLOOKUP(B3195,[1]Planilha1!$A:$B,2,0)</f>
        <v>Malu Montesino</v>
      </c>
      <c r="D3195" s="3" t="s">
        <v>11263</v>
      </c>
      <c r="E3195" s="3" t="s">
        <v>11263</v>
      </c>
      <c r="F3195" s="3" t="s">
        <v>20</v>
      </c>
      <c r="G3195" s="4">
        <v>38958</v>
      </c>
      <c r="H3195" s="3" t="s">
        <v>21</v>
      </c>
      <c r="I3195" s="3" t="s">
        <v>33</v>
      </c>
      <c r="J3195" s="5">
        <v>11000000</v>
      </c>
      <c r="K3195" s="3">
        <v>4222701</v>
      </c>
      <c r="L3195" s="3" t="s">
        <v>1909</v>
      </c>
      <c r="M3195" s="3" t="s">
        <v>11264</v>
      </c>
      <c r="N3195" s="3">
        <v>150</v>
      </c>
      <c r="O3195" s="3" t="s">
        <v>222</v>
      </c>
      <c r="P3195" s="3" t="s">
        <v>11239</v>
      </c>
      <c r="Q3195" s="3" t="s">
        <v>231</v>
      </c>
      <c r="R3195" s="3" t="s">
        <v>28</v>
      </c>
      <c r="S3195" s="3">
        <v>18095530</v>
      </c>
      <c r="T3195" s="3">
        <v>1532325619</v>
      </c>
      <c r="U3195" s="3" t="s">
        <v>29</v>
      </c>
    </row>
    <row r="3196" spans="1:21" ht="13.2" x14ac:dyDescent="0.25">
      <c r="A3196" s="14">
        <v>44339679000113</v>
      </c>
      <c r="B3196" s="15" t="str">
        <f t="shared" si="49"/>
        <v>44.339.679/0001-13</v>
      </c>
      <c r="C3196" s="12"/>
      <c r="D3196" s="3" t="s">
        <v>11265</v>
      </c>
      <c r="E3196" s="3" t="s">
        <v>11265</v>
      </c>
      <c r="F3196" s="3" t="s">
        <v>20</v>
      </c>
      <c r="G3196" s="4">
        <v>26743</v>
      </c>
      <c r="H3196" s="3" t="s">
        <v>21</v>
      </c>
      <c r="I3196" s="3" t="s">
        <v>33</v>
      </c>
      <c r="J3196" s="5">
        <v>5650338</v>
      </c>
      <c r="K3196" s="3">
        <v>2229399</v>
      </c>
      <c r="L3196" s="3" t="s">
        <v>414</v>
      </c>
      <c r="M3196" s="3" t="s">
        <v>11266</v>
      </c>
      <c r="N3196" s="3">
        <v>930</v>
      </c>
      <c r="P3196" s="3" t="s">
        <v>11267</v>
      </c>
      <c r="Q3196" s="3" t="s">
        <v>3966</v>
      </c>
      <c r="R3196" s="3" t="s">
        <v>28</v>
      </c>
      <c r="S3196" s="3">
        <v>7434090</v>
      </c>
      <c r="T3196" s="3">
        <v>1121444500</v>
      </c>
      <c r="U3196" s="3" t="s">
        <v>29</v>
      </c>
    </row>
    <row r="3197" spans="1:21" ht="13.2" x14ac:dyDescent="0.25">
      <c r="A3197" s="14">
        <v>5721282000130</v>
      </c>
      <c r="B3197" s="15" t="str">
        <f t="shared" si="49"/>
        <v>05.721.282/0001-30</v>
      </c>
      <c r="C3197" s="12"/>
      <c r="D3197" s="3" t="s">
        <v>11268</v>
      </c>
      <c r="E3197" s="3" t="s">
        <v>11268</v>
      </c>
      <c r="F3197" s="3" t="s">
        <v>20</v>
      </c>
      <c r="G3197" s="4">
        <v>37797</v>
      </c>
      <c r="H3197" s="3" t="s">
        <v>2634</v>
      </c>
      <c r="I3197" s="3" t="s">
        <v>33</v>
      </c>
      <c r="J3197" s="5">
        <v>0</v>
      </c>
      <c r="K3197" s="3">
        <v>6462000</v>
      </c>
      <c r="L3197" s="3" t="s">
        <v>250</v>
      </c>
      <c r="M3197" s="3" t="s">
        <v>11269</v>
      </c>
      <c r="N3197" s="3">
        <v>129</v>
      </c>
      <c r="P3197" s="3" t="s">
        <v>11270</v>
      </c>
      <c r="R3197" s="3" t="s">
        <v>2637</v>
      </c>
      <c r="U3197" s="3" t="s">
        <v>29</v>
      </c>
    </row>
    <row r="3198" spans="1:21" ht="13.2" x14ac:dyDescent="0.25">
      <c r="A3198" s="14">
        <v>58426628000133</v>
      </c>
      <c r="B3198" s="15" t="str">
        <f t="shared" si="49"/>
        <v>58.426.628/0001-33</v>
      </c>
      <c r="C3198" s="12"/>
      <c r="D3198" s="3" t="s">
        <v>11271</v>
      </c>
      <c r="E3198" s="3" t="s">
        <v>11272</v>
      </c>
      <c r="F3198" s="3" t="s">
        <v>20</v>
      </c>
      <c r="G3198" s="4">
        <v>32126</v>
      </c>
      <c r="H3198" s="3" t="s">
        <v>21</v>
      </c>
      <c r="I3198" s="3" t="s">
        <v>33</v>
      </c>
      <c r="J3198" s="5">
        <v>37122500</v>
      </c>
      <c r="K3198" s="3">
        <v>3250701</v>
      </c>
      <c r="L3198" s="3" t="s">
        <v>2195</v>
      </c>
      <c r="M3198" s="3" t="s">
        <v>11273</v>
      </c>
      <c r="N3198" s="3">
        <v>162</v>
      </c>
      <c r="P3198" s="3" t="s">
        <v>2214</v>
      </c>
      <c r="Q3198" s="3" t="s">
        <v>27</v>
      </c>
      <c r="R3198" s="3" t="s">
        <v>28</v>
      </c>
      <c r="S3198" s="3">
        <v>4763040</v>
      </c>
      <c r="T3198" s="3">
        <v>1122447745</v>
      </c>
      <c r="U3198" s="3" t="s">
        <v>29</v>
      </c>
    </row>
    <row r="3199" spans="1:21" ht="13.2" x14ac:dyDescent="0.25">
      <c r="A3199" s="14">
        <v>11326087000108</v>
      </c>
      <c r="B3199" s="15" t="str">
        <f t="shared" si="49"/>
        <v>11.326.087/0001-08</v>
      </c>
      <c r="C3199" s="12"/>
      <c r="D3199" s="3" t="s">
        <v>11274</v>
      </c>
      <c r="E3199" s="3" t="s">
        <v>11274</v>
      </c>
      <c r="F3199" s="3" t="s">
        <v>20</v>
      </c>
      <c r="G3199" s="4">
        <v>40084</v>
      </c>
      <c r="H3199" s="3" t="s">
        <v>21</v>
      </c>
      <c r="I3199" s="3" t="s">
        <v>22</v>
      </c>
      <c r="J3199" s="5">
        <v>400000</v>
      </c>
      <c r="K3199" s="3">
        <v>4693100</v>
      </c>
      <c r="L3199" s="3" t="s">
        <v>238</v>
      </c>
      <c r="M3199" s="3" t="s">
        <v>11275</v>
      </c>
      <c r="N3199" s="3">
        <v>107</v>
      </c>
      <c r="P3199" s="3" t="s">
        <v>9495</v>
      </c>
      <c r="Q3199" s="3" t="s">
        <v>2128</v>
      </c>
      <c r="R3199" s="3" t="s">
        <v>28</v>
      </c>
      <c r="S3199" s="3">
        <v>13140542</v>
      </c>
      <c r="T3199" s="3">
        <v>1938841293</v>
      </c>
      <c r="U3199" s="3" t="s">
        <v>29</v>
      </c>
    </row>
    <row r="3200" spans="1:21" ht="13.2" x14ac:dyDescent="0.25">
      <c r="A3200" s="14">
        <v>12081318000123</v>
      </c>
      <c r="B3200" s="15" t="str">
        <f t="shared" si="49"/>
        <v>12.081.318/0001-23</v>
      </c>
      <c r="C3200" s="12"/>
      <c r="D3200" s="3" t="s">
        <v>11276</v>
      </c>
      <c r="E3200" s="3" t="s">
        <v>11277</v>
      </c>
      <c r="F3200" s="3" t="s">
        <v>20</v>
      </c>
      <c r="G3200" s="4">
        <v>40226</v>
      </c>
      <c r="H3200" s="3" t="s">
        <v>21</v>
      </c>
      <c r="I3200" s="3" t="s">
        <v>33</v>
      </c>
      <c r="J3200" s="5">
        <v>200000</v>
      </c>
      <c r="K3200" s="3">
        <v>3291400</v>
      </c>
      <c r="L3200" s="3" t="s">
        <v>1864</v>
      </c>
      <c r="M3200" s="3" t="s">
        <v>11278</v>
      </c>
      <c r="N3200" s="3">
        <v>337</v>
      </c>
      <c r="P3200" s="3" t="s">
        <v>11279</v>
      </c>
      <c r="Q3200" s="3" t="s">
        <v>11280</v>
      </c>
      <c r="R3200" s="3" t="s">
        <v>28</v>
      </c>
      <c r="S3200" s="3">
        <v>15850000</v>
      </c>
      <c r="T3200" s="3">
        <v>1735523306</v>
      </c>
      <c r="U3200" s="3" t="s">
        <v>29</v>
      </c>
    </row>
    <row r="3201" spans="1:21" ht="13.2" x14ac:dyDescent="0.25">
      <c r="A3201" s="14">
        <v>17586131000103</v>
      </c>
      <c r="B3201" s="15" t="str">
        <f t="shared" si="49"/>
        <v>17.586.131/0001-03</v>
      </c>
      <c r="C3201" s="12"/>
      <c r="D3201" s="3" t="s">
        <v>11281</v>
      </c>
      <c r="E3201" s="3" t="s">
        <v>11281</v>
      </c>
      <c r="F3201" s="3" t="s">
        <v>20</v>
      </c>
      <c r="G3201" s="4">
        <v>41313</v>
      </c>
      <c r="H3201" s="3" t="s">
        <v>21</v>
      </c>
      <c r="I3201" s="3" t="s">
        <v>22</v>
      </c>
      <c r="J3201" s="5">
        <v>50000</v>
      </c>
      <c r="K3201" s="3">
        <v>4649499</v>
      </c>
      <c r="L3201" s="3" t="s">
        <v>5842</v>
      </c>
      <c r="M3201" s="3" t="s">
        <v>11282</v>
      </c>
      <c r="N3201" s="3">
        <v>830</v>
      </c>
      <c r="P3201" s="3" t="s">
        <v>11283</v>
      </c>
      <c r="Q3201" s="3" t="s">
        <v>3193</v>
      </c>
      <c r="R3201" s="3" t="s">
        <v>28</v>
      </c>
      <c r="S3201" s="3">
        <v>8740270</v>
      </c>
      <c r="T3201" s="3">
        <v>1147969200</v>
      </c>
      <c r="U3201" s="3" t="s">
        <v>29</v>
      </c>
    </row>
    <row r="3202" spans="1:21" ht="13.2" x14ac:dyDescent="0.25">
      <c r="A3202" s="14">
        <v>9452674000100</v>
      </c>
      <c r="B3202" s="15" t="str">
        <f t="shared" si="49"/>
        <v>09.452.674/0001-00</v>
      </c>
      <c r="C3202" s="12"/>
      <c r="D3202" s="3" t="s">
        <v>11284</v>
      </c>
      <c r="E3202" s="3" t="s">
        <v>11285</v>
      </c>
      <c r="F3202" s="3" t="s">
        <v>45</v>
      </c>
      <c r="G3202" s="4">
        <v>39527</v>
      </c>
      <c r="H3202" s="3" t="s">
        <v>46</v>
      </c>
      <c r="I3202" s="3" t="s">
        <v>47</v>
      </c>
      <c r="J3202" s="5">
        <v>40000</v>
      </c>
      <c r="K3202" s="3">
        <v>4757100</v>
      </c>
      <c r="L3202" s="3" t="s">
        <v>1833</v>
      </c>
      <c r="M3202" s="3" t="s">
        <v>11286</v>
      </c>
      <c r="N3202" s="3">
        <v>253</v>
      </c>
      <c r="P3202" s="3" t="s">
        <v>336</v>
      </c>
      <c r="Q3202" s="3" t="s">
        <v>27</v>
      </c>
      <c r="R3202" s="3" t="s">
        <v>28</v>
      </c>
      <c r="S3202" s="3">
        <v>3127175</v>
      </c>
      <c r="T3202" s="3">
        <v>1123412886</v>
      </c>
      <c r="U3202" s="3" t="s">
        <v>29</v>
      </c>
    </row>
    <row r="3203" spans="1:21" ht="13.2" x14ac:dyDescent="0.25">
      <c r="A3203" s="14">
        <v>60680279000123</v>
      </c>
      <c r="B3203" s="15" t="str">
        <f t="shared" ref="B3203:B3266" si="50">TEXT(A3203,"00\.000\.000\/0000\-00")</f>
        <v>60.680.279/0001-23</v>
      </c>
      <c r="C3203" s="12"/>
      <c r="D3203" s="3" t="s">
        <v>11287</v>
      </c>
      <c r="E3203" s="3" t="s">
        <v>11287</v>
      </c>
      <c r="F3203" s="3" t="s">
        <v>20</v>
      </c>
      <c r="G3203" s="4">
        <v>25891</v>
      </c>
      <c r="H3203" s="3" t="s">
        <v>21</v>
      </c>
      <c r="I3203" s="3" t="s">
        <v>33</v>
      </c>
      <c r="J3203" s="5">
        <v>274010050</v>
      </c>
      <c r="K3203" s="3">
        <v>2543800</v>
      </c>
      <c r="L3203" s="3" t="s">
        <v>1469</v>
      </c>
      <c r="M3203" s="3" t="s">
        <v>1032</v>
      </c>
      <c r="N3203" s="3" t="s">
        <v>82</v>
      </c>
      <c r="O3203" s="3" t="s">
        <v>11288</v>
      </c>
      <c r="P3203" s="3" t="s">
        <v>153</v>
      </c>
      <c r="Q3203" s="3" t="s">
        <v>567</v>
      </c>
      <c r="R3203" s="3" t="s">
        <v>28</v>
      </c>
      <c r="S3203" s="3">
        <v>13213086</v>
      </c>
      <c r="T3203" s="3">
        <v>1156603624</v>
      </c>
      <c r="U3203" s="3" t="s">
        <v>29</v>
      </c>
    </row>
    <row r="3204" spans="1:21" ht="13.2" x14ac:dyDescent="0.25">
      <c r="A3204" s="14">
        <v>7847453000105</v>
      </c>
      <c r="B3204" s="15" t="str">
        <f t="shared" si="50"/>
        <v>07.847.453/0001-05</v>
      </c>
      <c r="C3204" s="12" t="str">
        <f>VLOOKUP(B3204,[1]Planilha1!$A:$B,2,0)</f>
        <v>Malu Montesino</v>
      </c>
      <c r="D3204" s="3" t="s">
        <v>11289</v>
      </c>
      <c r="E3204" s="3" t="s">
        <v>11289</v>
      </c>
      <c r="F3204" s="3" t="s">
        <v>20</v>
      </c>
      <c r="G3204" s="4">
        <v>38750</v>
      </c>
      <c r="H3204" s="3" t="s">
        <v>21</v>
      </c>
      <c r="I3204" s="3" t="s">
        <v>22</v>
      </c>
      <c r="J3204" s="5">
        <v>200000</v>
      </c>
      <c r="K3204" s="3">
        <v>4679604</v>
      </c>
      <c r="L3204" s="3" t="s">
        <v>4648</v>
      </c>
      <c r="M3204" s="3" t="s">
        <v>11290</v>
      </c>
      <c r="N3204" s="3">
        <v>99</v>
      </c>
      <c r="O3204" s="3" t="s">
        <v>11291</v>
      </c>
      <c r="P3204" s="3" t="s">
        <v>11292</v>
      </c>
      <c r="Q3204" s="3" t="s">
        <v>204</v>
      </c>
      <c r="R3204" s="3" t="s">
        <v>187</v>
      </c>
      <c r="S3204" s="3">
        <v>80730480</v>
      </c>
      <c r="T3204" s="3">
        <v>4188222814</v>
      </c>
      <c r="U3204" s="3" t="s">
        <v>29</v>
      </c>
    </row>
    <row r="3205" spans="1:21" ht="13.2" x14ac:dyDescent="0.25">
      <c r="A3205" s="14">
        <v>9266129000110</v>
      </c>
      <c r="B3205" s="15" t="str">
        <f t="shared" si="50"/>
        <v>09.266.129/0001-10</v>
      </c>
      <c r="C3205" s="12"/>
      <c r="D3205" s="3" t="s">
        <v>11293</v>
      </c>
      <c r="E3205" s="3" t="s">
        <v>11293</v>
      </c>
      <c r="F3205" s="3" t="s">
        <v>20</v>
      </c>
      <c r="G3205" s="4">
        <v>39426</v>
      </c>
      <c r="H3205" s="3" t="s">
        <v>94</v>
      </c>
      <c r="I3205" s="3" t="s">
        <v>33</v>
      </c>
      <c r="J3205" s="5">
        <v>611000000</v>
      </c>
      <c r="K3205" s="3">
        <v>6462000</v>
      </c>
      <c r="L3205" s="3" t="s">
        <v>250</v>
      </c>
      <c r="M3205" s="3" t="s">
        <v>11294</v>
      </c>
      <c r="N3205" s="3">
        <v>110</v>
      </c>
      <c r="O3205" s="3" t="s">
        <v>721</v>
      </c>
      <c r="P3205" s="3" t="s">
        <v>70</v>
      </c>
      <c r="Q3205" s="3" t="s">
        <v>1640</v>
      </c>
      <c r="R3205" s="3" t="s">
        <v>78</v>
      </c>
      <c r="S3205" s="3">
        <v>24030211</v>
      </c>
      <c r="T3205" s="3">
        <v>2127299200</v>
      </c>
      <c r="U3205" s="3" t="s">
        <v>29</v>
      </c>
    </row>
    <row r="3206" spans="1:21" ht="13.2" x14ac:dyDescent="0.25">
      <c r="A3206" s="14">
        <v>533003000190</v>
      </c>
      <c r="B3206" s="15" t="str">
        <f t="shared" si="50"/>
        <v>00.533.003/0001-90</v>
      </c>
      <c r="C3206" s="12" t="str">
        <f>VLOOKUP(B3206,[1]Planilha1!$A:$B,2,0)</f>
        <v>Malu Montesino</v>
      </c>
      <c r="D3206" s="3" t="s">
        <v>11295</v>
      </c>
      <c r="E3206" s="3" t="s">
        <v>11296</v>
      </c>
      <c r="F3206" s="3" t="s">
        <v>20</v>
      </c>
      <c r="G3206" s="4">
        <v>34795</v>
      </c>
      <c r="H3206" s="3" t="s">
        <v>4758</v>
      </c>
      <c r="I3206" s="3" t="s">
        <v>33</v>
      </c>
      <c r="J3206" s="5">
        <v>0</v>
      </c>
      <c r="K3206" s="3">
        <v>3600601</v>
      </c>
      <c r="L3206" s="3" t="s">
        <v>788</v>
      </c>
      <c r="M3206" s="3" t="s">
        <v>329</v>
      </c>
      <c r="N3206" s="3">
        <v>2923</v>
      </c>
      <c r="P3206" s="3" t="s">
        <v>11297</v>
      </c>
      <c r="Q3206" s="3" t="s">
        <v>881</v>
      </c>
      <c r="R3206" s="3" t="s">
        <v>28</v>
      </c>
      <c r="S3206" s="3">
        <v>9390140</v>
      </c>
      <c r="U3206" s="3" t="s">
        <v>29</v>
      </c>
    </row>
    <row r="3207" spans="1:21" ht="13.2" x14ac:dyDescent="0.25">
      <c r="A3207" s="14">
        <v>5603470000244</v>
      </c>
      <c r="B3207" s="15" t="str">
        <f t="shared" si="50"/>
        <v>05.603.470/0002-44</v>
      </c>
      <c r="C3207" s="12" t="str">
        <f>VLOOKUP(B3207,[1]Planilha1!$A:$B,2,0)</f>
        <v>Malu Montesino</v>
      </c>
      <c r="D3207" s="3" t="s">
        <v>11298</v>
      </c>
      <c r="E3207" s="3" t="s">
        <v>11299</v>
      </c>
      <c r="F3207" s="3" t="s">
        <v>45</v>
      </c>
      <c r="G3207" s="4">
        <v>38789</v>
      </c>
      <c r="H3207" s="3" t="s">
        <v>94</v>
      </c>
      <c r="I3207" s="3" t="s">
        <v>33</v>
      </c>
      <c r="J3207" s="5">
        <v>150194</v>
      </c>
      <c r="K3207" s="3">
        <v>4744003</v>
      </c>
      <c r="L3207" s="3" t="s">
        <v>6548</v>
      </c>
      <c r="M3207" s="3" t="s">
        <v>11300</v>
      </c>
      <c r="N3207" s="3">
        <v>251</v>
      </c>
      <c r="P3207" s="3" t="s">
        <v>11301</v>
      </c>
      <c r="Q3207" s="3" t="s">
        <v>3558</v>
      </c>
      <c r="R3207" s="3" t="s">
        <v>187</v>
      </c>
      <c r="S3207" s="3">
        <v>83413700</v>
      </c>
      <c r="T3207" s="3">
        <v>4136660200</v>
      </c>
      <c r="U3207" s="3" t="s">
        <v>29</v>
      </c>
    </row>
    <row r="3208" spans="1:21" ht="13.2" x14ac:dyDescent="0.25">
      <c r="A3208" s="14">
        <v>3733021000104</v>
      </c>
      <c r="B3208" s="15" t="str">
        <f t="shared" si="50"/>
        <v>03.733.021/0001-04</v>
      </c>
      <c r="C3208" s="12"/>
      <c r="D3208" s="3" t="s">
        <v>11302</v>
      </c>
      <c r="E3208" s="3" t="s">
        <v>11303</v>
      </c>
      <c r="F3208" s="3" t="s">
        <v>20</v>
      </c>
      <c r="G3208" s="4">
        <v>36616</v>
      </c>
      <c r="H3208" s="3" t="s">
        <v>21</v>
      </c>
      <c r="I3208" s="3" t="s">
        <v>22</v>
      </c>
      <c r="J3208" s="5">
        <v>950000</v>
      </c>
      <c r="K3208" s="3">
        <v>3702900</v>
      </c>
      <c r="L3208" s="3" t="s">
        <v>3447</v>
      </c>
      <c r="M3208" s="3" t="s">
        <v>11304</v>
      </c>
      <c r="N3208" s="3" t="s">
        <v>111</v>
      </c>
      <c r="O3208" s="3" t="s">
        <v>11305</v>
      </c>
      <c r="P3208" s="3" t="s">
        <v>11306</v>
      </c>
      <c r="Q3208" s="3" t="s">
        <v>4528</v>
      </c>
      <c r="R3208" s="3" t="s">
        <v>765</v>
      </c>
      <c r="S3208" s="3">
        <v>29163230</v>
      </c>
      <c r="T3208" s="3">
        <v>2732280494</v>
      </c>
      <c r="U3208" s="3" t="s">
        <v>29</v>
      </c>
    </row>
    <row r="3209" spans="1:21" ht="13.2" x14ac:dyDescent="0.25">
      <c r="A3209" s="14">
        <v>46277612002251</v>
      </c>
      <c r="B3209" s="15" t="str">
        <f t="shared" si="50"/>
        <v>46.277.612/0022-51</v>
      </c>
      <c r="C3209" s="12"/>
      <c r="D3209" s="3" t="s">
        <v>11307</v>
      </c>
      <c r="E3209" s="3" t="s">
        <v>11308</v>
      </c>
      <c r="F3209" s="3" t="s">
        <v>20</v>
      </c>
      <c r="G3209" s="4">
        <v>41324</v>
      </c>
      <c r="H3209" s="3" t="s">
        <v>21</v>
      </c>
      <c r="I3209" s="3" t="s">
        <v>33</v>
      </c>
      <c r="J3209" s="5">
        <v>12491402</v>
      </c>
      <c r="K3209" s="3">
        <v>7112000</v>
      </c>
      <c r="L3209" s="3" t="s">
        <v>276</v>
      </c>
      <c r="M3209" s="3" t="s">
        <v>2486</v>
      </c>
      <c r="N3209" s="3">
        <v>471</v>
      </c>
      <c r="P3209" s="3" t="s">
        <v>11309</v>
      </c>
      <c r="Q3209" s="3" t="s">
        <v>332</v>
      </c>
      <c r="R3209" s="3" t="s">
        <v>78</v>
      </c>
      <c r="S3209" s="3">
        <v>25075090</v>
      </c>
      <c r="T3209" s="3">
        <v>1137713235</v>
      </c>
      <c r="U3209" s="3" t="s">
        <v>29</v>
      </c>
    </row>
    <row r="3210" spans="1:21" ht="13.2" x14ac:dyDescent="0.25">
      <c r="A3210" s="14">
        <v>12187302000108</v>
      </c>
      <c r="B3210" s="15" t="str">
        <f t="shared" si="50"/>
        <v>12.187.302/0001-08</v>
      </c>
      <c r="C3210" s="12"/>
      <c r="D3210" s="3" t="s">
        <v>11310</v>
      </c>
      <c r="E3210" s="3" t="s">
        <v>11311</v>
      </c>
      <c r="F3210" s="3" t="s">
        <v>20</v>
      </c>
      <c r="G3210" s="4">
        <v>40339</v>
      </c>
      <c r="H3210" s="3" t="s">
        <v>21</v>
      </c>
      <c r="I3210" s="3" t="s">
        <v>22</v>
      </c>
      <c r="J3210" s="5">
        <v>1200000</v>
      </c>
      <c r="K3210" s="3">
        <v>8122200</v>
      </c>
      <c r="L3210" s="3" t="s">
        <v>2910</v>
      </c>
      <c r="M3210" s="3" t="s">
        <v>11312</v>
      </c>
      <c r="N3210" s="3">
        <v>147</v>
      </c>
      <c r="O3210" s="3" t="s">
        <v>11313</v>
      </c>
      <c r="P3210" s="3" t="s">
        <v>9679</v>
      </c>
      <c r="Q3210" s="3" t="s">
        <v>5089</v>
      </c>
      <c r="R3210" s="3" t="s">
        <v>281</v>
      </c>
      <c r="S3210" s="3">
        <v>42700590</v>
      </c>
      <c r="T3210" s="3">
        <v>7134915868</v>
      </c>
      <c r="U3210" s="3" t="s">
        <v>29</v>
      </c>
    </row>
    <row r="3211" spans="1:21" ht="13.2" x14ac:dyDescent="0.25">
      <c r="A3211" s="14">
        <v>6252986000173</v>
      </c>
      <c r="B3211" s="15" t="str">
        <f t="shared" si="50"/>
        <v>06.252.986/0001-73</v>
      </c>
      <c r="C3211" s="12"/>
      <c r="D3211" s="3" t="s">
        <v>11314</v>
      </c>
      <c r="E3211" s="3" t="s">
        <v>11315</v>
      </c>
      <c r="F3211" s="3" t="s">
        <v>20</v>
      </c>
      <c r="G3211" s="4">
        <v>38080</v>
      </c>
      <c r="H3211" s="3" t="s">
        <v>640</v>
      </c>
      <c r="I3211" s="3" t="s">
        <v>33</v>
      </c>
      <c r="J3211" s="5">
        <v>0</v>
      </c>
      <c r="K3211" s="3">
        <v>3600601</v>
      </c>
      <c r="L3211" s="3" t="s">
        <v>788</v>
      </c>
      <c r="M3211" s="3" t="s">
        <v>631</v>
      </c>
      <c r="N3211" s="3">
        <v>615</v>
      </c>
      <c r="O3211" s="3" t="s">
        <v>513</v>
      </c>
      <c r="P3211" s="3" t="s">
        <v>11316</v>
      </c>
      <c r="Q3211" s="3" t="s">
        <v>488</v>
      </c>
      <c r="R3211" s="3" t="s">
        <v>28</v>
      </c>
      <c r="S3211" s="3">
        <v>13280001</v>
      </c>
      <c r="T3211" s="3">
        <v>1938761121</v>
      </c>
      <c r="U3211" s="3" t="s">
        <v>29</v>
      </c>
    </row>
    <row r="3212" spans="1:21" ht="13.2" x14ac:dyDescent="0.25">
      <c r="A3212" s="14">
        <v>1963904000185</v>
      </c>
      <c r="B3212" s="15" t="str">
        <f t="shared" si="50"/>
        <v>01.963.904/0001-85</v>
      </c>
      <c r="C3212" s="12"/>
      <c r="D3212" s="3" t="s">
        <v>11317</v>
      </c>
      <c r="E3212" s="3" t="s">
        <v>11318</v>
      </c>
      <c r="F3212" s="3" t="s">
        <v>20</v>
      </c>
      <c r="G3212" s="4">
        <v>35611</v>
      </c>
      <c r="H3212" s="3" t="s">
        <v>21</v>
      </c>
      <c r="I3212" s="3" t="s">
        <v>22</v>
      </c>
      <c r="J3212" s="5">
        <v>100000</v>
      </c>
      <c r="K3212" s="3">
        <v>8129000</v>
      </c>
      <c r="L3212" s="3" t="s">
        <v>3626</v>
      </c>
      <c r="M3212" s="3" t="s">
        <v>11319</v>
      </c>
      <c r="N3212" s="3">
        <v>541</v>
      </c>
      <c r="P3212" s="3" t="s">
        <v>5204</v>
      </c>
      <c r="Q3212" s="3" t="s">
        <v>881</v>
      </c>
      <c r="R3212" s="3" t="s">
        <v>28</v>
      </c>
      <c r="S3212" s="3">
        <v>9310720</v>
      </c>
      <c r="T3212" s="3">
        <v>1145135929</v>
      </c>
      <c r="U3212" s="3" t="s">
        <v>29</v>
      </c>
    </row>
    <row r="3213" spans="1:21" ht="13.2" x14ac:dyDescent="0.25">
      <c r="A3213" s="14">
        <v>1064043000101</v>
      </c>
      <c r="B3213" s="15" t="str">
        <f t="shared" si="50"/>
        <v>01.064.043/0001-01</v>
      </c>
      <c r="C3213" s="12"/>
      <c r="D3213" s="3" t="s">
        <v>11320</v>
      </c>
      <c r="E3213" s="3" t="s">
        <v>11320</v>
      </c>
      <c r="F3213" s="3" t="s">
        <v>20</v>
      </c>
      <c r="G3213" s="4">
        <v>35110</v>
      </c>
      <c r="H3213" s="3" t="s">
        <v>21</v>
      </c>
      <c r="I3213" s="3" t="s">
        <v>33</v>
      </c>
      <c r="J3213" s="5">
        <v>58400000</v>
      </c>
      <c r="K3213" s="3">
        <v>4211101</v>
      </c>
      <c r="L3213" s="3" t="s">
        <v>313</v>
      </c>
      <c r="M3213" s="3" t="s">
        <v>11321</v>
      </c>
      <c r="N3213" s="3">
        <v>3000</v>
      </c>
      <c r="O3213" s="3" t="s">
        <v>11322</v>
      </c>
      <c r="P3213" s="3" t="s">
        <v>252</v>
      </c>
      <c r="Q3213" s="3" t="s">
        <v>253</v>
      </c>
      <c r="R3213" s="3" t="s">
        <v>78</v>
      </c>
      <c r="S3213" s="3">
        <v>22775005</v>
      </c>
      <c r="T3213" s="3">
        <v>2104211250</v>
      </c>
      <c r="U3213" s="3" t="s">
        <v>29</v>
      </c>
    </row>
    <row r="3214" spans="1:21" ht="13.2" x14ac:dyDescent="0.25">
      <c r="A3214" s="14">
        <v>14288367000167</v>
      </c>
      <c r="B3214" s="15" t="str">
        <f t="shared" si="50"/>
        <v>14.288.367/0001-67</v>
      </c>
      <c r="C3214" s="12"/>
      <c r="D3214" s="3" t="s">
        <v>11323</v>
      </c>
      <c r="E3214" s="3" t="s">
        <v>11323</v>
      </c>
      <c r="F3214" s="3" t="s">
        <v>20</v>
      </c>
      <c r="G3214" s="4">
        <v>40737</v>
      </c>
      <c r="H3214" s="3" t="s">
        <v>94</v>
      </c>
      <c r="I3214" s="3" t="s">
        <v>33</v>
      </c>
      <c r="J3214" s="5">
        <v>7826212</v>
      </c>
      <c r="K3214" s="3">
        <v>6810202</v>
      </c>
      <c r="L3214" s="3" t="s">
        <v>2714</v>
      </c>
      <c r="M3214" s="3" t="s">
        <v>6795</v>
      </c>
      <c r="N3214" s="3">
        <v>913</v>
      </c>
      <c r="O3214" s="3" t="s">
        <v>11324</v>
      </c>
      <c r="P3214" s="3" t="s">
        <v>1230</v>
      </c>
      <c r="Q3214" s="3" t="s">
        <v>27</v>
      </c>
      <c r="R3214" s="3" t="s">
        <v>28</v>
      </c>
      <c r="S3214" s="3">
        <v>4534013</v>
      </c>
      <c r="T3214" s="3">
        <v>1123885800</v>
      </c>
      <c r="U3214" s="3" t="s">
        <v>29</v>
      </c>
    </row>
    <row r="3215" spans="1:21" ht="13.2" x14ac:dyDescent="0.25">
      <c r="A3215" s="14">
        <v>15153524000190</v>
      </c>
      <c r="B3215" s="15" t="str">
        <f t="shared" si="50"/>
        <v>15.153.524/0001-90</v>
      </c>
      <c r="C3215" s="12"/>
      <c r="D3215" s="3" t="s">
        <v>11325</v>
      </c>
      <c r="E3215" s="3" t="s">
        <v>11326</v>
      </c>
      <c r="F3215" s="3" t="s">
        <v>20</v>
      </c>
      <c r="G3215" s="4">
        <v>40962</v>
      </c>
      <c r="H3215" s="3" t="s">
        <v>21</v>
      </c>
      <c r="I3215" s="3" t="s">
        <v>22</v>
      </c>
      <c r="J3215" s="5">
        <v>500000</v>
      </c>
      <c r="K3215" s="3">
        <v>4789005</v>
      </c>
      <c r="L3215" s="3" t="s">
        <v>2831</v>
      </c>
      <c r="M3215" s="3" t="s">
        <v>11327</v>
      </c>
      <c r="N3215" s="3">
        <v>250</v>
      </c>
      <c r="O3215" s="3" t="s">
        <v>11328</v>
      </c>
      <c r="P3215" s="3" t="s">
        <v>11329</v>
      </c>
      <c r="Q3215" s="3" t="s">
        <v>11330</v>
      </c>
      <c r="R3215" s="3" t="s">
        <v>187</v>
      </c>
      <c r="S3215" s="3">
        <v>83507500</v>
      </c>
      <c r="T3215" s="3">
        <v>4131510688</v>
      </c>
      <c r="U3215" s="3" t="s">
        <v>29</v>
      </c>
    </row>
    <row r="3216" spans="1:21" ht="13.2" x14ac:dyDescent="0.25">
      <c r="A3216" s="14">
        <v>43453448000173</v>
      </c>
      <c r="B3216" s="15" t="str">
        <f t="shared" si="50"/>
        <v>43.453.448/0001-73</v>
      </c>
      <c r="C3216" s="12"/>
      <c r="D3216" s="3" t="s">
        <v>11331</v>
      </c>
      <c r="E3216" s="3" t="s">
        <v>11331</v>
      </c>
      <c r="F3216" s="3" t="s">
        <v>31</v>
      </c>
      <c r="G3216" s="4">
        <v>26626</v>
      </c>
      <c r="H3216" s="3" t="s">
        <v>94</v>
      </c>
      <c r="I3216" s="3" t="s">
        <v>33</v>
      </c>
      <c r="J3216" s="5">
        <v>0</v>
      </c>
      <c r="K3216" s="3">
        <v>4329199</v>
      </c>
      <c r="L3216" s="3" t="s">
        <v>6111</v>
      </c>
      <c r="M3216" s="3" t="s">
        <v>11332</v>
      </c>
      <c r="N3216" s="3">
        <v>1291</v>
      </c>
      <c r="O3216" s="3" t="s">
        <v>11333</v>
      </c>
      <c r="P3216" s="3" t="s">
        <v>560</v>
      </c>
      <c r="Q3216" s="3" t="s">
        <v>27</v>
      </c>
      <c r="R3216" s="3" t="s">
        <v>28</v>
      </c>
      <c r="S3216" s="3">
        <v>4040031</v>
      </c>
      <c r="T3216" s="3">
        <v>1155497422</v>
      </c>
      <c r="U3216" s="3" t="s">
        <v>29</v>
      </c>
    </row>
    <row r="3217" spans="1:21" ht="13.2" x14ac:dyDescent="0.25">
      <c r="A3217" s="14">
        <v>10588595000100</v>
      </c>
      <c r="B3217" s="15" t="str">
        <f t="shared" si="50"/>
        <v>10.588.595/0001-00</v>
      </c>
      <c r="C3217" s="12" t="str">
        <f>VLOOKUP(B3217,[1]Planilha1!$A:$B,2,0)</f>
        <v>Malu Montesino</v>
      </c>
      <c r="D3217" s="3" t="s">
        <v>11334</v>
      </c>
      <c r="E3217" s="3" t="s">
        <v>11334</v>
      </c>
      <c r="F3217" s="3" t="s">
        <v>45</v>
      </c>
      <c r="G3217" s="4">
        <v>39832</v>
      </c>
      <c r="H3217" s="3" t="s">
        <v>21</v>
      </c>
      <c r="I3217" s="3" t="s">
        <v>33</v>
      </c>
      <c r="J3217" s="5">
        <v>1105514500</v>
      </c>
      <c r="K3217" s="3">
        <v>2121101</v>
      </c>
      <c r="L3217" s="3" t="s">
        <v>233</v>
      </c>
      <c r="M3217" s="3" t="s">
        <v>11335</v>
      </c>
      <c r="N3217" s="3">
        <v>1730</v>
      </c>
      <c r="O3217" s="3" t="s">
        <v>2724</v>
      </c>
      <c r="P3217" s="3" t="s">
        <v>7034</v>
      </c>
      <c r="Q3217" s="3" t="s">
        <v>7035</v>
      </c>
      <c r="R3217" s="3" t="s">
        <v>28</v>
      </c>
      <c r="S3217" s="3">
        <v>6696110</v>
      </c>
      <c r="T3217" s="3">
        <v>1137596138</v>
      </c>
      <c r="U3217" s="3" t="s">
        <v>29</v>
      </c>
    </row>
    <row r="3218" spans="1:21" ht="13.2" x14ac:dyDescent="0.25">
      <c r="A3218" s="14">
        <v>89738173000115</v>
      </c>
      <c r="B3218" s="15" t="str">
        <f t="shared" si="50"/>
        <v>89.738.173/0001-15</v>
      </c>
      <c r="C3218" s="12"/>
      <c r="D3218" s="3" t="s">
        <v>11336</v>
      </c>
      <c r="E3218" s="3" t="s">
        <v>11336</v>
      </c>
      <c r="F3218" s="3" t="s">
        <v>20</v>
      </c>
      <c r="G3218" s="4">
        <v>25224</v>
      </c>
      <c r="H3218" s="3" t="s">
        <v>94</v>
      </c>
      <c r="I3218" s="3" t="s">
        <v>33</v>
      </c>
      <c r="J3218" s="5">
        <v>100000000</v>
      </c>
      <c r="K3218" s="3">
        <v>2229301</v>
      </c>
      <c r="L3218" s="3" t="s">
        <v>1793</v>
      </c>
      <c r="M3218" s="3" t="s">
        <v>1865</v>
      </c>
      <c r="N3218" s="3">
        <v>8885</v>
      </c>
      <c r="P3218" s="3" t="s">
        <v>2338</v>
      </c>
      <c r="Q3218" s="3" t="s">
        <v>1868</v>
      </c>
      <c r="R3218" s="3" t="s">
        <v>53</v>
      </c>
      <c r="S3218" s="3">
        <v>93270010</v>
      </c>
      <c r="T3218" s="3">
        <v>5134739536</v>
      </c>
      <c r="U3218" s="3" t="s">
        <v>29</v>
      </c>
    </row>
    <row r="3219" spans="1:21" ht="13.2" x14ac:dyDescent="0.25">
      <c r="A3219" s="14">
        <v>14885385000126</v>
      </c>
      <c r="B3219" s="15" t="str">
        <f t="shared" si="50"/>
        <v>14.885.385/0001-26</v>
      </c>
      <c r="C3219" s="12"/>
      <c r="D3219" s="3" t="s">
        <v>11337</v>
      </c>
      <c r="E3219" s="3" t="s">
        <v>11337</v>
      </c>
      <c r="F3219" s="3" t="s">
        <v>20</v>
      </c>
      <c r="G3219" s="4">
        <v>40914</v>
      </c>
      <c r="H3219" s="3" t="s">
        <v>21</v>
      </c>
      <c r="I3219" s="3" t="s">
        <v>33</v>
      </c>
      <c r="J3219" s="5">
        <v>8100000</v>
      </c>
      <c r="K3219" s="3">
        <v>4110700</v>
      </c>
      <c r="L3219" s="3" t="s">
        <v>4133</v>
      </c>
      <c r="M3219" s="3" t="s">
        <v>11338</v>
      </c>
      <c r="N3219" s="3">
        <v>2009</v>
      </c>
      <c r="O3219" s="3" t="s">
        <v>9225</v>
      </c>
      <c r="P3219" s="3" t="s">
        <v>11339</v>
      </c>
      <c r="Q3219" s="3" t="s">
        <v>567</v>
      </c>
      <c r="R3219" s="3" t="s">
        <v>28</v>
      </c>
      <c r="S3219" s="3">
        <v>13214660</v>
      </c>
      <c r="T3219" s="3">
        <v>1145318100</v>
      </c>
      <c r="U3219" s="3" t="s">
        <v>29</v>
      </c>
    </row>
    <row r="3220" spans="1:21" ht="13.2" x14ac:dyDescent="0.25">
      <c r="A3220" s="14">
        <v>83845701000159</v>
      </c>
      <c r="B3220" s="15" t="str">
        <f t="shared" si="50"/>
        <v>83.845.701/0001-59</v>
      </c>
      <c r="C3220" s="12"/>
      <c r="D3220" s="3" t="s">
        <v>11340</v>
      </c>
      <c r="E3220" s="3" t="s">
        <v>11341</v>
      </c>
      <c r="F3220" s="3" t="s">
        <v>20</v>
      </c>
      <c r="G3220" s="4">
        <v>29278</v>
      </c>
      <c r="H3220" s="3" t="s">
        <v>6296</v>
      </c>
      <c r="I3220" s="3" t="s">
        <v>33</v>
      </c>
      <c r="J3220" s="5">
        <v>0</v>
      </c>
      <c r="K3220" s="3">
        <v>8423000</v>
      </c>
      <c r="L3220" s="3" t="s">
        <v>6297</v>
      </c>
      <c r="M3220" s="3" t="s">
        <v>11342</v>
      </c>
      <c r="N3220" s="3">
        <v>208</v>
      </c>
      <c r="P3220" s="3" t="s">
        <v>70</v>
      </c>
      <c r="Q3220" s="3" t="s">
        <v>107</v>
      </c>
      <c r="R3220" s="3" t="s">
        <v>91</v>
      </c>
      <c r="S3220" s="3">
        <v>88020901</v>
      </c>
      <c r="T3220" s="3">
        <v>4832871000</v>
      </c>
      <c r="U3220" s="3" t="s">
        <v>29</v>
      </c>
    </row>
    <row r="3221" spans="1:21" ht="13.2" x14ac:dyDescent="0.25">
      <c r="A3221" s="14">
        <v>26748019000104</v>
      </c>
      <c r="B3221" s="15" t="str">
        <f t="shared" si="50"/>
        <v>26.748.019/0001-04</v>
      </c>
      <c r="C3221" s="12"/>
      <c r="D3221" s="3" t="s">
        <v>11343</v>
      </c>
      <c r="E3221" s="3" t="s">
        <v>11343</v>
      </c>
      <c r="F3221" s="3" t="s">
        <v>20</v>
      </c>
      <c r="G3221" s="4">
        <v>42725</v>
      </c>
      <c r="H3221" s="3" t="s">
        <v>21</v>
      </c>
      <c r="I3221" s="3" t="s">
        <v>33</v>
      </c>
      <c r="J3221" s="5">
        <v>87032470</v>
      </c>
      <c r="K3221" s="3">
        <v>2930101</v>
      </c>
      <c r="L3221" s="3" t="s">
        <v>856</v>
      </c>
      <c r="M3221" s="3" t="s">
        <v>11344</v>
      </c>
      <c r="N3221" s="3">
        <v>925</v>
      </c>
      <c r="P3221" s="3" t="s">
        <v>153</v>
      </c>
      <c r="Q3221" s="3" t="s">
        <v>2187</v>
      </c>
      <c r="R3221" s="3" t="s">
        <v>28</v>
      </c>
      <c r="S3221" s="3">
        <v>13877757</v>
      </c>
      <c r="T3221" s="3">
        <v>1936362100</v>
      </c>
      <c r="U3221" s="3" t="s">
        <v>29</v>
      </c>
    </row>
    <row r="3222" spans="1:21" ht="13.2" x14ac:dyDescent="0.25">
      <c r="A3222" s="14">
        <v>20385734000143</v>
      </c>
      <c r="B3222" s="15" t="str">
        <f t="shared" si="50"/>
        <v>20.385.734/0001-43</v>
      </c>
      <c r="C3222" s="12"/>
      <c r="D3222" s="3" t="s">
        <v>11345</v>
      </c>
      <c r="E3222" s="3" t="s">
        <v>11346</v>
      </c>
      <c r="F3222" s="3" t="s">
        <v>20</v>
      </c>
      <c r="G3222" s="4">
        <v>41794</v>
      </c>
      <c r="H3222" s="3" t="s">
        <v>21</v>
      </c>
      <c r="I3222" s="3" t="s">
        <v>47</v>
      </c>
      <c r="J3222" s="5">
        <v>236000</v>
      </c>
      <c r="K3222" s="3">
        <v>7732202</v>
      </c>
      <c r="L3222" s="3" t="s">
        <v>11347</v>
      </c>
      <c r="M3222" s="3" t="s">
        <v>11348</v>
      </c>
      <c r="N3222" s="3">
        <v>102</v>
      </c>
      <c r="P3222" s="3" t="s">
        <v>11349</v>
      </c>
      <c r="Q3222" s="3" t="s">
        <v>4404</v>
      </c>
      <c r="R3222" s="3" t="s">
        <v>28</v>
      </c>
      <c r="S3222" s="3">
        <v>8588145</v>
      </c>
      <c r="T3222" s="3">
        <v>1197531545</v>
      </c>
      <c r="U3222" s="3" t="s">
        <v>29</v>
      </c>
    </row>
    <row r="3223" spans="1:21" ht="13.2" x14ac:dyDescent="0.25">
      <c r="A3223" s="14">
        <v>61101895000145</v>
      </c>
      <c r="B3223" s="15" t="str">
        <f t="shared" si="50"/>
        <v>61.101.895/0001-45</v>
      </c>
      <c r="C3223" s="12"/>
      <c r="D3223" s="3" t="s">
        <v>11350</v>
      </c>
      <c r="E3223" s="3" t="s">
        <v>11350</v>
      </c>
      <c r="F3223" s="3" t="s">
        <v>20</v>
      </c>
      <c r="G3223" s="4">
        <v>24538</v>
      </c>
      <c r="H3223" s="3" t="s">
        <v>94</v>
      </c>
      <c r="I3223" s="3" t="s">
        <v>33</v>
      </c>
      <c r="J3223" s="5">
        <v>6000000</v>
      </c>
      <c r="K3223" s="3">
        <v>1721400</v>
      </c>
      <c r="L3223" s="3" t="s">
        <v>820</v>
      </c>
      <c r="M3223" s="3" t="s">
        <v>11351</v>
      </c>
      <c r="N3223" s="3">
        <v>275</v>
      </c>
      <c r="P3223" s="3" t="s">
        <v>1015</v>
      </c>
      <c r="Q3223" s="3" t="s">
        <v>27</v>
      </c>
      <c r="R3223" s="3" t="s">
        <v>28</v>
      </c>
      <c r="S3223" s="3">
        <v>3630900</v>
      </c>
      <c r="T3223" s="3">
        <v>1121427886</v>
      </c>
      <c r="U3223" s="3" t="s">
        <v>29</v>
      </c>
    </row>
    <row r="3224" spans="1:21" ht="13.2" x14ac:dyDescent="0.25">
      <c r="A3224" s="14">
        <v>49474398000197</v>
      </c>
      <c r="B3224" s="15" t="str">
        <f t="shared" si="50"/>
        <v>49.474.398/0001-97</v>
      </c>
      <c r="C3224" s="12"/>
      <c r="D3224" s="3" t="s">
        <v>11352</v>
      </c>
      <c r="E3224" s="3" t="s">
        <v>11352</v>
      </c>
      <c r="F3224" s="3" t="s">
        <v>20</v>
      </c>
      <c r="G3224" s="4">
        <v>28794</v>
      </c>
      <c r="H3224" s="3" t="s">
        <v>21</v>
      </c>
      <c r="I3224" s="3" t="s">
        <v>33</v>
      </c>
      <c r="J3224" s="5">
        <v>28900000</v>
      </c>
      <c r="K3224" s="3">
        <v>4673700</v>
      </c>
      <c r="L3224" s="3" t="s">
        <v>861</v>
      </c>
      <c r="M3224" s="3" t="s">
        <v>4666</v>
      </c>
      <c r="N3224" s="3">
        <v>6800</v>
      </c>
      <c r="P3224" s="3" t="s">
        <v>11353</v>
      </c>
      <c r="Q3224" s="3" t="s">
        <v>27</v>
      </c>
      <c r="R3224" s="3" t="s">
        <v>28</v>
      </c>
      <c r="S3224" s="3">
        <v>2901000</v>
      </c>
      <c r="T3224" s="3">
        <v>1139983000</v>
      </c>
      <c r="U3224" s="3" t="s">
        <v>29</v>
      </c>
    </row>
    <row r="3225" spans="1:21" ht="13.2" x14ac:dyDescent="0.25">
      <c r="A3225" s="14">
        <v>23589959000100</v>
      </c>
      <c r="B3225" s="15" t="str">
        <f t="shared" si="50"/>
        <v>23.589.959/0001-00</v>
      </c>
      <c r="C3225" s="12"/>
      <c r="D3225" s="3" t="s">
        <v>11354</v>
      </c>
      <c r="E3225" s="3" t="s">
        <v>11354</v>
      </c>
      <c r="F3225" s="3" t="s">
        <v>20</v>
      </c>
      <c r="G3225" s="4">
        <v>42311</v>
      </c>
      <c r="H3225" s="3" t="s">
        <v>21</v>
      </c>
      <c r="I3225" s="3" t="s">
        <v>22</v>
      </c>
      <c r="J3225" s="5">
        <v>80000</v>
      </c>
      <c r="K3225" s="3">
        <v>4712100</v>
      </c>
      <c r="L3225" s="3" t="s">
        <v>3264</v>
      </c>
      <c r="M3225" s="3" t="s">
        <v>11355</v>
      </c>
      <c r="N3225" s="3">
        <v>515</v>
      </c>
      <c r="P3225" s="3" t="s">
        <v>11356</v>
      </c>
      <c r="Q3225" s="3" t="s">
        <v>11357</v>
      </c>
      <c r="R3225" s="3" t="s">
        <v>28</v>
      </c>
      <c r="S3225" s="3">
        <v>17732350</v>
      </c>
      <c r="T3225" s="3">
        <v>1433334444</v>
      </c>
      <c r="U3225" s="3" t="s">
        <v>29</v>
      </c>
    </row>
    <row r="3226" spans="1:21" ht="13.2" x14ac:dyDescent="0.25">
      <c r="A3226" s="14">
        <v>17131604000170</v>
      </c>
      <c r="B3226" s="15" t="str">
        <f t="shared" si="50"/>
        <v>17.131.604/0001-70</v>
      </c>
      <c r="C3226" s="12"/>
      <c r="D3226" s="3" t="s">
        <v>11358</v>
      </c>
      <c r="E3226" s="3" t="s">
        <v>11358</v>
      </c>
      <c r="F3226" s="3" t="s">
        <v>20</v>
      </c>
      <c r="G3226" s="4">
        <v>41138</v>
      </c>
      <c r="H3226" s="3" t="s">
        <v>21</v>
      </c>
      <c r="I3226" s="3" t="s">
        <v>22</v>
      </c>
      <c r="J3226" s="5">
        <v>90000</v>
      </c>
      <c r="K3226" s="3">
        <v>2223400</v>
      </c>
      <c r="L3226" s="3" t="s">
        <v>868</v>
      </c>
      <c r="M3226" s="3" t="s">
        <v>11359</v>
      </c>
      <c r="N3226" s="3" t="s">
        <v>11360</v>
      </c>
      <c r="P3226" s="3" t="s">
        <v>9694</v>
      </c>
      <c r="Q3226" s="3" t="s">
        <v>324</v>
      </c>
      <c r="R3226" s="3" t="s">
        <v>28</v>
      </c>
      <c r="S3226" s="3">
        <v>17031350</v>
      </c>
      <c r="T3226" s="3">
        <v>1432326797</v>
      </c>
      <c r="U3226" s="3" t="s">
        <v>29</v>
      </c>
    </row>
    <row r="3227" spans="1:21" ht="13.2" x14ac:dyDescent="0.25">
      <c r="A3227" s="14">
        <v>8980035000146</v>
      </c>
      <c r="B3227" s="15" t="str">
        <f t="shared" si="50"/>
        <v>08.980.035/0001-46</v>
      </c>
      <c r="C3227" s="12"/>
      <c r="D3227" s="3" t="s">
        <v>11361</v>
      </c>
      <c r="E3227" s="3" t="s">
        <v>11362</v>
      </c>
      <c r="F3227" s="3" t="s">
        <v>20</v>
      </c>
      <c r="G3227" s="4">
        <v>39230</v>
      </c>
      <c r="H3227" s="3" t="s">
        <v>21</v>
      </c>
      <c r="I3227" s="3" t="s">
        <v>33</v>
      </c>
      <c r="J3227" s="5">
        <v>430000</v>
      </c>
      <c r="K3227" s="3">
        <v>5620101</v>
      </c>
      <c r="L3227" s="3" t="s">
        <v>1369</v>
      </c>
      <c r="M3227" s="3" t="s">
        <v>11363</v>
      </c>
      <c r="N3227" s="3">
        <v>138</v>
      </c>
      <c r="O3227" s="3" t="s">
        <v>117</v>
      </c>
      <c r="P3227" s="3" t="s">
        <v>11364</v>
      </c>
      <c r="Q3227" s="3" t="s">
        <v>262</v>
      </c>
      <c r="R3227" s="3" t="s">
        <v>28</v>
      </c>
      <c r="S3227" s="3">
        <v>6298060</v>
      </c>
      <c r="T3227" s="3">
        <v>1126139155</v>
      </c>
      <c r="U3227" s="3" t="s">
        <v>29</v>
      </c>
    </row>
    <row r="3228" spans="1:21" ht="13.2" x14ac:dyDescent="0.25">
      <c r="A3228" s="14">
        <v>9066194000100</v>
      </c>
      <c r="B3228" s="15" t="str">
        <f t="shared" si="50"/>
        <v>09.066.194/0001-00</v>
      </c>
      <c r="C3228" s="12" t="str">
        <f>VLOOKUP(B3228,[1]Planilha1!$A:$B,2,0)</f>
        <v>Malu Montesino</v>
      </c>
      <c r="D3228" s="3" t="s">
        <v>11365</v>
      </c>
      <c r="E3228" s="3" t="s">
        <v>11366</v>
      </c>
      <c r="F3228" s="3" t="s">
        <v>20</v>
      </c>
      <c r="G3228" s="4">
        <v>39317</v>
      </c>
      <c r="H3228" s="3" t="s">
        <v>21</v>
      </c>
      <c r="I3228" s="3" t="s">
        <v>33</v>
      </c>
      <c r="J3228" s="5">
        <v>178505600</v>
      </c>
      <c r="K3228" s="3">
        <v>4662100</v>
      </c>
      <c r="L3228" s="3" t="s">
        <v>2324</v>
      </c>
      <c r="M3228" s="3" t="s">
        <v>11367</v>
      </c>
      <c r="N3228" s="3">
        <v>600</v>
      </c>
      <c r="P3228" s="3" t="s">
        <v>10226</v>
      </c>
      <c r="Q3228" s="3" t="s">
        <v>375</v>
      </c>
      <c r="R3228" s="3" t="s">
        <v>28</v>
      </c>
      <c r="S3228" s="3">
        <v>12335490</v>
      </c>
      <c r="T3228" s="3">
        <v>1239086150</v>
      </c>
      <c r="U3228" s="3" t="s">
        <v>29</v>
      </c>
    </row>
    <row r="3229" spans="1:21" ht="13.2" x14ac:dyDescent="0.25">
      <c r="A3229" s="14">
        <v>56814395000200</v>
      </c>
      <c r="B3229" s="15" t="str">
        <f t="shared" si="50"/>
        <v>56.814.395/0002-00</v>
      </c>
      <c r="C3229" s="12"/>
      <c r="D3229" s="3" t="s">
        <v>11368</v>
      </c>
      <c r="E3229" s="3" t="s">
        <v>11369</v>
      </c>
      <c r="F3229" s="3" t="s">
        <v>20</v>
      </c>
      <c r="G3229" s="4">
        <v>39356</v>
      </c>
      <c r="H3229" s="3" t="s">
        <v>21</v>
      </c>
      <c r="I3229" s="3" t="s">
        <v>33</v>
      </c>
      <c r="J3229" s="5">
        <v>44156908</v>
      </c>
      <c r="K3229" s="3">
        <v>4632001</v>
      </c>
      <c r="L3229" s="3" t="s">
        <v>7908</v>
      </c>
      <c r="M3229" s="3" t="s">
        <v>859</v>
      </c>
      <c r="N3229" s="3">
        <v>139</v>
      </c>
      <c r="P3229" s="3" t="s">
        <v>5009</v>
      </c>
      <c r="Q3229" s="3" t="s">
        <v>617</v>
      </c>
      <c r="R3229" s="3" t="s">
        <v>28</v>
      </c>
      <c r="S3229" s="3">
        <v>6413680</v>
      </c>
      <c r="T3229" s="3">
        <v>1433321400</v>
      </c>
      <c r="U3229" s="3" t="s">
        <v>29</v>
      </c>
    </row>
    <row r="3230" spans="1:21" ht="13.2" x14ac:dyDescent="0.25">
      <c r="A3230" s="14">
        <v>96291141008598</v>
      </c>
      <c r="B3230" s="15" t="str">
        <f t="shared" si="50"/>
        <v>96.291.141/0085-98</v>
      </c>
      <c r="C3230" s="12"/>
      <c r="D3230" s="3" t="s">
        <v>11370</v>
      </c>
      <c r="E3230" s="3" t="s">
        <v>11371</v>
      </c>
      <c r="F3230" s="3" t="s">
        <v>20</v>
      </c>
      <c r="G3230" s="4">
        <v>37083</v>
      </c>
      <c r="H3230" s="3" t="s">
        <v>3218</v>
      </c>
      <c r="I3230" s="3" t="s">
        <v>33</v>
      </c>
      <c r="J3230" s="5">
        <v>0</v>
      </c>
      <c r="K3230" s="3">
        <v>8411600</v>
      </c>
      <c r="L3230" s="3" t="s">
        <v>621</v>
      </c>
      <c r="M3230" s="3" t="s">
        <v>11372</v>
      </c>
      <c r="N3230" s="3">
        <v>556</v>
      </c>
      <c r="P3230" s="3" t="s">
        <v>2207</v>
      </c>
      <c r="Q3230" s="3" t="s">
        <v>27</v>
      </c>
      <c r="R3230" s="3" t="s">
        <v>28</v>
      </c>
      <c r="S3230" s="3">
        <v>2033000</v>
      </c>
      <c r="T3230" s="3">
        <v>1122210889</v>
      </c>
      <c r="U3230" s="3" t="s">
        <v>29</v>
      </c>
    </row>
    <row r="3231" spans="1:21" ht="13.2" x14ac:dyDescent="0.25">
      <c r="A3231" s="14">
        <v>96291141014300</v>
      </c>
      <c r="B3231" s="15" t="str">
        <f t="shared" si="50"/>
        <v>96.291.141/0143-00</v>
      </c>
      <c r="C3231" s="12"/>
      <c r="D3231" s="3" t="s">
        <v>11370</v>
      </c>
      <c r="E3231" s="3" t="s">
        <v>11373</v>
      </c>
      <c r="F3231" s="3" t="s">
        <v>20</v>
      </c>
      <c r="G3231" s="4">
        <v>39220</v>
      </c>
      <c r="H3231" s="3" t="s">
        <v>3218</v>
      </c>
      <c r="I3231" s="3" t="s">
        <v>33</v>
      </c>
      <c r="J3231" s="5">
        <v>0</v>
      </c>
      <c r="K3231" s="3">
        <v>8411600</v>
      </c>
      <c r="L3231" s="3" t="s">
        <v>621</v>
      </c>
      <c r="M3231" s="3" t="s">
        <v>11372</v>
      </c>
      <c r="N3231" s="3">
        <v>656</v>
      </c>
      <c r="P3231" s="3" t="s">
        <v>1093</v>
      </c>
      <c r="Q3231" s="3" t="s">
        <v>27</v>
      </c>
      <c r="R3231" s="3" t="s">
        <v>28</v>
      </c>
      <c r="S3231" s="3">
        <v>2088900</v>
      </c>
      <c r="T3231" s="3">
        <v>1169735607</v>
      </c>
      <c r="U3231" s="3" t="s">
        <v>29</v>
      </c>
    </row>
    <row r="3232" spans="1:21" ht="13.2" x14ac:dyDescent="0.25">
      <c r="A3232" s="14">
        <v>46377800007997</v>
      </c>
      <c r="B3232" s="15" t="str">
        <f t="shared" si="50"/>
        <v>46.377.800/0079-97</v>
      </c>
      <c r="C3232" s="12" t="str">
        <f>VLOOKUP(B3232,[1]Planilha1!$A:$B,2,0)</f>
        <v>Malu Montesino</v>
      </c>
      <c r="D3232" s="3" t="s">
        <v>11374</v>
      </c>
      <c r="E3232" s="3" t="s">
        <v>11375</v>
      </c>
      <c r="F3232" s="3" t="s">
        <v>45</v>
      </c>
      <c r="G3232" s="4">
        <v>35866</v>
      </c>
      <c r="H3232" s="3" t="s">
        <v>3218</v>
      </c>
      <c r="I3232" s="3" t="s">
        <v>33</v>
      </c>
      <c r="J3232" s="5">
        <v>0</v>
      </c>
      <c r="K3232" s="3">
        <v>8424800</v>
      </c>
      <c r="L3232" s="3" t="s">
        <v>4359</v>
      </c>
      <c r="M3232" s="3" t="s">
        <v>11376</v>
      </c>
      <c r="N3232" s="3">
        <v>1923</v>
      </c>
      <c r="P3232" s="3" t="s">
        <v>11377</v>
      </c>
      <c r="Q3232" s="3" t="s">
        <v>27</v>
      </c>
      <c r="R3232" s="3" t="s">
        <v>28</v>
      </c>
      <c r="S3232" s="3">
        <v>2333001</v>
      </c>
      <c r="T3232" s="3">
        <v>112046611</v>
      </c>
      <c r="U3232" s="3" t="s">
        <v>29</v>
      </c>
    </row>
    <row r="3233" spans="1:21" ht="13.2" x14ac:dyDescent="0.25">
      <c r="A3233" s="14">
        <v>46377800000127</v>
      </c>
      <c r="B3233" s="15" t="str">
        <f t="shared" si="50"/>
        <v>46.377.800/0001-27</v>
      </c>
      <c r="C3233" s="12"/>
      <c r="D3233" s="3" t="s">
        <v>11374</v>
      </c>
      <c r="E3233" s="3" t="s">
        <v>11374</v>
      </c>
      <c r="F3233" s="3" t="s">
        <v>20</v>
      </c>
      <c r="G3233" s="4">
        <v>27383</v>
      </c>
      <c r="H3233" s="3" t="s">
        <v>3218</v>
      </c>
      <c r="I3233" s="3" t="s">
        <v>33</v>
      </c>
      <c r="J3233" s="5">
        <v>0</v>
      </c>
      <c r="K3233" s="3">
        <v>8424800</v>
      </c>
      <c r="L3233" s="3" t="s">
        <v>4359</v>
      </c>
      <c r="M3233" s="3" t="s">
        <v>5425</v>
      </c>
      <c r="N3233" s="3">
        <v>39</v>
      </c>
      <c r="P3233" s="3" t="s">
        <v>70</v>
      </c>
      <c r="Q3233" s="3" t="s">
        <v>27</v>
      </c>
      <c r="R3233" s="3" t="s">
        <v>28</v>
      </c>
      <c r="S3233" s="3">
        <v>1009000</v>
      </c>
      <c r="T3233" s="3">
        <v>1132916919</v>
      </c>
      <c r="U3233" s="3" t="s">
        <v>29</v>
      </c>
    </row>
    <row r="3234" spans="1:21" ht="13.2" x14ac:dyDescent="0.25">
      <c r="A3234" s="14">
        <v>60498417001391</v>
      </c>
      <c r="B3234" s="15" t="str">
        <f t="shared" si="50"/>
        <v>60.498.417/0013-91</v>
      </c>
      <c r="C3234" s="12"/>
      <c r="D3234" s="3" t="s">
        <v>11378</v>
      </c>
      <c r="E3234" s="3" t="s">
        <v>11379</v>
      </c>
      <c r="F3234" s="3" t="s">
        <v>20</v>
      </c>
      <c r="G3234" s="4">
        <v>38513</v>
      </c>
      <c r="H3234" s="3" t="s">
        <v>3881</v>
      </c>
      <c r="I3234" s="3" t="s">
        <v>33</v>
      </c>
      <c r="J3234" s="5">
        <v>1399373700</v>
      </c>
      <c r="K3234" s="3">
        <v>8413200</v>
      </c>
      <c r="L3234" s="3" t="s">
        <v>641</v>
      </c>
      <c r="M3234" s="3" t="s">
        <v>239</v>
      </c>
      <c r="N3234" s="3">
        <v>1200</v>
      </c>
      <c r="P3234" s="3" t="s">
        <v>6265</v>
      </c>
      <c r="Q3234" s="3" t="s">
        <v>27</v>
      </c>
      <c r="R3234" s="3" t="s">
        <v>28</v>
      </c>
      <c r="S3234" s="3">
        <v>5802140</v>
      </c>
      <c r="T3234" s="3">
        <v>1131209999</v>
      </c>
      <c r="U3234" s="3" t="s">
        <v>29</v>
      </c>
    </row>
    <row r="3235" spans="1:21" ht="13.2" x14ac:dyDescent="0.25">
      <c r="A3235" s="14">
        <v>51174001000193</v>
      </c>
      <c r="B3235" s="15" t="str">
        <f t="shared" si="50"/>
        <v>51.174.001/0001-93</v>
      </c>
      <c r="C3235" s="12"/>
      <c r="D3235" s="3" t="s">
        <v>11380</v>
      </c>
      <c r="E3235" s="3" t="s">
        <v>11381</v>
      </c>
      <c r="F3235" s="3" t="s">
        <v>20</v>
      </c>
      <c r="G3235" s="4">
        <v>28933</v>
      </c>
      <c r="H3235" s="3" t="s">
        <v>6296</v>
      </c>
      <c r="I3235" s="3" t="s">
        <v>33</v>
      </c>
      <c r="J3235" s="5">
        <v>0</v>
      </c>
      <c r="K3235" s="3">
        <v>8423000</v>
      </c>
      <c r="L3235" s="3" t="s">
        <v>6297</v>
      </c>
      <c r="M3235" s="3" t="s">
        <v>11382</v>
      </c>
      <c r="N3235" s="3" t="s">
        <v>82</v>
      </c>
      <c r="P3235" s="3" t="s">
        <v>70</v>
      </c>
      <c r="Q3235" s="3" t="s">
        <v>27</v>
      </c>
      <c r="R3235" s="3" t="s">
        <v>28</v>
      </c>
      <c r="S3235" s="3">
        <v>1001000</v>
      </c>
      <c r="U3235" s="3" t="s">
        <v>29</v>
      </c>
    </row>
    <row r="3236" spans="1:21" ht="13.2" x14ac:dyDescent="0.25">
      <c r="A3236" s="14">
        <v>67945071000138</v>
      </c>
      <c r="B3236" s="15" t="str">
        <f t="shared" si="50"/>
        <v>67.945.071/0001-38</v>
      </c>
      <c r="C3236" s="12" t="str">
        <f>VLOOKUP(B3236,[1]Planilha1!$A:$B,2,0)</f>
        <v>Malu Montesino</v>
      </c>
      <c r="D3236" s="3" t="s">
        <v>11383</v>
      </c>
      <c r="E3236" s="3" t="s">
        <v>11383</v>
      </c>
      <c r="F3236" s="3" t="s">
        <v>20</v>
      </c>
      <c r="G3236" s="4">
        <v>33751</v>
      </c>
      <c r="H3236" s="3" t="s">
        <v>94</v>
      </c>
      <c r="I3236" s="3" t="s">
        <v>33</v>
      </c>
      <c r="J3236" s="5">
        <v>274208350</v>
      </c>
      <c r="K3236" s="3">
        <v>5620101</v>
      </c>
      <c r="L3236" s="3" t="s">
        <v>1369</v>
      </c>
      <c r="M3236" s="3" t="s">
        <v>11384</v>
      </c>
      <c r="N3236" s="3">
        <v>570</v>
      </c>
      <c r="O3236" s="3" t="s">
        <v>11385</v>
      </c>
      <c r="P3236" s="3" t="s">
        <v>1280</v>
      </c>
      <c r="Q3236" s="3" t="s">
        <v>65</v>
      </c>
      <c r="R3236" s="3" t="s">
        <v>28</v>
      </c>
      <c r="S3236" s="3">
        <v>13049900</v>
      </c>
      <c r="T3236" s="3">
        <v>1937384000</v>
      </c>
      <c r="U3236" s="3" t="s">
        <v>29</v>
      </c>
    </row>
    <row r="3237" spans="1:21" ht="13.2" x14ac:dyDescent="0.25">
      <c r="A3237" s="14">
        <v>2169172000119</v>
      </c>
      <c r="B3237" s="15" t="str">
        <f t="shared" si="50"/>
        <v>02.169.172/0001-19</v>
      </c>
      <c r="C3237" s="12"/>
      <c r="D3237" s="3" t="s">
        <v>11386</v>
      </c>
      <c r="E3237" s="3" t="s">
        <v>11386</v>
      </c>
      <c r="F3237" s="3" t="s">
        <v>20</v>
      </c>
      <c r="G3237" s="4">
        <v>35705</v>
      </c>
      <c r="H3237" s="3" t="s">
        <v>21</v>
      </c>
      <c r="I3237" s="3" t="s">
        <v>33</v>
      </c>
      <c r="J3237" s="5">
        <v>3000000</v>
      </c>
      <c r="K3237" s="3">
        <v>2651500</v>
      </c>
      <c r="L3237" s="3" t="s">
        <v>600</v>
      </c>
      <c r="M3237" s="3" t="s">
        <v>11387</v>
      </c>
      <c r="N3237" s="3">
        <v>150</v>
      </c>
      <c r="P3237" s="3" t="s">
        <v>2999</v>
      </c>
      <c r="Q3237" s="3" t="s">
        <v>4229</v>
      </c>
      <c r="R3237" s="3" t="s">
        <v>53</v>
      </c>
      <c r="S3237" s="3">
        <v>93210160</v>
      </c>
      <c r="T3237" s="3">
        <v>5199995827</v>
      </c>
      <c r="U3237" s="3" t="s">
        <v>29</v>
      </c>
    </row>
    <row r="3238" spans="1:21" ht="13.2" x14ac:dyDescent="0.25">
      <c r="A3238" s="14">
        <v>165251000126</v>
      </c>
      <c r="B3238" s="15" t="str">
        <f t="shared" si="50"/>
        <v>00.165.251/0001-26</v>
      </c>
      <c r="C3238" s="12"/>
      <c r="D3238" s="3" t="s">
        <v>11388</v>
      </c>
      <c r="E3238" s="3" t="s">
        <v>11389</v>
      </c>
      <c r="F3238" s="3" t="s">
        <v>20</v>
      </c>
      <c r="G3238" s="4">
        <v>34563</v>
      </c>
      <c r="H3238" s="3" t="s">
        <v>21</v>
      </c>
      <c r="I3238" s="3" t="s">
        <v>33</v>
      </c>
      <c r="J3238" s="5">
        <v>2000000</v>
      </c>
      <c r="K3238" s="3">
        <v>4789099</v>
      </c>
      <c r="L3238" s="3" t="s">
        <v>774</v>
      </c>
      <c r="M3238" s="3" t="s">
        <v>11390</v>
      </c>
      <c r="N3238" s="3">
        <v>550</v>
      </c>
      <c r="O3238" s="3" t="s">
        <v>8959</v>
      </c>
      <c r="P3238" s="3" t="s">
        <v>70</v>
      </c>
      <c r="Q3238" s="3" t="s">
        <v>119</v>
      </c>
      <c r="R3238" s="3" t="s">
        <v>28</v>
      </c>
      <c r="S3238" s="3">
        <v>6600080</v>
      </c>
      <c r="T3238" s="3">
        <v>1141993299</v>
      </c>
      <c r="U3238" s="3" t="s">
        <v>29</v>
      </c>
    </row>
    <row r="3239" spans="1:21" ht="13.2" x14ac:dyDescent="0.25">
      <c r="A3239" s="14">
        <v>12246862000188</v>
      </c>
      <c r="B3239" s="15" t="str">
        <f t="shared" si="50"/>
        <v>12.246.862/0001-88</v>
      </c>
      <c r="C3239" s="12" t="str">
        <f>VLOOKUP(B3239,[1]Planilha1!$A:$B,2,0)</f>
        <v>Mariane Nascimento</v>
      </c>
      <c r="D3239" s="3" t="s">
        <v>11391</v>
      </c>
      <c r="E3239" s="3" t="s">
        <v>11391</v>
      </c>
      <c r="F3239" s="3" t="s">
        <v>20</v>
      </c>
      <c r="G3239" s="4">
        <v>40364</v>
      </c>
      <c r="H3239" s="3" t="s">
        <v>21</v>
      </c>
      <c r="I3239" s="3" t="s">
        <v>33</v>
      </c>
      <c r="J3239" s="5">
        <v>400000</v>
      </c>
      <c r="K3239" s="3">
        <v>4773300</v>
      </c>
      <c r="L3239" s="3" t="s">
        <v>706</v>
      </c>
      <c r="M3239" s="3" t="s">
        <v>11392</v>
      </c>
      <c r="N3239" s="3">
        <v>130</v>
      </c>
      <c r="P3239" s="3" t="s">
        <v>3203</v>
      </c>
      <c r="Q3239" s="3" t="s">
        <v>204</v>
      </c>
      <c r="R3239" s="3" t="s">
        <v>187</v>
      </c>
      <c r="S3239" s="3">
        <v>81650290</v>
      </c>
      <c r="T3239" s="3">
        <v>4133326364</v>
      </c>
      <c r="U3239" s="3" t="s">
        <v>29</v>
      </c>
    </row>
    <row r="3240" spans="1:21" ht="13.2" x14ac:dyDescent="0.25">
      <c r="A3240" s="14">
        <v>11967535000152</v>
      </c>
      <c r="B3240" s="15" t="str">
        <f t="shared" si="50"/>
        <v>11.967.535/0001-52</v>
      </c>
      <c r="C3240" s="12"/>
      <c r="D3240" s="3" t="s">
        <v>11393</v>
      </c>
      <c r="E3240" s="3" t="s">
        <v>11394</v>
      </c>
      <c r="F3240" s="3" t="s">
        <v>20</v>
      </c>
      <c r="G3240" s="4">
        <v>40317</v>
      </c>
      <c r="H3240" s="3" t="s">
        <v>21</v>
      </c>
      <c r="I3240" s="3" t="s">
        <v>33</v>
      </c>
      <c r="J3240" s="5">
        <v>250000</v>
      </c>
      <c r="K3240" s="3">
        <v>8111700</v>
      </c>
      <c r="L3240" s="3" t="s">
        <v>290</v>
      </c>
      <c r="M3240" s="3" t="s">
        <v>11395</v>
      </c>
      <c r="N3240" s="3">
        <v>90</v>
      </c>
      <c r="O3240" s="3" t="s">
        <v>11396</v>
      </c>
      <c r="P3240" s="3" t="s">
        <v>70</v>
      </c>
      <c r="Q3240" s="3" t="s">
        <v>1572</v>
      </c>
      <c r="R3240" s="3" t="s">
        <v>91</v>
      </c>
      <c r="S3240" s="3">
        <v>88130110</v>
      </c>
      <c r="T3240" s="3">
        <v>4830335030</v>
      </c>
      <c r="U3240" s="3" t="s">
        <v>29</v>
      </c>
    </row>
    <row r="3241" spans="1:21" ht="13.2" x14ac:dyDescent="0.25">
      <c r="A3241" s="14">
        <v>59104901000176</v>
      </c>
      <c r="B3241" s="15" t="str">
        <f t="shared" si="50"/>
        <v>59.104.901/0001-76</v>
      </c>
      <c r="C3241" s="12"/>
      <c r="D3241" s="3" t="s">
        <v>11397</v>
      </c>
      <c r="E3241" s="3" t="s">
        <v>11397</v>
      </c>
      <c r="F3241" s="3" t="s">
        <v>20</v>
      </c>
      <c r="G3241" s="4">
        <v>24309</v>
      </c>
      <c r="H3241" s="3" t="s">
        <v>21</v>
      </c>
      <c r="I3241" s="3" t="s">
        <v>33</v>
      </c>
      <c r="J3241" s="5">
        <v>362498340</v>
      </c>
      <c r="K3241" s="3">
        <v>2920401</v>
      </c>
      <c r="L3241" s="3" t="s">
        <v>4553</v>
      </c>
      <c r="M3241" s="3" t="s">
        <v>11398</v>
      </c>
      <c r="N3241" s="3">
        <v>151</v>
      </c>
      <c r="P3241" s="3" t="s">
        <v>11399</v>
      </c>
      <c r="Q3241" s="3" t="s">
        <v>217</v>
      </c>
      <c r="R3241" s="3" t="s">
        <v>28</v>
      </c>
      <c r="S3241" s="3">
        <v>9810902</v>
      </c>
      <c r="T3241" s="3">
        <v>1143449333</v>
      </c>
      <c r="U3241" s="3" t="s">
        <v>29</v>
      </c>
    </row>
    <row r="3242" spans="1:21" ht="13.2" x14ac:dyDescent="0.25">
      <c r="A3242" s="14">
        <v>27403917000193</v>
      </c>
      <c r="B3242" s="15" t="str">
        <f t="shared" si="50"/>
        <v>27.403.917/0001-93</v>
      </c>
      <c r="C3242" s="12"/>
      <c r="D3242" s="3" t="s">
        <v>11400</v>
      </c>
      <c r="E3242" s="3" t="s">
        <v>11401</v>
      </c>
      <c r="F3242" s="3" t="s">
        <v>20</v>
      </c>
      <c r="G3242" s="4">
        <v>42822</v>
      </c>
      <c r="H3242" s="3" t="s">
        <v>21</v>
      </c>
      <c r="I3242" s="3" t="s">
        <v>22</v>
      </c>
      <c r="J3242" s="5">
        <v>93700</v>
      </c>
      <c r="K3242" s="3">
        <v>6462000</v>
      </c>
      <c r="L3242" s="3" t="s">
        <v>250</v>
      </c>
      <c r="M3242" s="3" t="s">
        <v>11402</v>
      </c>
      <c r="N3242" s="3">
        <v>1500</v>
      </c>
      <c r="O3242" s="3" t="s">
        <v>11403</v>
      </c>
      <c r="P3242" s="3" t="s">
        <v>11404</v>
      </c>
      <c r="Q3242" s="3" t="s">
        <v>52</v>
      </c>
      <c r="R3242" s="3" t="s">
        <v>53</v>
      </c>
      <c r="S3242" s="3">
        <v>93548515</v>
      </c>
      <c r="T3242" s="3">
        <v>5181240214</v>
      </c>
      <c r="U3242" s="3" t="s">
        <v>29</v>
      </c>
    </row>
    <row r="3243" spans="1:21" ht="13.2" x14ac:dyDescent="0.25">
      <c r="A3243" s="14">
        <v>62398367000162</v>
      </c>
      <c r="B3243" s="15" t="str">
        <f t="shared" si="50"/>
        <v>62.398.367/0001-62</v>
      </c>
      <c r="C3243" s="12"/>
      <c r="D3243" s="3" t="s">
        <v>11405</v>
      </c>
      <c r="E3243" s="3" t="s">
        <v>11406</v>
      </c>
      <c r="F3243" s="3" t="s">
        <v>20</v>
      </c>
      <c r="G3243" s="4">
        <v>25294</v>
      </c>
      <c r="H3243" s="3" t="s">
        <v>21</v>
      </c>
      <c r="I3243" s="3" t="s">
        <v>33</v>
      </c>
      <c r="J3243" s="5">
        <v>42146790</v>
      </c>
      <c r="K3243" s="3">
        <v>4669999</v>
      </c>
      <c r="L3243" s="3" t="s">
        <v>558</v>
      </c>
      <c r="M3243" s="3" t="s">
        <v>2209</v>
      </c>
      <c r="N3243" s="3">
        <v>1649</v>
      </c>
      <c r="O3243" s="3" t="s">
        <v>11407</v>
      </c>
      <c r="P3243" s="3" t="s">
        <v>2211</v>
      </c>
      <c r="Q3243" s="3" t="s">
        <v>27</v>
      </c>
      <c r="R3243" s="3" t="s">
        <v>28</v>
      </c>
      <c r="S3243" s="3">
        <v>4711130</v>
      </c>
      <c r="T3243" s="3">
        <v>1121655400</v>
      </c>
      <c r="U3243" s="3" t="s">
        <v>29</v>
      </c>
    </row>
    <row r="3244" spans="1:21" ht="13.2" x14ac:dyDescent="0.25">
      <c r="A3244" s="14">
        <v>5405307000196</v>
      </c>
      <c r="B3244" s="15" t="str">
        <f t="shared" si="50"/>
        <v>05.405.307/0001-96</v>
      </c>
      <c r="C3244" s="12"/>
      <c r="D3244" s="3" t="s">
        <v>11408</v>
      </c>
      <c r="E3244" s="3" t="s">
        <v>11408</v>
      </c>
      <c r="F3244" s="3" t="s">
        <v>20</v>
      </c>
      <c r="G3244" s="4">
        <v>37587</v>
      </c>
      <c r="H3244" s="3" t="s">
        <v>94</v>
      </c>
      <c r="I3244" s="3" t="s">
        <v>33</v>
      </c>
      <c r="J3244" s="5">
        <v>10000000</v>
      </c>
      <c r="K3244" s="3">
        <v>2854200</v>
      </c>
      <c r="L3244" s="3" t="s">
        <v>5124</v>
      </c>
      <c r="M3244" s="3" t="s">
        <v>11409</v>
      </c>
      <c r="N3244" s="3">
        <v>300</v>
      </c>
      <c r="P3244" s="3" t="s">
        <v>11410</v>
      </c>
      <c r="Q3244" s="3" t="s">
        <v>90</v>
      </c>
      <c r="R3244" s="3" t="s">
        <v>91</v>
      </c>
      <c r="S3244" s="3">
        <v>89265202</v>
      </c>
      <c r="T3244" s="3">
        <v>4732743100</v>
      </c>
      <c r="U3244" s="3" t="s">
        <v>29</v>
      </c>
    </row>
    <row r="3245" spans="1:21" ht="13.2" x14ac:dyDescent="0.25">
      <c r="A3245" s="14">
        <v>84693183000168</v>
      </c>
      <c r="B3245" s="15" t="str">
        <f t="shared" si="50"/>
        <v>84.693.183/0001-68</v>
      </c>
      <c r="C3245" s="12"/>
      <c r="D3245" s="3" t="s">
        <v>11411</v>
      </c>
      <c r="E3245" s="3" t="s">
        <v>11412</v>
      </c>
      <c r="F3245" s="3" t="s">
        <v>20</v>
      </c>
      <c r="G3245" s="4">
        <v>24372</v>
      </c>
      <c r="H3245" s="3" t="s">
        <v>377</v>
      </c>
      <c r="I3245" s="3" t="s">
        <v>33</v>
      </c>
      <c r="J3245" s="5">
        <v>1000000000</v>
      </c>
      <c r="K3245" s="3">
        <v>2814301</v>
      </c>
      <c r="L3245" s="3" t="s">
        <v>563</v>
      </c>
      <c r="M3245" s="3" t="s">
        <v>3586</v>
      </c>
      <c r="N3245" s="3">
        <v>6901</v>
      </c>
      <c r="P3245" s="3" t="s">
        <v>610</v>
      </c>
      <c r="Q3245" s="3" t="s">
        <v>423</v>
      </c>
      <c r="R3245" s="3" t="s">
        <v>91</v>
      </c>
      <c r="S3245" s="3">
        <v>89219530</v>
      </c>
      <c r="T3245" s="3">
        <v>4734516000</v>
      </c>
      <c r="U3245" s="3" t="s">
        <v>29</v>
      </c>
    </row>
    <row r="3246" spans="1:21" ht="13.2" x14ac:dyDescent="0.25">
      <c r="A3246" s="14">
        <v>61410841000161</v>
      </c>
      <c r="B3246" s="15" t="str">
        <f t="shared" si="50"/>
        <v>61.410.841/0001-61</v>
      </c>
      <c r="C3246" s="12" t="str">
        <f>VLOOKUP(B3246,[1]Planilha1!$A:$B,2,0)</f>
        <v>Malu Montesino</v>
      </c>
      <c r="D3246" s="3" t="s">
        <v>11413</v>
      </c>
      <c r="E3246" s="3" t="s">
        <v>11414</v>
      </c>
      <c r="F3246" s="3" t="s">
        <v>20</v>
      </c>
      <c r="G3246" s="4">
        <v>26371</v>
      </c>
      <c r="H3246" s="3" t="s">
        <v>21</v>
      </c>
      <c r="I3246" s="3" t="s">
        <v>33</v>
      </c>
      <c r="J3246" s="5">
        <v>52557200</v>
      </c>
      <c r="K3246" s="3">
        <v>2790201</v>
      </c>
      <c r="L3246" s="3" t="s">
        <v>5758</v>
      </c>
      <c r="M3246" s="3" t="s">
        <v>11415</v>
      </c>
      <c r="N3246" s="3">
        <v>2777</v>
      </c>
      <c r="P3246" s="3" t="s">
        <v>11416</v>
      </c>
      <c r="Q3246" s="3" t="s">
        <v>688</v>
      </c>
      <c r="R3246" s="3" t="s">
        <v>28</v>
      </c>
      <c r="S3246" s="3">
        <v>6713100</v>
      </c>
      <c r="T3246" s="3">
        <v>1146133227</v>
      </c>
      <c r="U3246" s="3" t="s">
        <v>29</v>
      </c>
    </row>
    <row r="3247" spans="1:21" ht="13.2" x14ac:dyDescent="0.25">
      <c r="A3247" s="14">
        <v>93185577000104</v>
      </c>
      <c r="B3247" s="15" t="str">
        <f t="shared" si="50"/>
        <v>93.185.577/0001-04</v>
      </c>
      <c r="C3247" s="12"/>
      <c r="D3247" s="3" t="s">
        <v>11417</v>
      </c>
      <c r="E3247" s="3" t="s">
        <v>11418</v>
      </c>
      <c r="F3247" s="3" t="s">
        <v>20</v>
      </c>
      <c r="G3247" s="4">
        <v>32861</v>
      </c>
      <c r="H3247" s="3" t="s">
        <v>94</v>
      </c>
      <c r="I3247" s="3" t="s">
        <v>33</v>
      </c>
      <c r="J3247" s="5">
        <v>53674690</v>
      </c>
      <c r="K3247" s="3">
        <v>2660400</v>
      </c>
      <c r="L3247" s="3" t="s">
        <v>953</v>
      </c>
      <c r="M3247" s="3" t="s">
        <v>11419</v>
      </c>
      <c r="N3247" s="3">
        <v>2121</v>
      </c>
      <c r="O3247" s="3" t="s">
        <v>11420</v>
      </c>
      <c r="P3247" s="3" t="s">
        <v>11421</v>
      </c>
      <c r="Q3247" s="3" t="s">
        <v>748</v>
      </c>
      <c r="R3247" s="3" t="s">
        <v>53</v>
      </c>
      <c r="S3247" s="3">
        <v>97030660</v>
      </c>
      <c r="T3247" s="3">
        <v>5532222738</v>
      </c>
      <c r="U3247" s="3" t="s">
        <v>29</v>
      </c>
    </row>
    <row r="3248" spans="1:21" ht="13.2" x14ac:dyDescent="0.25">
      <c r="A3248" s="14">
        <v>60586393000199</v>
      </c>
      <c r="B3248" s="15" t="str">
        <f t="shared" si="50"/>
        <v>60.586.393/0001-99</v>
      </c>
      <c r="C3248" s="12" t="str">
        <f>VLOOKUP(B3248,[1]Planilha1!$A:$B,2,0)</f>
        <v>Malu Montesino</v>
      </c>
      <c r="D3248" s="3" t="s">
        <v>11422</v>
      </c>
      <c r="E3248" s="3" t="s">
        <v>11423</v>
      </c>
      <c r="F3248" s="3" t="s">
        <v>20</v>
      </c>
      <c r="G3248" s="4">
        <v>24344</v>
      </c>
      <c r="H3248" s="3" t="s">
        <v>21</v>
      </c>
      <c r="I3248" s="3" t="s">
        <v>33</v>
      </c>
      <c r="J3248" s="5">
        <v>284914020</v>
      </c>
      <c r="K3248" s="3">
        <v>2829199</v>
      </c>
      <c r="L3248" s="3" t="s">
        <v>1514</v>
      </c>
      <c r="M3248" s="3" t="s">
        <v>5053</v>
      </c>
      <c r="N3248" s="3" t="s">
        <v>82</v>
      </c>
      <c r="O3248" s="3" t="s">
        <v>11424</v>
      </c>
      <c r="P3248" s="3" t="s">
        <v>2496</v>
      </c>
      <c r="Q3248" s="3" t="s">
        <v>2497</v>
      </c>
      <c r="R3248" s="3" t="s">
        <v>28</v>
      </c>
      <c r="S3248" s="3">
        <v>7600000</v>
      </c>
      <c r="T3248" s="3">
        <v>1144868511</v>
      </c>
      <c r="U3248" s="3" t="s">
        <v>29</v>
      </c>
    </row>
    <row r="3249" spans="1:21" ht="13.2" x14ac:dyDescent="0.25">
      <c r="A3249" s="14">
        <v>11866801000150</v>
      </c>
      <c r="B3249" s="15" t="str">
        <f t="shared" si="50"/>
        <v>11.866.801/0001-50</v>
      </c>
      <c r="C3249" s="12"/>
      <c r="D3249" s="3" t="s">
        <v>11425</v>
      </c>
      <c r="E3249" s="3" t="s">
        <v>11426</v>
      </c>
      <c r="F3249" s="3" t="s">
        <v>20</v>
      </c>
      <c r="G3249" s="4">
        <v>40296</v>
      </c>
      <c r="H3249" s="3" t="s">
        <v>21</v>
      </c>
      <c r="I3249" s="3" t="s">
        <v>33</v>
      </c>
      <c r="J3249" s="5">
        <v>1000000</v>
      </c>
      <c r="K3249" s="3">
        <v>8011101</v>
      </c>
      <c r="L3249" s="3" t="s">
        <v>943</v>
      </c>
      <c r="M3249" s="3" t="s">
        <v>11427</v>
      </c>
      <c r="N3249" s="3">
        <v>92</v>
      </c>
      <c r="P3249" s="3" t="s">
        <v>1845</v>
      </c>
      <c r="Q3249" s="3" t="s">
        <v>1846</v>
      </c>
      <c r="R3249" s="3" t="s">
        <v>1847</v>
      </c>
      <c r="S3249" s="3">
        <v>57052615</v>
      </c>
      <c r="T3249" s="3">
        <v>8233174966</v>
      </c>
      <c r="U3249" s="3" t="s">
        <v>29</v>
      </c>
    </row>
    <row r="3250" spans="1:21" ht="13.2" x14ac:dyDescent="0.25">
      <c r="A3250" s="14">
        <v>44387629000101</v>
      </c>
      <c r="B3250" s="15" t="str">
        <f t="shared" si="50"/>
        <v>44.387.629/0001-01</v>
      </c>
      <c r="C3250" s="12"/>
      <c r="D3250" s="3" t="s">
        <v>11428</v>
      </c>
      <c r="E3250" s="3" t="s">
        <v>11428</v>
      </c>
      <c r="F3250" s="3" t="s">
        <v>20</v>
      </c>
      <c r="G3250" s="4">
        <v>26277</v>
      </c>
      <c r="H3250" s="3" t="s">
        <v>21</v>
      </c>
      <c r="I3250" s="3" t="s">
        <v>33</v>
      </c>
      <c r="J3250" s="5">
        <v>30000000</v>
      </c>
      <c r="K3250" s="3">
        <v>2949299</v>
      </c>
      <c r="L3250" s="3" t="s">
        <v>1083</v>
      </c>
      <c r="M3250" s="3" t="s">
        <v>11429</v>
      </c>
      <c r="N3250" s="3">
        <v>100</v>
      </c>
      <c r="P3250" s="3" t="s">
        <v>11430</v>
      </c>
      <c r="Q3250" s="3" t="s">
        <v>471</v>
      </c>
      <c r="R3250" s="3" t="s">
        <v>28</v>
      </c>
      <c r="S3250" s="3">
        <v>9550630</v>
      </c>
      <c r="T3250" s="3">
        <v>1142249600</v>
      </c>
      <c r="U3250" s="3" t="s">
        <v>29</v>
      </c>
    </row>
    <row r="3251" spans="1:21" ht="13.2" x14ac:dyDescent="0.25">
      <c r="A3251" s="14">
        <v>12078050000170</v>
      </c>
      <c r="B3251" s="15" t="str">
        <f t="shared" si="50"/>
        <v>12.078.050/0001-70</v>
      </c>
      <c r="C3251" s="12"/>
      <c r="D3251" s="3" t="s">
        <v>11431</v>
      </c>
      <c r="E3251" s="3" t="s">
        <v>11432</v>
      </c>
      <c r="F3251" s="3" t="s">
        <v>20</v>
      </c>
      <c r="G3251" s="4">
        <v>40338</v>
      </c>
      <c r="H3251" s="3" t="s">
        <v>21</v>
      </c>
      <c r="I3251" s="3" t="s">
        <v>33</v>
      </c>
      <c r="J3251" s="5">
        <v>120000</v>
      </c>
      <c r="K3251" s="3">
        <v>2815102</v>
      </c>
      <c r="L3251" s="3" t="s">
        <v>1412</v>
      </c>
      <c r="M3251" s="3" t="s">
        <v>11433</v>
      </c>
      <c r="N3251" s="3">
        <v>139</v>
      </c>
      <c r="P3251" s="3" t="s">
        <v>11434</v>
      </c>
      <c r="Q3251" s="3" t="s">
        <v>7142</v>
      </c>
      <c r="R3251" s="3" t="s">
        <v>91</v>
      </c>
      <c r="S3251" s="3">
        <v>88868000</v>
      </c>
      <c r="T3251" s="3">
        <v>4834760975</v>
      </c>
      <c r="U3251" s="3" t="s">
        <v>29</v>
      </c>
    </row>
    <row r="3252" spans="1:21" ht="13.2" x14ac:dyDescent="0.25">
      <c r="A3252" s="14">
        <v>5617034000143</v>
      </c>
      <c r="B3252" s="15" t="str">
        <f t="shared" si="50"/>
        <v>05.617.034/0001-43</v>
      </c>
      <c r="C3252" s="12"/>
      <c r="D3252" s="3" t="s">
        <v>11435</v>
      </c>
      <c r="E3252" s="3" t="s">
        <v>11436</v>
      </c>
      <c r="F3252" s="3" t="s">
        <v>20</v>
      </c>
      <c r="G3252" s="4">
        <v>37706</v>
      </c>
      <c r="H3252" s="3" t="s">
        <v>21</v>
      </c>
      <c r="I3252" s="3" t="s">
        <v>33</v>
      </c>
      <c r="J3252" s="5">
        <v>1640000</v>
      </c>
      <c r="K3252" s="3">
        <v>4649406</v>
      </c>
      <c r="L3252" s="3" t="s">
        <v>10076</v>
      </c>
      <c r="M3252" s="3" t="s">
        <v>11437</v>
      </c>
      <c r="N3252" s="3">
        <v>198</v>
      </c>
      <c r="O3252" s="3" t="s">
        <v>2860</v>
      </c>
      <c r="P3252" s="3" t="s">
        <v>11438</v>
      </c>
      <c r="Q3252" s="3" t="s">
        <v>27</v>
      </c>
      <c r="R3252" s="3" t="s">
        <v>28</v>
      </c>
      <c r="S3252" s="3">
        <v>4464140</v>
      </c>
      <c r="T3252" s="3">
        <v>1135671289</v>
      </c>
      <c r="U3252" s="3" t="s">
        <v>29</v>
      </c>
    </row>
    <row r="3253" spans="1:21" ht="13.2" x14ac:dyDescent="0.25">
      <c r="A3253" s="14">
        <v>45703378000351</v>
      </c>
      <c r="B3253" s="15" t="str">
        <f t="shared" si="50"/>
        <v>45.703.378/0003-51</v>
      </c>
      <c r="C3253" s="12" t="str">
        <f>VLOOKUP(B3253,[1]Planilha1!$A:$B,2,0)</f>
        <v>Malu Montesino</v>
      </c>
      <c r="D3253" s="3" t="s">
        <v>11439</v>
      </c>
      <c r="E3253" s="3" t="s">
        <v>11439</v>
      </c>
      <c r="F3253" s="3" t="s">
        <v>20</v>
      </c>
      <c r="G3253" s="4">
        <v>45272</v>
      </c>
      <c r="H3253" s="3" t="s">
        <v>21</v>
      </c>
      <c r="I3253" s="3" t="s">
        <v>33</v>
      </c>
      <c r="J3253" s="5">
        <v>500000</v>
      </c>
      <c r="K3253" s="3">
        <v>4751201</v>
      </c>
      <c r="L3253" s="3" t="s">
        <v>23</v>
      </c>
      <c r="M3253" s="3" t="s">
        <v>2999</v>
      </c>
      <c r="N3253" s="3">
        <v>671</v>
      </c>
      <c r="O3253" s="3" t="s">
        <v>11440</v>
      </c>
      <c r="P3253" s="3" t="s">
        <v>11441</v>
      </c>
      <c r="Q3253" s="3" t="s">
        <v>476</v>
      </c>
      <c r="R3253" s="3" t="s">
        <v>100</v>
      </c>
      <c r="S3253" s="3">
        <v>30112021</v>
      </c>
      <c r="T3253" s="3">
        <v>1156332855</v>
      </c>
      <c r="U3253" s="3" t="s">
        <v>29</v>
      </c>
    </row>
    <row r="3254" spans="1:21" ht="13.2" x14ac:dyDescent="0.25">
      <c r="A3254" s="14">
        <v>18127028000150</v>
      </c>
      <c r="B3254" s="15" t="str">
        <f t="shared" si="50"/>
        <v>18.127.028/0001-50</v>
      </c>
      <c r="C3254" s="12"/>
      <c r="D3254" s="3" t="s">
        <v>11442</v>
      </c>
      <c r="E3254" s="3" t="s">
        <v>11442</v>
      </c>
      <c r="F3254" s="3" t="s">
        <v>20</v>
      </c>
      <c r="G3254" s="4">
        <v>41410</v>
      </c>
      <c r="H3254" s="3" t="s">
        <v>21</v>
      </c>
      <c r="I3254" s="3" t="s">
        <v>33</v>
      </c>
      <c r="J3254" s="5">
        <v>115000</v>
      </c>
      <c r="K3254" s="3">
        <v>2813500</v>
      </c>
      <c r="L3254" s="3" t="s">
        <v>1383</v>
      </c>
      <c r="M3254" s="3" t="s">
        <v>11443</v>
      </c>
      <c r="N3254" s="3">
        <v>480</v>
      </c>
      <c r="O3254" s="3" t="s">
        <v>11444</v>
      </c>
      <c r="P3254" s="3" t="s">
        <v>11445</v>
      </c>
      <c r="Q3254" s="3" t="s">
        <v>4978</v>
      </c>
      <c r="R3254" s="3" t="s">
        <v>28</v>
      </c>
      <c r="S3254" s="3">
        <v>13602062</v>
      </c>
      <c r="T3254" s="3">
        <v>1935417580</v>
      </c>
      <c r="U3254" s="3" t="s">
        <v>29</v>
      </c>
    </row>
    <row r="3255" spans="1:21" ht="13.2" x14ac:dyDescent="0.25">
      <c r="A3255" s="14">
        <v>2914460000150</v>
      </c>
      <c r="B3255" s="15" t="str">
        <f t="shared" si="50"/>
        <v>02.914.460/0001-50</v>
      </c>
      <c r="C3255" s="12" t="str">
        <f>VLOOKUP(B3255,[1]Planilha1!$A:$B,2,0)</f>
        <v>Malu Montesino</v>
      </c>
      <c r="D3255" s="3" t="s">
        <v>11446</v>
      </c>
      <c r="E3255" s="3" t="s">
        <v>11446</v>
      </c>
      <c r="F3255" s="3" t="s">
        <v>20</v>
      </c>
      <c r="G3255" s="4">
        <v>36157</v>
      </c>
      <c r="H3255" s="3" t="s">
        <v>21</v>
      </c>
      <c r="I3255" s="3" t="s">
        <v>33</v>
      </c>
      <c r="J3255" s="5">
        <v>16199225000</v>
      </c>
      <c r="K3255" s="3">
        <v>4634601</v>
      </c>
      <c r="L3255" s="3" t="s">
        <v>11447</v>
      </c>
      <c r="M3255" s="3" t="s">
        <v>2015</v>
      </c>
      <c r="N3255" s="3">
        <v>658</v>
      </c>
      <c r="O3255" s="3" t="s">
        <v>11448</v>
      </c>
      <c r="P3255" s="3" t="s">
        <v>1480</v>
      </c>
      <c r="Q3255" s="3" t="s">
        <v>2287</v>
      </c>
      <c r="R3255" s="3" t="s">
        <v>91</v>
      </c>
      <c r="S3255" s="3">
        <v>88305100</v>
      </c>
      <c r="T3255" s="3">
        <v>4733447424</v>
      </c>
      <c r="U3255" s="3" t="s">
        <v>29</v>
      </c>
    </row>
    <row r="3256" spans="1:21" ht="13.2" x14ac:dyDescent="0.25">
      <c r="A3256" s="14">
        <v>9196745000142</v>
      </c>
      <c r="B3256" s="15" t="str">
        <f t="shared" si="50"/>
        <v>09.196.745/0001-42</v>
      </c>
      <c r="C3256" s="12"/>
      <c r="D3256" s="3" t="s">
        <v>11449</v>
      </c>
      <c r="E3256" s="3" t="s">
        <v>11450</v>
      </c>
      <c r="F3256" s="3" t="s">
        <v>20</v>
      </c>
      <c r="G3256" s="4">
        <v>39405</v>
      </c>
      <c r="H3256" s="3" t="s">
        <v>21</v>
      </c>
      <c r="I3256" s="3" t="s">
        <v>22</v>
      </c>
      <c r="J3256" s="5">
        <v>500000</v>
      </c>
      <c r="K3256" s="3">
        <v>4637199</v>
      </c>
      <c r="L3256" s="3" t="s">
        <v>3409</v>
      </c>
      <c r="M3256" s="3" t="s">
        <v>11451</v>
      </c>
      <c r="N3256" s="3">
        <v>795</v>
      </c>
      <c r="P3256" s="3" t="s">
        <v>11452</v>
      </c>
      <c r="Q3256" s="3" t="s">
        <v>536</v>
      </c>
      <c r="R3256" s="3" t="s">
        <v>91</v>
      </c>
      <c r="S3256" s="3">
        <v>88106470</v>
      </c>
      <c r="T3256" s="3">
        <v>4830357175</v>
      </c>
      <c r="U3256" s="3" t="s">
        <v>29</v>
      </c>
    </row>
    <row r="3257" spans="1:21" ht="13.2" x14ac:dyDescent="0.25">
      <c r="A3257" s="14">
        <v>10812385000145</v>
      </c>
      <c r="B3257" s="15" t="str">
        <f t="shared" si="50"/>
        <v>10.812.385/0001-45</v>
      </c>
      <c r="C3257" s="12"/>
      <c r="D3257" s="3" t="s">
        <v>11453</v>
      </c>
      <c r="E3257" s="3" t="s">
        <v>11454</v>
      </c>
      <c r="F3257" s="3" t="s">
        <v>20</v>
      </c>
      <c r="G3257" s="4">
        <v>39906</v>
      </c>
      <c r="H3257" s="3" t="s">
        <v>21</v>
      </c>
      <c r="I3257" s="3" t="s">
        <v>47</v>
      </c>
      <c r="J3257" s="5">
        <v>5000</v>
      </c>
      <c r="K3257" s="3">
        <v>8230001</v>
      </c>
      <c r="L3257" s="3" t="s">
        <v>2141</v>
      </c>
      <c r="M3257" s="3" t="s">
        <v>11455</v>
      </c>
      <c r="N3257" s="3">
        <v>373</v>
      </c>
      <c r="O3257" s="3" t="s">
        <v>11456</v>
      </c>
      <c r="P3257" s="3" t="s">
        <v>70</v>
      </c>
      <c r="Q3257" s="3" t="s">
        <v>357</v>
      </c>
      <c r="R3257" s="3" t="s">
        <v>28</v>
      </c>
      <c r="S3257" s="3">
        <v>7095005</v>
      </c>
      <c r="T3257" s="3">
        <v>1170751655</v>
      </c>
      <c r="U3257" s="3" t="s">
        <v>29</v>
      </c>
    </row>
    <row r="3258" spans="1:21" ht="13.2" x14ac:dyDescent="0.25">
      <c r="A3258" s="14">
        <v>38231896000192</v>
      </c>
      <c r="B3258" s="15" t="str">
        <f t="shared" si="50"/>
        <v>38.231.896/0001-92</v>
      </c>
      <c r="C3258" s="12"/>
      <c r="D3258" s="3" t="s">
        <v>11457</v>
      </c>
      <c r="E3258" s="3" t="s">
        <v>11458</v>
      </c>
      <c r="F3258" s="3" t="s">
        <v>20</v>
      </c>
      <c r="G3258" s="4">
        <v>44069</v>
      </c>
      <c r="H3258" s="3" t="s">
        <v>21</v>
      </c>
      <c r="I3258" s="3" t="s">
        <v>47</v>
      </c>
      <c r="J3258" s="5">
        <v>100000</v>
      </c>
      <c r="K3258" s="3">
        <v>7120100</v>
      </c>
      <c r="L3258" s="3" t="s">
        <v>2807</v>
      </c>
      <c r="M3258" s="3" t="s">
        <v>11459</v>
      </c>
      <c r="N3258" s="3">
        <v>44</v>
      </c>
      <c r="O3258" s="3" t="s">
        <v>8394</v>
      </c>
      <c r="P3258" s="3" t="s">
        <v>11460</v>
      </c>
      <c r="Q3258" s="3" t="s">
        <v>273</v>
      </c>
      <c r="R3258" s="3" t="s">
        <v>274</v>
      </c>
      <c r="S3258" s="3">
        <v>74343490</v>
      </c>
      <c r="T3258" s="3">
        <v>6232751272</v>
      </c>
      <c r="U3258" s="3" t="s">
        <v>29</v>
      </c>
    </row>
    <row r="3259" spans="1:21" ht="13.2" x14ac:dyDescent="0.25">
      <c r="A3259" s="14">
        <v>21753243000170</v>
      </c>
      <c r="B3259" s="15" t="str">
        <f t="shared" si="50"/>
        <v>21.753.243/0001-70</v>
      </c>
      <c r="C3259" s="12" t="str">
        <f>VLOOKUP(B3259,[1]Planilha1!$A:$B,2,0)</f>
        <v>Malu Montesino</v>
      </c>
      <c r="D3259" s="3" t="s">
        <v>11461</v>
      </c>
      <c r="E3259" s="3" t="s">
        <v>11462</v>
      </c>
      <c r="F3259" s="3" t="s">
        <v>20</v>
      </c>
      <c r="G3259" s="4">
        <v>42030</v>
      </c>
      <c r="H3259" s="3" t="s">
        <v>21</v>
      </c>
      <c r="I3259" s="3" t="s">
        <v>33</v>
      </c>
      <c r="J3259" s="5">
        <v>200000</v>
      </c>
      <c r="K3259" s="3">
        <v>4669999</v>
      </c>
      <c r="L3259" s="3" t="s">
        <v>558</v>
      </c>
      <c r="M3259" s="3" t="s">
        <v>3667</v>
      </c>
      <c r="N3259" s="3">
        <v>90</v>
      </c>
      <c r="P3259" s="3" t="s">
        <v>3668</v>
      </c>
      <c r="Q3259" s="3" t="s">
        <v>27</v>
      </c>
      <c r="R3259" s="3" t="s">
        <v>28</v>
      </c>
      <c r="S3259" s="3">
        <v>5060020</v>
      </c>
      <c r="T3259" s="3">
        <v>1137146026</v>
      </c>
      <c r="U3259" s="3" t="s">
        <v>29</v>
      </c>
    </row>
    <row r="3260" spans="1:21" ht="13.2" x14ac:dyDescent="0.25">
      <c r="A3260" s="14">
        <v>51531051000180</v>
      </c>
      <c r="B3260" s="15" t="str">
        <f t="shared" si="50"/>
        <v>51.531.051/0001-80</v>
      </c>
      <c r="C3260" s="12"/>
      <c r="D3260" s="3" t="s">
        <v>11463</v>
      </c>
      <c r="E3260" s="3" t="s">
        <v>11464</v>
      </c>
      <c r="F3260" s="3" t="s">
        <v>20</v>
      </c>
      <c r="G3260" s="4">
        <v>28930</v>
      </c>
      <c r="H3260" s="3" t="s">
        <v>3218</v>
      </c>
      <c r="I3260" s="3" t="s">
        <v>33</v>
      </c>
      <c r="J3260" s="5">
        <v>0</v>
      </c>
      <c r="K3260" s="3">
        <v>8411600</v>
      </c>
      <c r="L3260" s="3" t="s">
        <v>621</v>
      </c>
      <c r="M3260" s="3" t="s">
        <v>881</v>
      </c>
      <c r="N3260" s="3">
        <v>51</v>
      </c>
      <c r="O3260" s="3" t="s">
        <v>11465</v>
      </c>
      <c r="P3260" s="3" t="s">
        <v>70</v>
      </c>
      <c r="Q3260" s="3" t="s">
        <v>27</v>
      </c>
      <c r="R3260" s="3" t="s">
        <v>28</v>
      </c>
      <c r="S3260" s="3">
        <v>1028000</v>
      </c>
      <c r="T3260" s="3">
        <v>1133398000</v>
      </c>
      <c r="U3260" s="3" t="s">
        <v>29</v>
      </c>
    </row>
    <row r="3261" spans="1:21" ht="13.2" x14ac:dyDescent="0.25">
      <c r="A3261" s="14">
        <v>46377222000129</v>
      </c>
      <c r="B3261" s="15" t="str">
        <f t="shared" si="50"/>
        <v>46.377.222/0001-29</v>
      </c>
      <c r="C3261" s="12"/>
      <c r="D3261" s="3" t="s">
        <v>11466</v>
      </c>
      <c r="E3261" s="3" t="s">
        <v>11467</v>
      </c>
      <c r="F3261" s="3" t="s">
        <v>20</v>
      </c>
      <c r="G3261" s="4">
        <v>27383</v>
      </c>
      <c r="H3261" s="3" t="s">
        <v>3218</v>
      </c>
      <c r="I3261" s="3" t="s">
        <v>33</v>
      </c>
      <c r="J3261" s="5">
        <v>0</v>
      </c>
      <c r="K3261" s="3">
        <v>8411600</v>
      </c>
      <c r="L3261" s="3" t="s">
        <v>621</v>
      </c>
      <c r="M3261" s="3" t="s">
        <v>4079</v>
      </c>
      <c r="N3261" s="3">
        <v>300</v>
      </c>
      <c r="P3261" s="3" t="s">
        <v>711</v>
      </c>
      <c r="Q3261" s="3" t="s">
        <v>27</v>
      </c>
      <c r="R3261" s="3" t="s">
        <v>28</v>
      </c>
      <c r="S3261" s="3">
        <v>1017000</v>
      </c>
      <c r="T3261" s="3">
        <v>1132433285</v>
      </c>
      <c r="U3261" s="3" t="s">
        <v>29</v>
      </c>
    </row>
    <row r="3262" spans="1:21" ht="13.2" x14ac:dyDescent="0.25">
      <c r="A3262" s="14">
        <v>46377222000390</v>
      </c>
      <c r="B3262" s="15" t="str">
        <f t="shared" si="50"/>
        <v>46.377.222/0003-90</v>
      </c>
      <c r="C3262" s="12"/>
      <c r="D3262" s="3" t="s">
        <v>11466</v>
      </c>
      <c r="E3262" s="3" t="s">
        <v>11468</v>
      </c>
      <c r="F3262" s="3" t="s">
        <v>20</v>
      </c>
      <c r="G3262" s="4">
        <v>27560</v>
      </c>
      <c r="H3262" s="3" t="s">
        <v>3218</v>
      </c>
      <c r="I3262" s="3" t="s">
        <v>33</v>
      </c>
      <c r="J3262" s="5">
        <v>0</v>
      </c>
      <c r="K3262" s="3">
        <v>8411600</v>
      </c>
      <c r="L3262" s="3" t="s">
        <v>621</v>
      </c>
      <c r="M3262" s="3" t="s">
        <v>4079</v>
      </c>
      <c r="N3262" s="3">
        <v>300</v>
      </c>
      <c r="O3262" s="3" t="s">
        <v>3438</v>
      </c>
      <c r="P3262" s="3" t="s">
        <v>711</v>
      </c>
      <c r="Q3262" s="3" t="s">
        <v>27</v>
      </c>
      <c r="R3262" s="3" t="s">
        <v>28</v>
      </c>
      <c r="S3262" s="3">
        <v>1017000</v>
      </c>
      <c r="U3262" s="3" t="s">
        <v>29</v>
      </c>
    </row>
    <row r="3263" spans="1:21" ht="13.2" x14ac:dyDescent="0.25">
      <c r="A3263" s="14">
        <v>46381000000180</v>
      </c>
      <c r="B3263" s="15" t="str">
        <f t="shared" si="50"/>
        <v>46.381.000/0001-80</v>
      </c>
      <c r="C3263" s="12"/>
      <c r="D3263" s="3" t="s">
        <v>11469</v>
      </c>
      <c r="E3263" s="3" t="s">
        <v>11469</v>
      </c>
      <c r="F3263" s="3" t="s">
        <v>20</v>
      </c>
      <c r="G3263" s="4">
        <v>27383</v>
      </c>
      <c r="H3263" s="3" t="s">
        <v>3218</v>
      </c>
      <c r="I3263" s="3" t="s">
        <v>33</v>
      </c>
      <c r="J3263" s="5">
        <v>0</v>
      </c>
      <c r="K3263" s="3">
        <v>8411600</v>
      </c>
      <c r="L3263" s="3" t="s">
        <v>621</v>
      </c>
      <c r="M3263" s="3" t="s">
        <v>11470</v>
      </c>
      <c r="N3263" s="3">
        <v>184</v>
      </c>
      <c r="P3263" s="3" t="s">
        <v>711</v>
      </c>
      <c r="Q3263" s="3" t="s">
        <v>27</v>
      </c>
      <c r="R3263" s="3" t="s">
        <v>28</v>
      </c>
      <c r="S3263" s="3">
        <v>1016040</v>
      </c>
      <c r="T3263" s="3">
        <v>1132912628</v>
      </c>
      <c r="U3263" s="3" t="s">
        <v>29</v>
      </c>
    </row>
    <row r="3264" spans="1:21" ht="13.2" x14ac:dyDescent="0.25">
      <c r="A3264" s="14">
        <v>25053117000164</v>
      </c>
      <c r="B3264" s="15" t="str">
        <f t="shared" si="50"/>
        <v>25.053.117/0001-64</v>
      </c>
      <c r="C3264" s="12"/>
      <c r="D3264" s="3" t="s">
        <v>11471</v>
      </c>
      <c r="E3264" s="3" t="s">
        <v>11471</v>
      </c>
      <c r="F3264" s="3" t="s">
        <v>20</v>
      </c>
      <c r="G3264" s="4">
        <v>32525</v>
      </c>
      <c r="H3264" s="3" t="s">
        <v>3218</v>
      </c>
      <c r="I3264" s="3" t="s">
        <v>33</v>
      </c>
      <c r="J3264" s="5">
        <v>0</v>
      </c>
      <c r="K3264" s="3">
        <v>8411600</v>
      </c>
      <c r="L3264" s="3" t="s">
        <v>621</v>
      </c>
      <c r="M3264" s="3" t="s">
        <v>11472</v>
      </c>
      <c r="N3264" s="3" t="s">
        <v>82</v>
      </c>
      <c r="P3264" s="3" t="s">
        <v>1885</v>
      </c>
      <c r="Q3264" s="3" t="s">
        <v>1886</v>
      </c>
      <c r="R3264" s="3" t="s">
        <v>1887</v>
      </c>
      <c r="S3264" s="3">
        <v>77015007</v>
      </c>
      <c r="T3264" s="3">
        <v>6332181730</v>
      </c>
      <c r="U3264" s="3" t="s">
        <v>29</v>
      </c>
    </row>
    <row r="3265" spans="1:21" ht="13.2" x14ac:dyDescent="0.25">
      <c r="A3265" s="14">
        <v>46393500000131</v>
      </c>
      <c r="B3265" s="15" t="str">
        <f t="shared" si="50"/>
        <v>46.393.500/0001-31</v>
      </c>
      <c r="C3265" s="12"/>
      <c r="D3265" s="3" t="s">
        <v>11473</v>
      </c>
      <c r="E3265" s="3" t="s">
        <v>11473</v>
      </c>
      <c r="F3265" s="3" t="s">
        <v>20</v>
      </c>
      <c r="G3265" s="4">
        <v>27383</v>
      </c>
      <c r="H3265" s="3" t="s">
        <v>3218</v>
      </c>
      <c r="I3265" s="3" t="s">
        <v>33</v>
      </c>
      <c r="J3265" s="5">
        <v>0</v>
      </c>
      <c r="K3265" s="3">
        <v>8411600</v>
      </c>
      <c r="L3265" s="3" t="s">
        <v>621</v>
      </c>
      <c r="M3265" s="3" t="s">
        <v>834</v>
      </c>
      <c r="N3265" s="3">
        <v>4500</v>
      </c>
      <c r="P3265" s="3" t="s">
        <v>834</v>
      </c>
      <c r="Q3265" s="3" t="s">
        <v>27</v>
      </c>
      <c r="R3265" s="3" t="s">
        <v>28</v>
      </c>
      <c r="S3265" s="3">
        <v>5650905</v>
      </c>
      <c r="T3265" s="3">
        <v>1121938497</v>
      </c>
      <c r="U3265" s="3" t="s">
        <v>29</v>
      </c>
    </row>
    <row r="3266" spans="1:21" ht="13.2" x14ac:dyDescent="0.25">
      <c r="A3266" s="14">
        <v>51213049000163</v>
      </c>
      <c r="B3266" s="15" t="str">
        <f t="shared" si="50"/>
        <v>51.213.049/0001-63</v>
      </c>
      <c r="C3266" s="12"/>
      <c r="D3266" s="3" t="s">
        <v>11474</v>
      </c>
      <c r="E3266" s="3" t="s">
        <v>11475</v>
      </c>
      <c r="F3266" s="3" t="s">
        <v>20</v>
      </c>
      <c r="G3266" s="4">
        <v>28930</v>
      </c>
      <c r="H3266" s="3" t="s">
        <v>3218</v>
      </c>
      <c r="I3266" s="3" t="s">
        <v>33</v>
      </c>
      <c r="J3266" s="5">
        <v>0</v>
      </c>
      <c r="K3266" s="3">
        <v>8411600</v>
      </c>
      <c r="L3266" s="3" t="s">
        <v>621</v>
      </c>
      <c r="M3266" s="3" t="s">
        <v>11476</v>
      </c>
      <c r="N3266" s="3">
        <v>82</v>
      </c>
      <c r="P3266" s="3" t="s">
        <v>11477</v>
      </c>
      <c r="Q3266" s="3" t="s">
        <v>27</v>
      </c>
      <c r="R3266" s="3" t="s">
        <v>28</v>
      </c>
      <c r="S3266" s="3">
        <v>5350000</v>
      </c>
      <c r="T3266" s="3">
        <v>1137186500</v>
      </c>
      <c r="U3266" s="3" t="s">
        <v>29</v>
      </c>
    </row>
    <row r="3267" spans="1:21" ht="13.2" x14ac:dyDescent="0.25">
      <c r="A3267" s="14">
        <v>8778284000153</v>
      </c>
      <c r="B3267" s="15" t="str">
        <f t="shared" ref="B3267:B3330" si="51">TEXT(A3267,"00\.000\.000\/0000\-00")</f>
        <v>08.778.284/0001-53</v>
      </c>
      <c r="C3267" s="12"/>
      <c r="D3267" s="3" t="s">
        <v>11478</v>
      </c>
      <c r="E3267" s="3" t="s">
        <v>11479</v>
      </c>
      <c r="F3267" s="3" t="s">
        <v>20</v>
      </c>
      <c r="G3267" s="4">
        <v>27389</v>
      </c>
      <c r="H3267" s="3" t="s">
        <v>3218</v>
      </c>
      <c r="I3267" s="3" t="s">
        <v>33</v>
      </c>
      <c r="J3267" s="5">
        <v>0</v>
      </c>
      <c r="K3267" s="3">
        <v>8424800</v>
      </c>
      <c r="L3267" s="3" t="s">
        <v>4359</v>
      </c>
      <c r="M3267" s="3" t="s">
        <v>11480</v>
      </c>
      <c r="N3267" s="3" t="s">
        <v>82</v>
      </c>
      <c r="O3267" s="3" t="s">
        <v>11481</v>
      </c>
      <c r="P3267" s="3" t="s">
        <v>10607</v>
      </c>
      <c r="Q3267" s="3" t="s">
        <v>6023</v>
      </c>
      <c r="R3267" s="3" t="s">
        <v>4623</v>
      </c>
      <c r="S3267" s="3">
        <v>58015020</v>
      </c>
      <c r="T3267" s="3">
        <v>832412580</v>
      </c>
      <c r="U3267" s="3" t="s">
        <v>29</v>
      </c>
    </row>
    <row r="3268" spans="1:21" ht="13.2" x14ac:dyDescent="0.25">
      <c r="A3268" s="14">
        <v>77998904000182</v>
      </c>
      <c r="B3268" s="15" t="str">
        <f t="shared" si="51"/>
        <v>77.998.904/0001-82</v>
      </c>
      <c r="C3268" s="12" t="str">
        <f>VLOOKUP(B3268,[1]Planilha1!$A:$B,2,0)</f>
        <v>Malu Montesino</v>
      </c>
      <c r="D3268" s="3" t="s">
        <v>11482</v>
      </c>
      <c r="E3268" s="3" t="s">
        <v>11483</v>
      </c>
      <c r="F3268" s="3" t="s">
        <v>20</v>
      </c>
      <c r="G3268" s="4">
        <v>28965</v>
      </c>
      <c r="H3268" s="3" t="s">
        <v>3218</v>
      </c>
      <c r="I3268" s="3" t="s">
        <v>33</v>
      </c>
      <c r="J3268" s="5">
        <v>0</v>
      </c>
      <c r="K3268" s="3">
        <v>8411600</v>
      </c>
      <c r="L3268" s="3" t="s">
        <v>621</v>
      </c>
      <c r="M3268" s="3" t="s">
        <v>11484</v>
      </c>
      <c r="N3268" s="3">
        <v>240</v>
      </c>
      <c r="O3268" s="3" t="s">
        <v>513</v>
      </c>
      <c r="P3268" s="3" t="s">
        <v>70</v>
      </c>
      <c r="Q3268" s="3" t="s">
        <v>204</v>
      </c>
      <c r="R3268" s="3" t="s">
        <v>187</v>
      </c>
      <c r="S3268" s="3">
        <v>80410240</v>
      </c>
      <c r="T3268" s="3">
        <v>4133214770</v>
      </c>
      <c r="U3268" s="3" t="s">
        <v>29</v>
      </c>
    </row>
    <row r="3269" spans="1:21" ht="13.2" x14ac:dyDescent="0.25">
      <c r="A3269" s="14">
        <v>8631821000138</v>
      </c>
      <c r="B3269" s="15" t="str">
        <f t="shared" si="51"/>
        <v>08.631.821/0001-38</v>
      </c>
      <c r="C3269" s="12"/>
      <c r="D3269" s="3" t="s">
        <v>11485</v>
      </c>
      <c r="E3269" s="3" t="s">
        <v>11486</v>
      </c>
      <c r="F3269" s="3" t="s">
        <v>45</v>
      </c>
      <c r="G3269" s="4">
        <v>39107</v>
      </c>
      <c r="H3269" s="3" t="s">
        <v>3218</v>
      </c>
      <c r="I3269" s="3" t="s">
        <v>33</v>
      </c>
      <c r="J3269" s="5">
        <v>0</v>
      </c>
      <c r="K3269" s="3">
        <v>8411600</v>
      </c>
      <c r="L3269" s="3" t="s">
        <v>621</v>
      </c>
      <c r="M3269" s="3" t="s">
        <v>11487</v>
      </c>
      <c r="N3269" s="3">
        <v>4143</v>
      </c>
      <c r="O3269" s="3" t="s">
        <v>11488</v>
      </c>
      <c r="P3269" s="3" t="s">
        <v>11489</v>
      </c>
      <c r="Q3269" s="3" t="s">
        <v>476</v>
      </c>
      <c r="R3269" s="3" t="s">
        <v>100</v>
      </c>
      <c r="S3269" s="3">
        <v>31630900</v>
      </c>
      <c r="T3269" s="3">
        <v>3139154752</v>
      </c>
      <c r="U3269" s="3" t="s">
        <v>29</v>
      </c>
    </row>
    <row r="3270" spans="1:21" ht="13.2" x14ac:dyDescent="0.25">
      <c r="A3270" s="14">
        <v>15829998000109</v>
      </c>
      <c r="B3270" s="15" t="str">
        <f t="shared" si="51"/>
        <v>15.829.998/0001-09</v>
      </c>
      <c r="C3270" s="12"/>
      <c r="D3270" s="3" t="s">
        <v>11490</v>
      </c>
      <c r="E3270" s="3" t="s">
        <v>11491</v>
      </c>
      <c r="F3270" s="3" t="s">
        <v>20</v>
      </c>
      <c r="G3270" s="4">
        <v>39083</v>
      </c>
      <c r="H3270" s="3" t="s">
        <v>3218</v>
      </c>
      <c r="I3270" s="3" t="s">
        <v>33</v>
      </c>
      <c r="J3270" s="5">
        <v>0</v>
      </c>
      <c r="K3270" s="3">
        <v>8411600</v>
      </c>
      <c r="L3270" s="3" t="s">
        <v>621</v>
      </c>
      <c r="M3270" s="3" t="s">
        <v>11492</v>
      </c>
      <c r="N3270" s="3">
        <v>118</v>
      </c>
      <c r="O3270" s="3" t="s">
        <v>11493</v>
      </c>
      <c r="P3270" s="3" t="s">
        <v>70</v>
      </c>
      <c r="Q3270" s="3" t="s">
        <v>253</v>
      </c>
      <c r="R3270" s="3" t="s">
        <v>78</v>
      </c>
      <c r="S3270" s="3">
        <v>20020000</v>
      </c>
      <c r="T3270" s="3">
        <v>2123333413</v>
      </c>
      <c r="U3270" s="3" t="s">
        <v>29</v>
      </c>
    </row>
    <row r="3271" spans="1:21" ht="13.2" x14ac:dyDescent="0.25">
      <c r="A3271" s="14">
        <v>66858689000106</v>
      </c>
      <c r="B3271" s="15" t="str">
        <f t="shared" si="51"/>
        <v>66.858.689/0001-06</v>
      </c>
      <c r="C3271" s="12"/>
      <c r="D3271" s="3" t="s">
        <v>11494</v>
      </c>
      <c r="E3271" s="3" t="s">
        <v>11495</v>
      </c>
      <c r="F3271" s="3" t="s">
        <v>20</v>
      </c>
      <c r="G3271" s="4">
        <v>33514</v>
      </c>
      <c r="H3271" s="3" t="s">
        <v>3218</v>
      </c>
      <c r="I3271" s="3" t="s">
        <v>33</v>
      </c>
      <c r="J3271" s="5">
        <v>0</v>
      </c>
      <c r="K3271" s="3">
        <v>8411600</v>
      </c>
      <c r="L3271" s="3" t="s">
        <v>621</v>
      </c>
      <c r="M3271" s="3" t="s">
        <v>370</v>
      </c>
      <c r="N3271" s="3">
        <v>175</v>
      </c>
      <c r="O3271" s="3" t="s">
        <v>11496</v>
      </c>
      <c r="P3271" s="3" t="s">
        <v>70</v>
      </c>
      <c r="Q3271" s="3" t="s">
        <v>27</v>
      </c>
      <c r="R3271" s="3" t="s">
        <v>28</v>
      </c>
      <c r="S3271" s="3">
        <v>1014001</v>
      </c>
      <c r="T3271" s="3">
        <v>1132912100</v>
      </c>
      <c r="U3271" s="3" t="s">
        <v>29</v>
      </c>
    </row>
    <row r="3272" spans="1:21" ht="13.2" x14ac:dyDescent="0.25">
      <c r="A3272" s="14">
        <v>56089790000188</v>
      </c>
      <c r="B3272" s="15" t="str">
        <f t="shared" si="51"/>
        <v>56.089.790/0001-88</v>
      </c>
      <c r="C3272" s="12"/>
      <c r="D3272" s="3" t="s">
        <v>11497</v>
      </c>
      <c r="E3272" s="3" t="s">
        <v>11498</v>
      </c>
      <c r="F3272" s="3" t="s">
        <v>20</v>
      </c>
      <c r="G3272" s="4">
        <v>31618</v>
      </c>
      <c r="H3272" s="3" t="s">
        <v>3218</v>
      </c>
      <c r="I3272" s="3" t="s">
        <v>33</v>
      </c>
      <c r="J3272" s="5">
        <v>0</v>
      </c>
      <c r="K3272" s="3">
        <v>8411600</v>
      </c>
      <c r="L3272" s="3" t="s">
        <v>621</v>
      </c>
      <c r="M3272" s="3" t="s">
        <v>11499</v>
      </c>
      <c r="N3272" s="3">
        <v>345</v>
      </c>
      <c r="P3272" s="3" t="s">
        <v>1688</v>
      </c>
      <c r="Q3272" s="3" t="s">
        <v>27</v>
      </c>
      <c r="R3272" s="3" t="s">
        <v>28</v>
      </c>
      <c r="S3272" s="3">
        <v>5459010</v>
      </c>
      <c r="T3272" s="3">
        <v>1131333000</v>
      </c>
      <c r="U3272" s="3" t="s">
        <v>29</v>
      </c>
    </row>
    <row r="3273" spans="1:21" ht="13.2" x14ac:dyDescent="0.25">
      <c r="A3273" s="14">
        <v>8574719000148</v>
      </c>
      <c r="B3273" s="15" t="str">
        <f t="shared" si="51"/>
        <v>08.574.719/0001-48</v>
      </c>
      <c r="C3273" s="12"/>
      <c r="D3273" s="3" t="s">
        <v>11500</v>
      </c>
      <c r="E3273" s="3" t="s">
        <v>11500</v>
      </c>
      <c r="F3273" s="3" t="s">
        <v>20</v>
      </c>
      <c r="G3273" s="4">
        <v>39083</v>
      </c>
      <c r="H3273" s="3" t="s">
        <v>3218</v>
      </c>
      <c r="I3273" s="3" t="s">
        <v>33</v>
      </c>
      <c r="J3273" s="5">
        <v>0</v>
      </c>
      <c r="K3273" s="3">
        <v>8411600</v>
      </c>
      <c r="L3273" s="3" t="s">
        <v>621</v>
      </c>
      <c r="M3273" s="3" t="s">
        <v>10445</v>
      </c>
      <c r="N3273" s="3">
        <v>254</v>
      </c>
      <c r="O3273" s="3" t="s">
        <v>4818</v>
      </c>
      <c r="P3273" s="3" t="s">
        <v>3910</v>
      </c>
      <c r="Q3273" s="3" t="s">
        <v>27</v>
      </c>
      <c r="R3273" s="3" t="s">
        <v>28</v>
      </c>
      <c r="S3273" s="3">
        <v>1037010</v>
      </c>
      <c r="T3273" s="3">
        <v>1132042852</v>
      </c>
      <c r="U3273" s="3" t="s">
        <v>29</v>
      </c>
    </row>
    <row r="3274" spans="1:21" ht="13.2" x14ac:dyDescent="0.25">
      <c r="A3274" s="14">
        <v>22713014000195</v>
      </c>
      <c r="B3274" s="15" t="str">
        <f t="shared" si="51"/>
        <v>22.713.014/0001-95</v>
      </c>
      <c r="C3274" s="12"/>
      <c r="D3274" s="3" t="s">
        <v>11501</v>
      </c>
      <c r="E3274" s="3" t="s">
        <v>11502</v>
      </c>
      <c r="F3274" s="3" t="s">
        <v>45</v>
      </c>
      <c r="G3274" s="4">
        <v>42005</v>
      </c>
      <c r="H3274" s="3" t="s">
        <v>3218</v>
      </c>
      <c r="I3274" s="3" t="s">
        <v>33</v>
      </c>
      <c r="J3274" s="5">
        <v>0</v>
      </c>
      <c r="K3274" s="3">
        <v>8411600</v>
      </c>
      <c r="L3274" s="3" t="s">
        <v>621</v>
      </c>
      <c r="M3274" s="3" t="s">
        <v>11503</v>
      </c>
      <c r="N3274" s="3">
        <v>1501</v>
      </c>
      <c r="O3274" s="3" t="s">
        <v>11504</v>
      </c>
      <c r="P3274" s="3" t="s">
        <v>11505</v>
      </c>
      <c r="Q3274" s="3" t="s">
        <v>437</v>
      </c>
      <c r="R3274" s="3" t="s">
        <v>53</v>
      </c>
      <c r="S3274" s="3">
        <v>90119900</v>
      </c>
      <c r="T3274" s="3">
        <v>5132886700</v>
      </c>
      <c r="U3274" s="3" t="s">
        <v>29</v>
      </c>
    </row>
    <row r="3275" spans="1:21" ht="13.2" x14ac:dyDescent="0.25">
      <c r="A3275" s="14">
        <v>49269236000117</v>
      </c>
      <c r="B3275" s="15" t="str">
        <f t="shared" si="51"/>
        <v>49.269.236/0001-17</v>
      </c>
      <c r="C3275" s="12"/>
      <c r="D3275" s="3" t="s">
        <v>11506</v>
      </c>
      <c r="E3275" s="3" t="s">
        <v>11507</v>
      </c>
      <c r="F3275" s="3" t="s">
        <v>20</v>
      </c>
      <c r="G3275" s="4">
        <v>28320</v>
      </c>
      <c r="H3275" s="3" t="s">
        <v>4758</v>
      </c>
      <c r="I3275" s="3" t="s">
        <v>33</v>
      </c>
      <c r="J3275" s="5">
        <v>0</v>
      </c>
      <c r="K3275" s="3">
        <v>8411600</v>
      </c>
      <c r="L3275" s="3" t="s">
        <v>621</v>
      </c>
      <c r="M3275" s="3" t="s">
        <v>4197</v>
      </c>
      <c r="N3275" s="3">
        <v>405</v>
      </c>
      <c r="O3275" s="3" t="s">
        <v>1588</v>
      </c>
      <c r="P3275" s="3" t="s">
        <v>70</v>
      </c>
      <c r="Q3275" s="3" t="s">
        <v>27</v>
      </c>
      <c r="R3275" s="3" t="s">
        <v>28</v>
      </c>
      <c r="S3275" s="3">
        <v>1011100</v>
      </c>
      <c r="T3275" s="3">
        <v>1149343000</v>
      </c>
      <c r="U3275" s="3" t="s">
        <v>29</v>
      </c>
    </row>
    <row r="3276" spans="1:21" ht="13.2" x14ac:dyDescent="0.25">
      <c r="A3276" s="14">
        <v>46392122000171</v>
      </c>
      <c r="B3276" s="15" t="str">
        <f t="shared" si="51"/>
        <v>46.392.122/0001-71</v>
      </c>
      <c r="C3276" s="12"/>
      <c r="D3276" s="3" t="s">
        <v>11508</v>
      </c>
      <c r="E3276" s="3" t="s">
        <v>11508</v>
      </c>
      <c r="F3276" s="3" t="s">
        <v>20</v>
      </c>
      <c r="G3276" s="4">
        <v>27464</v>
      </c>
      <c r="H3276" s="3" t="s">
        <v>4758</v>
      </c>
      <c r="I3276" s="3" t="s">
        <v>33</v>
      </c>
      <c r="J3276" s="5">
        <v>0</v>
      </c>
      <c r="K3276" s="3">
        <v>8411600</v>
      </c>
      <c r="L3276" s="3" t="s">
        <v>621</v>
      </c>
      <c r="M3276" s="3" t="s">
        <v>11509</v>
      </c>
      <c r="N3276" s="3">
        <v>35</v>
      </c>
      <c r="P3276" s="3" t="s">
        <v>560</v>
      </c>
      <c r="Q3276" s="3" t="s">
        <v>27</v>
      </c>
      <c r="R3276" s="3" t="s">
        <v>28</v>
      </c>
      <c r="S3276" s="3">
        <v>4075000</v>
      </c>
      <c r="T3276" s="3">
        <v>1133966414</v>
      </c>
      <c r="U3276" s="3" t="s">
        <v>29</v>
      </c>
    </row>
    <row r="3277" spans="1:21" ht="13.2" x14ac:dyDescent="0.25">
      <c r="A3277" s="14">
        <v>46392106000189</v>
      </c>
      <c r="B3277" s="15" t="str">
        <f t="shared" si="51"/>
        <v>46.392.106/0001-89</v>
      </c>
      <c r="C3277" s="12"/>
      <c r="D3277" s="3" t="s">
        <v>11510</v>
      </c>
      <c r="E3277" s="3" t="s">
        <v>11511</v>
      </c>
      <c r="F3277" s="3" t="s">
        <v>20</v>
      </c>
      <c r="G3277" s="4">
        <v>27464</v>
      </c>
      <c r="H3277" s="3" t="s">
        <v>4758</v>
      </c>
      <c r="I3277" s="3" t="s">
        <v>33</v>
      </c>
      <c r="J3277" s="5">
        <v>0</v>
      </c>
      <c r="K3277" s="3">
        <v>8411600</v>
      </c>
      <c r="L3277" s="3" t="s">
        <v>621</v>
      </c>
      <c r="M3277" s="3" t="s">
        <v>4197</v>
      </c>
      <c r="N3277" s="3">
        <v>405</v>
      </c>
      <c r="P3277" s="3" t="s">
        <v>711</v>
      </c>
      <c r="Q3277" s="3" t="s">
        <v>27</v>
      </c>
      <c r="R3277" s="3" t="s">
        <v>28</v>
      </c>
      <c r="S3277" s="3">
        <v>1011100</v>
      </c>
      <c r="T3277" s="3">
        <v>1133224750</v>
      </c>
      <c r="U3277" s="3" t="s">
        <v>29</v>
      </c>
    </row>
    <row r="3278" spans="1:21" ht="13.2" x14ac:dyDescent="0.25">
      <c r="A3278" s="14">
        <v>49145735000100</v>
      </c>
      <c r="B3278" s="15" t="str">
        <f t="shared" si="51"/>
        <v>49.145.735/0001-00</v>
      </c>
      <c r="C3278" s="12"/>
      <c r="D3278" s="3" t="s">
        <v>11512</v>
      </c>
      <c r="E3278" s="3" t="s">
        <v>11513</v>
      </c>
      <c r="F3278" s="3" t="s">
        <v>20</v>
      </c>
      <c r="G3278" s="4">
        <v>37071</v>
      </c>
      <c r="H3278" s="3" t="s">
        <v>4758</v>
      </c>
      <c r="I3278" s="3" t="s">
        <v>33</v>
      </c>
      <c r="J3278" s="5">
        <v>0</v>
      </c>
      <c r="K3278" s="3">
        <v>8412400</v>
      </c>
      <c r="L3278" s="3" t="s">
        <v>3359</v>
      </c>
      <c r="M3278" s="3" t="s">
        <v>4000</v>
      </c>
      <c r="N3278" s="3">
        <v>481</v>
      </c>
      <c r="O3278" s="3" t="s">
        <v>11514</v>
      </c>
      <c r="P3278" s="3" t="s">
        <v>2994</v>
      </c>
      <c r="Q3278" s="3" t="s">
        <v>11515</v>
      </c>
      <c r="R3278" s="3" t="s">
        <v>792</v>
      </c>
      <c r="S3278" s="3">
        <v>68515000</v>
      </c>
      <c r="T3278" s="3">
        <v>9499999999</v>
      </c>
      <c r="U3278" s="3" t="s">
        <v>29</v>
      </c>
    </row>
    <row r="3279" spans="1:21" ht="13.2" x14ac:dyDescent="0.25">
      <c r="A3279" s="14">
        <v>332087000102</v>
      </c>
      <c r="B3279" s="15" t="str">
        <f t="shared" si="51"/>
        <v>00.332.087/0001-02</v>
      </c>
      <c r="C3279" s="12"/>
      <c r="D3279" s="3" t="s">
        <v>11516</v>
      </c>
      <c r="E3279" s="3" t="s">
        <v>11516</v>
      </c>
      <c r="F3279" s="3" t="s">
        <v>20</v>
      </c>
      <c r="G3279" s="4">
        <v>34674</v>
      </c>
      <c r="H3279" s="3" t="s">
        <v>21</v>
      </c>
      <c r="I3279" s="3" t="s">
        <v>33</v>
      </c>
      <c r="J3279" s="5">
        <v>6050000</v>
      </c>
      <c r="K3279" s="3">
        <v>8011101</v>
      </c>
      <c r="L3279" s="3" t="s">
        <v>943</v>
      </c>
      <c r="M3279" s="3" t="s">
        <v>11517</v>
      </c>
      <c r="N3279" s="3">
        <v>1069</v>
      </c>
      <c r="P3279" s="3" t="s">
        <v>4157</v>
      </c>
      <c r="Q3279" s="3" t="s">
        <v>27</v>
      </c>
      <c r="R3279" s="3" t="s">
        <v>28</v>
      </c>
      <c r="S3279" s="3">
        <v>5017000</v>
      </c>
      <c r="T3279" s="3">
        <v>1839020000</v>
      </c>
      <c r="U3279" s="3" t="s">
        <v>29</v>
      </c>
    </row>
    <row r="3280" spans="1:21" ht="13.2" x14ac:dyDescent="0.25">
      <c r="A3280" s="14">
        <v>72030927000185</v>
      </c>
      <c r="B3280" s="15" t="str">
        <f t="shared" si="51"/>
        <v>72.030.927/0001-85</v>
      </c>
      <c r="C3280" s="12" t="str">
        <f>VLOOKUP(B3280,[1]Planilha1!$A:$B,2,0)</f>
        <v>Mariane Nascimento</v>
      </c>
      <c r="D3280" s="3" t="s">
        <v>11518</v>
      </c>
      <c r="E3280" s="3" t="s">
        <v>11518</v>
      </c>
      <c r="F3280" s="3" t="s">
        <v>20</v>
      </c>
      <c r="G3280" s="4">
        <v>34040</v>
      </c>
      <c r="H3280" s="3" t="s">
        <v>21</v>
      </c>
      <c r="I3280" s="3" t="s">
        <v>33</v>
      </c>
      <c r="J3280" s="5">
        <v>11500000</v>
      </c>
      <c r="K3280" s="3">
        <v>4399199</v>
      </c>
      <c r="L3280" s="3" t="s">
        <v>1180</v>
      </c>
      <c r="M3280" s="3" t="s">
        <v>3391</v>
      </c>
      <c r="N3280" s="3">
        <v>583</v>
      </c>
      <c r="O3280" s="3" t="s">
        <v>11519</v>
      </c>
      <c r="P3280" s="3" t="s">
        <v>70</v>
      </c>
      <c r="Q3280" s="3" t="s">
        <v>253</v>
      </c>
      <c r="R3280" s="3" t="s">
        <v>78</v>
      </c>
      <c r="S3280" s="3">
        <v>20071003</v>
      </c>
      <c r="T3280" s="3">
        <v>2122429606</v>
      </c>
      <c r="U3280" s="3" t="s">
        <v>29</v>
      </c>
    </row>
    <row r="3281" spans="1:21" ht="13.2" x14ac:dyDescent="0.25">
      <c r="A3281" s="14">
        <v>17449788000110</v>
      </c>
      <c r="B3281" s="15" t="str">
        <f t="shared" si="51"/>
        <v>17.449.788/0001-10</v>
      </c>
      <c r="C3281" s="12"/>
      <c r="D3281" s="3" t="s">
        <v>11520</v>
      </c>
      <c r="E3281" s="3" t="s">
        <v>11520</v>
      </c>
      <c r="F3281" s="3" t="s">
        <v>20</v>
      </c>
      <c r="G3281" s="4">
        <v>41296</v>
      </c>
      <c r="H3281" s="3" t="s">
        <v>21</v>
      </c>
      <c r="I3281" s="3" t="s">
        <v>22</v>
      </c>
      <c r="J3281" s="5">
        <v>200000</v>
      </c>
      <c r="K3281" s="3">
        <v>4679699</v>
      </c>
      <c r="L3281" s="3" t="s">
        <v>40</v>
      </c>
      <c r="M3281" s="3" t="s">
        <v>11521</v>
      </c>
      <c r="N3281" s="3">
        <v>188</v>
      </c>
      <c r="P3281" s="3" t="s">
        <v>11522</v>
      </c>
      <c r="Q3281" s="3" t="s">
        <v>971</v>
      </c>
      <c r="R3281" s="3" t="s">
        <v>100</v>
      </c>
      <c r="S3281" s="3">
        <v>37204211</v>
      </c>
      <c r="T3281" s="3">
        <v>3588559436</v>
      </c>
      <c r="U3281" s="3" t="s">
        <v>29</v>
      </c>
    </row>
    <row r="3282" spans="1:21" ht="13.2" x14ac:dyDescent="0.25">
      <c r="A3282" s="14">
        <v>35542535000179</v>
      </c>
      <c r="B3282" s="15" t="str">
        <f t="shared" si="51"/>
        <v>35.542.535/0001-79</v>
      </c>
      <c r="C3282" s="12"/>
      <c r="D3282" s="3" t="s">
        <v>11523</v>
      </c>
      <c r="E3282" s="3" t="s">
        <v>11523</v>
      </c>
      <c r="F3282" s="3" t="s">
        <v>20</v>
      </c>
      <c r="G3282" s="4">
        <v>43787</v>
      </c>
      <c r="H3282" s="3" t="s">
        <v>21</v>
      </c>
      <c r="I3282" s="3" t="s">
        <v>22</v>
      </c>
      <c r="J3282" s="5">
        <v>100000</v>
      </c>
      <c r="K3282" s="3">
        <v>6920601</v>
      </c>
      <c r="L3282" s="3" t="s">
        <v>1507</v>
      </c>
      <c r="M3282" s="3" t="s">
        <v>780</v>
      </c>
      <c r="N3282" s="3">
        <v>998</v>
      </c>
      <c r="O3282" s="3" t="s">
        <v>11524</v>
      </c>
      <c r="P3282" s="3" t="s">
        <v>11525</v>
      </c>
      <c r="Q3282" s="3" t="s">
        <v>27</v>
      </c>
      <c r="R3282" s="3" t="s">
        <v>28</v>
      </c>
      <c r="S3282" s="3">
        <v>1102000</v>
      </c>
      <c r="T3282" s="3">
        <v>1129715500</v>
      </c>
      <c r="U3282" s="3" t="s">
        <v>29</v>
      </c>
    </row>
    <row r="3283" spans="1:21" ht="13.2" x14ac:dyDescent="0.25">
      <c r="A3283" s="14">
        <v>5807475000108</v>
      </c>
      <c r="B3283" s="15" t="str">
        <f t="shared" si="51"/>
        <v>05.807.475/0001-08</v>
      </c>
      <c r="C3283" s="12"/>
      <c r="D3283" s="3" t="s">
        <v>11526</v>
      </c>
      <c r="E3283" s="3" t="s">
        <v>11527</v>
      </c>
      <c r="F3283" s="3" t="s">
        <v>20</v>
      </c>
      <c r="G3283" s="4">
        <v>37845</v>
      </c>
      <c r="H3283" s="3" t="s">
        <v>21</v>
      </c>
      <c r="I3283" s="3" t="s">
        <v>47</v>
      </c>
      <c r="J3283" s="5">
        <v>200000</v>
      </c>
      <c r="K3283" s="3">
        <v>9511800</v>
      </c>
      <c r="L3283" s="3" t="s">
        <v>8756</v>
      </c>
      <c r="M3283" s="3" t="s">
        <v>2392</v>
      </c>
      <c r="N3283" s="3">
        <v>3230</v>
      </c>
      <c r="O3283" s="3" t="s">
        <v>11528</v>
      </c>
      <c r="P3283" s="3" t="s">
        <v>11529</v>
      </c>
      <c r="Q3283" s="3" t="s">
        <v>11530</v>
      </c>
      <c r="R3283" s="3" t="s">
        <v>4623</v>
      </c>
      <c r="S3283" s="3">
        <v>58111400</v>
      </c>
      <c r="T3283" s="3">
        <v>8191855298</v>
      </c>
      <c r="U3283" s="3" t="s">
        <v>29</v>
      </c>
    </row>
    <row r="3284" spans="1:21" ht="13.2" x14ac:dyDescent="0.25">
      <c r="A3284" s="14">
        <v>4772866000171</v>
      </c>
      <c r="B3284" s="15" t="str">
        <f t="shared" si="51"/>
        <v>04.772.866/0001-71</v>
      </c>
      <c r="C3284" s="12"/>
      <c r="D3284" s="3" t="s">
        <v>11531</v>
      </c>
      <c r="E3284" s="3" t="s">
        <v>11531</v>
      </c>
      <c r="F3284" s="3" t="s">
        <v>20</v>
      </c>
      <c r="G3284" s="4">
        <v>37193</v>
      </c>
      <c r="H3284" s="3" t="s">
        <v>94</v>
      </c>
      <c r="I3284" s="3" t="s">
        <v>33</v>
      </c>
      <c r="J3284" s="5" t="s">
        <v>11532</v>
      </c>
      <c r="K3284" s="3">
        <v>6622300</v>
      </c>
      <c r="L3284" s="3" t="s">
        <v>1324</v>
      </c>
      <c r="M3284" s="3" t="s">
        <v>11533</v>
      </c>
      <c r="N3284" s="3">
        <v>160</v>
      </c>
      <c r="O3284" s="3" t="s">
        <v>11534</v>
      </c>
      <c r="P3284" s="3" t="s">
        <v>11258</v>
      </c>
      <c r="Q3284" s="3" t="s">
        <v>27</v>
      </c>
      <c r="R3284" s="3" t="s">
        <v>28</v>
      </c>
      <c r="S3284" s="3">
        <v>1221902</v>
      </c>
      <c r="T3284" s="3">
        <v>1150784840</v>
      </c>
      <c r="U3284" s="3" t="s">
        <v>29</v>
      </c>
    </row>
    <row r="3285" spans="1:21" ht="13.2" x14ac:dyDescent="0.25">
      <c r="A3285" s="14">
        <v>11933418000259</v>
      </c>
      <c r="B3285" s="15" t="str">
        <f t="shared" si="51"/>
        <v>11.933.418/0002-59</v>
      </c>
      <c r="C3285" s="12"/>
      <c r="D3285" s="3" t="s">
        <v>11535</v>
      </c>
      <c r="E3285" s="3" t="s">
        <v>11536</v>
      </c>
      <c r="F3285" s="3" t="s">
        <v>20</v>
      </c>
      <c r="G3285" s="4">
        <v>43692</v>
      </c>
      <c r="H3285" s="3" t="s">
        <v>21</v>
      </c>
      <c r="I3285" s="3" t="s">
        <v>33</v>
      </c>
      <c r="J3285" s="5">
        <v>2482000</v>
      </c>
      <c r="K3285" s="3">
        <v>8011101</v>
      </c>
      <c r="L3285" s="3" t="s">
        <v>943</v>
      </c>
      <c r="M3285" s="3" t="s">
        <v>11537</v>
      </c>
      <c r="N3285" s="3">
        <v>34</v>
      </c>
      <c r="P3285" s="3" t="s">
        <v>11538</v>
      </c>
      <c r="Q3285" s="3" t="s">
        <v>536</v>
      </c>
      <c r="R3285" s="3" t="s">
        <v>91</v>
      </c>
      <c r="S3285" s="3">
        <v>88106506</v>
      </c>
      <c r="T3285" s="3">
        <v>4130292014</v>
      </c>
      <c r="U3285" s="3" t="s">
        <v>29</v>
      </c>
    </row>
    <row r="3286" spans="1:21" ht="13.2" x14ac:dyDescent="0.25">
      <c r="A3286" s="14">
        <v>9248608000104</v>
      </c>
      <c r="B3286" s="15" t="str">
        <f t="shared" si="51"/>
        <v>09.248.608/0001-04</v>
      </c>
      <c r="C3286" s="12"/>
      <c r="D3286" s="3" t="s">
        <v>11539</v>
      </c>
      <c r="E3286" s="3" t="s">
        <v>11539</v>
      </c>
      <c r="F3286" s="3" t="s">
        <v>20</v>
      </c>
      <c r="G3286" s="4">
        <v>39426</v>
      </c>
      <c r="H3286" s="3" t="s">
        <v>94</v>
      </c>
      <c r="I3286" s="3" t="s">
        <v>33</v>
      </c>
      <c r="J3286" s="5">
        <v>15000000</v>
      </c>
      <c r="K3286" s="3">
        <v>6512000</v>
      </c>
      <c r="L3286" s="3" t="s">
        <v>6015</v>
      </c>
      <c r="M3286" s="3" t="s">
        <v>645</v>
      </c>
      <c r="N3286" s="3">
        <v>115</v>
      </c>
      <c r="O3286" s="3" t="s">
        <v>11540</v>
      </c>
      <c r="P3286" s="3" t="s">
        <v>70</v>
      </c>
      <c r="Q3286" s="3" t="s">
        <v>253</v>
      </c>
      <c r="R3286" s="3" t="s">
        <v>78</v>
      </c>
      <c r="S3286" s="3">
        <v>20040004</v>
      </c>
      <c r="T3286" s="3">
        <v>2138614600</v>
      </c>
      <c r="U3286" s="3" t="s">
        <v>29</v>
      </c>
    </row>
    <row r="3287" spans="1:21" ht="13.2" x14ac:dyDescent="0.25">
      <c r="A3287" s="14">
        <v>4108166000187</v>
      </c>
      <c r="B3287" s="15" t="str">
        <f t="shared" si="51"/>
        <v>04.108.166/0001-87</v>
      </c>
      <c r="C3287" s="12"/>
      <c r="D3287" s="3" t="s">
        <v>11541</v>
      </c>
      <c r="E3287" s="3" t="s">
        <v>11542</v>
      </c>
      <c r="F3287" s="3" t="s">
        <v>20</v>
      </c>
      <c r="G3287" s="4">
        <v>36822</v>
      </c>
      <c r="H3287" s="3" t="s">
        <v>21</v>
      </c>
      <c r="I3287" s="3" t="s">
        <v>33</v>
      </c>
      <c r="J3287" s="5">
        <v>621470</v>
      </c>
      <c r="K3287" s="3">
        <v>4663000</v>
      </c>
      <c r="L3287" s="3" t="s">
        <v>128</v>
      </c>
      <c r="M3287" s="3" t="s">
        <v>11543</v>
      </c>
      <c r="N3287" s="3">
        <v>90</v>
      </c>
      <c r="P3287" s="3" t="s">
        <v>4659</v>
      </c>
      <c r="Q3287" s="3" t="s">
        <v>27</v>
      </c>
      <c r="R3287" s="3" t="s">
        <v>28</v>
      </c>
      <c r="S3287" s="3">
        <v>2510000</v>
      </c>
      <c r="T3287" s="3">
        <v>1120767670</v>
      </c>
      <c r="U3287" s="3" t="s">
        <v>29</v>
      </c>
    </row>
    <row r="3288" spans="1:21" ht="13.2" x14ac:dyDescent="0.25">
      <c r="A3288" s="14">
        <v>14311664000186</v>
      </c>
      <c r="B3288" s="15" t="str">
        <f t="shared" si="51"/>
        <v>14.311.664/0001-86</v>
      </c>
      <c r="C3288" s="12"/>
      <c r="D3288" s="3" t="s">
        <v>11544</v>
      </c>
      <c r="E3288" s="3" t="s">
        <v>11544</v>
      </c>
      <c r="F3288" s="3" t="s">
        <v>45</v>
      </c>
      <c r="G3288" s="4">
        <v>40786</v>
      </c>
      <c r="H3288" s="3" t="s">
        <v>1329</v>
      </c>
      <c r="I3288" s="3" t="s">
        <v>22</v>
      </c>
      <c r="J3288" s="5">
        <v>78800</v>
      </c>
      <c r="K3288" s="3">
        <v>2229399</v>
      </c>
      <c r="L3288" s="3" t="s">
        <v>414</v>
      </c>
      <c r="M3288" s="3" t="s">
        <v>11545</v>
      </c>
      <c r="N3288" s="3">
        <v>689</v>
      </c>
      <c r="P3288" s="3" t="s">
        <v>11546</v>
      </c>
      <c r="Q3288" s="3" t="s">
        <v>2905</v>
      </c>
      <c r="R3288" s="3" t="s">
        <v>28</v>
      </c>
      <c r="S3288" s="3">
        <v>12946379</v>
      </c>
      <c r="T3288" s="3">
        <v>1133411771</v>
      </c>
      <c r="U3288" s="3" t="s">
        <v>29</v>
      </c>
    </row>
    <row r="3289" spans="1:21" ht="13.2" x14ac:dyDescent="0.25">
      <c r="A3289" s="14">
        <v>4088208000165</v>
      </c>
      <c r="B3289" s="15" t="str">
        <f t="shared" si="51"/>
        <v>04.088.208/0001-65</v>
      </c>
      <c r="C3289" s="12"/>
      <c r="D3289" s="3" t="s">
        <v>11547</v>
      </c>
      <c r="E3289" s="3" t="s">
        <v>11547</v>
      </c>
      <c r="F3289" s="3" t="s">
        <v>20</v>
      </c>
      <c r="G3289" s="4">
        <v>36808</v>
      </c>
      <c r="H3289" s="3" t="s">
        <v>21</v>
      </c>
      <c r="I3289" s="3" t="s">
        <v>33</v>
      </c>
      <c r="J3289" s="5">
        <v>2016348000</v>
      </c>
      <c r="K3289" s="3">
        <v>8299799</v>
      </c>
      <c r="L3289" s="3" t="s">
        <v>532</v>
      </c>
      <c r="M3289" s="3" t="s">
        <v>2281</v>
      </c>
      <c r="N3289" s="3">
        <v>7221</v>
      </c>
      <c r="O3289" s="3" t="s">
        <v>11548</v>
      </c>
      <c r="P3289" s="3" t="s">
        <v>1740</v>
      </c>
      <c r="Q3289" s="3" t="s">
        <v>27</v>
      </c>
      <c r="R3289" s="3" t="s">
        <v>28</v>
      </c>
      <c r="S3289" s="3">
        <v>5425902</v>
      </c>
      <c r="T3289" s="3">
        <v>1145732300</v>
      </c>
      <c r="U3289" s="3" t="s">
        <v>29</v>
      </c>
    </row>
    <row r="3290" spans="1:21" ht="13.2" x14ac:dyDescent="0.25">
      <c r="A3290" s="14">
        <v>9162524000153</v>
      </c>
      <c r="B3290" s="15" t="str">
        <f t="shared" si="51"/>
        <v>09.162.524/0001-53</v>
      </c>
      <c r="C3290" s="12"/>
      <c r="D3290" s="3" t="s">
        <v>11549</v>
      </c>
      <c r="E3290" s="3" t="s">
        <v>11550</v>
      </c>
      <c r="F3290" s="3" t="s">
        <v>20</v>
      </c>
      <c r="G3290" s="4">
        <v>39342</v>
      </c>
      <c r="H3290" s="3" t="s">
        <v>94</v>
      </c>
      <c r="I3290" s="3" t="s">
        <v>33</v>
      </c>
      <c r="J3290" s="5">
        <v>621809340</v>
      </c>
      <c r="K3290" s="3">
        <v>6204000</v>
      </c>
      <c r="L3290" s="3" t="s">
        <v>2081</v>
      </c>
      <c r="M3290" s="3" t="s">
        <v>3173</v>
      </c>
      <c r="N3290" s="3">
        <v>940</v>
      </c>
      <c r="O3290" s="3" t="s">
        <v>6752</v>
      </c>
      <c r="P3290" s="3" t="s">
        <v>9428</v>
      </c>
      <c r="Q3290" s="3" t="s">
        <v>27</v>
      </c>
      <c r="R3290" s="3" t="s">
        <v>28</v>
      </c>
      <c r="S3290" s="3">
        <v>4583906</v>
      </c>
      <c r="T3290" s="3">
        <v>1150822656</v>
      </c>
      <c r="U3290" s="3" t="s">
        <v>29</v>
      </c>
    </row>
    <row r="3291" spans="1:21" ht="13.2" x14ac:dyDescent="0.25">
      <c r="A3291" s="14">
        <v>12083195000160</v>
      </c>
      <c r="B3291" s="15" t="str">
        <f t="shared" si="51"/>
        <v>12.083.195/0001-60</v>
      </c>
      <c r="C3291" s="12"/>
      <c r="D3291" s="3" t="s">
        <v>11551</v>
      </c>
      <c r="E3291" s="3" t="s">
        <v>11552</v>
      </c>
      <c r="F3291" s="3" t="s">
        <v>45</v>
      </c>
      <c r="G3291" s="4">
        <v>40343</v>
      </c>
      <c r="H3291" s="3" t="s">
        <v>1329</v>
      </c>
      <c r="I3291" s="3" t="s">
        <v>22</v>
      </c>
      <c r="J3291" s="5">
        <v>1200000</v>
      </c>
      <c r="K3291" s="3">
        <v>7711000</v>
      </c>
      <c r="L3291" s="3" t="s">
        <v>2763</v>
      </c>
      <c r="M3291" s="3" t="s">
        <v>11553</v>
      </c>
      <c r="N3291" s="3">
        <v>5</v>
      </c>
      <c r="O3291" s="3" t="s">
        <v>11554</v>
      </c>
      <c r="P3291" s="3" t="s">
        <v>1885</v>
      </c>
      <c r="Q3291" s="3" t="s">
        <v>1886</v>
      </c>
      <c r="R3291" s="3" t="s">
        <v>1887</v>
      </c>
      <c r="S3291" s="3">
        <v>77023452</v>
      </c>
      <c r="T3291" s="3">
        <v>6332162917</v>
      </c>
      <c r="U3291" s="3" t="s">
        <v>29</v>
      </c>
    </row>
    <row r="3292" spans="1:21" ht="13.2" x14ac:dyDescent="0.25">
      <c r="A3292" s="14">
        <v>6057223000171</v>
      </c>
      <c r="B3292" s="15" t="str">
        <f t="shared" si="51"/>
        <v>06.057.223/0001-71</v>
      </c>
      <c r="C3292" s="12"/>
      <c r="D3292" s="3" t="s">
        <v>11555</v>
      </c>
      <c r="E3292" s="3" t="s">
        <v>11556</v>
      </c>
      <c r="F3292" s="3" t="s">
        <v>20</v>
      </c>
      <c r="G3292" s="4">
        <v>37991</v>
      </c>
      <c r="H3292" s="3" t="s">
        <v>377</v>
      </c>
      <c r="I3292" s="3" t="s">
        <v>33</v>
      </c>
      <c r="J3292" s="5">
        <v>1455782000</v>
      </c>
      <c r="K3292" s="3">
        <v>4711302</v>
      </c>
      <c r="L3292" s="3" t="s">
        <v>5150</v>
      </c>
      <c r="M3292" s="3" t="s">
        <v>11321</v>
      </c>
      <c r="N3292" s="3">
        <v>6000</v>
      </c>
      <c r="O3292" s="3" t="s">
        <v>11557</v>
      </c>
      <c r="P3292" s="3" t="s">
        <v>1136</v>
      </c>
      <c r="Q3292" s="3" t="s">
        <v>253</v>
      </c>
      <c r="R3292" s="3" t="s">
        <v>78</v>
      </c>
      <c r="S3292" s="3">
        <v>22775005</v>
      </c>
      <c r="T3292" s="3">
        <v>1134115000</v>
      </c>
      <c r="U3292" s="3" t="s">
        <v>29</v>
      </c>
    </row>
    <row r="3293" spans="1:21" ht="13.2" x14ac:dyDescent="0.25">
      <c r="A3293" s="14">
        <v>3156926000169</v>
      </c>
      <c r="B3293" s="15" t="str">
        <f t="shared" si="51"/>
        <v>03.156.926/0001-69</v>
      </c>
      <c r="C3293" s="12"/>
      <c r="D3293" s="3" t="s">
        <v>11558</v>
      </c>
      <c r="E3293" s="3" t="s">
        <v>11559</v>
      </c>
      <c r="F3293" s="3" t="s">
        <v>20</v>
      </c>
      <c r="G3293" s="4">
        <v>36298</v>
      </c>
      <c r="H3293" s="3" t="s">
        <v>1550</v>
      </c>
      <c r="I3293" s="3" t="s">
        <v>22</v>
      </c>
      <c r="J3293" s="5">
        <v>145000</v>
      </c>
      <c r="K3293" s="3">
        <v>6920602</v>
      </c>
      <c r="L3293" s="3" t="s">
        <v>1022</v>
      </c>
      <c r="M3293" s="3" t="s">
        <v>11560</v>
      </c>
      <c r="N3293" s="3">
        <v>576</v>
      </c>
      <c r="O3293" s="3" t="s">
        <v>11561</v>
      </c>
      <c r="P3293" s="3" t="s">
        <v>1288</v>
      </c>
      <c r="Q3293" s="3" t="s">
        <v>1289</v>
      </c>
      <c r="R3293" s="3" t="s">
        <v>187</v>
      </c>
      <c r="S3293" s="3">
        <v>87013250</v>
      </c>
      <c r="T3293" s="3">
        <v>4430261441</v>
      </c>
      <c r="U3293" s="3" t="s">
        <v>29</v>
      </c>
    </row>
    <row r="3294" spans="1:21" ht="13.2" x14ac:dyDescent="0.25">
      <c r="A3294" s="14">
        <v>5837046000183</v>
      </c>
      <c r="B3294" s="15" t="str">
        <f t="shared" si="51"/>
        <v>05.837.046/0001-83</v>
      </c>
      <c r="C3294" s="12" t="str">
        <f>VLOOKUP(B3294,[1]Planilha1!$A:$B,2,0)</f>
        <v>Malu Montesino</v>
      </c>
      <c r="D3294" s="3" t="s">
        <v>11562</v>
      </c>
      <c r="E3294" s="3" t="s">
        <v>11562</v>
      </c>
      <c r="F3294" s="3" t="s">
        <v>20</v>
      </c>
      <c r="G3294" s="4">
        <v>37805</v>
      </c>
      <c r="H3294" s="3" t="s">
        <v>2634</v>
      </c>
      <c r="I3294" s="3" t="s">
        <v>33</v>
      </c>
      <c r="J3294" s="5">
        <v>0</v>
      </c>
      <c r="K3294" s="3">
        <v>2833000</v>
      </c>
      <c r="L3294" s="3" t="s">
        <v>151</v>
      </c>
      <c r="M3294" s="3" t="s">
        <v>11563</v>
      </c>
      <c r="N3294" s="3">
        <v>6416</v>
      </c>
      <c r="P3294" s="3" t="s">
        <v>11564</v>
      </c>
      <c r="R3294" s="3" t="s">
        <v>2637</v>
      </c>
      <c r="U3294" s="3" t="s">
        <v>29</v>
      </c>
    </row>
    <row r="3295" spans="1:21" ht="13.2" x14ac:dyDescent="0.25">
      <c r="A3295" s="14">
        <v>82429994000120</v>
      </c>
      <c r="B3295" s="15" t="str">
        <f t="shared" si="51"/>
        <v>82.429.994/0001-20</v>
      </c>
      <c r="C3295" s="12" t="str">
        <f>VLOOKUP(B3295,[1]Planilha1!$A:$B,2,0)</f>
        <v>Malu Montesino</v>
      </c>
      <c r="D3295" s="3" t="s">
        <v>11565</v>
      </c>
      <c r="E3295" s="3" t="s">
        <v>11565</v>
      </c>
      <c r="F3295" s="3" t="s">
        <v>20</v>
      </c>
      <c r="G3295" s="4">
        <v>33290</v>
      </c>
      <c r="H3295" s="3" t="s">
        <v>21</v>
      </c>
      <c r="I3295" s="3" t="s">
        <v>22</v>
      </c>
      <c r="J3295" s="5">
        <v>30000</v>
      </c>
      <c r="K3295" s="3">
        <v>4789005</v>
      </c>
      <c r="L3295" s="3" t="s">
        <v>2831</v>
      </c>
      <c r="M3295" s="3" t="s">
        <v>11566</v>
      </c>
      <c r="N3295" s="3">
        <v>1222</v>
      </c>
      <c r="P3295" s="3" t="s">
        <v>6013</v>
      </c>
      <c r="Q3295" s="3" t="s">
        <v>1317</v>
      </c>
      <c r="R3295" s="3" t="s">
        <v>187</v>
      </c>
      <c r="S3295" s="3">
        <v>83324227</v>
      </c>
      <c r="T3295" s="3">
        <v>4133608505</v>
      </c>
      <c r="U3295" s="3" t="s">
        <v>29</v>
      </c>
    </row>
    <row r="3296" spans="1:21" ht="13.2" x14ac:dyDescent="0.25">
      <c r="A3296" s="14">
        <v>3184220000100</v>
      </c>
      <c r="B3296" s="15" t="str">
        <f t="shared" si="51"/>
        <v>03.184.220/0001-00</v>
      </c>
      <c r="C3296" s="12"/>
      <c r="D3296" s="3" t="s">
        <v>11567</v>
      </c>
      <c r="E3296" s="3" t="s">
        <v>11567</v>
      </c>
      <c r="F3296" s="3" t="s">
        <v>20</v>
      </c>
      <c r="G3296" s="4">
        <v>36285</v>
      </c>
      <c r="H3296" s="3" t="s">
        <v>21</v>
      </c>
      <c r="I3296" s="3" t="s">
        <v>33</v>
      </c>
      <c r="J3296" s="5">
        <v>25000000</v>
      </c>
      <c r="K3296" s="3">
        <v>7739099</v>
      </c>
      <c r="L3296" s="3" t="s">
        <v>669</v>
      </c>
      <c r="M3296" s="3" t="s">
        <v>518</v>
      </c>
      <c r="N3296" s="3">
        <v>33977</v>
      </c>
      <c r="O3296" s="3" t="s">
        <v>11568</v>
      </c>
      <c r="P3296" s="3" t="s">
        <v>11569</v>
      </c>
      <c r="Q3296" s="3" t="s">
        <v>253</v>
      </c>
      <c r="R3296" s="3" t="s">
        <v>78</v>
      </c>
      <c r="S3296" s="3">
        <v>21852002</v>
      </c>
      <c r="T3296" s="3">
        <v>2124015412</v>
      </c>
      <c r="U3296" s="3" t="s">
        <v>29</v>
      </c>
    </row>
    <row r="3297" spans="1:21" ht="13.2" x14ac:dyDescent="0.25">
      <c r="A3297" s="14">
        <v>14975042000152</v>
      </c>
      <c r="B3297" s="15" t="str">
        <f t="shared" si="51"/>
        <v>14.975.042/0001-52</v>
      </c>
      <c r="C3297" s="12"/>
      <c r="D3297" s="3" t="s">
        <v>11570</v>
      </c>
      <c r="E3297" s="3" t="s">
        <v>11571</v>
      </c>
      <c r="F3297" s="3" t="s">
        <v>20</v>
      </c>
      <c r="G3297" s="4">
        <v>40927</v>
      </c>
      <c r="H3297" s="3" t="s">
        <v>21</v>
      </c>
      <c r="I3297" s="3" t="s">
        <v>33</v>
      </c>
      <c r="J3297" s="5">
        <v>150000</v>
      </c>
      <c r="K3297" s="3">
        <v>6810201</v>
      </c>
      <c r="L3297" s="3" t="s">
        <v>1198</v>
      </c>
      <c r="M3297" s="3" t="s">
        <v>11572</v>
      </c>
      <c r="N3297" s="3">
        <v>145</v>
      </c>
      <c r="O3297" s="3" t="s">
        <v>11573</v>
      </c>
      <c r="P3297" s="3" t="s">
        <v>11574</v>
      </c>
      <c r="Q3297" s="3" t="s">
        <v>231</v>
      </c>
      <c r="R3297" s="3" t="s">
        <v>28</v>
      </c>
      <c r="S3297" s="3">
        <v>18017228</v>
      </c>
      <c r="T3297" s="3">
        <v>1532117782</v>
      </c>
      <c r="U3297" s="3" t="s">
        <v>29</v>
      </c>
    </row>
    <row r="3298" spans="1:21" ht="13.2" x14ac:dyDescent="0.25">
      <c r="A3298" s="14">
        <v>33168659000100</v>
      </c>
      <c r="B3298" s="15" t="str">
        <f t="shared" si="51"/>
        <v>33.168.659/0001-00</v>
      </c>
      <c r="C3298" s="12"/>
      <c r="D3298" s="3" t="s">
        <v>11575</v>
      </c>
      <c r="E3298" s="3" t="s">
        <v>11575</v>
      </c>
      <c r="F3298" s="3" t="s">
        <v>20</v>
      </c>
      <c r="G3298" s="4">
        <v>24342</v>
      </c>
      <c r="H3298" s="3" t="s">
        <v>94</v>
      </c>
      <c r="I3298" s="3" t="s">
        <v>33</v>
      </c>
      <c r="J3298" s="5">
        <v>11000000</v>
      </c>
      <c r="K3298" s="3">
        <v>7830200</v>
      </c>
      <c r="L3298" s="3" t="s">
        <v>473</v>
      </c>
      <c r="M3298" s="3" t="s">
        <v>11576</v>
      </c>
      <c r="N3298" s="3">
        <v>24</v>
      </c>
      <c r="O3298" s="3" t="s">
        <v>11577</v>
      </c>
      <c r="P3298" s="3" t="s">
        <v>70</v>
      </c>
      <c r="Q3298" s="3" t="s">
        <v>253</v>
      </c>
      <c r="R3298" s="3" t="s">
        <v>78</v>
      </c>
      <c r="S3298" s="3">
        <v>20031130</v>
      </c>
      <c r="T3298" s="3">
        <v>2122174100</v>
      </c>
      <c r="U3298" s="3" t="s">
        <v>29</v>
      </c>
    </row>
    <row r="3299" spans="1:21" ht="13.2" x14ac:dyDescent="0.25">
      <c r="A3299" s="14">
        <v>86809043000138</v>
      </c>
      <c r="B3299" s="15" t="str">
        <f t="shared" si="51"/>
        <v>86.809.043/0001-38</v>
      </c>
      <c r="C3299" s="12"/>
      <c r="D3299" s="3" t="s">
        <v>11578</v>
      </c>
      <c r="E3299" s="3" t="s">
        <v>11579</v>
      </c>
      <c r="F3299" s="3" t="s">
        <v>20</v>
      </c>
      <c r="G3299" s="4">
        <v>34395</v>
      </c>
      <c r="H3299" s="3" t="s">
        <v>3881</v>
      </c>
      <c r="I3299" s="3" t="s">
        <v>33</v>
      </c>
      <c r="J3299" s="5">
        <v>50420940</v>
      </c>
      <c r="K3299" s="3">
        <v>3520401</v>
      </c>
      <c r="L3299" s="3" t="s">
        <v>3913</v>
      </c>
      <c r="M3299" s="3" t="s">
        <v>11580</v>
      </c>
      <c r="N3299" s="3">
        <v>2482</v>
      </c>
      <c r="P3299" s="3" t="s">
        <v>11581</v>
      </c>
      <c r="Q3299" s="3" t="s">
        <v>710</v>
      </c>
      <c r="R3299" s="3" t="s">
        <v>711</v>
      </c>
      <c r="S3299" s="3">
        <v>49030640</v>
      </c>
      <c r="T3299" s="3">
        <v>7932438522</v>
      </c>
      <c r="U3299" s="3" t="s">
        <v>29</v>
      </c>
    </row>
    <row r="3300" spans="1:21" ht="13.2" x14ac:dyDescent="0.25">
      <c r="A3300" s="14">
        <v>13166970000103</v>
      </c>
      <c r="B3300" s="15" t="str">
        <f t="shared" si="51"/>
        <v>13.166.970/0001-03</v>
      </c>
      <c r="C3300" s="12"/>
      <c r="D3300" s="3" t="s">
        <v>11582</v>
      </c>
      <c r="E3300" s="3" t="s">
        <v>11583</v>
      </c>
      <c r="F3300" s="3" t="s">
        <v>20</v>
      </c>
      <c r="G3300" s="4">
        <v>28703</v>
      </c>
      <c r="H3300" s="3" t="s">
        <v>6296</v>
      </c>
      <c r="I3300" s="3" t="s">
        <v>33</v>
      </c>
      <c r="J3300" s="5">
        <v>0</v>
      </c>
      <c r="K3300" s="3">
        <v>8411600</v>
      </c>
      <c r="L3300" s="3" t="s">
        <v>621</v>
      </c>
      <c r="M3300" s="3" t="s">
        <v>11584</v>
      </c>
      <c r="N3300" s="3">
        <v>94</v>
      </c>
      <c r="P3300" s="3" t="s">
        <v>70</v>
      </c>
      <c r="Q3300" s="3" t="s">
        <v>710</v>
      </c>
      <c r="R3300" s="3" t="s">
        <v>711</v>
      </c>
      <c r="S3300" s="3">
        <v>49010080</v>
      </c>
      <c r="U3300" s="3" t="s">
        <v>29</v>
      </c>
    </row>
    <row r="3301" spans="1:21" ht="13.2" x14ac:dyDescent="0.25">
      <c r="A3301" s="14">
        <v>4780793000160</v>
      </c>
      <c r="B3301" s="15" t="str">
        <f t="shared" si="51"/>
        <v>04.780.793/0001-60</v>
      </c>
      <c r="C3301" s="12" t="str">
        <f>VLOOKUP(B3301,[1]Planilha1!$A:$B,2,0)</f>
        <v>Malu Montesino</v>
      </c>
      <c r="D3301" s="3" t="s">
        <v>11585</v>
      </c>
      <c r="E3301" s="3" t="s">
        <v>11585</v>
      </c>
      <c r="F3301" s="3" t="s">
        <v>20</v>
      </c>
      <c r="G3301" s="4">
        <v>37215</v>
      </c>
      <c r="H3301" s="3" t="s">
        <v>21</v>
      </c>
      <c r="I3301" s="3" t="s">
        <v>33</v>
      </c>
      <c r="J3301" s="5">
        <v>8444047</v>
      </c>
      <c r="K3301" s="3">
        <v>7020400</v>
      </c>
      <c r="L3301" s="3" t="s">
        <v>170</v>
      </c>
      <c r="M3301" s="3" t="s">
        <v>11586</v>
      </c>
      <c r="N3301" s="3">
        <v>1830</v>
      </c>
      <c r="O3301" s="3" t="s">
        <v>11587</v>
      </c>
      <c r="P3301" s="3" t="s">
        <v>7125</v>
      </c>
      <c r="Q3301" s="3" t="s">
        <v>27</v>
      </c>
      <c r="R3301" s="3" t="s">
        <v>28</v>
      </c>
      <c r="S3301" s="3">
        <v>4543900</v>
      </c>
      <c r="T3301" s="3">
        <v>1138977300</v>
      </c>
      <c r="U3301" s="3" t="s">
        <v>29</v>
      </c>
    </row>
    <row r="3302" spans="1:21" ht="13.2" x14ac:dyDescent="0.25">
      <c r="A3302" s="14">
        <v>7360290000123</v>
      </c>
      <c r="B3302" s="15" t="str">
        <f t="shared" si="51"/>
        <v>07.360.290/0001-23</v>
      </c>
      <c r="C3302" s="12"/>
      <c r="D3302" s="3" t="s">
        <v>11588</v>
      </c>
      <c r="E3302" s="3" t="s">
        <v>11589</v>
      </c>
      <c r="F3302" s="3" t="s">
        <v>20</v>
      </c>
      <c r="G3302" s="4">
        <v>26017</v>
      </c>
      <c r="H3302" s="3" t="s">
        <v>21</v>
      </c>
      <c r="I3302" s="3" t="s">
        <v>33</v>
      </c>
      <c r="J3302" s="5">
        <v>19759020</v>
      </c>
      <c r="K3302" s="3">
        <v>7820500</v>
      </c>
      <c r="L3302" s="3" t="s">
        <v>481</v>
      </c>
      <c r="M3302" s="3" t="s">
        <v>11590</v>
      </c>
      <c r="N3302" s="3">
        <v>1527</v>
      </c>
      <c r="P3302" s="3" t="s">
        <v>11591</v>
      </c>
      <c r="Q3302" s="3" t="s">
        <v>667</v>
      </c>
      <c r="R3302" s="3" t="s">
        <v>301</v>
      </c>
      <c r="S3302" s="3">
        <v>60430170</v>
      </c>
      <c r="T3302" s="3">
        <v>8532661323</v>
      </c>
      <c r="U3302" s="3" t="s">
        <v>29</v>
      </c>
    </row>
    <row r="3303" spans="1:21" ht="13.2" x14ac:dyDescent="0.25">
      <c r="A3303" s="14">
        <v>48540421000131</v>
      </c>
      <c r="B3303" s="15" t="str">
        <f t="shared" si="51"/>
        <v>48.540.421/0001-31</v>
      </c>
      <c r="C3303" s="12"/>
      <c r="D3303" s="3" t="s">
        <v>11592</v>
      </c>
      <c r="E3303" s="3" t="s">
        <v>11593</v>
      </c>
      <c r="F3303" s="3" t="s">
        <v>20</v>
      </c>
      <c r="G3303" s="4">
        <v>25001</v>
      </c>
      <c r="H3303" s="3" t="s">
        <v>94</v>
      </c>
      <c r="I3303" s="3" t="s">
        <v>33</v>
      </c>
      <c r="J3303" s="5">
        <v>529894880</v>
      </c>
      <c r="K3303" s="3">
        <v>4211101</v>
      </c>
      <c r="L3303" s="3" t="s">
        <v>313</v>
      </c>
      <c r="M3303" s="3" t="s">
        <v>11594</v>
      </c>
      <c r="N3303" s="3">
        <v>178</v>
      </c>
      <c r="O3303" s="3" t="s">
        <v>11595</v>
      </c>
      <c r="P3303" s="3" t="s">
        <v>1093</v>
      </c>
      <c r="Q3303" s="3" t="s">
        <v>27</v>
      </c>
      <c r="R3303" s="3" t="s">
        <v>28</v>
      </c>
      <c r="S3303" s="3">
        <v>2067020</v>
      </c>
      <c r="T3303" s="3">
        <v>1121423000</v>
      </c>
      <c r="U3303" s="3" t="s">
        <v>29</v>
      </c>
    </row>
    <row r="3304" spans="1:21" ht="13.2" x14ac:dyDescent="0.25">
      <c r="A3304" s="14">
        <v>55332811000181</v>
      </c>
      <c r="B3304" s="15" t="str">
        <f t="shared" si="51"/>
        <v>55.332.811/0001-81</v>
      </c>
      <c r="C3304" s="12"/>
      <c r="D3304" s="3" t="s">
        <v>11596</v>
      </c>
      <c r="E3304" s="3" t="s">
        <v>11596</v>
      </c>
      <c r="F3304" s="3" t="s">
        <v>20</v>
      </c>
      <c r="G3304" s="4">
        <v>24784</v>
      </c>
      <c r="H3304" s="3" t="s">
        <v>94</v>
      </c>
      <c r="I3304" s="3" t="s">
        <v>33</v>
      </c>
      <c r="J3304" s="5">
        <v>10928240</v>
      </c>
      <c r="K3304" s="3">
        <v>4682600</v>
      </c>
      <c r="L3304" s="3" t="s">
        <v>1219</v>
      </c>
      <c r="M3304" s="3" t="s">
        <v>11597</v>
      </c>
      <c r="N3304" s="3">
        <v>140</v>
      </c>
      <c r="O3304" s="3" t="s">
        <v>3826</v>
      </c>
      <c r="P3304" s="3" t="s">
        <v>11598</v>
      </c>
      <c r="Q3304" s="3" t="s">
        <v>357</v>
      </c>
      <c r="R3304" s="3" t="s">
        <v>28</v>
      </c>
      <c r="S3304" s="3">
        <v>7241260</v>
      </c>
      <c r="T3304" s="3">
        <v>1124893355</v>
      </c>
      <c r="U3304" s="3" t="s">
        <v>29</v>
      </c>
    </row>
    <row r="3305" spans="1:21" ht="13.2" x14ac:dyDescent="0.25">
      <c r="A3305" s="14">
        <v>12373559000146</v>
      </c>
      <c r="B3305" s="15" t="str">
        <f t="shared" si="51"/>
        <v>12.373.559/0001-46</v>
      </c>
      <c r="C3305" s="12"/>
      <c r="D3305" s="3" t="s">
        <v>11599</v>
      </c>
      <c r="E3305" s="3" t="s">
        <v>11600</v>
      </c>
      <c r="F3305" s="3" t="s">
        <v>20</v>
      </c>
      <c r="G3305" s="4">
        <v>40386</v>
      </c>
      <c r="H3305" s="3" t="s">
        <v>21</v>
      </c>
      <c r="I3305" s="3" t="s">
        <v>33</v>
      </c>
      <c r="J3305" s="5">
        <v>100000</v>
      </c>
      <c r="K3305" s="3">
        <v>6204000</v>
      </c>
      <c r="L3305" s="3" t="s">
        <v>2081</v>
      </c>
      <c r="M3305" s="3" t="s">
        <v>1148</v>
      </c>
      <c r="N3305" s="3">
        <v>3045</v>
      </c>
      <c r="O3305" s="3" t="s">
        <v>11601</v>
      </c>
      <c r="P3305" s="3" t="s">
        <v>597</v>
      </c>
      <c r="Q3305" s="3" t="s">
        <v>875</v>
      </c>
      <c r="R3305" s="3" t="s">
        <v>53</v>
      </c>
      <c r="S3305" s="3">
        <v>93022715</v>
      </c>
      <c r="T3305" s="3">
        <v>5130913337</v>
      </c>
      <c r="U3305" s="3" t="s">
        <v>29</v>
      </c>
    </row>
    <row r="3306" spans="1:21" ht="13.2" x14ac:dyDescent="0.25">
      <c r="A3306" s="14">
        <v>71480560000139</v>
      </c>
      <c r="B3306" s="15" t="str">
        <f t="shared" si="51"/>
        <v>71.480.560/0001-39</v>
      </c>
      <c r="C3306" s="12"/>
      <c r="D3306" s="3" t="s">
        <v>11602</v>
      </c>
      <c r="E3306" s="3" t="s">
        <v>11603</v>
      </c>
      <c r="F3306" s="3" t="s">
        <v>20</v>
      </c>
      <c r="G3306" s="4">
        <v>24569</v>
      </c>
      <c r="H3306" s="3" t="s">
        <v>640</v>
      </c>
      <c r="I3306" s="3" t="s">
        <v>33</v>
      </c>
      <c r="J3306" s="5">
        <v>0</v>
      </c>
      <c r="K3306" s="3">
        <v>3600601</v>
      </c>
      <c r="L3306" s="3" t="s">
        <v>788</v>
      </c>
      <c r="M3306" s="3" t="s">
        <v>11604</v>
      </c>
      <c r="N3306" s="3">
        <v>255</v>
      </c>
      <c r="P3306" s="3" t="s">
        <v>11605</v>
      </c>
      <c r="Q3306" s="3" t="s">
        <v>231</v>
      </c>
      <c r="R3306" s="3" t="s">
        <v>28</v>
      </c>
      <c r="S3306" s="3">
        <v>18086000</v>
      </c>
      <c r="T3306" s="3">
        <v>1532245830</v>
      </c>
      <c r="U3306" s="3" t="s">
        <v>29</v>
      </c>
    </row>
    <row r="3307" spans="1:21" ht="13.2" x14ac:dyDescent="0.25">
      <c r="A3307" s="14">
        <v>44497659000170</v>
      </c>
      <c r="B3307" s="15" t="str">
        <f t="shared" si="51"/>
        <v>44.497.659/0001-70</v>
      </c>
      <c r="C3307" s="12"/>
      <c r="D3307" s="3" t="s">
        <v>11602</v>
      </c>
      <c r="E3307" s="3" t="s">
        <v>11603</v>
      </c>
      <c r="F3307" s="3" t="s">
        <v>20</v>
      </c>
      <c r="G3307" s="4">
        <v>27052</v>
      </c>
      <c r="H3307" s="3" t="s">
        <v>4758</v>
      </c>
      <c r="I3307" s="3" t="s">
        <v>33</v>
      </c>
      <c r="J3307" s="5">
        <v>0</v>
      </c>
      <c r="K3307" s="3">
        <v>3600601</v>
      </c>
      <c r="L3307" s="3" t="s">
        <v>788</v>
      </c>
      <c r="M3307" s="3" t="s">
        <v>11606</v>
      </c>
      <c r="N3307" s="3">
        <v>339</v>
      </c>
      <c r="P3307" s="3" t="s">
        <v>70</v>
      </c>
      <c r="Q3307" s="3" t="s">
        <v>11607</v>
      </c>
      <c r="R3307" s="3" t="s">
        <v>28</v>
      </c>
      <c r="S3307" s="3">
        <v>17340000</v>
      </c>
      <c r="T3307" s="3">
        <v>1436410380</v>
      </c>
      <c r="U3307" s="3" t="s">
        <v>29</v>
      </c>
    </row>
    <row r="3308" spans="1:21" ht="13.2" x14ac:dyDescent="0.25">
      <c r="A3308" s="14">
        <v>45359973000150</v>
      </c>
      <c r="B3308" s="15" t="str">
        <f t="shared" si="51"/>
        <v>45.359.973/0001-50</v>
      </c>
      <c r="C3308" s="12"/>
      <c r="D3308" s="3" t="s">
        <v>11602</v>
      </c>
      <c r="E3308" s="3" t="s">
        <v>11603</v>
      </c>
      <c r="F3308" s="3" t="s">
        <v>20</v>
      </c>
      <c r="G3308" s="4">
        <v>26767</v>
      </c>
      <c r="H3308" s="3" t="s">
        <v>640</v>
      </c>
      <c r="I3308" s="3" t="s">
        <v>33</v>
      </c>
      <c r="J3308" s="5">
        <v>0</v>
      </c>
      <c r="K3308" s="3">
        <v>3600601</v>
      </c>
      <c r="L3308" s="3" t="s">
        <v>788</v>
      </c>
      <c r="M3308" s="3" t="s">
        <v>2999</v>
      </c>
      <c r="N3308" s="3" t="s">
        <v>11608</v>
      </c>
      <c r="P3308" s="3" t="s">
        <v>11609</v>
      </c>
      <c r="Q3308" s="3" t="s">
        <v>2406</v>
      </c>
      <c r="R3308" s="3" t="s">
        <v>28</v>
      </c>
      <c r="S3308" s="3">
        <v>13570390</v>
      </c>
      <c r="T3308" s="3">
        <v>1633736400</v>
      </c>
      <c r="U3308" s="3" t="s">
        <v>29</v>
      </c>
    </row>
    <row r="3309" spans="1:21" ht="13.2" x14ac:dyDescent="0.25">
      <c r="A3309" s="14">
        <v>21260443000191</v>
      </c>
      <c r="B3309" s="15" t="str">
        <f t="shared" si="51"/>
        <v>21.260.443/0001-91</v>
      </c>
      <c r="C3309" s="12"/>
      <c r="D3309" s="3" t="s">
        <v>11602</v>
      </c>
      <c r="E3309" s="3" t="s">
        <v>11603</v>
      </c>
      <c r="F3309" s="3" t="s">
        <v>20</v>
      </c>
      <c r="G3309" s="4">
        <v>25385</v>
      </c>
      <c r="H3309" s="3" t="s">
        <v>640</v>
      </c>
      <c r="I3309" s="3" t="s">
        <v>33</v>
      </c>
      <c r="J3309" s="5">
        <v>0</v>
      </c>
      <c r="K3309" s="3">
        <v>3600601</v>
      </c>
      <c r="L3309" s="3" t="s">
        <v>788</v>
      </c>
      <c r="M3309" s="3" t="s">
        <v>11610</v>
      </c>
      <c r="N3309" s="3">
        <v>394</v>
      </c>
      <c r="O3309" s="3" t="s">
        <v>3317</v>
      </c>
      <c r="P3309" s="3" t="s">
        <v>3673</v>
      </c>
      <c r="Q3309" s="3" t="s">
        <v>4097</v>
      </c>
      <c r="R3309" s="3" t="s">
        <v>100</v>
      </c>
      <c r="S3309" s="3">
        <v>35680205</v>
      </c>
      <c r="T3309" s="3">
        <v>3732495800</v>
      </c>
      <c r="U3309" s="3" t="s">
        <v>29</v>
      </c>
    </row>
    <row r="3310" spans="1:21" ht="13.2" x14ac:dyDescent="0.25">
      <c r="A3310" s="14">
        <v>27108141000189</v>
      </c>
      <c r="B3310" s="15" t="str">
        <f t="shared" si="51"/>
        <v>27.108.141/0001-89</v>
      </c>
      <c r="C3310" s="12"/>
      <c r="D3310" s="3" t="s">
        <v>11602</v>
      </c>
      <c r="E3310" s="3" t="s">
        <v>11602</v>
      </c>
      <c r="F3310" s="3" t="s">
        <v>20</v>
      </c>
      <c r="G3310" s="4">
        <v>25476</v>
      </c>
      <c r="H3310" s="3" t="s">
        <v>640</v>
      </c>
      <c r="I3310" s="3" t="s">
        <v>33</v>
      </c>
      <c r="J3310" s="5">
        <v>0</v>
      </c>
      <c r="K3310" s="3">
        <v>3600601</v>
      </c>
      <c r="L3310" s="3" t="s">
        <v>788</v>
      </c>
      <c r="M3310" s="3" t="s">
        <v>11611</v>
      </c>
      <c r="N3310" s="3">
        <v>45</v>
      </c>
      <c r="O3310" s="3" t="s">
        <v>11612</v>
      </c>
      <c r="P3310" s="3" t="s">
        <v>11613</v>
      </c>
      <c r="Q3310" s="3" t="s">
        <v>3491</v>
      </c>
      <c r="R3310" s="3" t="s">
        <v>765</v>
      </c>
      <c r="S3310" s="3">
        <v>29194017</v>
      </c>
      <c r="T3310" s="3">
        <v>2732569400</v>
      </c>
      <c r="U3310" s="3" t="s">
        <v>29</v>
      </c>
    </row>
    <row r="3311" spans="1:21" ht="13.2" x14ac:dyDescent="0.25">
      <c r="A3311" s="14">
        <v>5114647000168</v>
      </c>
      <c r="B3311" s="15" t="str">
        <f t="shared" si="51"/>
        <v>05.114.647/0001-68</v>
      </c>
      <c r="C3311" s="12"/>
      <c r="D3311" s="3" t="s">
        <v>11614</v>
      </c>
      <c r="E3311" s="3" t="s">
        <v>11615</v>
      </c>
      <c r="F3311" s="3" t="s">
        <v>20</v>
      </c>
      <c r="G3311" s="4">
        <v>37231</v>
      </c>
      <c r="H3311" s="3" t="s">
        <v>640</v>
      </c>
      <c r="I3311" s="3" t="s">
        <v>33</v>
      </c>
      <c r="J3311" s="5">
        <v>0</v>
      </c>
      <c r="K3311" s="3">
        <v>8411600</v>
      </c>
      <c r="L3311" s="3" t="s">
        <v>621</v>
      </c>
      <c r="M3311" s="3" t="s">
        <v>2088</v>
      </c>
      <c r="N3311" s="3">
        <v>100</v>
      </c>
      <c r="P3311" s="3" t="s">
        <v>70</v>
      </c>
      <c r="Q3311" s="3" t="s">
        <v>11616</v>
      </c>
      <c r="R3311" s="3" t="s">
        <v>100</v>
      </c>
      <c r="S3311" s="3">
        <v>37660000</v>
      </c>
      <c r="T3311" s="3">
        <v>3536223809</v>
      </c>
      <c r="U3311" s="3" t="s">
        <v>29</v>
      </c>
    </row>
    <row r="3312" spans="1:21" ht="13.2" x14ac:dyDescent="0.25">
      <c r="A3312" s="14">
        <v>7104377000130</v>
      </c>
      <c r="B3312" s="15" t="str">
        <f t="shared" si="51"/>
        <v>07.104.377/0001-30</v>
      </c>
      <c r="C3312" s="12"/>
      <c r="D3312" s="3" t="s">
        <v>11617</v>
      </c>
      <c r="E3312" s="3" t="s">
        <v>11617</v>
      </c>
      <c r="F3312" s="3" t="s">
        <v>20</v>
      </c>
      <c r="G3312" s="4">
        <v>38317</v>
      </c>
      <c r="H3312" s="3" t="s">
        <v>640</v>
      </c>
      <c r="I3312" s="3" t="s">
        <v>33</v>
      </c>
      <c r="J3312" s="5">
        <v>0</v>
      </c>
      <c r="K3312" s="3">
        <v>3600601</v>
      </c>
      <c r="L3312" s="3" t="s">
        <v>788</v>
      </c>
      <c r="M3312" s="3" t="s">
        <v>11618</v>
      </c>
      <c r="N3312" s="3">
        <v>28</v>
      </c>
      <c r="P3312" s="3" t="s">
        <v>70</v>
      </c>
      <c r="Q3312" s="3" t="s">
        <v>1714</v>
      </c>
      <c r="R3312" s="3" t="s">
        <v>28</v>
      </c>
      <c r="S3312" s="3">
        <v>17380000</v>
      </c>
      <c r="T3312" s="3">
        <v>1436531108</v>
      </c>
      <c r="U3312" s="3" t="s">
        <v>29</v>
      </c>
    </row>
    <row r="3313" spans="1:21" ht="13.2" x14ac:dyDescent="0.25">
      <c r="A3313" s="14">
        <v>27834977000160</v>
      </c>
      <c r="B3313" s="15" t="str">
        <f t="shared" si="51"/>
        <v>27.834.977/0001-60</v>
      </c>
      <c r="C3313" s="12"/>
      <c r="D3313" s="3" t="s">
        <v>11619</v>
      </c>
      <c r="E3313" s="3" t="s">
        <v>11603</v>
      </c>
      <c r="F3313" s="3" t="s">
        <v>20</v>
      </c>
      <c r="G3313" s="4">
        <v>25350</v>
      </c>
      <c r="H3313" s="3" t="s">
        <v>640</v>
      </c>
      <c r="I3313" s="3" t="s">
        <v>33</v>
      </c>
      <c r="J3313" s="5">
        <v>0</v>
      </c>
      <c r="K3313" s="3">
        <v>3600601</v>
      </c>
      <c r="L3313" s="3" t="s">
        <v>788</v>
      </c>
      <c r="M3313" s="3" t="s">
        <v>11620</v>
      </c>
      <c r="N3313" s="3">
        <v>1137</v>
      </c>
      <c r="P3313" s="3" t="s">
        <v>36</v>
      </c>
      <c r="Q3313" s="3" t="s">
        <v>11621</v>
      </c>
      <c r="R3313" s="3" t="s">
        <v>765</v>
      </c>
      <c r="S3313" s="3">
        <v>29900250</v>
      </c>
      <c r="T3313" s="3">
        <v>2721031311</v>
      </c>
      <c r="U3313" s="3" t="s">
        <v>29</v>
      </c>
    </row>
    <row r="3314" spans="1:21" ht="13.2" x14ac:dyDescent="0.25">
      <c r="A3314" s="14">
        <v>11065186000183</v>
      </c>
      <c r="B3314" s="15" t="str">
        <f t="shared" si="51"/>
        <v>11.065.186/0001-83</v>
      </c>
      <c r="C3314" s="12"/>
      <c r="D3314" s="3" t="s">
        <v>11622</v>
      </c>
      <c r="E3314" s="3" t="s">
        <v>11622</v>
      </c>
      <c r="F3314" s="3" t="s">
        <v>20</v>
      </c>
      <c r="G3314" s="4">
        <v>39448</v>
      </c>
      <c r="H3314" s="3" t="s">
        <v>640</v>
      </c>
      <c r="I3314" s="3" t="s">
        <v>33</v>
      </c>
      <c r="J3314" s="5">
        <v>0</v>
      </c>
      <c r="K3314" s="3">
        <v>3600601</v>
      </c>
      <c r="L3314" s="3" t="s">
        <v>788</v>
      </c>
      <c r="M3314" s="3" t="s">
        <v>11623</v>
      </c>
      <c r="N3314" s="3">
        <v>1053</v>
      </c>
      <c r="P3314" s="3" t="s">
        <v>3858</v>
      </c>
      <c r="Q3314" s="3" t="s">
        <v>934</v>
      </c>
      <c r="R3314" s="3" t="s">
        <v>28</v>
      </c>
      <c r="S3314" s="3">
        <v>13322900</v>
      </c>
      <c r="T3314" s="3">
        <v>1146026370</v>
      </c>
      <c r="U3314" s="3" t="s">
        <v>29</v>
      </c>
    </row>
    <row r="3315" spans="1:21" ht="13.2" x14ac:dyDescent="0.25">
      <c r="A3315" s="14">
        <v>32504706000187</v>
      </c>
      <c r="B3315" s="15" t="str">
        <f t="shared" si="51"/>
        <v>32.504.706/0001-87</v>
      </c>
      <c r="C3315" s="12"/>
      <c r="D3315" s="3" t="s">
        <v>11624</v>
      </c>
      <c r="E3315" s="3" t="s">
        <v>11624</v>
      </c>
      <c r="F3315" s="3" t="s">
        <v>20</v>
      </c>
      <c r="G3315" s="4">
        <v>24836</v>
      </c>
      <c r="H3315" s="3" t="s">
        <v>640</v>
      </c>
      <c r="I3315" s="3" t="s">
        <v>33</v>
      </c>
      <c r="J3315" s="5">
        <v>0</v>
      </c>
      <c r="K3315" s="3">
        <v>3600601</v>
      </c>
      <c r="L3315" s="3" t="s">
        <v>788</v>
      </c>
      <c r="M3315" s="3" t="s">
        <v>11625</v>
      </c>
      <c r="N3315" s="3">
        <v>643</v>
      </c>
      <c r="P3315" s="3" t="s">
        <v>11626</v>
      </c>
      <c r="Q3315" s="3" t="s">
        <v>11627</v>
      </c>
      <c r="R3315" s="3" t="s">
        <v>78</v>
      </c>
      <c r="S3315" s="3">
        <v>27211130</v>
      </c>
      <c r="U3315" s="3" t="s">
        <v>29</v>
      </c>
    </row>
    <row r="3316" spans="1:21" ht="13.2" x14ac:dyDescent="0.25">
      <c r="A3316" s="14">
        <v>46712907000184</v>
      </c>
      <c r="B3316" s="15" t="str">
        <f t="shared" si="51"/>
        <v>46.712.907/0001-84</v>
      </c>
      <c r="C3316" s="12"/>
      <c r="D3316" s="3" t="s">
        <v>11628</v>
      </c>
      <c r="E3316" s="3" t="s">
        <v>11629</v>
      </c>
      <c r="F3316" s="3" t="s">
        <v>20</v>
      </c>
      <c r="G3316" s="4">
        <v>27096</v>
      </c>
      <c r="H3316" s="3" t="s">
        <v>640</v>
      </c>
      <c r="I3316" s="3" t="s">
        <v>33</v>
      </c>
      <c r="J3316" s="5">
        <v>0</v>
      </c>
      <c r="K3316" s="3">
        <v>3600601</v>
      </c>
      <c r="L3316" s="3" t="s">
        <v>788</v>
      </c>
      <c r="M3316" s="3" t="s">
        <v>11630</v>
      </c>
      <c r="N3316" s="3">
        <v>345</v>
      </c>
      <c r="P3316" s="3" t="s">
        <v>8587</v>
      </c>
      <c r="Q3316" s="3" t="s">
        <v>1873</v>
      </c>
      <c r="R3316" s="3" t="s">
        <v>28</v>
      </c>
      <c r="S3316" s="3">
        <v>14871570</v>
      </c>
      <c r="T3316" s="3">
        <v>1632099900</v>
      </c>
      <c r="U3316" s="3" t="s">
        <v>29</v>
      </c>
    </row>
    <row r="3317" spans="1:21" ht="13.2" x14ac:dyDescent="0.25">
      <c r="A3317" s="14">
        <v>46711362000191</v>
      </c>
      <c r="B3317" s="15" t="str">
        <f t="shared" si="51"/>
        <v>46.711.362/0001-91</v>
      </c>
      <c r="C3317" s="12"/>
      <c r="D3317" s="3" t="s">
        <v>11631</v>
      </c>
      <c r="E3317" s="3" t="s">
        <v>11632</v>
      </c>
      <c r="F3317" s="3" t="s">
        <v>20</v>
      </c>
      <c r="G3317" s="4">
        <v>27691</v>
      </c>
      <c r="H3317" s="3" t="s">
        <v>640</v>
      </c>
      <c r="I3317" s="3" t="s">
        <v>33</v>
      </c>
      <c r="J3317" s="5">
        <v>0</v>
      </c>
      <c r="K3317" s="3">
        <v>8411600</v>
      </c>
      <c r="L3317" s="3" t="s">
        <v>621</v>
      </c>
      <c r="M3317" s="3" t="s">
        <v>11633</v>
      </c>
      <c r="N3317" s="3">
        <v>114</v>
      </c>
      <c r="O3317" s="3" t="s">
        <v>11634</v>
      </c>
      <c r="P3317" s="3" t="s">
        <v>11635</v>
      </c>
      <c r="Q3317" s="3" t="s">
        <v>2198</v>
      </c>
      <c r="R3317" s="3" t="s">
        <v>28</v>
      </c>
      <c r="S3317" s="3">
        <v>13800309</v>
      </c>
      <c r="T3317" s="3">
        <v>1981262293</v>
      </c>
      <c r="U3317" s="3" t="s">
        <v>29</v>
      </c>
    </row>
    <row r="3318" spans="1:21" ht="13.2" x14ac:dyDescent="0.25">
      <c r="A3318" s="14">
        <v>45509650000103</v>
      </c>
      <c r="B3318" s="15" t="str">
        <f t="shared" si="51"/>
        <v>45.509.650/0001-03</v>
      </c>
      <c r="C3318" s="12"/>
      <c r="D3318" s="3" t="s">
        <v>11636</v>
      </c>
      <c r="E3318" s="3" t="s">
        <v>11637</v>
      </c>
      <c r="F3318" s="3" t="s">
        <v>20</v>
      </c>
      <c r="G3318" s="4">
        <v>26416</v>
      </c>
      <c r="H3318" s="3" t="s">
        <v>640</v>
      </c>
      <c r="I3318" s="3" t="s">
        <v>33</v>
      </c>
      <c r="J3318" s="5">
        <v>0</v>
      </c>
      <c r="K3318" s="3">
        <v>3600601</v>
      </c>
      <c r="L3318" s="3" t="s">
        <v>788</v>
      </c>
      <c r="M3318" s="3" t="s">
        <v>11638</v>
      </c>
      <c r="N3318" s="3">
        <v>166</v>
      </c>
      <c r="P3318" s="3" t="s">
        <v>70</v>
      </c>
      <c r="Q3318" s="3" t="s">
        <v>8301</v>
      </c>
      <c r="R3318" s="3" t="s">
        <v>28</v>
      </c>
      <c r="S3318" s="3">
        <v>18530000</v>
      </c>
      <c r="U3318" s="3" t="s">
        <v>29</v>
      </c>
    </row>
    <row r="3319" spans="1:21" ht="13.2" x14ac:dyDescent="0.25">
      <c r="A3319" s="14">
        <v>5002419000104</v>
      </c>
      <c r="B3319" s="15" t="str">
        <f t="shared" si="51"/>
        <v>05.002.419/0001-04</v>
      </c>
      <c r="C3319" s="12"/>
      <c r="D3319" s="3" t="s">
        <v>11639</v>
      </c>
      <c r="E3319" s="3" t="s">
        <v>11640</v>
      </c>
      <c r="F3319" s="3" t="s">
        <v>20</v>
      </c>
      <c r="G3319" s="4">
        <v>37337</v>
      </c>
      <c r="H3319" s="3" t="s">
        <v>640</v>
      </c>
      <c r="I3319" s="3" t="s">
        <v>33</v>
      </c>
      <c r="J3319" s="5">
        <v>0</v>
      </c>
      <c r="K3319" s="3">
        <v>3600601</v>
      </c>
      <c r="L3319" s="3" t="s">
        <v>788</v>
      </c>
      <c r="M3319" s="3" t="s">
        <v>11641</v>
      </c>
      <c r="N3319" s="3">
        <v>1741</v>
      </c>
      <c r="P3319" s="3" t="s">
        <v>11642</v>
      </c>
      <c r="Q3319" s="3" t="s">
        <v>744</v>
      </c>
      <c r="R3319" s="3" t="s">
        <v>28</v>
      </c>
      <c r="S3319" s="3">
        <v>13167146</v>
      </c>
      <c r="T3319" s="3">
        <v>1938771339</v>
      </c>
      <c r="U3319" s="3" t="s">
        <v>29</v>
      </c>
    </row>
    <row r="3320" spans="1:21" ht="13.2" x14ac:dyDescent="0.25">
      <c r="A3320" s="14">
        <v>44699908000100</v>
      </c>
      <c r="B3320" s="15" t="str">
        <f t="shared" si="51"/>
        <v>44.699.908/0001-00</v>
      </c>
      <c r="C3320" s="12"/>
      <c r="D3320" s="3" t="s">
        <v>11643</v>
      </c>
      <c r="E3320" s="3" t="s">
        <v>11644</v>
      </c>
      <c r="F3320" s="3" t="s">
        <v>20</v>
      </c>
      <c r="G3320" s="4">
        <v>27760</v>
      </c>
      <c r="H3320" s="3" t="s">
        <v>640</v>
      </c>
      <c r="I3320" s="3" t="s">
        <v>33</v>
      </c>
      <c r="J3320" s="5">
        <v>0</v>
      </c>
      <c r="K3320" s="3">
        <v>3600601</v>
      </c>
      <c r="L3320" s="3" t="s">
        <v>788</v>
      </c>
      <c r="M3320" s="3" t="s">
        <v>11645</v>
      </c>
      <c r="N3320" s="3">
        <v>155</v>
      </c>
      <c r="P3320" s="3" t="s">
        <v>11646</v>
      </c>
      <c r="Q3320" s="3" t="s">
        <v>4978</v>
      </c>
      <c r="R3320" s="3" t="s">
        <v>28</v>
      </c>
      <c r="S3320" s="3">
        <v>13603027</v>
      </c>
      <c r="T3320" s="3">
        <v>195419622</v>
      </c>
      <c r="U3320" s="3" t="s">
        <v>29</v>
      </c>
    </row>
    <row r="3321" spans="1:21" ht="13.2" x14ac:dyDescent="0.25">
      <c r="A3321" s="14">
        <v>2310729000190</v>
      </c>
      <c r="B3321" s="15" t="str">
        <f t="shared" si="51"/>
        <v>02.310.729/0001-90</v>
      </c>
      <c r="C3321" s="12"/>
      <c r="D3321" s="3" t="s">
        <v>11647</v>
      </c>
      <c r="E3321" s="3" t="s">
        <v>11647</v>
      </c>
      <c r="F3321" s="3" t="s">
        <v>20</v>
      </c>
      <c r="G3321" s="4">
        <v>35695</v>
      </c>
      <c r="H3321" s="3" t="s">
        <v>640</v>
      </c>
      <c r="I3321" s="3" t="s">
        <v>33</v>
      </c>
      <c r="J3321" s="5">
        <v>0</v>
      </c>
      <c r="K3321" s="3">
        <v>8411600</v>
      </c>
      <c r="L3321" s="3" t="s">
        <v>621</v>
      </c>
      <c r="M3321" s="3" t="s">
        <v>11648</v>
      </c>
      <c r="N3321" s="3">
        <v>1043</v>
      </c>
      <c r="P3321" s="3" t="s">
        <v>70</v>
      </c>
      <c r="Q3321" s="3" t="s">
        <v>6193</v>
      </c>
      <c r="R3321" s="3" t="s">
        <v>28</v>
      </c>
      <c r="S3321" s="3">
        <v>17250000</v>
      </c>
      <c r="U3321" s="3" t="s">
        <v>29</v>
      </c>
    </row>
    <row r="3322" spans="1:21" ht="13.2" x14ac:dyDescent="0.25">
      <c r="A3322" s="14">
        <v>13115183000132</v>
      </c>
      <c r="B3322" s="15" t="str">
        <f t="shared" si="51"/>
        <v>13.115.183/0001-32</v>
      </c>
      <c r="C3322" s="12"/>
      <c r="D3322" s="3" t="s">
        <v>11649</v>
      </c>
      <c r="E3322" s="3" t="s">
        <v>11650</v>
      </c>
      <c r="F3322" s="3" t="s">
        <v>20</v>
      </c>
      <c r="G3322" s="4">
        <v>27730</v>
      </c>
      <c r="H3322" s="3" t="s">
        <v>625</v>
      </c>
      <c r="I3322" s="3" t="s">
        <v>33</v>
      </c>
      <c r="J3322" s="5">
        <v>0</v>
      </c>
      <c r="K3322" s="3">
        <v>7020400</v>
      </c>
      <c r="L3322" s="3" t="s">
        <v>170</v>
      </c>
      <c r="M3322" s="3" t="s">
        <v>2034</v>
      </c>
      <c r="N3322" s="3">
        <v>5500</v>
      </c>
      <c r="P3322" s="3" t="s">
        <v>8225</v>
      </c>
      <c r="Q3322" s="3" t="s">
        <v>710</v>
      </c>
      <c r="R3322" s="3" t="s">
        <v>711</v>
      </c>
      <c r="S3322" s="3">
        <v>49080470</v>
      </c>
      <c r="T3322" s="3">
        <v>7921067700</v>
      </c>
      <c r="U3322" s="3" t="s">
        <v>29</v>
      </c>
    </row>
    <row r="3323" spans="1:21" ht="13.2" x14ac:dyDescent="0.25">
      <c r="A3323" s="14">
        <v>22794608000178</v>
      </c>
      <c r="B3323" s="15" t="str">
        <f t="shared" si="51"/>
        <v>22.794.608/0001-78</v>
      </c>
      <c r="C3323" s="12"/>
      <c r="D3323" s="3" t="s">
        <v>11651</v>
      </c>
      <c r="E3323" s="3" t="s">
        <v>11652</v>
      </c>
      <c r="F3323" s="3" t="s">
        <v>20</v>
      </c>
      <c r="G3323" s="4">
        <v>42129</v>
      </c>
      <c r="H3323" s="3" t="s">
        <v>640</v>
      </c>
      <c r="I3323" s="3" t="s">
        <v>33</v>
      </c>
      <c r="J3323" s="5">
        <v>0</v>
      </c>
      <c r="K3323" s="3">
        <v>3600601</v>
      </c>
      <c r="L3323" s="3" t="s">
        <v>788</v>
      </c>
      <c r="M3323" s="3" t="s">
        <v>6116</v>
      </c>
      <c r="N3323" s="3">
        <v>548</v>
      </c>
      <c r="P3323" s="3" t="s">
        <v>70</v>
      </c>
      <c r="Q3323" s="3" t="s">
        <v>11653</v>
      </c>
      <c r="R3323" s="3" t="s">
        <v>225</v>
      </c>
      <c r="S3323" s="3">
        <v>78200000</v>
      </c>
      <c r="T3323" s="3">
        <v>6532236500</v>
      </c>
      <c r="U3323" s="3" t="s">
        <v>29</v>
      </c>
    </row>
    <row r="3324" spans="1:21" ht="13.2" x14ac:dyDescent="0.25">
      <c r="A3324" s="14">
        <v>33683111000107</v>
      </c>
      <c r="B3324" s="15" t="str">
        <f t="shared" si="51"/>
        <v>33.683.111/0001-07</v>
      </c>
      <c r="C3324" s="12"/>
      <c r="D3324" s="3" t="s">
        <v>11654</v>
      </c>
      <c r="E3324" s="3" t="s">
        <v>11655</v>
      </c>
      <c r="F3324" s="3" t="s">
        <v>20</v>
      </c>
      <c r="G3324" s="4">
        <v>24653</v>
      </c>
      <c r="H3324" s="3" t="s">
        <v>3061</v>
      </c>
      <c r="I3324" s="3" t="s">
        <v>33</v>
      </c>
      <c r="J3324" s="5">
        <v>1786196100</v>
      </c>
      <c r="K3324" s="3">
        <v>6204000</v>
      </c>
      <c r="L3324" s="3" t="s">
        <v>2081</v>
      </c>
      <c r="M3324" s="3" t="s">
        <v>11656</v>
      </c>
      <c r="N3324" s="3" t="s">
        <v>11657</v>
      </c>
      <c r="O3324" s="3" t="s">
        <v>11658</v>
      </c>
      <c r="P3324" s="3" t="s">
        <v>630</v>
      </c>
      <c r="Q3324" s="3" t="s">
        <v>631</v>
      </c>
      <c r="R3324" s="3" t="s">
        <v>632</v>
      </c>
      <c r="S3324" s="3">
        <v>70836900</v>
      </c>
      <c r="T3324" s="3">
        <v>6120218000</v>
      </c>
      <c r="U3324" s="3" t="s">
        <v>29</v>
      </c>
    </row>
    <row r="3325" spans="1:21" ht="13.2" x14ac:dyDescent="0.25">
      <c r="A3325" s="14">
        <v>50853555000154</v>
      </c>
      <c r="B3325" s="15" t="str">
        <f t="shared" si="51"/>
        <v>50.853.555/0001-54</v>
      </c>
      <c r="C3325" s="12"/>
      <c r="D3325" s="3" t="s">
        <v>11659</v>
      </c>
      <c r="E3325" s="3" t="s">
        <v>11659</v>
      </c>
      <c r="F3325" s="3" t="s">
        <v>20</v>
      </c>
      <c r="G3325" s="4">
        <v>28969</v>
      </c>
      <c r="H3325" s="3" t="s">
        <v>640</v>
      </c>
      <c r="I3325" s="3" t="s">
        <v>33</v>
      </c>
      <c r="J3325" s="5">
        <v>0</v>
      </c>
      <c r="K3325" s="3">
        <v>3600601</v>
      </c>
      <c r="L3325" s="3" t="s">
        <v>788</v>
      </c>
      <c r="M3325" s="3" t="s">
        <v>3037</v>
      </c>
      <c r="N3325" s="3">
        <v>2200</v>
      </c>
      <c r="P3325" s="3" t="s">
        <v>4341</v>
      </c>
      <c r="Q3325" s="3" t="s">
        <v>367</v>
      </c>
      <c r="R3325" s="3" t="s">
        <v>28</v>
      </c>
      <c r="S3325" s="3">
        <v>13416756</v>
      </c>
      <c r="U3325" s="3" t="s">
        <v>29</v>
      </c>
    </row>
    <row r="3326" spans="1:21" ht="13.2" x14ac:dyDescent="0.25">
      <c r="A3326" s="14">
        <v>5472936000139</v>
      </c>
      <c r="B3326" s="15" t="str">
        <f t="shared" si="51"/>
        <v>05.472.936/0001-39</v>
      </c>
      <c r="C3326" s="12"/>
      <c r="D3326" s="3" t="s">
        <v>11660</v>
      </c>
      <c r="E3326" s="3" t="s">
        <v>11661</v>
      </c>
      <c r="F3326" s="3" t="s">
        <v>20</v>
      </c>
      <c r="G3326" s="4">
        <v>37642</v>
      </c>
      <c r="H3326" s="3" t="s">
        <v>640</v>
      </c>
      <c r="I3326" s="3" t="s">
        <v>33</v>
      </c>
      <c r="J3326" s="5">
        <v>0</v>
      </c>
      <c r="K3326" s="3">
        <v>3600601</v>
      </c>
      <c r="L3326" s="3" t="s">
        <v>788</v>
      </c>
      <c r="M3326" s="3" t="s">
        <v>11662</v>
      </c>
      <c r="N3326" s="3">
        <v>1189</v>
      </c>
      <c r="P3326" s="3" t="s">
        <v>11663</v>
      </c>
      <c r="Q3326" s="3" t="s">
        <v>2287</v>
      </c>
      <c r="R3326" s="3" t="s">
        <v>91</v>
      </c>
      <c r="S3326" s="3">
        <v>88303100</v>
      </c>
      <c r="T3326" s="3">
        <v>473449000</v>
      </c>
      <c r="U3326" s="3" t="s">
        <v>29</v>
      </c>
    </row>
    <row r="3327" spans="1:21" ht="13.2" x14ac:dyDescent="0.25">
      <c r="A3327" s="14">
        <v>57604530000166</v>
      </c>
      <c r="B3327" s="15" t="str">
        <f t="shared" si="51"/>
        <v>57.604.530/0001-66</v>
      </c>
      <c r="C3327" s="12"/>
      <c r="D3327" s="3" t="s">
        <v>11664</v>
      </c>
      <c r="E3327" s="3" t="s">
        <v>11661</v>
      </c>
      <c r="F3327" s="3" t="s">
        <v>20</v>
      </c>
      <c r="G3327" s="4">
        <v>25639</v>
      </c>
      <c r="H3327" s="3" t="s">
        <v>640</v>
      </c>
      <c r="I3327" s="3" t="s">
        <v>33</v>
      </c>
      <c r="J3327" s="5">
        <v>0</v>
      </c>
      <c r="K3327" s="3">
        <v>3600601</v>
      </c>
      <c r="L3327" s="3" t="s">
        <v>788</v>
      </c>
      <c r="M3327" s="3" t="s">
        <v>11665</v>
      </c>
      <c r="N3327" s="3">
        <v>143</v>
      </c>
      <c r="P3327" s="3" t="s">
        <v>11666</v>
      </c>
      <c r="Q3327" s="3" t="s">
        <v>1410</v>
      </c>
      <c r="R3327" s="3" t="s">
        <v>28</v>
      </c>
      <c r="S3327" s="3">
        <v>9040210</v>
      </c>
      <c r="T3327" s="3">
        <v>1144339800</v>
      </c>
      <c r="U3327" s="3" t="s">
        <v>29</v>
      </c>
    </row>
    <row r="3328" spans="1:21" ht="13.2" x14ac:dyDescent="0.25">
      <c r="A3328" s="14">
        <v>3709814000198</v>
      </c>
      <c r="B3328" s="15" t="str">
        <f t="shared" si="51"/>
        <v>03.709.814/0001-98</v>
      </c>
      <c r="C3328" s="12"/>
      <c r="D3328" s="3" t="s">
        <v>11667</v>
      </c>
      <c r="E3328" s="3" t="s">
        <v>11668</v>
      </c>
      <c r="F3328" s="3" t="s">
        <v>20</v>
      </c>
      <c r="G3328" s="4">
        <v>36536</v>
      </c>
      <c r="H3328" s="3" t="s">
        <v>625</v>
      </c>
      <c r="I3328" s="3" t="s">
        <v>33</v>
      </c>
      <c r="J3328" s="5">
        <v>0</v>
      </c>
      <c r="K3328" s="3">
        <v>8599699</v>
      </c>
      <c r="L3328" s="3" t="s">
        <v>926</v>
      </c>
      <c r="M3328" s="3" t="s">
        <v>11669</v>
      </c>
      <c r="N3328" s="3">
        <v>228</v>
      </c>
      <c r="O3328" s="3" t="s">
        <v>11670</v>
      </c>
      <c r="P3328" s="3" t="s">
        <v>11258</v>
      </c>
      <c r="Q3328" s="3" t="s">
        <v>27</v>
      </c>
      <c r="R3328" s="3" t="s">
        <v>28</v>
      </c>
      <c r="S3328" s="3">
        <v>1222903</v>
      </c>
      <c r="T3328" s="3">
        <v>1132362094</v>
      </c>
      <c r="U3328" s="3" t="s">
        <v>29</v>
      </c>
    </row>
    <row r="3329" spans="1:21" ht="13.2" x14ac:dyDescent="0.25">
      <c r="A3329" s="14">
        <v>3485324000155</v>
      </c>
      <c r="B3329" s="15" t="str">
        <f t="shared" si="51"/>
        <v>03.485.324/0001-55</v>
      </c>
      <c r="C3329" s="12"/>
      <c r="D3329" s="3" t="s">
        <v>11667</v>
      </c>
      <c r="E3329" s="3" t="s">
        <v>11671</v>
      </c>
      <c r="F3329" s="3" t="s">
        <v>20</v>
      </c>
      <c r="G3329" s="4">
        <v>36403</v>
      </c>
      <c r="H3329" s="3" t="s">
        <v>625</v>
      </c>
      <c r="I3329" s="3" t="s">
        <v>33</v>
      </c>
      <c r="J3329" s="5">
        <v>0</v>
      </c>
      <c r="K3329" s="3">
        <v>8599699</v>
      </c>
      <c r="L3329" s="3" t="s">
        <v>926</v>
      </c>
      <c r="M3329" s="3" t="s">
        <v>11672</v>
      </c>
      <c r="N3329" s="3">
        <v>500</v>
      </c>
      <c r="P3329" s="3" t="s">
        <v>241</v>
      </c>
      <c r="Q3329" s="3" t="s">
        <v>1339</v>
      </c>
      <c r="R3329" s="3" t="s">
        <v>456</v>
      </c>
      <c r="S3329" s="3">
        <v>50050540</v>
      </c>
      <c r="T3329" s="3">
        <v>814232277</v>
      </c>
      <c r="U3329" s="3" t="s">
        <v>29</v>
      </c>
    </row>
    <row r="3330" spans="1:21" ht="13.2" x14ac:dyDescent="0.25">
      <c r="A3330" s="14">
        <v>3774819000102</v>
      </c>
      <c r="B3330" s="15" t="str">
        <f t="shared" si="51"/>
        <v>03.774.819/0001-02</v>
      </c>
      <c r="C3330" s="12"/>
      <c r="D3330" s="3" t="s">
        <v>11673</v>
      </c>
      <c r="E3330" s="3" t="s">
        <v>11674</v>
      </c>
      <c r="F3330" s="3" t="s">
        <v>20</v>
      </c>
      <c r="G3330" s="4">
        <v>36643</v>
      </c>
      <c r="H3330" s="3" t="s">
        <v>625</v>
      </c>
      <c r="I3330" s="3" t="s">
        <v>33</v>
      </c>
      <c r="J3330" s="5">
        <v>0</v>
      </c>
      <c r="K3330" s="3">
        <v>8599699</v>
      </c>
      <c r="L3330" s="3" t="s">
        <v>926</v>
      </c>
      <c r="M3330" s="3" t="s">
        <v>246</v>
      </c>
      <c r="N3330" s="3">
        <v>1313</v>
      </c>
      <c r="O3330" s="3" t="s">
        <v>11675</v>
      </c>
      <c r="P3330" s="3" t="s">
        <v>248</v>
      </c>
      <c r="Q3330" s="3" t="s">
        <v>27</v>
      </c>
      <c r="R3330" s="3" t="s">
        <v>28</v>
      </c>
      <c r="S3330" s="3">
        <v>1311923</v>
      </c>
      <c r="T3330" s="3">
        <v>1131467000</v>
      </c>
      <c r="U3330" s="3" t="s">
        <v>29</v>
      </c>
    </row>
    <row r="3331" spans="1:21" ht="13.2" x14ac:dyDescent="0.25">
      <c r="A3331" s="14">
        <v>33469164030290</v>
      </c>
      <c r="B3331" s="15" t="str">
        <f t="shared" ref="B3331:B3394" si="52">TEXT(A3331,"00\.000\.000\/0000\-00")</f>
        <v>33.469.164/0302-90</v>
      </c>
      <c r="C3331" s="12"/>
      <c r="D3331" s="3" t="s">
        <v>11676</v>
      </c>
      <c r="E3331" s="3" t="s">
        <v>11677</v>
      </c>
      <c r="F3331" s="3" t="s">
        <v>45</v>
      </c>
      <c r="G3331" s="4">
        <v>34059</v>
      </c>
      <c r="H3331" s="3" t="s">
        <v>625</v>
      </c>
      <c r="I3331" s="3" t="s">
        <v>33</v>
      </c>
      <c r="J3331" s="5">
        <v>0</v>
      </c>
      <c r="K3331" s="3">
        <v>8800600</v>
      </c>
      <c r="L3331" s="3" t="s">
        <v>264</v>
      </c>
      <c r="M3331" s="3" t="s">
        <v>1767</v>
      </c>
      <c r="N3331" s="3">
        <v>2876</v>
      </c>
      <c r="P3331" s="3" t="s">
        <v>1740</v>
      </c>
      <c r="Q3331" s="3" t="s">
        <v>27</v>
      </c>
      <c r="R3331" s="3" t="s">
        <v>28</v>
      </c>
      <c r="S3331" s="3">
        <v>5402500</v>
      </c>
      <c r="U3331" s="3" t="s">
        <v>29</v>
      </c>
    </row>
    <row r="3332" spans="1:21" ht="13.2" x14ac:dyDescent="0.25">
      <c r="A3332" s="14">
        <v>10311239000136</v>
      </c>
      <c r="B3332" s="15" t="str">
        <f t="shared" si="52"/>
        <v>10.311.239/0001-36</v>
      </c>
      <c r="C3332" s="12"/>
      <c r="D3332" s="3" t="s">
        <v>11678</v>
      </c>
      <c r="E3332" s="3" t="s">
        <v>11678</v>
      </c>
      <c r="F3332" s="3" t="s">
        <v>20</v>
      </c>
      <c r="G3332" s="4">
        <v>39680</v>
      </c>
      <c r="H3332" s="3" t="s">
        <v>94</v>
      </c>
      <c r="I3332" s="3" t="s">
        <v>33</v>
      </c>
      <c r="J3332" s="5">
        <v>19532408</v>
      </c>
      <c r="K3332" s="3">
        <v>3701100</v>
      </c>
      <c r="L3332" s="3" t="s">
        <v>2425</v>
      </c>
      <c r="M3332" s="3" t="s">
        <v>11679</v>
      </c>
      <c r="N3332" s="3" t="s">
        <v>82</v>
      </c>
      <c r="O3332" s="3" t="s">
        <v>11680</v>
      </c>
      <c r="P3332" s="3" t="s">
        <v>11681</v>
      </c>
      <c r="Q3332" s="3" t="s">
        <v>2198</v>
      </c>
      <c r="R3332" s="3" t="s">
        <v>28</v>
      </c>
      <c r="S3332" s="3">
        <v>13805021</v>
      </c>
      <c r="T3332" s="3">
        <v>1938049033</v>
      </c>
      <c r="U3332" s="3" t="s">
        <v>29</v>
      </c>
    </row>
    <row r="3333" spans="1:21" ht="13.2" x14ac:dyDescent="0.25">
      <c r="A3333" s="14">
        <v>13122787000106</v>
      </c>
      <c r="B3333" s="15" t="str">
        <f t="shared" si="52"/>
        <v>13.122.787/0001-06</v>
      </c>
      <c r="C3333" s="12"/>
      <c r="D3333" s="3" t="s">
        <v>11682</v>
      </c>
      <c r="E3333" s="3" t="s">
        <v>11683</v>
      </c>
      <c r="F3333" s="3" t="s">
        <v>31</v>
      </c>
      <c r="G3333" s="4">
        <v>40557</v>
      </c>
      <c r="H3333" s="3" t="s">
        <v>21</v>
      </c>
      <c r="I3333" s="3" t="s">
        <v>47</v>
      </c>
      <c r="J3333" s="5">
        <v>50000</v>
      </c>
      <c r="K3333" s="3">
        <v>6920601</v>
      </c>
      <c r="L3333" s="3" t="s">
        <v>1507</v>
      </c>
      <c r="M3333" s="3" t="s">
        <v>11684</v>
      </c>
      <c r="N3333" s="3" t="s">
        <v>82</v>
      </c>
      <c r="P3333" s="3" t="s">
        <v>5845</v>
      </c>
      <c r="Q3333" s="3" t="s">
        <v>631</v>
      </c>
      <c r="R3333" s="3" t="s">
        <v>632</v>
      </c>
      <c r="S3333" s="3">
        <v>73340100</v>
      </c>
      <c r="T3333" s="3">
        <v>6133899385</v>
      </c>
      <c r="U3333" s="3" t="s">
        <v>29</v>
      </c>
    </row>
    <row r="3334" spans="1:21" ht="13.2" x14ac:dyDescent="0.25">
      <c r="A3334" s="14">
        <v>3365708000134</v>
      </c>
      <c r="B3334" s="15" t="str">
        <f t="shared" si="52"/>
        <v>03.365.708/0001-34</v>
      </c>
      <c r="C3334" s="12"/>
      <c r="D3334" s="3" t="s">
        <v>11685</v>
      </c>
      <c r="E3334" s="3" t="s">
        <v>11686</v>
      </c>
      <c r="F3334" s="3" t="s">
        <v>20</v>
      </c>
      <c r="G3334" s="4">
        <v>36396</v>
      </c>
      <c r="H3334" s="3" t="s">
        <v>21</v>
      </c>
      <c r="I3334" s="3" t="s">
        <v>22</v>
      </c>
      <c r="J3334" s="5">
        <v>1000000</v>
      </c>
      <c r="K3334" s="3">
        <v>2062200</v>
      </c>
      <c r="L3334" s="3" t="s">
        <v>2500</v>
      </c>
      <c r="M3334" s="3" t="s">
        <v>11687</v>
      </c>
      <c r="N3334" s="3">
        <v>123</v>
      </c>
      <c r="P3334" s="3" t="s">
        <v>11688</v>
      </c>
      <c r="Q3334" s="3" t="s">
        <v>3346</v>
      </c>
      <c r="R3334" s="3" t="s">
        <v>28</v>
      </c>
      <c r="S3334" s="3">
        <v>14179506</v>
      </c>
      <c r="T3334" s="3">
        <v>1639473003</v>
      </c>
      <c r="U3334" s="3" t="s">
        <v>29</v>
      </c>
    </row>
    <row r="3335" spans="1:21" ht="13.2" x14ac:dyDescent="0.25">
      <c r="A3335" s="14">
        <v>13416744000133</v>
      </c>
      <c r="B3335" s="15" t="str">
        <f t="shared" si="52"/>
        <v>13.416.744/0001-33</v>
      </c>
      <c r="C3335" s="12"/>
      <c r="D3335" s="3" t="s">
        <v>11689</v>
      </c>
      <c r="E3335" s="3" t="s">
        <v>11689</v>
      </c>
      <c r="F3335" s="3" t="s">
        <v>20</v>
      </c>
      <c r="G3335" s="4">
        <v>40626</v>
      </c>
      <c r="H3335" s="3" t="s">
        <v>21</v>
      </c>
      <c r="I3335" s="3" t="s">
        <v>47</v>
      </c>
      <c r="J3335" s="5">
        <v>4000000</v>
      </c>
      <c r="K3335" s="3">
        <v>8011101</v>
      </c>
      <c r="L3335" s="3" t="s">
        <v>943</v>
      </c>
      <c r="M3335" s="3" t="s">
        <v>11690</v>
      </c>
      <c r="N3335" s="3">
        <v>221</v>
      </c>
      <c r="P3335" s="3" t="s">
        <v>11691</v>
      </c>
      <c r="Q3335" s="3" t="s">
        <v>5089</v>
      </c>
      <c r="R3335" s="3" t="s">
        <v>281</v>
      </c>
      <c r="S3335" s="3">
        <v>42738215</v>
      </c>
      <c r="T3335" s="3">
        <v>7191760467</v>
      </c>
      <c r="U3335" s="3" t="s">
        <v>29</v>
      </c>
    </row>
    <row r="3336" spans="1:21" ht="13.2" x14ac:dyDescent="0.25">
      <c r="A3336" s="14">
        <v>50981018000190</v>
      </c>
      <c r="B3336" s="15" t="str">
        <f t="shared" si="52"/>
        <v>50.981.018/0001-90</v>
      </c>
      <c r="C3336" s="12" t="str">
        <f>VLOOKUP(B3336,[1]Planilha1!$A:$B,2,0)</f>
        <v>Malu Montesino</v>
      </c>
      <c r="D3336" s="3" t="s">
        <v>11692</v>
      </c>
      <c r="E3336" s="3" t="s">
        <v>11692</v>
      </c>
      <c r="F3336" s="3" t="s">
        <v>20</v>
      </c>
      <c r="G3336" s="4">
        <v>30182</v>
      </c>
      <c r="H3336" s="3" t="s">
        <v>21</v>
      </c>
      <c r="I3336" s="3" t="s">
        <v>33</v>
      </c>
      <c r="J3336" s="5">
        <v>862420860</v>
      </c>
      <c r="K3336" s="3">
        <v>2815102</v>
      </c>
      <c r="L3336" s="3" t="s">
        <v>1412</v>
      </c>
      <c r="M3336" s="3" t="s">
        <v>11693</v>
      </c>
      <c r="N3336" s="3">
        <v>205</v>
      </c>
      <c r="O3336" s="3" t="s">
        <v>11694</v>
      </c>
      <c r="P3336" s="3" t="s">
        <v>11695</v>
      </c>
      <c r="Q3336" s="3" t="s">
        <v>1235</v>
      </c>
      <c r="R3336" s="3" t="s">
        <v>28</v>
      </c>
      <c r="S3336" s="3">
        <v>13347510</v>
      </c>
      <c r="T3336" s="3">
        <v>1925188000</v>
      </c>
      <c r="U3336" s="3" t="s">
        <v>29</v>
      </c>
    </row>
    <row r="3337" spans="1:21" ht="13.2" x14ac:dyDescent="0.25">
      <c r="A3337" s="14">
        <v>39644823000195</v>
      </c>
      <c r="B3337" s="15" t="str">
        <f t="shared" si="52"/>
        <v>39.644.823/0001-95</v>
      </c>
      <c r="C3337" s="12"/>
      <c r="D3337" s="3" t="s">
        <v>11696</v>
      </c>
      <c r="E3337" s="3" t="s">
        <v>11697</v>
      </c>
      <c r="F3337" s="3" t="s">
        <v>20</v>
      </c>
      <c r="G3337" s="4">
        <v>44138</v>
      </c>
      <c r="H3337" s="3" t="s">
        <v>21</v>
      </c>
      <c r="I3337" s="3" t="s">
        <v>22</v>
      </c>
      <c r="J3337" s="5">
        <v>80000</v>
      </c>
      <c r="K3337" s="3">
        <v>4634603</v>
      </c>
      <c r="L3337" s="3" t="s">
        <v>11698</v>
      </c>
      <c r="M3337" s="3" t="s">
        <v>11699</v>
      </c>
      <c r="N3337" s="3">
        <v>180</v>
      </c>
      <c r="O3337" s="3" t="s">
        <v>11700</v>
      </c>
      <c r="P3337" s="3" t="s">
        <v>11701</v>
      </c>
      <c r="Q3337" s="3" t="s">
        <v>180</v>
      </c>
      <c r="R3337" s="3" t="s">
        <v>28</v>
      </c>
      <c r="S3337" s="3">
        <v>11330020</v>
      </c>
      <c r="T3337" s="3">
        <v>1333269740</v>
      </c>
      <c r="U3337" s="3" t="s">
        <v>29</v>
      </c>
    </row>
    <row r="3338" spans="1:21" ht="13.2" x14ac:dyDescent="0.25">
      <c r="A3338" s="14">
        <v>21256351000138</v>
      </c>
      <c r="B3338" s="15" t="str">
        <f t="shared" si="52"/>
        <v>21.256.351/0001-38</v>
      </c>
      <c r="C3338" s="12"/>
      <c r="D3338" s="3" t="s">
        <v>11702</v>
      </c>
      <c r="E3338" s="3" t="s">
        <v>11703</v>
      </c>
      <c r="F3338" s="3" t="s">
        <v>20</v>
      </c>
      <c r="G3338" s="4">
        <v>41929</v>
      </c>
      <c r="H3338" s="3" t="s">
        <v>21</v>
      </c>
      <c r="I3338" s="3" t="s">
        <v>33</v>
      </c>
      <c r="J3338" s="5">
        <v>635289</v>
      </c>
      <c r="K3338" s="3">
        <v>4744005</v>
      </c>
      <c r="L3338" s="3" t="s">
        <v>1483</v>
      </c>
      <c r="M3338" s="3" t="s">
        <v>11704</v>
      </c>
      <c r="N3338" s="3">
        <v>375</v>
      </c>
      <c r="P3338" s="3" t="s">
        <v>1064</v>
      </c>
      <c r="Q3338" s="3" t="s">
        <v>27</v>
      </c>
      <c r="R3338" s="3" t="s">
        <v>28</v>
      </c>
      <c r="S3338" s="3">
        <v>4012090</v>
      </c>
      <c r="T3338" s="3">
        <v>1130502828</v>
      </c>
      <c r="U3338" s="3" t="s">
        <v>29</v>
      </c>
    </row>
    <row r="3339" spans="1:21" ht="13.2" x14ac:dyDescent="0.25">
      <c r="A3339" s="14">
        <v>18588976000192</v>
      </c>
      <c r="B3339" s="15" t="str">
        <f t="shared" si="52"/>
        <v>18.588.976/0001-92</v>
      </c>
      <c r="C3339" s="12"/>
      <c r="D3339" s="3" t="s">
        <v>11705</v>
      </c>
      <c r="E3339" s="3" t="s">
        <v>11705</v>
      </c>
      <c r="F3339" s="3" t="s">
        <v>45</v>
      </c>
      <c r="G3339" s="4">
        <v>41486</v>
      </c>
      <c r="H3339" s="3" t="s">
        <v>21</v>
      </c>
      <c r="I3339" s="3" t="s">
        <v>33</v>
      </c>
      <c r="J3339" s="5">
        <v>150000</v>
      </c>
      <c r="K3339" s="3">
        <v>2223400</v>
      </c>
      <c r="L3339" s="3" t="s">
        <v>868</v>
      </c>
      <c r="M3339" s="3" t="s">
        <v>1386</v>
      </c>
      <c r="N3339" s="3">
        <v>826</v>
      </c>
      <c r="O3339" s="3" t="s">
        <v>4696</v>
      </c>
      <c r="P3339" s="3" t="s">
        <v>11706</v>
      </c>
      <c r="Q3339" s="3" t="s">
        <v>1410</v>
      </c>
      <c r="R3339" s="3" t="s">
        <v>28</v>
      </c>
      <c r="S3339" s="3">
        <v>9185610</v>
      </c>
      <c r="T3339" s="3">
        <v>1123798400</v>
      </c>
      <c r="U3339" s="3" t="s">
        <v>29</v>
      </c>
    </row>
    <row r="3340" spans="1:21" ht="13.2" x14ac:dyDescent="0.25">
      <c r="A3340" s="14">
        <v>7781477000109</v>
      </c>
      <c r="B3340" s="15" t="str">
        <f t="shared" si="52"/>
        <v>07.781.477/0001-09</v>
      </c>
      <c r="C3340" s="12" t="str">
        <f>VLOOKUP(B3340,[1]Planilha1!$A:$B,2,0)</f>
        <v>Malu Montesino</v>
      </c>
      <c r="D3340" s="3" t="s">
        <v>11707</v>
      </c>
      <c r="E3340" s="3" t="s">
        <v>11707</v>
      </c>
      <c r="F3340" s="3" t="s">
        <v>20</v>
      </c>
      <c r="G3340" s="4">
        <v>38713</v>
      </c>
      <c r="H3340" s="3" t="s">
        <v>94</v>
      </c>
      <c r="I3340" s="3" t="s">
        <v>33</v>
      </c>
      <c r="J3340" s="5">
        <v>4890000</v>
      </c>
      <c r="K3340" s="3">
        <v>6462000</v>
      </c>
      <c r="L3340" s="3" t="s">
        <v>250</v>
      </c>
      <c r="M3340" s="3" t="s">
        <v>11708</v>
      </c>
      <c r="N3340" s="3">
        <v>10</v>
      </c>
      <c r="O3340" s="3" t="s">
        <v>11709</v>
      </c>
      <c r="P3340" s="3" t="s">
        <v>70</v>
      </c>
      <c r="Q3340" s="3" t="s">
        <v>253</v>
      </c>
      <c r="R3340" s="3" t="s">
        <v>78</v>
      </c>
      <c r="S3340" s="3">
        <v>20011901</v>
      </c>
      <c r="T3340" s="3">
        <v>2135565808</v>
      </c>
      <c r="U3340" s="3" t="s">
        <v>29</v>
      </c>
    </row>
    <row r="3341" spans="1:21" ht="13.2" x14ac:dyDescent="0.25">
      <c r="A3341" s="14">
        <v>306499000160</v>
      </c>
      <c r="B3341" s="15" t="str">
        <f t="shared" si="52"/>
        <v>00.306.499/0001-60</v>
      </c>
      <c r="C3341" s="12"/>
      <c r="D3341" s="3" t="s">
        <v>11710</v>
      </c>
      <c r="E3341" s="3" t="s">
        <v>11710</v>
      </c>
      <c r="F3341" s="3" t="s">
        <v>20</v>
      </c>
      <c r="G3341" s="4">
        <v>34655</v>
      </c>
      <c r="H3341" s="3" t="s">
        <v>32</v>
      </c>
      <c r="I3341" s="3" t="s">
        <v>22</v>
      </c>
      <c r="J3341" s="5">
        <v>10000</v>
      </c>
      <c r="K3341" s="3">
        <v>6920601</v>
      </c>
      <c r="L3341" s="3" t="s">
        <v>1507</v>
      </c>
      <c r="M3341" s="3" t="s">
        <v>11711</v>
      </c>
      <c r="N3341" s="3">
        <v>128</v>
      </c>
      <c r="O3341" s="3" t="s">
        <v>11712</v>
      </c>
      <c r="P3341" s="3" t="s">
        <v>1230</v>
      </c>
      <c r="Q3341" s="3" t="s">
        <v>27</v>
      </c>
      <c r="R3341" s="3" t="s">
        <v>28</v>
      </c>
      <c r="S3341" s="3">
        <v>4530050</v>
      </c>
      <c r="T3341" s="3">
        <v>1130789626</v>
      </c>
      <c r="U3341" s="3" t="s">
        <v>29</v>
      </c>
    </row>
    <row r="3342" spans="1:21" ht="13.2" x14ac:dyDescent="0.25">
      <c r="A3342" s="14">
        <v>61980272000190</v>
      </c>
      <c r="B3342" s="15" t="str">
        <f t="shared" si="52"/>
        <v>61.980.272/0001-90</v>
      </c>
      <c r="C3342" s="12"/>
      <c r="D3342" s="3" t="s">
        <v>11713</v>
      </c>
      <c r="E3342" s="3" t="s">
        <v>11713</v>
      </c>
      <c r="F3342" s="3" t="s">
        <v>20</v>
      </c>
      <c r="G3342" s="4">
        <v>32843</v>
      </c>
      <c r="H3342" s="3" t="s">
        <v>21</v>
      </c>
      <c r="I3342" s="3" t="s">
        <v>33</v>
      </c>
      <c r="J3342" s="5">
        <v>27100000</v>
      </c>
      <c r="K3342" s="3">
        <v>5620101</v>
      </c>
      <c r="L3342" s="3" t="s">
        <v>1369</v>
      </c>
      <c r="M3342" s="3" t="s">
        <v>11714</v>
      </c>
      <c r="N3342" s="3">
        <v>2600</v>
      </c>
      <c r="P3342" s="3" t="s">
        <v>11715</v>
      </c>
      <c r="Q3342" s="3" t="s">
        <v>375</v>
      </c>
      <c r="R3342" s="3" t="s">
        <v>28</v>
      </c>
      <c r="S3342" s="3">
        <v>12325000</v>
      </c>
      <c r="T3342" s="3">
        <v>1230235000</v>
      </c>
      <c r="U3342" s="3" t="s">
        <v>29</v>
      </c>
    </row>
    <row r="3343" spans="1:21" ht="13.2" x14ac:dyDescent="0.25">
      <c r="A3343" s="14">
        <v>33348467000186</v>
      </c>
      <c r="B3343" s="15" t="str">
        <f t="shared" si="52"/>
        <v>33.348.467/0001-86</v>
      </c>
      <c r="C3343" s="12"/>
      <c r="D3343" s="3" t="s">
        <v>11716</v>
      </c>
      <c r="E3343" s="3" t="s">
        <v>11717</v>
      </c>
      <c r="F3343" s="3" t="s">
        <v>20</v>
      </c>
      <c r="G3343" s="4">
        <v>32729</v>
      </c>
      <c r="H3343" s="3" t="s">
        <v>21</v>
      </c>
      <c r="I3343" s="3" t="s">
        <v>33</v>
      </c>
      <c r="J3343" s="5">
        <v>2000000</v>
      </c>
      <c r="K3343" s="3">
        <v>3250705</v>
      </c>
      <c r="L3343" s="3" t="s">
        <v>2420</v>
      </c>
      <c r="M3343" s="3" t="s">
        <v>11718</v>
      </c>
      <c r="N3343" s="3">
        <v>3523</v>
      </c>
      <c r="O3343" s="3" t="s">
        <v>11719</v>
      </c>
      <c r="P3343" s="3" t="s">
        <v>11720</v>
      </c>
      <c r="Q3343" s="3" t="s">
        <v>11721</v>
      </c>
      <c r="R3343" s="3" t="s">
        <v>274</v>
      </c>
      <c r="S3343" s="3">
        <v>76056000</v>
      </c>
      <c r="T3343" s="3">
        <v>6436711453</v>
      </c>
      <c r="U3343" s="3" t="s">
        <v>29</v>
      </c>
    </row>
    <row r="3344" spans="1:21" ht="13.2" x14ac:dyDescent="0.25">
      <c r="A3344" s="14">
        <v>6224121000101</v>
      </c>
      <c r="B3344" s="15" t="str">
        <f t="shared" si="52"/>
        <v>06.224.121/0001-01</v>
      </c>
      <c r="C3344" s="12" t="str">
        <f>VLOOKUP(B3344,[1]Planilha1!$A:$B,2,0)</f>
        <v>Malu Montesino</v>
      </c>
      <c r="D3344" s="3" t="s">
        <v>11722</v>
      </c>
      <c r="E3344" s="3" t="s">
        <v>11723</v>
      </c>
      <c r="F3344" s="3" t="s">
        <v>20</v>
      </c>
      <c r="G3344" s="4">
        <v>38106</v>
      </c>
      <c r="H3344" s="3" t="s">
        <v>21</v>
      </c>
      <c r="I3344" s="3" t="s">
        <v>33</v>
      </c>
      <c r="J3344" s="5">
        <v>97150540</v>
      </c>
      <c r="K3344" s="3">
        <v>4662100</v>
      </c>
      <c r="L3344" s="3" t="s">
        <v>2324</v>
      </c>
      <c r="M3344" s="3" t="s">
        <v>11724</v>
      </c>
      <c r="N3344" s="3">
        <v>2230</v>
      </c>
      <c r="O3344" s="3" t="s">
        <v>828</v>
      </c>
      <c r="P3344" s="3" t="s">
        <v>4755</v>
      </c>
      <c r="Q3344" s="3" t="s">
        <v>27</v>
      </c>
      <c r="R3344" s="3" t="s">
        <v>28</v>
      </c>
      <c r="S3344" s="3">
        <v>2732040</v>
      </c>
      <c r="T3344" s="3">
        <v>1121599000</v>
      </c>
      <c r="U3344" s="3" t="s">
        <v>29</v>
      </c>
    </row>
    <row r="3345" spans="1:21" ht="13.2" x14ac:dyDescent="0.25">
      <c r="A3345" s="14">
        <v>10456016000167</v>
      </c>
      <c r="B3345" s="15" t="str">
        <f t="shared" si="52"/>
        <v>10.456.016/0001-67</v>
      </c>
      <c r="C3345" s="12"/>
      <c r="D3345" s="3" t="s">
        <v>11725</v>
      </c>
      <c r="E3345" s="3" t="s">
        <v>11725</v>
      </c>
      <c r="F3345" s="3" t="s">
        <v>20</v>
      </c>
      <c r="G3345" s="4">
        <v>39708</v>
      </c>
      <c r="H3345" s="3" t="s">
        <v>21</v>
      </c>
      <c r="I3345" s="3" t="s">
        <v>33</v>
      </c>
      <c r="J3345" s="5">
        <v>14697740000</v>
      </c>
      <c r="K3345" s="3">
        <v>600001</v>
      </c>
      <c r="L3345" s="3" t="s">
        <v>2644</v>
      </c>
      <c r="M3345" s="3" t="s">
        <v>7242</v>
      </c>
      <c r="N3345" s="3">
        <v>330</v>
      </c>
      <c r="O3345" s="3" t="s">
        <v>11726</v>
      </c>
      <c r="P3345" s="3" t="s">
        <v>70</v>
      </c>
      <c r="Q3345" s="3" t="s">
        <v>253</v>
      </c>
      <c r="R3345" s="3" t="s">
        <v>78</v>
      </c>
      <c r="S3345" s="3">
        <v>20031170</v>
      </c>
      <c r="T3345" s="3">
        <v>2139847000</v>
      </c>
      <c r="U3345" s="3" t="s">
        <v>29</v>
      </c>
    </row>
    <row r="3346" spans="1:21" ht="13.2" x14ac:dyDescent="0.25">
      <c r="A3346" s="14">
        <v>60872306000160</v>
      </c>
      <c r="B3346" s="15" t="str">
        <f t="shared" si="52"/>
        <v>60.872.306/0001-60</v>
      </c>
      <c r="C3346" s="12" t="str">
        <f>VLOOKUP(B3346,[1]Planilha1!$A:$B,2,0)</f>
        <v>Malu Montesino</v>
      </c>
      <c r="D3346" s="3" t="s">
        <v>11727</v>
      </c>
      <c r="E3346" s="3" t="s">
        <v>11727</v>
      </c>
      <c r="F3346" s="3" t="s">
        <v>20</v>
      </c>
      <c r="G3346" s="4">
        <v>28556</v>
      </c>
      <c r="H3346" s="3" t="s">
        <v>21</v>
      </c>
      <c r="I3346" s="3" t="s">
        <v>33</v>
      </c>
      <c r="J3346" s="5">
        <v>6876823600</v>
      </c>
      <c r="K3346" s="3">
        <v>2071100</v>
      </c>
      <c r="L3346" s="3" t="s">
        <v>877</v>
      </c>
      <c r="M3346" s="3" t="s">
        <v>11728</v>
      </c>
      <c r="N3346" s="3">
        <v>480</v>
      </c>
      <c r="P3346" s="3" t="s">
        <v>11729</v>
      </c>
      <c r="Q3346" s="3" t="s">
        <v>1284</v>
      </c>
      <c r="R3346" s="3" t="s">
        <v>28</v>
      </c>
      <c r="S3346" s="3">
        <v>6785300</v>
      </c>
      <c r="T3346" s="3">
        <v>1121375000</v>
      </c>
      <c r="U3346" s="3" t="s">
        <v>29</v>
      </c>
    </row>
    <row r="3347" spans="1:21" ht="13.2" x14ac:dyDescent="0.25">
      <c r="A3347" s="14">
        <v>58752460000156</v>
      </c>
      <c r="B3347" s="15" t="str">
        <f t="shared" si="52"/>
        <v>58.752.460/0001-56</v>
      </c>
      <c r="C3347" s="12" t="str">
        <f>VLOOKUP(B3347,[1]Planilha1!$A:$B,2,0)</f>
        <v>Mariane Nascimento</v>
      </c>
      <c r="D3347" s="3" t="s">
        <v>11730</v>
      </c>
      <c r="E3347" s="3" t="s">
        <v>11730</v>
      </c>
      <c r="F3347" s="3" t="s">
        <v>20</v>
      </c>
      <c r="G3347" s="4">
        <v>32231</v>
      </c>
      <c r="H3347" s="3" t="s">
        <v>21</v>
      </c>
      <c r="I3347" s="3" t="s">
        <v>33</v>
      </c>
      <c r="J3347" s="5">
        <v>43883516</v>
      </c>
      <c r="K3347" s="3">
        <v>4664800</v>
      </c>
      <c r="L3347" s="3" t="s">
        <v>691</v>
      </c>
      <c r="M3347" s="3" t="s">
        <v>616</v>
      </c>
      <c r="N3347" s="3">
        <v>576</v>
      </c>
      <c r="P3347" s="3" t="s">
        <v>616</v>
      </c>
      <c r="Q3347" s="3" t="s">
        <v>617</v>
      </c>
      <c r="R3347" s="3" t="s">
        <v>28</v>
      </c>
      <c r="S3347" s="3">
        <v>6460000</v>
      </c>
      <c r="T3347" s="3">
        <v>1124241700</v>
      </c>
      <c r="U3347" s="3" t="s">
        <v>29</v>
      </c>
    </row>
    <row r="3348" spans="1:21" ht="13.2" x14ac:dyDescent="0.25">
      <c r="A3348" s="14">
        <v>9454377000195</v>
      </c>
      <c r="B3348" s="15" t="str">
        <f t="shared" si="52"/>
        <v>09.454.377/0001-95</v>
      </c>
      <c r="C3348" s="12" t="str">
        <f>VLOOKUP(B3348,[1]Planilha1!$A:$B,2,0)</f>
        <v>Malu Montesino</v>
      </c>
      <c r="D3348" s="3" t="s">
        <v>11731</v>
      </c>
      <c r="E3348" s="3" t="s">
        <v>11732</v>
      </c>
      <c r="F3348" s="3" t="s">
        <v>20</v>
      </c>
      <c r="G3348" s="4">
        <v>39512</v>
      </c>
      <c r="H3348" s="3" t="s">
        <v>21</v>
      </c>
      <c r="I3348" s="3" t="s">
        <v>22</v>
      </c>
      <c r="J3348" s="5">
        <v>120000</v>
      </c>
      <c r="K3348" s="3">
        <v>4645101</v>
      </c>
      <c r="L3348" s="3" t="s">
        <v>135</v>
      </c>
      <c r="M3348" s="3" t="s">
        <v>11733</v>
      </c>
      <c r="N3348" s="3">
        <v>900</v>
      </c>
      <c r="P3348" s="3" t="s">
        <v>11734</v>
      </c>
      <c r="Q3348" s="3" t="s">
        <v>915</v>
      </c>
      <c r="R3348" s="3" t="s">
        <v>28</v>
      </c>
      <c r="S3348" s="3">
        <v>14140000</v>
      </c>
      <c r="T3348" s="3">
        <v>1632380180</v>
      </c>
      <c r="U3348" s="3" t="s">
        <v>29</v>
      </c>
    </row>
    <row r="3349" spans="1:21" ht="13.2" x14ac:dyDescent="0.25">
      <c r="A3349" s="14">
        <v>769222000173</v>
      </c>
      <c r="B3349" s="15" t="str">
        <f t="shared" si="52"/>
        <v>00.769.222/0001-73</v>
      </c>
      <c r="C3349" s="12"/>
      <c r="D3349" s="3" t="s">
        <v>11735</v>
      </c>
      <c r="E3349" s="3" t="s">
        <v>11735</v>
      </c>
      <c r="F3349" s="3" t="s">
        <v>20</v>
      </c>
      <c r="G3349" s="4">
        <v>34873</v>
      </c>
      <c r="H3349" s="3" t="s">
        <v>21</v>
      </c>
      <c r="I3349" s="3" t="s">
        <v>33</v>
      </c>
      <c r="J3349" s="5">
        <v>43923160</v>
      </c>
      <c r="K3349" s="3">
        <v>4663000</v>
      </c>
      <c r="L3349" s="3" t="s">
        <v>128</v>
      </c>
      <c r="M3349" s="3" t="s">
        <v>11736</v>
      </c>
      <c r="N3349" s="3">
        <v>391</v>
      </c>
      <c r="P3349" s="3" t="s">
        <v>5260</v>
      </c>
      <c r="Q3349" s="3" t="s">
        <v>27</v>
      </c>
      <c r="R3349" s="3" t="s">
        <v>28</v>
      </c>
      <c r="S3349" s="3">
        <v>4085000</v>
      </c>
      <c r="T3349" s="3">
        <v>1132154947</v>
      </c>
      <c r="U3349" s="3" t="s">
        <v>29</v>
      </c>
    </row>
    <row r="3350" spans="1:21" ht="13.2" x14ac:dyDescent="0.25">
      <c r="A3350" s="14">
        <v>33579046000166</v>
      </c>
      <c r="B3350" s="15" t="str">
        <f t="shared" si="52"/>
        <v>33.579.046/0001-66</v>
      </c>
      <c r="C3350" s="12"/>
      <c r="D3350" s="3" t="s">
        <v>11737</v>
      </c>
      <c r="E3350" s="3" t="s">
        <v>11737</v>
      </c>
      <c r="F3350" s="3" t="s">
        <v>20</v>
      </c>
      <c r="G3350" s="4">
        <v>32919</v>
      </c>
      <c r="H3350" s="3" t="s">
        <v>94</v>
      </c>
      <c r="I3350" s="3" t="s">
        <v>33</v>
      </c>
      <c r="J3350" s="5">
        <v>39021676</v>
      </c>
      <c r="K3350" s="3">
        <v>3101200</v>
      </c>
      <c r="L3350" s="3" t="s">
        <v>359</v>
      </c>
      <c r="M3350" s="3" t="s">
        <v>11738</v>
      </c>
      <c r="N3350" s="3" t="s">
        <v>111</v>
      </c>
      <c r="O3350" s="3" t="s">
        <v>11739</v>
      </c>
      <c r="P3350" s="3" t="s">
        <v>11740</v>
      </c>
      <c r="Q3350" s="3" t="s">
        <v>573</v>
      </c>
      <c r="R3350" s="3" t="s">
        <v>274</v>
      </c>
      <c r="S3350" s="3">
        <v>74985211</v>
      </c>
      <c r="T3350" s="3">
        <v>6240062800</v>
      </c>
      <c r="U3350" s="3" t="s">
        <v>29</v>
      </c>
    </row>
    <row r="3351" spans="1:21" ht="13.2" x14ac:dyDescent="0.25">
      <c r="A3351" s="14">
        <v>73586976000161</v>
      </c>
      <c r="B3351" s="15" t="str">
        <f t="shared" si="52"/>
        <v>73.586.976/0001-61</v>
      </c>
      <c r="C3351" s="12" t="str">
        <f>VLOOKUP(B3351,[1]Planilha1!$A:$B,2,0)</f>
        <v>Malu Montesino</v>
      </c>
      <c r="D3351" s="3" t="s">
        <v>11741</v>
      </c>
      <c r="E3351" s="3" t="s">
        <v>11741</v>
      </c>
      <c r="F3351" s="3" t="s">
        <v>20</v>
      </c>
      <c r="G3351" s="4">
        <v>34263</v>
      </c>
      <c r="H3351" s="3" t="s">
        <v>94</v>
      </c>
      <c r="I3351" s="3" t="s">
        <v>33</v>
      </c>
      <c r="J3351" s="5">
        <v>34654510</v>
      </c>
      <c r="K3351" s="3">
        <v>2099199</v>
      </c>
      <c r="L3351" s="3" t="s">
        <v>80</v>
      </c>
      <c r="M3351" s="3" t="s">
        <v>1880</v>
      </c>
      <c r="N3351" s="3">
        <v>22591</v>
      </c>
      <c r="P3351" s="3" t="s">
        <v>10308</v>
      </c>
      <c r="Q3351" s="3" t="s">
        <v>186</v>
      </c>
      <c r="R3351" s="3" t="s">
        <v>187</v>
      </c>
      <c r="S3351" s="3">
        <v>83090360</v>
      </c>
      <c r="T3351" s="3">
        <v>4121016206</v>
      </c>
      <c r="U3351" s="3" t="s">
        <v>29</v>
      </c>
    </row>
    <row r="3352" spans="1:21" ht="13.2" x14ac:dyDescent="0.25">
      <c r="A3352" s="14">
        <v>82992686000109</v>
      </c>
      <c r="B3352" s="15" t="str">
        <f t="shared" si="52"/>
        <v>82.992.686/0001-09</v>
      </c>
      <c r="C3352" s="12" t="str">
        <f>VLOOKUP(B3352,[1]Planilha1!$A:$B,2,0)</f>
        <v>Malu Montesino</v>
      </c>
      <c r="D3352" s="3" t="s">
        <v>11742</v>
      </c>
      <c r="E3352" s="3" t="s">
        <v>11743</v>
      </c>
      <c r="F3352" s="3" t="s">
        <v>20</v>
      </c>
      <c r="G3352" s="4">
        <v>33332</v>
      </c>
      <c r="H3352" s="3" t="s">
        <v>21</v>
      </c>
      <c r="I3352" s="3" t="s">
        <v>33</v>
      </c>
      <c r="J3352" s="5">
        <v>1000101</v>
      </c>
      <c r="K3352" s="3">
        <v>4669999</v>
      </c>
      <c r="L3352" s="3" t="s">
        <v>558</v>
      </c>
      <c r="M3352" s="3" t="s">
        <v>11744</v>
      </c>
      <c r="N3352" s="3">
        <v>4201</v>
      </c>
      <c r="P3352" s="3" t="s">
        <v>11745</v>
      </c>
      <c r="Q3352" s="3" t="s">
        <v>2287</v>
      </c>
      <c r="R3352" s="3" t="s">
        <v>91</v>
      </c>
      <c r="S3352" s="3">
        <v>88302101</v>
      </c>
      <c r="T3352" s="3">
        <v>4721035000</v>
      </c>
      <c r="U3352" s="3" t="s">
        <v>29</v>
      </c>
    </row>
    <row r="3353" spans="1:21" ht="13.2" x14ac:dyDescent="0.25">
      <c r="A3353" s="14">
        <v>1449930000190</v>
      </c>
      <c r="B3353" s="15" t="str">
        <f t="shared" si="52"/>
        <v>01.449.930/0001-90</v>
      </c>
      <c r="C3353" s="12" t="str">
        <f>VLOOKUP(B3353,[1]Planilha1!$A:$B,2,0)</f>
        <v>Malu Montesino</v>
      </c>
      <c r="D3353" s="3" t="s">
        <v>11746</v>
      </c>
      <c r="E3353" s="3" t="s">
        <v>11747</v>
      </c>
      <c r="F3353" s="3" t="s">
        <v>20</v>
      </c>
      <c r="G3353" s="4">
        <v>35331</v>
      </c>
      <c r="H3353" s="3" t="s">
        <v>21</v>
      </c>
      <c r="I3353" s="3" t="s">
        <v>33</v>
      </c>
      <c r="J3353" s="5">
        <v>309332500</v>
      </c>
      <c r="K3353" s="3">
        <v>4645101</v>
      </c>
      <c r="L3353" s="3" t="s">
        <v>135</v>
      </c>
      <c r="M3353" s="3" t="s">
        <v>5978</v>
      </c>
      <c r="N3353" s="3">
        <v>3800</v>
      </c>
      <c r="O3353" s="3" t="s">
        <v>2221</v>
      </c>
      <c r="P3353" s="3" t="s">
        <v>11748</v>
      </c>
      <c r="Q3353" s="3" t="s">
        <v>27</v>
      </c>
      <c r="R3353" s="3" t="s">
        <v>28</v>
      </c>
      <c r="S3353" s="3">
        <v>5110902</v>
      </c>
      <c r="T3353" s="3">
        <v>1145857350</v>
      </c>
      <c r="U3353" s="3" t="s">
        <v>29</v>
      </c>
    </row>
    <row r="3354" spans="1:21" ht="13.2" x14ac:dyDescent="0.25">
      <c r="A3354" s="14">
        <v>30133690000118</v>
      </c>
      <c r="B3354" s="15" t="str">
        <f t="shared" si="52"/>
        <v>30.133.690/0001-18</v>
      </c>
      <c r="C3354" s="12" t="str">
        <f>VLOOKUP(B3354,[1]Planilha1!$A:$B,2,0)</f>
        <v>Malu Montesino</v>
      </c>
      <c r="D3354" s="3" t="s">
        <v>11749</v>
      </c>
      <c r="E3354" s="3" t="s">
        <v>11749</v>
      </c>
      <c r="F3354" s="3" t="s">
        <v>20</v>
      </c>
      <c r="G3354" s="4">
        <v>43196</v>
      </c>
      <c r="H3354" s="3" t="s">
        <v>21</v>
      </c>
      <c r="I3354" s="3" t="s">
        <v>33</v>
      </c>
      <c r="J3354" s="5">
        <v>56514332</v>
      </c>
      <c r="K3354" s="3">
        <v>4663000</v>
      </c>
      <c r="L3354" s="3" t="s">
        <v>128</v>
      </c>
      <c r="M3354" s="3" t="s">
        <v>5978</v>
      </c>
      <c r="N3354" s="3">
        <v>3800</v>
      </c>
      <c r="O3354" s="3" t="s">
        <v>11750</v>
      </c>
      <c r="P3354" s="3" t="s">
        <v>11748</v>
      </c>
      <c r="Q3354" s="3" t="s">
        <v>27</v>
      </c>
      <c r="R3354" s="3" t="s">
        <v>28</v>
      </c>
      <c r="S3354" s="3">
        <v>5110902</v>
      </c>
      <c r="T3354" s="3">
        <v>1139081652</v>
      </c>
      <c r="U3354" s="3" t="s">
        <v>29</v>
      </c>
    </row>
    <row r="3355" spans="1:21" ht="13.2" x14ac:dyDescent="0.25">
      <c r="A3355" s="14">
        <v>3874953000177</v>
      </c>
      <c r="B3355" s="15" t="str">
        <f t="shared" si="52"/>
        <v>03.874.953/0001-77</v>
      </c>
      <c r="C3355" s="12" t="str">
        <f>VLOOKUP(B3355,[1]Planilha1!$A:$B,2,0)</f>
        <v>Mariane Nascimento</v>
      </c>
      <c r="D3355" s="3" t="s">
        <v>11751</v>
      </c>
      <c r="E3355" s="3" t="s">
        <v>11752</v>
      </c>
      <c r="F3355" s="3" t="s">
        <v>20</v>
      </c>
      <c r="G3355" s="4">
        <v>36690</v>
      </c>
      <c r="H3355" s="3" t="s">
        <v>21</v>
      </c>
      <c r="I3355" s="3" t="s">
        <v>22</v>
      </c>
      <c r="J3355" s="5">
        <v>500000</v>
      </c>
      <c r="K3355" s="3">
        <v>4751201</v>
      </c>
      <c r="L3355" s="3" t="s">
        <v>23</v>
      </c>
      <c r="M3355" s="3" t="s">
        <v>11753</v>
      </c>
      <c r="N3355" s="3">
        <v>2393</v>
      </c>
      <c r="P3355" s="3" t="s">
        <v>70</v>
      </c>
      <c r="Q3355" s="3" t="s">
        <v>1078</v>
      </c>
      <c r="R3355" s="3" t="s">
        <v>187</v>
      </c>
      <c r="S3355" s="3">
        <v>85010270</v>
      </c>
      <c r="T3355" s="3">
        <v>4236221418</v>
      </c>
      <c r="U3355" s="3" t="s">
        <v>29</v>
      </c>
    </row>
    <row r="3356" spans="1:21" ht="13.2" x14ac:dyDescent="0.25">
      <c r="A3356" s="14">
        <v>2991797000161</v>
      </c>
      <c r="B3356" s="15" t="str">
        <f t="shared" si="52"/>
        <v>02.991.797/0001-61</v>
      </c>
      <c r="C3356" s="12"/>
      <c r="D3356" s="3" t="s">
        <v>11754</v>
      </c>
      <c r="E3356" s="3" t="s">
        <v>11755</v>
      </c>
      <c r="F3356" s="3" t="s">
        <v>20</v>
      </c>
      <c r="G3356" s="4">
        <v>36119</v>
      </c>
      <c r="H3356" s="3" t="s">
        <v>21</v>
      </c>
      <c r="I3356" s="3" t="s">
        <v>33</v>
      </c>
      <c r="J3356" s="5">
        <v>600000</v>
      </c>
      <c r="K3356" s="3">
        <v>2813500</v>
      </c>
      <c r="L3356" s="3" t="s">
        <v>1383</v>
      </c>
      <c r="M3356" s="3" t="s">
        <v>11756</v>
      </c>
      <c r="N3356" s="3">
        <v>500</v>
      </c>
      <c r="P3356" s="3" t="s">
        <v>11757</v>
      </c>
      <c r="Q3356" s="3" t="s">
        <v>1132</v>
      </c>
      <c r="R3356" s="3" t="s">
        <v>28</v>
      </c>
      <c r="S3356" s="3">
        <v>8538300</v>
      </c>
      <c r="T3356" s="3">
        <v>1146748150</v>
      </c>
      <c r="U3356" s="3" t="s">
        <v>29</v>
      </c>
    </row>
    <row r="3357" spans="1:21" ht="13.2" x14ac:dyDescent="0.25">
      <c r="A3357" s="14">
        <v>11192868000157</v>
      </c>
      <c r="B3357" s="15" t="str">
        <f t="shared" si="52"/>
        <v>11.192.868/0001-57</v>
      </c>
      <c r="C3357" s="12" t="str">
        <f>VLOOKUP(B3357,[1]Planilha1!$A:$B,2,0)</f>
        <v>Malu Montesino</v>
      </c>
      <c r="D3357" s="3" t="s">
        <v>11758</v>
      </c>
      <c r="E3357" s="3" t="s">
        <v>11759</v>
      </c>
      <c r="F3357" s="3" t="s">
        <v>20</v>
      </c>
      <c r="G3357" s="4">
        <v>40071</v>
      </c>
      <c r="H3357" s="3" t="s">
        <v>21</v>
      </c>
      <c r="I3357" s="3" t="s">
        <v>33</v>
      </c>
      <c r="J3357" s="5">
        <v>250000</v>
      </c>
      <c r="K3357" s="3">
        <v>7319002</v>
      </c>
      <c r="L3357" s="3" t="s">
        <v>48</v>
      </c>
      <c r="M3357" s="3" t="s">
        <v>11756</v>
      </c>
      <c r="N3357" s="3">
        <v>500</v>
      </c>
      <c r="O3357" s="3" t="s">
        <v>11760</v>
      </c>
      <c r="P3357" s="3" t="s">
        <v>11757</v>
      </c>
      <c r="Q3357" s="3" t="s">
        <v>1132</v>
      </c>
      <c r="R3357" s="3" t="s">
        <v>28</v>
      </c>
      <c r="S3357" s="3">
        <v>8538300</v>
      </c>
      <c r="T3357" s="3">
        <v>1146748150</v>
      </c>
      <c r="U3357" s="3" t="s">
        <v>29</v>
      </c>
    </row>
    <row r="3358" spans="1:21" ht="13.2" x14ac:dyDescent="0.25">
      <c r="A3358" s="14">
        <v>13031956000100</v>
      </c>
      <c r="B3358" s="15" t="str">
        <f t="shared" si="52"/>
        <v>13.031.956/0001-00</v>
      </c>
      <c r="C3358" s="12"/>
      <c r="D3358" s="3" t="s">
        <v>11761</v>
      </c>
      <c r="E3358" s="3" t="s">
        <v>11762</v>
      </c>
      <c r="F3358" s="3" t="s">
        <v>20</v>
      </c>
      <c r="G3358" s="4">
        <v>40506</v>
      </c>
      <c r="H3358" s="3" t="s">
        <v>21</v>
      </c>
      <c r="I3358" s="3" t="s">
        <v>33</v>
      </c>
      <c r="J3358" s="5">
        <v>300000</v>
      </c>
      <c r="K3358" s="3">
        <v>4672900</v>
      </c>
      <c r="L3358" s="3" t="s">
        <v>1389</v>
      </c>
      <c r="M3358" s="3" t="s">
        <v>8995</v>
      </c>
      <c r="N3358" s="3">
        <v>17</v>
      </c>
      <c r="P3358" s="3" t="s">
        <v>11416</v>
      </c>
      <c r="Q3358" s="3" t="s">
        <v>688</v>
      </c>
      <c r="R3358" s="3" t="s">
        <v>28</v>
      </c>
      <c r="S3358" s="3">
        <v>6714360</v>
      </c>
      <c r="T3358" s="3">
        <v>1137832331</v>
      </c>
      <c r="U3358" s="3" t="s">
        <v>29</v>
      </c>
    </row>
    <row r="3359" spans="1:21" ht="13.2" x14ac:dyDescent="0.25">
      <c r="A3359" s="14">
        <v>74558008000104</v>
      </c>
      <c r="B3359" s="15" t="str">
        <f t="shared" si="52"/>
        <v>74.558.008/0001-04</v>
      </c>
      <c r="C3359" s="12"/>
      <c r="D3359" s="3" t="s">
        <v>11763</v>
      </c>
      <c r="E3359" s="3" t="s">
        <v>11763</v>
      </c>
      <c r="F3359" s="3" t="s">
        <v>20</v>
      </c>
      <c r="G3359" s="4">
        <v>34417</v>
      </c>
      <c r="H3359" s="3" t="s">
        <v>21</v>
      </c>
      <c r="I3359" s="3" t="s">
        <v>33</v>
      </c>
      <c r="J3359" s="5">
        <v>1500000</v>
      </c>
      <c r="K3359" s="3">
        <v>6201501</v>
      </c>
      <c r="L3359" s="3" t="s">
        <v>298</v>
      </c>
      <c r="M3359" s="3" t="s">
        <v>11764</v>
      </c>
      <c r="N3359" s="3">
        <v>600</v>
      </c>
      <c r="O3359" s="3" t="s">
        <v>11765</v>
      </c>
      <c r="P3359" s="3" t="s">
        <v>70</v>
      </c>
      <c r="Q3359" s="3" t="s">
        <v>3966</v>
      </c>
      <c r="R3359" s="3" t="s">
        <v>28</v>
      </c>
      <c r="S3359" s="3">
        <v>7400610</v>
      </c>
      <c r="T3359" s="3">
        <v>1146527170</v>
      </c>
      <c r="U3359" s="3" t="s">
        <v>29</v>
      </c>
    </row>
    <row r="3360" spans="1:21" ht="13.2" x14ac:dyDescent="0.25">
      <c r="A3360" s="14">
        <v>27347284000143</v>
      </c>
      <c r="B3360" s="15" t="str">
        <f t="shared" si="52"/>
        <v>27.347.284/0001-43</v>
      </c>
      <c r="C3360" s="12"/>
      <c r="D3360" s="3" t="s">
        <v>11766</v>
      </c>
      <c r="E3360" s="3" t="s">
        <v>11767</v>
      </c>
      <c r="F3360" s="3" t="s">
        <v>20</v>
      </c>
      <c r="G3360" s="4">
        <v>42814</v>
      </c>
      <c r="H3360" s="3" t="s">
        <v>21</v>
      </c>
      <c r="I3360" s="3" t="s">
        <v>33</v>
      </c>
      <c r="J3360" s="5">
        <v>10000</v>
      </c>
      <c r="K3360" s="3">
        <v>8621602</v>
      </c>
      <c r="L3360" s="3" t="s">
        <v>11768</v>
      </c>
      <c r="M3360" s="3" t="s">
        <v>11769</v>
      </c>
      <c r="N3360" s="3">
        <v>33</v>
      </c>
      <c r="P3360" s="3" t="s">
        <v>11770</v>
      </c>
      <c r="Q3360" s="3" t="s">
        <v>357</v>
      </c>
      <c r="R3360" s="3" t="s">
        <v>28</v>
      </c>
      <c r="S3360" s="3">
        <v>7021050</v>
      </c>
      <c r="T3360" s="3">
        <v>1128417771</v>
      </c>
      <c r="U3360" s="3" t="s">
        <v>29</v>
      </c>
    </row>
    <row r="3361" spans="1:21" ht="13.2" x14ac:dyDescent="0.25">
      <c r="A3361" s="14">
        <v>60760642000110</v>
      </c>
      <c r="B3361" s="15" t="str">
        <f t="shared" si="52"/>
        <v>60.760.642/0001-10</v>
      </c>
      <c r="C3361" s="12"/>
      <c r="D3361" s="3" t="s">
        <v>11771</v>
      </c>
      <c r="E3361" s="3" t="s">
        <v>11771</v>
      </c>
      <c r="F3361" s="3" t="s">
        <v>45</v>
      </c>
      <c r="G3361" s="4">
        <v>25154</v>
      </c>
      <c r="H3361" s="3" t="s">
        <v>21</v>
      </c>
      <c r="I3361" s="3" t="s">
        <v>33</v>
      </c>
      <c r="J3361" s="5">
        <v>342451700</v>
      </c>
      <c r="K3361" s="3">
        <v>2222600</v>
      </c>
      <c r="L3361" s="3" t="s">
        <v>183</v>
      </c>
      <c r="M3361" s="3" t="s">
        <v>9240</v>
      </c>
      <c r="N3361" s="3" t="s">
        <v>82</v>
      </c>
      <c r="O3361" s="3" t="s">
        <v>11772</v>
      </c>
      <c r="P3361" s="3" t="s">
        <v>7917</v>
      </c>
      <c r="Q3361" s="3" t="s">
        <v>567</v>
      </c>
      <c r="R3361" s="3" t="s">
        <v>28</v>
      </c>
      <c r="S3361" s="3">
        <v>13212240</v>
      </c>
      <c r="T3361" s="3">
        <v>1121529800</v>
      </c>
      <c r="U3361" s="3" t="s">
        <v>29</v>
      </c>
    </row>
    <row r="3362" spans="1:21" ht="13.2" x14ac:dyDescent="0.25">
      <c r="A3362" s="14">
        <v>3175483000153</v>
      </c>
      <c r="B3362" s="15" t="str">
        <f t="shared" si="52"/>
        <v>03.175.483/0001-53</v>
      </c>
      <c r="C3362" s="12"/>
      <c r="D3362" s="3" t="s">
        <v>11773</v>
      </c>
      <c r="E3362" s="3" t="s">
        <v>11773</v>
      </c>
      <c r="F3362" s="3" t="s">
        <v>20</v>
      </c>
      <c r="G3362" s="4">
        <v>36299</v>
      </c>
      <c r="H3362" s="3" t="s">
        <v>21</v>
      </c>
      <c r="I3362" s="3" t="s">
        <v>33</v>
      </c>
      <c r="J3362" s="5">
        <v>800000</v>
      </c>
      <c r="K3362" s="3">
        <v>2833000</v>
      </c>
      <c r="L3362" s="3" t="s">
        <v>151</v>
      </c>
      <c r="M3362" s="3" t="s">
        <v>3946</v>
      </c>
      <c r="N3362" s="3">
        <v>710</v>
      </c>
      <c r="P3362" s="3" t="s">
        <v>11774</v>
      </c>
      <c r="Q3362" s="3" t="s">
        <v>5865</v>
      </c>
      <c r="R3362" s="3" t="s">
        <v>187</v>
      </c>
      <c r="S3362" s="3">
        <v>86600460</v>
      </c>
      <c r="T3362" s="3">
        <v>4321010100</v>
      </c>
      <c r="U3362" s="3" t="s">
        <v>29</v>
      </c>
    </row>
    <row r="3363" spans="1:21" ht="13.2" x14ac:dyDescent="0.25">
      <c r="A3363" s="14">
        <v>5231346000114</v>
      </c>
      <c r="B3363" s="15" t="str">
        <f t="shared" si="52"/>
        <v>05.231.346/0001-14</v>
      </c>
      <c r="C3363" s="12"/>
      <c r="D3363" s="3" t="s">
        <v>11775</v>
      </c>
      <c r="E3363" s="3" t="s">
        <v>11775</v>
      </c>
      <c r="F3363" s="3" t="s">
        <v>31</v>
      </c>
      <c r="G3363" s="4">
        <v>37481</v>
      </c>
      <c r="H3363" s="3" t="s">
        <v>21</v>
      </c>
      <c r="I3363" s="3" t="s">
        <v>47</v>
      </c>
      <c r="J3363" s="5">
        <v>50000</v>
      </c>
      <c r="K3363" s="3">
        <v>8211300</v>
      </c>
      <c r="L3363" s="3" t="s">
        <v>166</v>
      </c>
      <c r="M3363" s="3" t="s">
        <v>5648</v>
      </c>
      <c r="N3363" s="3">
        <v>409</v>
      </c>
      <c r="P3363" s="3" t="s">
        <v>8352</v>
      </c>
      <c r="Q3363" s="3" t="s">
        <v>27</v>
      </c>
      <c r="R3363" s="3" t="s">
        <v>28</v>
      </c>
      <c r="S3363" s="3">
        <v>1532010</v>
      </c>
      <c r="T3363" s="3">
        <v>1183773636</v>
      </c>
      <c r="U3363" s="3" t="s">
        <v>29</v>
      </c>
    </row>
    <row r="3364" spans="1:21" ht="13.2" x14ac:dyDescent="0.25">
      <c r="A3364" s="14">
        <v>57359168000105</v>
      </c>
      <c r="B3364" s="15" t="str">
        <f t="shared" si="52"/>
        <v>57.359.168/0001-05</v>
      </c>
      <c r="C3364" s="12"/>
      <c r="D3364" s="3" t="s">
        <v>11776</v>
      </c>
      <c r="E3364" s="3" t="s">
        <v>11776</v>
      </c>
      <c r="F3364" s="3" t="s">
        <v>20</v>
      </c>
      <c r="G3364" s="4">
        <v>31903</v>
      </c>
      <c r="H3364" s="3" t="s">
        <v>21</v>
      </c>
      <c r="I3364" s="3" t="s">
        <v>22</v>
      </c>
      <c r="J3364" s="5">
        <v>480000</v>
      </c>
      <c r="K3364" s="3">
        <v>4645101</v>
      </c>
      <c r="L3364" s="3" t="s">
        <v>135</v>
      </c>
      <c r="M3364" s="3" t="s">
        <v>11777</v>
      </c>
      <c r="N3364" s="3">
        <v>535</v>
      </c>
      <c r="P3364" s="3" t="s">
        <v>4421</v>
      </c>
      <c r="Q3364" s="3" t="s">
        <v>27</v>
      </c>
      <c r="R3364" s="3" t="s">
        <v>28</v>
      </c>
      <c r="S3364" s="3">
        <v>3059001</v>
      </c>
      <c r="T3364" s="3">
        <v>1126181711</v>
      </c>
      <c r="U3364" s="3" t="s">
        <v>29</v>
      </c>
    </row>
    <row r="3365" spans="1:21" ht="13.2" x14ac:dyDescent="0.25">
      <c r="A3365" s="14">
        <v>15274074000193</v>
      </c>
      <c r="B3365" s="15" t="str">
        <f t="shared" si="52"/>
        <v>15.274.074/0001-93</v>
      </c>
      <c r="C3365" s="12"/>
      <c r="D3365" s="3" t="s">
        <v>11778</v>
      </c>
      <c r="E3365" s="3" t="s">
        <v>11778</v>
      </c>
      <c r="F3365" s="3" t="s">
        <v>20</v>
      </c>
      <c r="G3365" s="4">
        <v>40925</v>
      </c>
      <c r="H3365" s="3" t="s">
        <v>46</v>
      </c>
      <c r="I3365" s="3" t="s">
        <v>47</v>
      </c>
      <c r="J3365" s="5">
        <v>10000</v>
      </c>
      <c r="K3365" s="3">
        <v>3292202</v>
      </c>
      <c r="L3365" s="3" t="s">
        <v>1654</v>
      </c>
      <c r="M3365" s="3" t="s">
        <v>3975</v>
      </c>
      <c r="N3365" s="3">
        <v>191</v>
      </c>
      <c r="P3365" s="3" t="s">
        <v>911</v>
      </c>
      <c r="Q3365" s="3" t="s">
        <v>893</v>
      </c>
      <c r="R3365" s="3" t="s">
        <v>28</v>
      </c>
      <c r="S3365" s="3">
        <v>17240000</v>
      </c>
      <c r="T3365" s="3">
        <v>1436662536</v>
      </c>
      <c r="U3365" s="3" t="s">
        <v>29</v>
      </c>
    </row>
    <row r="3366" spans="1:21" ht="13.2" x14ac:dyDescent="0.25">
      <c r="A3366" s="14">
        <v>24042067000157</v>
      </c>
      <c r="B3366" s="15" t="str">
        <f t="shared" si="52"/>
        <v>24.042.067/0001-57</v>
      </c>
      <c r="C3366" s="12"/>
      <c r="D3366" s="3" t="s">
        <v>11779</v>
      </c>
      <c r="E3366" s="3" t="s">
        <v>11780</v>
      </c>
      <c r="F3366" s="3" t="s">
        <v>20</v>
      </c>
      <c r="G3366" s="4">
        <v>42394</v>
      </c>
      <c r="H3366" s="3" t="s">
        <v>21</v>
      </c>
      <c r="I3366" s="3" t="s">
        <v>47</v>
      </c>
      <c r="J3366" s="5">
        <v>15000</v>
      </c>
      <c r="K3366" s="3">
        <v>4751201</v>
      </c>
      <c r="L3366" s="3" t="s">
        <v>23</v>
      </c>
      <c r="M3366" s="3" t="s">
        <v>11781</v>
      </c>
      <c r="N3366" s="3">
        <v>72</v>
      </c>
      <c r="P3366" s="3" t="s">
        <v>11782</v>
      </c>
      <c r="Q3366" s="3" t="s">
        <v>617</v>
      </c>
      <c r="R3366" s="3" t="s">
        <v>28</v>
      </c>
      <c r="S3366" s="3">
        <v>6406140</v>
      </c>
      <c r="T3366" s="3">
        <v>1148369066</v>
      </c>
      <c r="U3366" s="3" t="s">
        <v>29</v>
      </c>
    </row>
    <row r="3367" spans="1:21" ht="13.2" x14ac:dyDescent="0.25">
      <c r="A3367" s="14">
        <v>7432517000107</v>
      </c>
      <c r="B3367" s="15" t="str">
        <f t="shared" si="52"/>
        <v>07.432.517/0001-07</v>
      </c>
      <c r="C3367" s="12" t="str">
        <f>VLOOKUP(B3367,[1]Planilha1!$A:$B,2,0)</f>
        <v>Malu Montesino</v>
      </c>
      <c r="D3367" s="3" t="s">
        <v>11783</v>
      </c>
      <c r="E3367" s="3" t="s">
        <v>11783</v>
      </c>
      <c r="F3367" s="3" t="s">
        <v>20</v>
      </c>
      <c r="G3367" s="4">
        <v>38386</v>
      </c>
      <c r="H3367" s="3" t="s">
        <v>21</v>
      </c>
      <c r="I3367" s="3" t="s">
        <v>33</v>
      </c>
      <c r="J3367" s="5">
        <v>490994750</v>
      </c>
      <c r="K3367" s="3">
        <v>4651601</v>
      </c>
      <c r="L3367" s="3" t="s">
        <v>684</v>
      </c>
      <c r="M3367" s="3" t="s">
        <v>11784</v>
      </c>
      <c r="N3367" s="3">
        <v>201</v>
      </c>
      <c r="O3367" s="3" t="s">
        <v>11785</v>
      </c>
      <c r="P3367" s="3" t="s">
        <v>616</v>
      </c>
      <c r="Q3367" s="3" t="s">
        <v>929</v>
      </c>
      <c r="R3367" s="3" t="s">
        <v>28</v>
      </c>
      <c r="S3367" s="3">
        <v>6543312</v>
      </c>
      <c r="T3367" s="3">
        <v>1132389400</v>
      </c>
      <c r="U3367" s="3" t="s">
        <v>29</v>
      </c>
    </row>
    <row r="3368" spans="1:21" ht="13.2" x14ac:dyDescent="0.25">
      <c r="A3368" s="14">
        <v>7270468000145</v>
      </c>
      <c r="B3368" s="15" t="str">
        <f t="shared" si="52"/>
        <v>07.270.468/0001-45</v>
      </c>
      <c r="C3368" s="12"/>
      <c r="D3368" s="3" t="s">
        <v>11786</v>
      </c>
      <c r="E3368" s="3" t="s">
        <v>11786</v>
      </c>
      <c r="F3368" s="3" t="s">
        <v>20</v>
      </c>
      <c r="G3368" s="4">
        <v>38415</v>
      </c>
      <c r="H3368" s="3" t="s">
        <v>21</v>
      </c>
      <c r="I3368" s="3" t="s">
        <v>33</v>
      </c>
      <c r="J3368" s="5">
        <v>255000</v>
      </c>
      <c r="K3368" s="3">
        <v>4645101</v>
      </c>
      <c r="L3368" s="3" t="s">
        <v>135</v>
      </c>
      <c r="M3368" s="3" t="s">
        <v>11787</v>
      </c>
      <c r="N3368" s="3">
        <v>492</v>
      </c>
      <c r="P3368" s="3" t="s">
        <v>11788</v>
      </c>
      <c r="Q3368" s="3" t="s">
        <v>253</v>
      </c>
      <c r="R3368" s="3" t="s">
        <v>78</v>
      </c>
      <c r="S3368" s="3">
        <v>20961000</v>
      </c>
      <c r="T3368" s="3">
        <v>2122841666</v>
      </c>
      <c r="U3368" s="3" t="s">
        <v>29</v>
      </c>
    </row>
    <row r="3369" spans="1:21" ht="13.2" x14ac:dyDescent="0.25">
      <c r="A3369" s="14">
        <v>4478787000152</v>
      </c>
      <c r="B3369" s="15" t="str">
        <f t="shared" si="52"/>
        <v>04.478.787/0001-52</v>
      </c>
      <c r="C3369" s="12"/>
      <c r="D3369" s="3" t="s">
        <v>11789</v>
      </c>
      <c r="E3369" s="3" t="s">
        <v>11790</v>
      </c>
      <c r="F3369" s="3" t="s">
        <v>20</v>
      </c>
      <c r="G3369" s="4">
        <v>37026</v>
      </c>
      <c r="H3369" s="3" t="s">
        <v>11791</v>
      </c>
      <c r="I3369" s="3" t="s">
        <v>33</v>
      </c>
      <c r="J3369" s="5">
        <v>0</v>
      </c>
      <c r="K3369" s="3">
        <v>9411100</v>
      </c>
      <c r="L3369" s="3" t="s">
        <v>1737</v>
      </c>
      <c r="M3369" s="3" t="s">
        <v>11792</v>
      </c>
      <c r="N3369" s="3">
        <v>199</v>
      </c>
      <c r="O3369" s="3" t="s">
        <v>11793</v>
      </c>
      <c r="P3369" s="3" t="s">
        <v>70</v>
      </c>
      <c r="Q3369" s="3" t="s">
        <v>893</v>
      </c>
      <c r="R3369" s="3" t="s">
        <v>28</v>
      </c>
      <c r="S3369" s="3">
        <v>17240031</v>
      </c>
      <c r="T3369" s="3">
        <v>1436662300</v>
      </c>
      <c r="U3369" s="3" t="s">
        <v>29</v>
      </c>
    </row>
    <row r="3370" spans="1:21" ht="13.2" x14ac:dyDescent="0.25">
      <c r="A3370" s="14">
        <v>13759813000101</v>
      </c>
      <c r="B3370" s="15" t="str">
        <f t="shared" si="52"/>
        <v>13.759.813/0001-01</v>
      </c>
      <c r="C3370" s="12"/>
      <c r="D3370" s="3" t="s">
        <v>11794</v>
      </c>
      <c r="E3370" s="3" t="s">
        <v>11795</v>
      </c>
      <c r="F3370" s="3" t="s">
        <v>20</v>
      </c>
      <c r="G3370" s="4">
        <v>40687</v>
      </c>
      <c r="H3370" s="3" t="s">
        <v>21</v>
      </c>
      <c r="I3370" s="3" t="s">
        <v>33</v>
      </c>
      <c r="J3370" s="5">
        <v>800000</v>
      </c>
      <c r="K3370" s="3">
        <v>4771701</v>
      </c>
      <c r="L3370" s="3" t="s">
        <v>4415</v>
      </c>
      <c r="M3370" s="3" t="s">
        <v>11796</v>
      </c>
      <c r="N3370" s="3">
        <v>1111</v>
      </c>
      <c r="O3370" s="3" t="s">
        <v>11797</v>
      </c>
      <c r="P3370" s="3" t="s">
        <v>11798</v>
      </c>
      <c r="Q3370" s="3" t="s">
        <v>27</v>
      </c>
      <c r="R3370" s="3" t="s">
        <v>28</v>
      </c>
      <c r="S3370" s="3">
        <v>3180003</v>
      </c>
      <c r="T3370" s="3">
        <v>1120213442</v>
      </c>
      <c r="U3370" s="3" t="s">
        <v>29</v>
      </c>
    </row>
    <row r="3371" spans="1:21" ht="13.2" x14ac:dyDescent="0.25">
      <c r="A3371" s="14">
        <v>24805895000108</v>
      </c>
      <c r="B3371" s="15" t="str">
        <f t="shared" si="52"/>
        <v>24.805.895/0001-08</v>
      </c>
      <c r="C3371" s="12"/>
      <c r="D3371" s="3" t="s">
        <v>11799</v>
      </c>
      <c r="E3371" s="3" t="s">
        <v>11799</v>
      </c>
      <c r="F3371" s="3" t="s">
        <v>31</v>
      </c>
      <c r="G3371" s="4">
        <v>42506</v>
      </c>
      <c r="H3371" s="3" t="s">
        <v>21</v>
      </c>
      <c r="I3371" s="3" t="s">
        <v>47</v>
      </c>
      <c r="J3371" s="5">
        <v>300000</v>
      </c>
      <c r="K3371" s="3">
        <v>4753900</v>
      </c>
      <c r="L3371" s="3" t="s">
        <v>214</v>
      </c>
      <c r="M3371" s="3" t="s">
        <v>11800</v>
      </c>
      <c r="N3371" s="3" t="s">
        <v>11801</v>
      </c>
      <c r="P3371" s="3" t="s">
        <v>11802</v>
      </c>
      <c r="Q3371" s="3" t="s">
        <v>631</v>
      </c>
      <c r="R3371" s="3" t="s">
        <v>632</v>
      </c>
      <c r="S3371" s="3">
        <v>72210055</v>
      </c>
      <c r="T3371" s="3">
        <v>6186331793</v>
      </c>
      <c r="U3371" s="3" t="s">
        <v>29</v>
      </c>
    </row>
    <row r="3372" spans="1:21" ht="13.2" x14ac:dyDescent="0.25">
      <c r="A3372" s="14">
        <v>12483930000122</v>
      </c>
      <c r="B3372" s="15" t="str">
        <f t="shared" si="52"/>
        <v>12.483.930/0001-22</v>
      </c>
      <c r="C3372" s="12" t="str">
        <f>VLOOKUP(B3372,[1]Planilha1!$A:$B,2,0)</f>
        <v>Malu Montesino</v>
      </c>
      <c r="D3372" s="3" t="s">
        <v>11803</v>
      </c>
      <c r="E3372" s="3" t="s">
        <v>11803</v>
      </c>
      <c r="F3372" s="3" t="s">
        <v>20</v>
      </c>
      <c r="G3372" s="4">
        <v>40423</v>
      </c>
      <c r="H3372" s="3" t="s">
        <v>21</v>
      </c>
      <c r="I3372" s="3" t="s">
        <v>33</v>
      </c>
      <c r="J3372" s="5">
        <v>434823800</v>
      </c>
      <c r="K3372" s="3">
        <v>4664800</v>
      </c>
      <c r="L3372" s="3" t="s">
        <v>691</v>
      </c>
      <c r="M3372" s="3" t="s">
        <v>11804</v>
      </c>
      <c r="N3372" s="3">
        <v>863</v>
      </c>
      <c r="O3372" s="3" t="s">
        <v>11805</v>
      </c>
      <c r="P3372" s="3" t="s">
        <v>153</v>
      </c>
      <c r="Q3372" s="3" t="s">
        <v>536</v>
      </c>
      <c r="R3372" s="3" t="s">
        <v>91</v>
      </c>
      <c r="S3372" s="3">
        <v>88104785</v>
      </c>
      <c r="T3372" s="3">
        <v>1130462222</v>
      </c>
      <c r="U3372" s="3" t="s">
        <v>29</v>
      </c>
    </row>
    <row r="3373" spans="1:21" ht="13.2" x14ac:dyDescent="0.25">
      <c r="A3373" s="14">
        <v>9073795000132</v>
      </c>
      <c r="B3373" s="15" t="str">
        <f t="shared" si="52"/>
        <v>09.073.795/0001-32</v>
      </c>
      <c r="C3373" s="12"/>
      <c r="D3373" s="3" t="s">
        <v>11806</v>
      </c>
      <c r="E3373" s="3" t="s">
        <v>11806</v>
      </c>
      <c r="F3373" s="3" t="s">
        <v>20</v>
      </c>
      <c r="G3373" s="4">
        <v>39329</v>
      </c>
      <c r="H3373" s="3" t="s">
        <v>21</v>
      </c>
      <c r="I3373" s="3" t="s">
        <v>33</v>
      </c>
      <c r="J3373" s="5">
        <v>100000</v>
      </c>
      <c r="K3373" s="3">
        <v>8020001</v>
      </c>
      <c r="L3373" s="3" t="s">
        <v>196</v>
      </c>
      <c r="M3373" s="3" t="s">
        <v>11807</v>
      </c>
      <c r="N3373" s="3">
        <v>40</v>
      </c>
      <c r="O3373" s="3" t="s">
        <v>11808</v>
      </c>
      <c r="P3373" s="3" t="s">
        <v>70</v>
      </c>
      <c r="Q3373" s="3" t="s">
        <v>253</v>
      </c>
      <c r="R3373" s="3" t="s">
        <v>78</v>
      </c>
      <c r="S3373" s="3">
        <v>20031120</v>
      </c>
      <c r="T3373" s="3">
        <v>1136951420</v>
      </c>
      <c r="U3373" s="3" t="s">
        <v>29</v>
      </c>
    </row>
    <row r="3374" spans="1:21" ht="13.2" x14ac:dyDescent="0.25">
      <c r="A3374" s="14">
        <v>57497513000177</v>
      </c>
      <c r="B3374" s="15" t="str">
        <f t="shared" si="52"/>
        <v>57.497.513/0001-77</v>
      </c>
      <c r="C3374" s="12"/>
      <c r="D3374" s="3" t="s">
        <v>11809</v>
      </c>
      <c r="E3374" s="3" t="s">
        <v>11809</v>
      </c>
      <c r="F3374" s="3" t="s">
        <v>20</v>
      </c>
      <c r="G3374" s="4">
        <v>32065</v>
      </c>
      <c r="H3374" s="3" t="s">
        <v>21</v>
      </c>
      <c r="I3374" s="3" t="s">
        <v>22</v>
      </c>
      <c r="J3374" s="5">
        <v>24000</v>
      </c>
      <c r="K3374" s="3">
        <v>6311900</v>
      </c>
      <c r="L3374" s="3" t="s">
        <v>3132</v>
      </c>
      <c r="M3374" s="3" t="s">
        <v>7681</v>
      </c>
      <c r="N3374" s="3">
        <v>338</v>
      </c>
      <c r="P3374" s="3" t="s">
        <v>1804</v>
      </c>
      <c r="Q3374" s="3" t="s">
        <v>65</v>
      </c>
      <c r="R3374" s="3" t="s">
        <v>28</v>
      </c>
      <c r="S3374" s="3">
        <v>13070172</v>
      </c>
      <c r="T3374" s="3">
        <v>1932413535</v>
      </c>
      <c r="U3374" s="3" t="s">
        <v>29</v>
      </c>
    </row>
    <row r="3375" spans="1:21" ht="13.2" x14ac:dyDescent="0.25">
      <c r="A3375" s="14">
        <v>10444624000151</v>
      </c>
      <c r="B3375" s="15" t="str">
        <f t="shared" si="52"/>
        <v>10.444.624/0001-51</v>
      </c>
      <c r="C3375" s="12" t="str">
        <f>VLOOKUP(B3375,[1]Planilha1!$A:$B,2,0)</f>
        <v>Malu Montesino</v>
      </c>
      <c r="D3375" s="3" t="s">
        <v>11810</v>
      </c>
      <c r="E3375" s="3" t="s">
        <v>11810</v>
      </c>
      <c r="F3375" s="3" t="s">
        <v>20</v>
      </c>
      <c r="G3375" s="4">
        <v>39713</v>
      </c>
      <c r="H3375" s="3" t="s">
        <v>21</v>
      </c>
      <c r="I3375" s="3" t="s">
        <v>33</v>
      </c>
      <c r="J3375" s="5">
        <v>5000000</v>
      </c>
      <c r="K3375" s="3">
        <v>4645101</v>
      </c>
      <c r="L3375" s="3" t="s">
        <v>135</v>
      </c>
      <c r="M3375" s="3" t="s">
        <v>4999</v>
      </c>
      <c r="N3375" s="3">
        <v>206</v>
      </c>
      <c r="O3375" s="3" t="s">
        <v>11811</v>
      </c>
      <c r="P3375" s="3" t="s">
        <v>5000</v>
      </c>
      <c r="Q3375" s="3" t="s">
        <v>27</v>
      </c>
      <c r="R3375" s="3" t="s">
        <v>28</v>
      </c>
      <c r="S3375" s="3">
        <v>5717270</v>
      </c>
      <c r="T3375" s="3">
        <v>1121440831</v>
      </c>
      <c r="U3375" s="3" t="s">
        <v>29</v>
      </c>
    </row>
    <row r="3376" spans="1:21" ht="13.2" x14ac:dyDescent="0.25">
      <c r="A3376" s="14">
        <v>21471093000102</v>
      </c>
      <c r="B3376" s="15" t="str">
        <f t="shared" si="52"/>
        <v>21.471.093/0001-02</v>
      </c>
      <c r="C3376" s="12"/>
      <c r="D3376" s="3" t="s">
        <v>11812</v>
      </c>
      <c r="E3376" s="3" t="s">
        <v>11812</v>
      </c>
      <c r="F3376" s="3" t="s">
        <v>20</v>
      </c>
      <c r="G3376" s="4">
        <v>41968</v>
      </c>
      <c r="H3376" s="3" t="s">
        <v>21</v>
      </c>
      <c r="I3376" s="3" t="s">
        <v>33</v>
      </c>
      <c r="J3376" s="5">
        <v>198743600</v>
      </c>
      <c r="K3376" s="3">
        <v>2731700</v>
      </c>
      <c r="L3376" s="3" t="s">
        <v>440</v>
      </c>
      <c r="M3376" s="3" t="s">
        <v>11813</v>
      </c>
      <c r="N3376" s="3">
        <v>3850</v>
      </c>
      <c r="P3376" s="3" t="s">
        <v>137</v>
      </c>
      <c r="Q3376" s="3" t="s">
        <v>1701</v>
      </c>
      <c r="R3376" s="3" t="s">
        <v>100</v>
      </c>
      <c r="S3376" s="3">
        <v>32370485</v>
      </c>
      <c r="T3376" s="3">
        <v>3183730235</v>
      </c>
      <c r="U3376" s="3" t="s">
        <v>29</v>
      </c>
    </row>
    <row r="3377" spans="1:21" ht="13.2" x14ac:dyDescent="0.25">
      <c r="A3377" s="14">
        <v>54565478000198</v>
      </c>
      <c r="B3377" s="15" t="str">
        <f t="shared" si="52"/>
        <v>54.565.478/0001-98</v>
      </c>
      <c r="C3377" s="12" t="str">
        <f>VLOOKUP(B3377,[1]Planilha1!$A:$B,2,0)</f>
        <v>Malu Montesino</v>
      </c>
      <c r="D3377" s="3" t="s">
        <v>11814</v>
      </c>
      <c r="E3377" s="3" t="s">
        <v>11814</v>
      </c>
      <c r="F3377" s="3" t="s">
        <v>20</v>
      </c>
      <c r="G3377" s="4">
        <v>31245</v>
      </c>
      <c r="H3377" s="3" t="s">
        <v>21</v>
      </c>
      <c r="I3377" s="3" t="s">
        <v>33</v>
      </c>
      <c r="J3377" s="5">
        <v>1000000</v>
      </c>
      <c r="K3377" s="3">
        <v>3250705</v>
      </c>
      <c r="L3377" s="3" t="s">
        <v>2420</v>
      </c>
      <c r="M3377" s="3" t="s">
        <v>11815</v>
      </c>
      <c r="N3377" s="3">
        <v>1173</v>
      </c>
      <c r="P3377" s="3" t="s">
        <v>10492</v>
      </c>
      <c r="Q3377" s="3" t="s">
        <v>27</v>
      </c>
      <c r="R3377" s="3" t="s">
        <v>28</v>
      </c>
      <c r="S3377" s="3">
        <v>2052001</v>
      </c>
      <c r="T3377" s="3">
        <v>1129552222</v>
      </c>
      <c r="U3377" s="3" t="s">
        <v>29</v>
      </c>
    </row>
    <row r="3378" spans="1:21" ht="13.2" x14ac:dyDescent="0.25">
      <c r="A3378" s="14">
        <v>87252045000131</v>
      </c>
      <c r="B3378" s="15" t="str">
        <f t="shared" si="52"/>
        <v>87.252.045/0001-31</v>
      </c>
      <c r="C3378" s="12"/>
      <c r="D3378" s="3" t="s">
        <v>11816</v>
      </c>
      <c r="E3378" s="3" t="s">
        <v>11816</v>
      </c>
      <c r="F3378" s="3" t="s">
        <v>20</v>
      </c>
      <c r="G3378" s="4">
        <v>26465</v>
      </c>
      <c r="H3378" s="3" t="s">
        <v>21</v>
      </c>
      <c r="I3378" s="3" t="s">
        <v>33</v>
      </c>
      <c r="J3378" s="5">
        <v>1890000</v>
      </c>
      <c r="K3378" s="3">
        <v>6202300</v>
      </c>
      <c r="L3378" s="3" t="s">
        <v>103</v>
      </c>
      <c r="M3378" s="3" t="s">
        <v>2999</v>
      </c>
      <c r="N3378" s="3">
        <v>5450</v>
      </c>
      <c r="P3378" s="3" t="s">
        <v>70</v>
      </c>
      <c r="Q3378" s="3" t="s">
        <v>611</v>
      </c>
      <c r="R3378" s="3" t="s">
        <v>53</v>
      </c>
      <c r="S3378" s="3">
        <v>92010012</v>
      </c>
      <c r="T3378" s="3">
        <v>5134153300</v>
      </c>
      <c r="U3378" s="3" t="s">
        <v>29</v>
      </c>
    </row>
    <row r="3379" spans="1:21" ht="13.2" x14ac:dyDescent="0.25">
      <c r="A3379" s="14">
        <v>59330936000123</v>
      </c>
      <c r="B3379" s="15" t="str">
        <f t="shared" si="52"/>
        <v>59.330.936/0001-23</v>
      </c>
      <c r="C3379" s="12"/>
      <c r="D3379" s="3" t="s">
        <v>11817</v>
      </c>
      <c r="E3379" s="3" t="s">
        <v>11818</v>
      </c>
      <c r="F3379" s="3" t="s">
        <v>20</v>
      </c>
      <c r="G3379" s="4">
        <v>25895</v>
      </c>
      <c r="H3379" s="3" t="s">
        <v>640</v>
      </c>
      <c r="I3379" s="3" t="s">
        <v>33</v>
      </c>
      <c r="J3379" s="5">
        <v>0</v>
      </c>
      <c r="K3379" s="3">
        <v>8411600</v>
      </c>
      <c r="L3379" s="3" t="s">
        <v>621</v>
      </c>
      <c r="M3379" s="3" t="s">
        <v>11819</v>
      </c>
      <c r="N3379" s="3">
        <v>303</v>
      </c>
      <c r="P3379" s="3" t="s">
        <v>2438</v>
      </c>
      <c r="Q3379" s="3" t="s">
        <v>471</v>
      </c>
      <c r="R3379" s="3" t="s">
        <v>28</v>
      </c>
      <c r="S3379" s="3">
        <v>9540230</v>
      </c>
      <c r="U3379" s="3" t="s">
        <v>29</v>
      </c>
    </row>
    <row r="3380" spans="1:21" ht="13.2" x14ac:dyDescent="0.25">
      <c r="A3380" s="14">
        <v>4179738000119</v>
      </c>
      <c r="B3380" s="15" t="str">
        <f t="shared" si="52"/>
        <v>04.179.738/0001-19</v>
      </c>
      <c r="C3380" s="12"/>
      <c r="D3380" s="3" t="s">
        <v>11820</v>
      </c>
      <c r="E3380" s="3" t="s">
        <v>11821</v>
      </c>
      <c r="F3380" s="3" t="s">
        <v>20</v>
      </c>
      <c r="G3380" s="4">
        <v>36864</v>
      </c>
      <c r="H3380" s="3" t="s">
        <v>21</v>
      </c>
      <c r="I3380" s="3" t="s">
        <v>33</v>
      </c>
      <c r="J3380" s="5">
        <v>1190000</v>
      </c>
      <c r="K3380" s="3">
        <v>8020001</v>
      </c>
      <c r="L3380" s="3" t="s">
        <v>196</v>
      </c>
      <c r="M3380" s="3" t="s">
        <v>11822</v>
      </c>
      <c r="N3380" s="3">
        <v>51</v>
      </c>
      <c r="P3380" s="3" t="s">
        <v>3838</v>
      </c>
      <c r="Q3380" s="3" t="s">
        <v>204</v>
      </c>
      <c r="R3380" s="3" t="s">
        <v>187</v>
      </c>
      <c r="S3380" s="3">
        <v>80520360</v>
      </c>
      <c r="T3380" s="3">
        <v>4133333333</v>
      </c>
      <c r="U3380" s="3" t="s">
        <v>29</v>
      </c>
    </row>
    <row r="3381" spans="1:21" ht="13.2" x14ac:dyDescent="0.25">
      <c r="A3381" s="14">
        <v>8646720000130</v>
      </c>
      <c r="B3381" s="15" t="str">
        <f t="shared" si="52"/>
        <v>08.646.720/0001-30</v>
      </c>
      <c r="C3381" s="12"/>
      <c r="D3381" s="3" t="s">
        <v>11823</v>
      </c>
      <c r="E3381" s="3" t="s">
        <v>11824</v>
      </c>
      <c r="F3381" s="3" t="s">
        <v>20</v>
      </c>
      <c r="G3381" s="4">
        <v>38975</v>
      </c>
      <c r="H3381" s="3" t="s">
        <v>21</v>
      </c>
      <c r="I3381" s="3" t="s">
        <v>47</v>
      </c>
      <c r="J3381" s="5">
        <v>15000</v>
      </c>
      <c r="K3381" s="3">
        <v>5620102</v>
      </c>
      <c r="L3381" s="3" t="s">
        <v>6472</v>
      </c>
      <c r="M3381" s="3" t="s">
        <v>11825</v>
      </c>
      <c r="N3381" s="3">
        <v>292</v>
      </c>
      <c r="O3381" s="3" t="s">
        <v>11826</v>
      </c>
      <c r="P3381" s="3" t="s">
        <v>241</v>
      </c>
      <c r="Q3381" s="3" t="s">
        <v>27</v>
      </c>
      <c r="R3381" s="3" t="s">
        <v>28</v>
      </c>
      <c r="S3381" s="3">
        <v>4743011</v>
      </c>
      <c r="T3381" s="3">
        <v>1155230981</v>
      </c>
      <c r="U3381" s="3" t="s">
        <v>29</v>
      </c>
    </row>
    <row r="3382" spans="1:21" ht="13.2" x14ac:dyDescent="0.25">
      <c r="A3382" s="14">
        <v>2005031000160</v>
      </c>
      <c r="B3382" s="15" t="str">
        <f t="shared" si="52"/>
        <v>02.005.031/0001-60</v>
      </c>
      <c r="C3382" s="12"/>
      <c r="D3382" s="3" t="s">
        <v>11827</v>
      </c>
      <c r="E3382" s="3" t="s">
        <v>11827</v>
      </c>
      <c r="F3382" s="3" t="s">
        <v>20</v>
      </c>
      <c r="G3382" s="4">
        <v>31649</v>
      </c>
      <c r="H3382" s="3" t="s">
        <v>21</v>
      </c>
      <c r="I3382" s="3" t="s">
        <v>33</v>
      </c>
      <c r="J3382" s="5">
        <v>3610000</v>
      </c>
      <c r="K3382" s="3">
        <v>8011101</v>
      </c>
      <c r="L3382" s="3" t="s">
        <v>943</v>
      </c>
      <c r="M3382" s="3" t="s">
        <v>11828</v>
      </c>
      <c r="N3382" s="3">
        <v>5</v>
      </c>
      <c r="P3382" s="3" t="s">
        <v>3930</v>
      </c>
      <c r="Q3382" s="3" t="s">
        <v>631</v>
      </c>
      <c r="R3382" s="3" t="s">
        <v>632</v>
      </c>
      <c r="S3382" s="3">
        <v>71988000</v>
      </c>
      <c r="T3382" s="3">
        <v>6132336606</v>
      </c>
      <c r="U3382" s="3" t="s">
        <v>29</v>
      </c>
    </row>
    <row r="3383" spans="1:21" ht="13.2" x14ac:dyDescent="0.25">
      <c r="A3383" s="14">
        <v>7399359000122</v>
      </c>
      <c r="B3383" s="15" t="str">
        <f t="shared" si="52"/>
        <v>07.399.359/0001-22</v>
      </c>
      <c r="C3383" s="12"/>
      <c r="D3383" s="3" t="s">
        <v>11829</v>
      </c>
      <c r="E3383" s="3" t="s">
        <v>11829</v>
      </c>
      <c r="F3383" s="3" t="s">
        <v>45</v>
      </c>
      <c r="G3383" s="4">
        <v>38489</v>
      </c>
      <c r="H3383" s="3" t="s">
        <v>21</v>
      </c>
      <c r="I3383" s="3" t="s">
        <v>33</v>
      </c>
      <c r="J3383" s="5">
        <v>72400</v>
      </c>
      <c r="K3383" s="3">
        <v>4789099</v>
      </c>
      <c r="L3383" s="3" t="s">
        <v>774</v>
      </c>
      <c r="M3383" s="3" t="s">
        <v>11830</v>
      </c>
      <c r="N3383" s="3">
        <v>2</v>
      </c>
      <c r="O3383" s="3" t="s">
        <v>466</v>
      </c>
      <c r="P3383" s="3" t="s">
        <v>248</v>
      </c>
      <c r="Q3383" s="3" t="s">
        <v>262</v>
      </c>
      <c r="R3383" s="3" t="s">
        <v>28</v>
      </c>
      <c r="S3383" s="3">
        <v>6060290</v>
      </c>
      <c r="T3383" s="3">
        <v>1125751800</v>
      </c>
      <c r="U3383" s="3" t="s">
        <v>29</v>
      </c>
    </row>
    <row r="3384" spans="1:21" ht="13.2" x14ac:dyDescent="0.25">
      <c r="A3384" s="14">
        <v>81329823000167</v>
      </c>
      <c r="B3384" s="15" t="str">
        <f t="shared" si="52"/>
        <v>81.329.823/0001-67</v>
      </c>
      <c r="C3384" s="12" t="str">
        <f>VLOOKUP(B3384,[1]Planilha1!$A:$B,2,0)</f>
        <v>Malu Montesino</v>
      </c>
      <c r="D3384" s="3" t="s">
        <v>11831</v>
      </c>
      <c r="E3384" s="3" t="s">
        <v>11831</v>
      </c>
      <c r="F3384" s="3" t="s">
        <v>20</v>
      </c>
      <c r="G3384" s="4">
        <v>32632</v>
      </c>
      <c r="H3384" s="3" t="s">
        <v>21</v>
      </c>
      <c r="I3384" s="3" t="s">
        <v>33</v>
      </c>
      <c r="J3384" s="5">
        <v>60000000</v>
      </c>
      <c r="K3384" s="3">
        <v>6203100</v>
      </c>
      <c r="L3384" s="3" t="s">
        <v>2268</v>
      </c>
      <c r="M3384" s="3" t="s">
        <v>1148</v>
      </c>
      <c r="N3384" s="3">
        <v>3101</v>
      </c>
      <c r="O3384" s="3">
        <v>9</v>
      </c>
      <c r="P3384" s="3" t="s">
        <v>597</v>
      </c>
      <c r="Q3384" s="3" t="s">
        <v>875</v>
      </c>
      <c r="R3384" s="3" t="s">
        <v>53</v>
      </c>
      <c r="S3384" s="3">
        <v>93022715</v>
      </c>
      <c r="T3384" s="3">
        <v>5135912900</v>
      </c>
      <c r="U3384" s="3" t="s">
        <v>29</v>
      </c>
    </row>
    <row r="3385" spans="1:21" ht="13.2" x14ac:dyDescent="0.25">
      <c r="A3385" s="14">
        <v>10916915000103</v>
      </c>
      <c r="B3385" s="15" t="str">
        <f t="shared" si="52"/>
        <v>10.916.915/0001-03</v>
      </c>
      <c r="C3385" s="12"/>
      <c r="D3385" s="3" t="s">
        <v>11832</v>
      </c>
      <c r="E3385" s="3" t="s">
        <v>11833</v>
      </c>
      <c r="F3385" s="3" t="s">
        <v>20</v>
      </c>
      <c r="G3385" s="4">
        <v>39972</v>
      </c>
      <c r="H3385" s="3" t="s">
        <v>21</v>
      </c>
      <c r="I3385" s="3" t="s">
        <v>33</v>
      </c>
      <c r="J3385" s="5">
        <v>2108700</v>
      </c>
      <c r="K3385" s="3">
        <v>8219999</v>
      </c>
      <c r="L3385" s="3" t="s">
        <v>121</v>
      </c>
      <c r="M3385" s="3" t="s">
        <v>11834</v>
      </c>
      <c r="N3385" s="3" t="s">
        <v>1802</v>
      </c>
      <c r="O3385" s="3" t="s">
        <v>11835</v>
      </c>
      <c r="P3385" s="3" t="s">
        <v>11836</v>
      </c>
      <c r="Q3385" s="3" t="s">
        <v>1312</v>
      </c>
      <c r="R3385" s="3" t="s">
        <v>28</v>
      </c>
      <c r="S3385" s="3">
        <v>13308200</v>
      </c>
      <c r="T3385" s="3">
        <v>1140244479</v>
      </c>
      <c r="U3385" s="3" t="s">
        <v>29</v>
      </c>
    </row>
    <row r="3386" spans="1:21" ht="13.2" x14ac:dyDescent="0.25">
      <c r="A3386" s="14">
        <v>89096457000155</v>
      </c>
      <c r="B3386" s="15" t="str">
        <f t="shared" si="52"/>
        <v>89.096.457/0001-55</v>
      </c>
      <c r="C3386" s="12"/>
      <c r="D3386" s="3" t="s">
        <v>11837</v>
      </c>
      <c r="E3386" s="3" t="s">
        <v>11837</v>
      </c>
      <c r="F3386" s="3" t="s">
        <v>20</v>
      </c>
      <c r="G3386" s="4">
        <v>28279</v>
      </c>
      <c r="H3386" s="3" t="s">
        <v>377</v>
      </c>
      <c r="I3386" s="3" t="s">
        <v>33</v>
      </c>
      <c r="J3386" s="5">
        <v>2012521500</v>
      </c>
      <c r="K3386" s="3">
        <v>161099</v>
      </c>
      <c r="L3386" s="3" t="s">
        <v>1166</v>
      </c>
      <c r="M3386" s="3" t="s">
        <v>11838</v>
      </c>
      <c r="N3386" s="3">
        <v>2900</v>
      </c>
      <c r="O3386" s="3" t="s">
        <v>11839</v>
      </c>
      <c r="P3386" s="3" t="s">
        <v>11840</v>
      </c>
      <c r="Q3386" s="3" t="s">
        <v>437</v>
      </c>
      <c r="R3386" s="3" t="s">
        <v>53</v>
      </c>
      <c r="S3386" s="3">
        <v>91330001</v>
      </c>
      <c r="T3386" s="3">
        <v>5132307799</v>
      </c>
      <c r="U3386" s="3" t="s">
        <v>29</v>
      </c>
    </row>
    <row r="3387" spans="1:21" ht="13.2" x14ac:dyDescent="0.25">
      <c r="A3387" s="14">
        <v>13128503000199</v>
      </c>
      <c r="B3387" s="15" t="str">
        <f t="shared" si="52"/>
        <v>13.128.503/0001-99</v>
      </c>
      <c r="C3387" s="12"/>
      <c r="D3387" s="3" t="s">
        <v>11841</v>
      </c>
      <c r="E3387" s="3" t="s">
        <v>11841</v>
      </c>
      <c r="F3387" s="3" t="s">
        <v>20</v>
      </c>
      <c r="G3387" s="4">
        <v>40554</v>
      </c>
      <c r="H3387" s="3" t="s">
        <v>21</v>
      </c>
      <c r="I3387" s="3" t="s">
        <v>22</v>
      </c>
      <c r="J3387" s="5">
        <v>110000</v>
      </c>
      <c r="K3387" s="3">
        <v>4744005</v>
      </c>
      <c r="L3387" s="3" t="s">
        <v>1483</v>
      </c>
      <c r="M3387" s="3" t="s">
        <v>11842</v>
      </c>
      <c r="N3387" s="3" t="s">
        <v>82</v>
      </c>
      <c r="P3387" s="3" t="s">
        <v>4930</v>
      </c>
      <c r="Q3387" s="3" t="s">
        <v>9163</v>
      </c>
      <c r="R3387" s="3" t="s">
        <v>53</v>
      </c>
      <c r="S3387" s="3">
        <v>96825390</v>
      </c>
      <c r="T3387" s="3">
        <v>5191880440</v>
      </c>
      <c r="U3387" s="3" t="s">
        <v>29</v>
      </c>
    </row>
    <row r="3388" spans="1:21" ht="13.2" x14ac:dyDescent="0.25">
      <c r="A3388" s="14">
        <v>15498951000100</v>
      </c>
      <c r="B3388" s="15" t="str">
        <f t="shared" si="52"/>
        <v>15.498.951/0001-00</v>
      </c>
      <c r="C3388" s="12"/>
      <c r="D3388" s="3" t="s">
        <v>11843</v>
      </c>
      <c r="E3388" s="3" t="s">
        <v>11843</v>
      </c>
      <c r="F3388" s="3" t="s">
        <v>20</v>
      </c>
      <c r="G3388" s="4">
        <v>41024</v>
      </c>
      <c r="H3388" s="3" t="s">
        <v>21</v>
      </c>
      <c r="I3388" s="3" t="s">
        <v>33</v>
      </c>
      <c r="J3388" s="5">
        <v>8217056</v>
      </c>
      <c r="K3388" s="3">
        <v>3313999</v>
      </c>
      <c r="L3388" s="3" t="s">
        <v>1670</v>
      </c>
      <c r="M3388" s="3" t="s">
        <v>2340</v>
      </c>
      <c r="N3388" s="3">
        <v>3729</v>
      </c>
      <c r="O3388" s="3" t="s">
        <v>11844</v>
      </c>
      <c r="P3388" s="3" t="s">
        <v>1230</v>
      </c>
      <c r="Q3388" s="3" t="s">
        <v>27</v>
      </c>
      <c r="R3388" s="3" t="s">
        <v>28</v>
      </c>
      <c r="S3388" s="3">
        <v>4538905</v>
      </c>
      <c r="T3388" s="3">
        <v>1154306180</v>
      </c>
      <c r="U3388" s="3" t="s">
        <v>29</v>
      </c>
    </row>
    <row r="3389" spans="1:21" ht="13.2" x14ac:dyDescent="0.25">
      <c r="A3389" s="14">
        <v>6320435000108</v>
      </c>
      <c r="B3389" s="15" t="str">
        <f t="shared" si="52"/>
        <v>06.320.435/0001-08</v>
      </c>
      <c r="C3389" s="12" t="str">
        <f>VLOOKUP(B3389,[1]Planilha1!$A:$B,2,0)</f>
        <v>Malu Montesino</v>
      </c>
      <c r="D3389" s="3" t="s">
        <v>11845</v>
      </c>
      <c r="E3389" s="3" t="s">
        <v>11846</v>
      </c>
      <c r="F3389" s="3" t="s">
        <v>45</v>
      </c>
      <c r="G3389" s="4">
        <v>38156</v>
      </c>
      <c r="H3389" s="3" t="s">
        <v>21</v>
      </c>
      <c r="I3389" s="3" t="s">
        <v>22</v>
      </c>
      <c r="J3389" s="5">
        <v>251530</v>
      </c>
      <c r="K3389" s="3">
        <v>7112000</v>
      </c>
      <c r="L3389" s="3" t="s">
        <v>276</v>
      </c>
      <c r="M3389" s="3" t="s">
        <v>11847</v>
      </c>
      <c r="N3389" s="3">
        <v>96</v>
      </c>
      <c r="O3389" s="3" t="s">
        <v>11848</v>
      </c>
      <c r="P3389" s="3" t="s">
        <v>11849</v>
      </c>
      <c r="Q3389" s="3" t="s">
        <v>1339</v>
      </c>
      <c r="R3389" s="3" t="s">
        <v>456</v>
      </c>
      <c r="S3389" s="3">
        <v>50721020</v>
      </c>
      <c r="T3389" s="3">
        <v>8134286570</v>
      </c>
      <c r="U3389" s="3" t="s">
        <v>29</v>
      </c>
    </row>
    <row r="3390" spans="1:21" ht="13.2" x14ac:dyDescent="0.25">
      <c r="A3390" s="14">
        <v>19241182000110</v>
      </c>
      <c r="B3390" s="15" t="str">
        <f t="shared" si="52"/>
        <v>19.241.182/0001-10</v>
      </c>
      <c r="C3390" s="12"/>
      <c r="D3390" s="3" t="s">
        <v>11850</v>
      </c>
      <c r="E3390" s="3" t="s">
        <v>11850</v>
      </c>
      <c r="F3390" s="3" t="s">
        <v>20</v>
      </c>
      <c r="G3390" s="4">
        <v>41590</v>
      </c>
      <c r="H3390" s="3" t="s">
        <v>21</v>
      </c>
      <c r="I3390" s="3" t="s">
        <v>33</v>
      </c>
      <c r="J3390" s="5">
        <v>1300130</v>
      </c>
      <c r="K3390" s="3">
        <v>8660700</v>
      </c>
      <c r="L3390" s="3" t="s">
        <v>5311</v>
      </c>
      <c r="M3390" s="3" t="s">
        <v>5072</v>
      </c>
      <c r="N3390" s="3">
        <v>142</v>
      </c>
      <c r="O3390" s="3" t="s">
        <v>11851</v>
      </c>
      <c r="P3390" s="3" t="s">
        <v>11852</v>
      </c>
      <c r="Q3390" s="3" t="s">
        <v>673</v>
      </c>
      <c r="R3390" s="3" t="s">
        <v>28</v>
      </c>
      <c r="S3390" s="3">
        <v>13911084</v>
      </c>
      <c r="T3390" s="3">
        <v>1932722103</v>
      </c>
      <c r="U3390" s="3" t="s">
        <v>29</v>
      </c>
    </row>
    <row r="3391" spans="1:21" ht="13.2" x14ac:dyDescent="0.25">
      <c r="A3391" s="14">
        <v>13656820000188</v>
      </c>
      <c r="B3391" s="15" t="str">
        <f t="shared" si="52"/>
        <v>13.656.820/0001-88</v>
      </c>
      <c r="C3391" s="12" t="str">
        <f>VLOOKUP(B3391,[1]Planilha1!$A:$B,2,0)</f>
        <v>Malu Montesino</v>
      </c>
      <c r="D3391" s="3" t="s">
        <v>11853</v>
      </c>
      <c r="E3391" s="3" t="s">
        <v>11853</v>
      </c>
      <c r="F3391" s="3" t="s">
        <v>20</v>
      </c>
      <c r="G3391" s="4">
        <v>40675</v>
      </c>
      <c r="H3391" s="3" t="s">
        <v>21</v>
      </c>
      <c r="I3391" s="3" t="s">
        <v>33</v>
      </c>
      <c r="J3391" s="5">
        <v>320678050</v>
      </c>
      <c r="K3391" s="3">
        <v>4645101</v>
      </c>
      <c r="L3391" s="3" t="s">
        <v>135</v>
      </c>
      <c r="M3391" s="3" t="s">
        <v>308</v>
      </c>
      <c r="N3391" s="3">
        <v>14171</v>
      </c>
      <c r="O3391" s="3" t="s">
        <v>11854</v>
      </c>
      <c r="P3391" s="3" t="s">
        <v>310</v>
      </c>
      <c r="Q3391" s="3" t="s">
        <v>27</v>
      </c>
      <c r="R3391" s="3" t="s">
        <v>28</v>
      </c>
      <c r="S3391" s="3">
        <v>4794000</v>
      </c>
      <c r="T3391" s="3">
        <v>1135147066</v>
      </c>
      <c r="U3391" s="3" t="s">
        <v>29</v>
      </c>
    </row>
    <row r="3392" spans="1:21" ht="13.2" x14ac:dyDescent="0.25">
      <c r="A3392" s="14">
        <v>2101894000131</v>
      </c>
      <c r="B3392" s="15" t="str">
        <f t="shared" si="52"/>
        <v>02.101.894/0001-31</v>
      </c>
      <c r="C3392" s="12"/>
      <c r="D3392" s="3" t="s">
        <v>11855</v>
      </c>
      <c r="E3392" s="3" t="s">
        <v>11855</v>
      </c>
      <c r="F3392" s="3" t="s">
        <v>20</v>
      </c>
      <c r="G3392" s="4">
        <v>35685</v>
      </c>
      <c r="H3392" s="3" t="s">
        <v>94</v>
      </c>
      <c r="I3392" s="3" t="s">
        <v>33</v>
      </c>
      <c r="J3392" s="5">
        <v>47396356</v>
      </c>
      <c r="K3392" s="3">
        <v>4651601</v>
      </c>
      <c r="L3392" s="3" t="s">
        <v>684</v>
      </c>
      <c r="M3392" s="3" t="s">
        <v>2102</v>
      </c>
      <c r="N3392" s="3">
        <v>238</v>
      </c>
      <c r="O3392" s="3" t="s">
        <v>11856</v>
      </c>
      <c r="P3392" s="3" t="s">
        <v>11857</v>
      </c>
      <c r="Q3392" s="3" t="s">
        <v>617</v>
      </c>
      <c r="R3392" s="3" t="s">
        <v>28</v>
      </c>
      <c r="S3392" s="3">
        <v>6472001</v>
      </c>
      <c r="T3392" s="3">
        <v>1121878333</v>
      </c>
      <c r="U3392" s="3" t="s">
        <v>29</v>
      </c>
    </row>
    <row r="3393" spans="1:21" ht="13.2" x14ac:dyDescent="0.25">
      <c r="A3393" s="14">
        <v>68392042000159</v>
      </c>
      <c r="B3393" s="15" t="str">
        <f t="shared" si="52"/>
        <v>68.392.042/0001-59</v>
      </c>
      <c r="C3393" s="12"/>
      <c r="D3393" s="3" t="s">
        <v>11858</v>
      </c>
      <c r="E3393" s="3" t="s">
        <v>11858</v>
      </c>
      <c r="F3393" s="3" t="s">
        <v>20</v>
      </c>
      <c r="G3393" s="4">
        <v>33841</v>
      </c>
      <c r="H3393" s="3" t="s">
        <v>21</v>
      </c>
      <c r="I3393" s="3" t="s">
        <v>22</v>
      </c>
      <c r="J3393" s="5">
        <v>120000</v>
      </c>
      <c r="K3393" s="3">
        <v>2731700</v>
      </c>
      <c r="L3393" s="3" t="s">
        <v>440</v>
      </c>
      <c r="M3393" s="3" t="s">
        <v>3990</v>
      </c>
      <c r="N3393" s="3">
        <v>149</v>
      </c>
      <c r="P3393" s="3" t="s">
        <v>11859</v>
      </c>
      <c r="Q3393" s="3" t="s">
        <v>1943</v>
      </c>
      <c r="R3393" s="3" t="s">
        <v>28</v>
      </c>
      <c r="S3393" s="3">
        <v>9920360</v>
      </c>
      <c r="U3393" s="3" t="s">
        <v>29</v>
      </c>
    </row>
    <row r="3394" spans="1:21" ht="13.2" x14ac:dyDescent="0.25">
      <c r="A3394" s="14">
        <v>60499977000127</v>
      </c>
      <c r="B3394" s="15" t="str">
        <f t="shared" si="52"/>
        <v>60.499.977/0001-27</v>
      </c>
      <c r="C3394" s="12"/>
      <c r="D3394" s="3" t="s">
        <v>11860</v>
      </c>
      <c r="E3394" s="3" t="s">
        <v>11861</v>
      </c>
      <c r="F3394" s="3" t="s">
        <v>20</v>
      </c>
      <c r="G3394" s="4">
        <v>24337</v>
      </c>
      <c r="H3394" s="3" t="s">
        <v>21</v>
      </c>
      <c r="I3394" s="3" t="s">
        <v>33</v>
      </c>
      <c r="J3394" s="5">
        <v>115993630</v>
      </c>
      <c r="K3394" s="3">
        <v>4669999</v>
      </c>
      <c r="L3394" s="3" t="s">
        <v>558</v>
      </c>
      <c r="M3394" s="3" t="s">
        <v>11862</v>
      </c>
      <c r="N3394" s="3">
        <v>715</v>
      </c>
      <c r="O3394" s="3" t="s">
        <v>11863</v>
      </c>
      <c r="P3394" s="3" t="s">
        <v>1752</v>
      </c>
      <c r="Q3394" s="3" t="s">
        <v>27</v>
      </c>
      <c r="R3394" s="3" t="s">
        <v>28</v>
      </c>
      <c r="S3394" s="3">
        <v>1201902</v>
      </c>
      <c r="T3394" s="3">
        <v>1133208550</v>
      </c>
      <c r="U3394" s="3" t="s">
        <v>29</v>
      </c>
    </row>
    <row r="3395" spans="1:21" ht="13.2" x14ac:dyDescent="0.25">
      <c r="A3395" s="14">
        <v>46119855000137</v>
      </c>
      <c r="B3395" s="15" t="str">
        <f t="shared" ref="B3395:B3458" si="53">TEXT(A3395,"00\.000\.000\/0000\-00")</f>
        <v>46.119.855/0001-37</v>
      </c>
      <c r="C3395" s="12"/>
      <c r="D3395" s="3" t="s">
        <v>11864</v>
      </c>
      <c r="E3395" s="3" t="s">
        <v>11865</v>
      </c>
      <c r="F3395" s="3" t="s">
        <v>20</v>
      </c>
      <c r="G3395" s="4">
        <v>25898</v>
      </c>
      <c r="H3395" s="3" t="s">
        <v>3881</v>
      </c>
      <c r="I3395" s="3" t="s">
        <v>33</v>
      </c>
      <c r="J3395" s="5">
        <v>660398400</v>
      </c>
      <c r="K3395" s="3">
        <v>8211300</v>
      </c>
      <c r="L3395" s="3" t="s">
        <v>166</v>
      </c>
      <c r="M3395" s="3" t="s">
        <v>11866</v>
      </c>
      <c r="N3395" s="3">
        <v>500</v>
      </c>
      <c r="O3395" s="3" t="s">
        <v>198</v>
      </c>
      <c r="P3395" s="3" t="s">
        <v>11867</v>
      </c>
      <c r="Q3395" s="3" t="s">
        <v>65</v>
      </c>
      <c r="R3395" s="3" t="s">
        <v>28</v>
      </c>
      <c r="S3395" s="3">
        <v>13041670</v>
      </c>
      <c r="T3395" s="3">
        <v>1937355000</v>
      </c>
      <c r="U3395" s="3" t="s">
        <v>29</v>
      </c>
    </row>
    <row r="3396" spans="1:21" ht="13.2" x14ac:dyDescent="0.25">
      <c r="A3396" s="14">
        <v>50567288000159</v>
      </c>
      <c r="B3396" s="15" t="str">
        <f t="shared" si="53"/>
        <v>50.567.288/0001-59</v>
      </c>
      <c r="C3396" s="12"/>
      <c r="D3396" s="3" t="s">
        <v>11868</v>
      </c>
      <c r="E3396" s="3" t="s">
        <v>11868</v>
      </c>
      <c r="F3396" s="3" t="s">
        <v>20</v>
      </c>
      <c r="G3396" s="4">
        <v>30123</v>
      </c>
      <c r="H3396" s="3" t="s">
        <v>21</v>
      </c>
      <c r="I3396" s="3" t="s">
        <v>33</v>
      </c>
      <c r="J3396" s="5">
        <v>3502888000</v>
      </c>
      <c r="K3396" s="3">
        <v>2211100</v>
      </c>
      <c r="L3396" s="3" t="s">
        <v>2845</v>
      </c>
      <c r="M3396" s="3" t="s">
        <v>2071</v>
      </c>
      <c r="N3396" s="3">
        <v>700</v>
      </c>
      <c r="O3396" s="3" t="s">
        <v>11869</v>
      </c>
      <c r="P3396" s="3" t="s">
        <v>252</v>
      </c>
      <c r="Q3396" s="3" t="s">
        <v>253</v>
      </c>
      <c r="R3396" s="3" t="s">
        <v>78</v>
      </c>
      <c r="S3396" s="3">
        <v>22640100</v>
      </c>
      <c r="T3396" s="3">
        <v>2136214711</v>
      </c>
      <c r="U3396" s="3" t="s">
        <v>29</v>
      </c>
    </row>
    <row r="3397" spans="1:21" ht="13.2" x14ac:dyDescent="0.25">
      <c r="A3397" s="14">
        <v>49930514000135</v>
      </c>
      <c r="B3397" s="15" t="str">
        <f t="shared" si="53"/>
        <v>49.930.514/0001-35</v>
      </c>
      <c r="C3397" s="12" t="str">
        <f>VLOOKUP(B3397,[1]Planilha1!$A:$B,2,0)</f>
        <v>Malu Montesino</v>
      </c>
      <c r="D3397" s="3" t="s">
        <v>11870</v>
      </c>
      <c r="E3397" s="3" t="s">
        <v>11871</v>
      </c>
      <c r="F3397" s="3" t="s">
        <v>20</v>
      </c>
      <c r="G3397" s="4">
        <v>28608</v>
      </c>
      <c r="H3397" s="3" t="s">
        <v>94</v>
      </c>
      <c r="I3397" s="3" t="s">
        <v>33</v>
      </c>
      <c r="J3397" s="5">
        <v>547714200</v>
      </c>
      <c r="K3397" s="3">
        <v>5620101</v>
      </c>
      <c r="L3397" s="3" t="s">
        <v>1369</v>
      </c>
      <c r="M3397" s="3" t="s">
        <v>4943</v>
      </c>
      <c r="N3397" s="3">
        <v>1196</v>
      </c>
      <c r="P3397" s="3" t="s">
        <v>5260</v>
      </c>
      <c r="Q3397" s="3" t="s">
        <v>27</v>
      </c>
      <c r="R3397" s="3" t="s">
        <v>28</v>
      </c>
      <c r="S3397" s="3">
        <v>4028000</v>
      </c>
      <c r="T3397" s="3">
        <v>1139575000</v>
      </c>
      <c r="U3397" s="3" t="s">
        <v>29</v>
      </c>
    </row>
    <row r="3398" spans="1:21" ht="13.2" x14ac:dyDescent="0.25">
      <c r="A3398" s="14">
        <v>17873677000137</v>
      </c>
      <c r="B3398" s="15" t="str">
        <f t="shared" si="53"/>
        <v>17.873.677/0001-37</v>
      </c>
      <c r="C3398" s="12"/>
      <c r="D3398" s="3" t="s">
        <v>11872</v>
      </c>
      <c r="E3398" s="3" t="s">
        <v>11872</v>
      </c>
      <c r="F3398" s="3" t="s">
        <v>20</v>
      </c>
      <c r="G3398" s="4">
        <v>41368</v>
      </c>
      <c r="H3398" s="3" t="s">
        <v>21</v>
      </c>
      <c r="I3398" s="3" t="s">
        <v>33</v>
      </c>
      <c r="J3398" s="5">
        <v>1665291800</v>
      </c>
      <c r="K3398" s="3">
        <v>6463800</v>
      </c>
      <c r="L3398" s="3" t="s">
        <v>458</v>
      </c>
      <c r="M3398" s="3" t="s">
        <v>11873</v>
      </c>
      <c r="N3398" s="3">
        <v>1213</v>
      </c>
      <c r="O3398" s="3" t="s">
        <v>1548</v>
      </c>
      <c r="P3398" s="3" t="s">
        <v>3970</v>
      </c>
      <c r="Q3398" s="3" t="s">
        <v>27</v>
      </c>
      <c r="R3398" s="3" t="s">
        <v>28</v>
      </c>
      <c r="S3398" s="3">
        <v>4207040</v>
      </c>
      <c r="T3398" s="3">
        <v>1130246100</v>
      </c>
      <c r="U3398" s="3" t="s">
        <v>29</v>
      </c>
    </row>
    <row r="3399" spans="1:21" ht="13.2" x14ac:dyDescent="0.25">
      <c r="A3399" s="14">
        <v>5934885000110</v>
      </c>
      <c r="B3399" s="15" t="str">
        <f t="shared" si="53"/>
        <v>05.934.885/0001-10</v>
      </c>
      <c r="C3399" s="12" t="str">
        <f>VLOOKUP(B3399,[1]Planilha1!$A:$B,2,0)</f>
        <v>Mariane Nascimento</v>
      </c>
      <c r="D3399" s="3" t="s">
        <v>11874</v>
      </c>
      <c r="E3399" s="3" t="s">
        <v>11875</v>
      </c>
      <c r="F3399" s="3" t="s">
        <v>20</v>
      </c>
      <c r="G3399" s="4">
        <v>37848</v>
      </c>
      <c r="H3399" s="3" t="s">
        <v>21</v>
      </c>
      <c r="I3399" s="3" t="s">
        <v>33</v>
      </c>
      <c r="J3399" s="5">
        <v>28000000</v>
      </c>
      <c r="K3399" s="3">
        <v>8640202</v>
      </c>
      <c r="L3399" s="3" t="s">
        <v>6209</v>
      </c>
      <c r="M3399" s="3" t="s">
        <v>11876</v>
      </c>
      <c r="N3399" s="3">
        <v>1801</v>
      </c>
      <c r="O3399" s="3" t="s">
        <v>11877</v>
      </c>
      <c r="P3399" s="3" t="s">
        <v>11878</v>
      </c>
      <c r="Q3399" s="3" t="s">
        <v>5793</v>
      </c>
      <c r="R3399" s="3" t="s">
        <v>28</v>
      </c>
      <c r="S3399" s="3">
        <v>16400472</v>
      </c>
      <c r="T3399" s="3">
        <v>1435239888</v>
      </c>
      <c r="U3399" s="3" t="s">
        <v>29</v>
      </c>
    </row>
    <row r="3400" spans="1:21" ht="13.2" x14ac:dyDescent="0.25">
      <c r="A3400" s="14">
        <v>12477288000179</v>
      </c>
      <c r="B3400" s="15" t="str">
        <f t="shared" si="53"/>
        <v>12.477.288/0001-79</v>
      </c>
      <c r="C3400" s="12"/>
      <c r="D3400" s="3" t="s">
        <v>11879</v>
      </c>
      <c r="E3400" s="3" t="s">
        <v>11880</v>
      </c>
      <c r="F3400" s="3" t="s">
        <v>20</v>
      </c>
      <c r="G3400" s="4">
        <v>40422</v>
      </c>
      <c r="H3400" s="3" t="s">
        <v>21</v>
      </c>
      <c r="I3400" s="3" t="s">
        <v>22</v>
      </c>
      <c r="J3400" s="5">
        <v>2500000</v>
      </c>
      <c r="K3400" s="3">
        <v>8230001</v>
      </c>
      <c r="L3400" s="3" t="s">
        <v>2141</v>
      </c>
      <c r="M3400" s="3" t="s">
        <v>11881</v>
      </c>
      <c r="N3400" s="3">
        <v>4277</v>
      </c>
      <c r="O3400" s="3" t="s">
        <v>11882</v>
      </c>
      <c r="P3400" s="3" t="s">
        <v>1714</v>
      </c>
      <c r="Q3400" s="3" t="s">
        <v>280</v>
      </c>
      <c r="R3400" s="3" t="s">
        <v>281</v>
      </c>
      <c r="S3400" s="3">
        <v>40280000</v>
      </c>
      <c r="T3400" s="3">
        <v>7130145900</v>
      </c>
      <c r="U3400" s="3" t="s">
        <v>29</v>
      </c>
    </row>
    <row r="3401" spans="1:21" ht="13.2" x14ac:dyDescent="0.25">
      <c r="A3401" s="14">
        <v>2717846000172</v>
      </c>
      <c r="B3401" s="15" t="str">
        <f t="shared" si="53"/>
        <v>02.717.846/0001-72</v>
      </c>
      <c r="C3401" s="12"/>
      <c r="D3401" s="3" t="s">
        <v>11883</v>
      </c>
      <c r="E3401" s="3" t="s">
        <v>11884</v>
      </c>
      <c r="F3401" s="3" t="s">
        <v>20</v>
      </c>
      <c r="G3401" s="4">
        <v>36017</v>
      </c>
      <c r="H3401" s="3" t="s">
        <v>94</v>
      </c>
      <c r="I3401" s="3" t="s">
        <v>33</v>
      </c>
      <c r="J3401" s="5">
        <v>30039120</v>
      </c>
      <c r="K3401" s="3">
        <v>4511101</v>
      </c>
      <c r="L3401" s="3" t="s">
        <v>1870</v>
      </c>
      <c r="M3401" s="3" t="s">
        <v>11885</v>
      </c>
      <c r="N3401" s="3">
        <v>525</v>
      </c>
      <c r="P3401" s="3" t="s">
        <v>2279</v>
      </c>
      <c r="Q3401" s="3" t="s">
        <v>617</v>
      </c>
      <c r="R3401" s="3" t="s">
        <v>28</v>
      </c>
      <c r="S3401" s="3">
        <v>6465100</v>
      </c>
      <c r="T3401" s="3">
        <v>1141964444</v>
      </c>
      <c r="U3401" s="3" t="s">
        <v>29</v>
      </c>
    </row>
    <row r="3402" spans="1:21" ht="13.2" x14ac:dyDescent="0.25">
      <c r="A3402" s="14">
        <v>4155026000160</v>
      </c>
      <c r="B3402" s="15" t="str">
        <f t="shared" si="53"/>
        <v>04.155.026/0001-60</v>
      </c>
      <c r="C3402" s="12" t="str">
        <f>VLOOKUP(B3402,[1]Planilha1!$A:$B,2,0)</f>
        <v>Malu Montesino</v>
      </c>
      <c r="D3402" s="3" t="s">
        <v>11886</v>
      </c>
      <c r="E3402" s="3" t="s">
        <v>11886</v>
      </c>
      <c r="F3402" s="3" t="s">
        <v>20</v>
      </c>
      <c r="G3402" s="4">
        <v>36850</v>
      </c>
      <c r="H3402" s="3" t="s">
        <v>94</v>
      </c>
      <c r="I3402" s="3" t="s">
        <v>33</v>
      </c>
      <c r="J3402" s="5">
        <v>207599410</v>
      </c>
      <c r="K3402" s="3">
        <v>2949299</v>
      </c>
      <c r="L3402" s="3" t="s">
        <v>1083</v>
      </c>
      <c r="M3402" s="3" t="s">
        <v>354</v>
      </c>
      <c r="N3402" s="3" t="s">
        <v>82</v>
      </c>
      <c r="O3402" s="3" t="s">
        <v>11887</v>
      </c>
      <c r="P3402" s="3" t="s">
        <v>11888</v>
      </c>
      <c r="Q3402" s="3" t="s">
        <v>357</v>
      </c>
      <c r="R3402" s="3" t="s">
        <v>28</v>
      </c>
      <c r="S3402" s="3">
        <v>7183904</v>
      </c>
      <c r="T3402" s="3">
        <v>1121455700</v>
      </c>
      <c r="U3402" s="3" t="s">
        <v>29</v>
      </c>
    </row>
    <row r="3403" spans="1:21" ht="13.2" x14ac:dyDescent="0.25">
      <c r="A3403" s="14">
        <v>44145845000140</v>
      </c>
      <c r="B3403" s="15" t="str">
        <f t="shared" si="53"/>
        <v>44.145.845/0001-40</v>
      </c>
      <c r="C3403" s="12" t="str">
        <f>VLOOKUP(B3403,[1]Planilha1!$A:$B,2,0)</f>
        <v>Malu Montesino</v>
      </c>
      <c r="D3403" s="3" t="s">
        <v>11889</v>
      </c>
      <c r="E3403" s="3" t="s">
        <v>11889</v>
      </c>
      <c r="F3403" s="3" t="s">
        <v>20</v>
      </c>
      <c r="G3403" s="4">
        <v>27276</v>
      </c>
      <c r="H3403" s="3" t="s">
        <v>21</v>
      </c>
      <c r="I3403" s="3" t="s">
        <v>33</v>
      </c>
      <c r="J3403" s="5">
        <v>5212540400</v>
      </c>
      <c r="K3403" s="3">
        <v>1721400</v>
      </c>
      <c r="L3403" s="3" t="s">
        <v>820</v>
      </c>
      <c r="M3403" s="3" t="s">
        <v>4221</v>
      </c>
      <c r="N3403" s="3">
        <v>222</v>
      </c>
      <c r="O3403" s="3" t="s">
        <v>11890</v>
      </c>
      <c r="P3403" s="3" t="s">
        <v>316</v>
      </c>
      <c r="Q3403" s="3" t="s">
        <v>27</v>
      </c>
      <c r="R3403" s="3" t="s">
        <v>28</v>
      </c>
      <c r="S3403" s="3">
        <v>4551065</v>
      </c>
      <c r="T3403" s="3">
        <v>1136703560</v>
      </c>
      <c r="U3403" s="3" t="s">
        <v>29</v>
      </c>
    </row>
    <row r="3404" spans="1:21" ht="13.2" x14ac:dyDescent="0.25">
      <c r="A3404" s="14">
        <v>6330557000177</v>
      </c>
      <c r="B3404" s="15" t="str">
        <f t="shared" si="53"/>
        <v>06.330.557/0001-77</v>
      </c>
      <c r="C3404" s="12"/>
      <c r="D3404" s="3" t="s">
        <v>11891</v>
      </c>
      <c r="E3404" s="3" t="s">
        <v>11891</v>
      </c>
      <c r="F3404" s="3" t="s">
        <v>20</v>
      </c>
      <c r="G3404" s="4">
        <v>38127</v>
      </c>
      <c r="H3404" s="3" t="s">
        <v>21</v>
      </c>
      <c r="I3404" s="3" t="s">
        <v>47</v>
      </c>
      <c r="J3404" s="5">
        <v>500000</v>
      </c>
      <c r="K3404" s="3">
        <v>4753900</v>
      </c>
      <c r="L3404" s="3" t="s">
        <v>214</v>
      </c>
      <c r="M3404" s="3" t="s">
        <v>11892</v>
      </c>
      <c r="N3404" s="3">
        <v>543</v>
      </c>
      <c r="O3404" s="3">
        <v>545</v>
      </c>
      <c r="P3404" s="3" t="s">
        <v>3029</v>
      </c>
      <c r="Q3404" s="3" t="s">
        <v>27</v>
      </c>
      <c r="R3404" s="3" t="s">
        <v>28</v>
      </c>
      <c r="S3404" s="3">
        <v>2725055</v>
      </c>
      <c r="T3404" s="3">
        <v>1144731994</v>
      </c>
      <c r="U3404" s="3" t="s">
        <v>29</v>
      </c>
    </row>
    <row r="3405" spans="1:21" ht="13.2" x14ac:dyDescent="0.25">
      <c r="A3405" s="14">
        <v>14490501000108</v>
      </c>
      <c r="B3405" s="15" t="str">
        <f t="shared" si="53"/>
        <v>14.490.501/0001-08</v>
      </c>
      <c r="C3405" s="12"/>
      <c r="D3405" s="3" t="s">
        <v>11893</v>
      </c>
      <c r="E3405" s="3" t="s">
        <v>11894</v>
      </c>
      <c r="F3405" s="3" t="s">
        <v>20</v>
      </c>
      <c r="G3405" s="4">
        <v>40836</v>
      </c>
      <c r="H3405" s="3" t="s">
        <v>21</v>
      </c>
      <c r="I3405" s="3" t="s">
        <v>47</v>
      </c>
      <c r="J3405" s="5">
        <v>70000</v>
      </c>
      <c r="K3405" s="3">
        <v>2539001</v>
      </c>
      <c r="L3405" s="3" t="s">
        <v>1012</v>
      </c>
      <c r="M3405" s="3" t="s">
        <v>11895</v>
      </c>
      <c r="N3405" s="3" t="s">
        <v>111</v>
      </c>
      <c r="O3405" s="3" t="s">
        <v>11896</v>
      </c>
      <c r="P3405" s="3" t="s">
        <v>11897</v>
      </c>
      <c r="Q3405" s="3" t="s">
        <v>11898</v>
      </c>
      <c r="R3405" s="3" t="s">
        <v>281</v>
      </c>
      <c r="S3405" s="3">
        <v>45807000</v>
      </c>
      <c r="T3405" s="3">
        <v>7399588788</v>
      </c>
      <c r="U3405" s="3" t="s">
        <v>29</v>
      </c>
    </row>
    <row r="3406" spans="1:21" ht="13.2" x14ac:dyDescent="0.25">
      <c r="A3406" s="14">
        <v>37291959000133</v>
      </c>
      <c r="B3406" s="15" t="str">
        <f t="shared" si="53"/>
        <v>37.291.959/0001-33</v>
      </c>
      <c r="C3406" s="12"/>
      <c r="D3406" s="3" t="s">
        <v>11899</v>
      </c>
      <c r="E3406" s="3" t="s">
        <v>11899</v>
      </c>
      <c r="F3406" s="3" t="s">
        <v>20</v>
      </c>
      <c r="G3406" s="4">
        <v>43984</v>
      </c>
      <c r="H3406" s="3" t="s">
        <v>21</v>
      </c>
      <c r="I3406" s="3" t="s">
        <v>22</v>
      </c>
      <c r="J3406" s="5">
        <v>150000</v>
      </c>
      <c r="K3406" s="3">
        <v>4684299</v>
      </c>
      <c r="L3406" s="3" t="s">
        <v>419</v>
      </c>
      <c r="M3406" s="3" t="s">
        <v>11900</v>
      </c>
      <c r="N3406" s="3">
        <v>269</v>
      </c>
      <c r="O3406" s="3" t="s">
        <v>1570</v>
      </c>
      <c r="P3406" s="3" t="s">
        <v>5797</v>
      </c>
      <c r="Q3406" s="3" t="s">
        <v>827</v>
      </c>
      <c r="R3406" s="3" t="s">
        <v>100</v>
      </c>
      <c r="S3406" s="3">
        <v>37701102</v>
      </c>
      <c r="T3406" s="3">
        <v>3537147965</v>
      </c>
      <c r="U3406" s="3" t="s">
        <v>29</v>
      </c>
    </row>
    <row r="3407" spans="1:21" ht="13.2" x14ac:dyDescent="0.25">
      <c r="A3407" s="14">
        <v>55720908000161</v>
      </c>
      <c r="B3407" s="15" t="str">
        <f t="shared" si="53"/>
        <v>55.720.908/0001-61</v>
      </c>
      <c r="C3407" s="12"/>
      <c r="D3407" s="3" t="s">
        <v>11901</v>
      </c>
      <c r="E3407" s="3" t="s">
        <v>11901</v>
      </c>
      <c r="F3407" s="3" t="s">
        <v>20</v>
      </c>
      <c r="G3407" s="4">
        <v>31540</v>
      </c>
      <c r="H3407" s="3" t="s">
        <v>21</v>
      </c>
      <c r="I3407" s="3" t="s">
        <v>33</v>
      </c>
      <c r="J3407" s="5">
        <v>233709780</v>
      </c>
      <c r="K3407" s="3">
        <v>2093200</v>
      </c>
      <c r="L3407" s="3" t="s">
        <v>913</v>
      </c>
      <c r="M3407" s="3" t="s">
        <v>2884</v>
      </c>
      <c r="N3407" s="3">
        <v>111</v>
      </c>
      <c r="O3407" s="3" t="s">
        <v>11902</v>
      </c>
      <c r="P3407" s="3" t="s">
        <v>1492</v>
      </c>
      <c r="Q3407" s="3" t="s">
        <v>27</v>
      </c>
      <c r="R3407" s="3" t="s">
        <v>28</v>
      </c>
      <c r="S3407" s="3">
        <v>5069010</v>
      </c>
      <c r="T3407" s="3">
        <v>1130899351</v>
      </c>
      <c r="U3407" s="3" t="s">
        <v>29</v>
      </c>
    </row>
    <row r="3408" spans="1:21" ht="13.2" x14ac:dyDescent="0.25">
      <c r="A3408" s="14">
        <v>5271198000161</v>
      </c>
      <c r="B3408" s="15" t="str">
        <f t="shared" si="53"/>
        <v>05.271.198/0001-61</v>
      </c>
      <c r="C3408" s="12" t="str">
        <f>VLOOKUP(B3408,[1]Planilha1!$A:$B,2,0)</f>
        <v>Malu Montesino</v>
      </c>
      <c r="D3408" s="3" t="s">
        <v>11903</v>
      </c>
      <c r="E3408" s="3" t="s">
        <v>11903</v>
      </c>
      <c r="F3408" s="3" t="s">
        <v>20</v>
      </c>
      <c r="G3408" s="4">
        <v>37508</v>
      </c>
      <c r="H3408" s="3" t="s">
        <v>21</v>
      </c>
      <c r="I3408" s="3" t="s">
        <v>33</v>
      </c>
      <c r="J3408" s="5">
        <v>2000000</v>
      </c>
      <c r="K3408" s="3">
        <v>2521700</v>
      </c>
      <c r="L3408" s="3" t="s">
        <v>5040</v>
      </c>
      <c r="M3408" s="3" t="s">
        <v>11904</v>
      </c>
      <c r="N3408" s="3">
        <v>320</v>
      </c>
      <c r="O3408" s="3" t="s">
        <v>11905</v>
      </c>
      <c r="P3408" s="3" t="s">
        <v>1005</v>
      </c>
      <c r="Q3408" s="3" t="s">
        <v>65</v>
      </c>
      <c r="R3408" s="3" t="s">
        <v>28</v>
      </c>
      <c r="S3408" s="3">
        <v>13069380</v>
      </c>
      <c r="T3408" s="3">
        <v>3232125584</v>
      </c>
      <c r="U3408" s="3" t="s">
        <v>29</v>
      </c>
    </row>
    <row r="3409" spans="1:21" ht="13.2" x14ac:dyDescent="0.25">
      <c r="A3409" s="14">
        <v>14109263000148</v>
      </c>
      <c r="B3409" s="15" t="str">
        <f t="shared" si="53"/>
        <v>14.109.263/0001-48</v>
      </c>
      <c r="C3409" s="12"/>
      <c r="D3409" s="3" t="s">
        <v>11906</v>
      </c>
      <c r="E3409" s="3" t="s">
        <v>11907</v>
      </c>
      <c r="F3409" s="3" t="s">
        <v>20</v>
      </c>
      <c r="G3409" s="4">
        <v>40697</v>
      </c>
      <c r="H3409" s="3" t="s">
        <v>21</v>
      </c>
      <c r="I3409" s="3" t="s">
        <v>33</v>
      </c>
      <c r="J3409" s="5">
        <v>15000000</v>
      </c>
      <c r="K3409" s="3">
        <v>4120400</v>
      </c>
      <c r="L3409" s="3" t="s">
        <v>87</v>
      </c>
      <c r="M3409" s="3" t="s">
        <v>11908</v>
      </c>
      <c r="N3409" s="3">
        <v>435</v>
      </c>
      <c r="O3409" s="3" t="s">
        <v>11909</v>
      </c>
      <c r="P3409" s="3" t="s">
        <v>10304</v>
      </c>
      <c r="Q3409" s="3" t="s">
        <v>199</v>
      </c>
      <c r="R3409" s="3" t="s">
        <v>792</v>
      </c>
      <c r="S3409" s="3">
        <v>66050000</v>
      </c>
      <c r="T3409" s="3">
        <v>9181270144</v>
      </c>
      <c r="U3409" s="3" t="s">
        <v>29</v>
      </c>
    </row>
    <row r="3410" spans="1:21" ht="13.2" x14ac:dyDescent="0.25">
      <c r="A3410" s="14">
        <v>46055552000106</v>
      </c>
      <c r="B3410" s="15" t="str">
        <f t="shared" si="53"/>
        <v>46.055.552/0001-06</v>
      </c>
      <c r="C3410" s="12" t="str">
        <f>VLOOKUP(B3410,[1]Planilha1!$A:$B,2,0)</f>
        <v>Malu Montesino</v>
      </c>
      <c r="D3410" s="3" t="s">
        <v>11910</v>
      </c>
      <c r="E3410" s="3" t="s">
        <v>11910</v>
      </c>
      <c r="F3410" s="3" t="s">
        <v>20</v>
      </c>
      <c r="G3410" s="4">
        <v>44669</v>
      </c>
      <c r="H3410" s="3" t="s">
        <v>21</v>
      </c>
      <c r="I3410" s="3" t="s">
        <v>33</v>
      </c>
      <c r="J3410" s="5">
        <v>2115000</v>
      </c>
      <c r="K3410" s="3">
        <v>3702900</v>
      </c>
      <c r="L3410" s="3" t="s">
        <v>3447</v>
      </c>
      <c r="M3410" s="3" t="s">
        <v>11911</v>
      </c>
      <c r="N3410" s="3">
        <v>2260</v>
      </c>
      <c r="P3410" s="3" t="s">
        <v>11912</v>
      </c>
      <c r="Q3410" s="3" t="s">
        <v>987</v>
      </c>
      <c r="R3410" s="3" t="s">
        <v>100</v>
      </c>
      <c r="S3410" s="3">
        <v>38411120</v>
      </c>
      <c r="T3410" s="3">
        <v>3433018787</v>
      </c>
      <c r="U3410" s="3" t="s">
        <v>29</v>
      </c>
    </row>
    <row r="3411" spans="1:21" ht="13.2" x14ac:dyDescent="0.25">
      <c r="A3411" s="14">
        <v>8806914000156</v>
      </c>
      <c r="B3411" s="15" t="str">
        <f t="shared" si="53"/>
        <v>08.806.914/0001-56</v>
      </c>
      <c r="C3411" s="12"/>
      <c r="D3411" s="3" t="s">
        <v>11913</v>
      </c>
      <c r="E3411" s="3" t="s">
        <v>11914</v>
      </c>
      <c r="F3411" s="3" t="s">
        <v>20</v>
      </c>
      <c r="G3411" s="4">
        <v>39205</v>
      </c>
      <c r="H3411" s="3" t="s">
        <v>21</v>
      </c>
      <c r="I3411" s="3" t="s">
        <v>33</v>
      </c>
      <c r="J3411" s="5">
        <v>12000000</v>
      </c>
      <c r="K3411" s="3">
        <v>4120400</v>
      </c>
      <c r="L3411" s="3" t="s">
        <v>87</v>
      </c>
      <c r="M3411" s="3" t="s">
        <v>8245</v>
      </c>
      <c r="N3411" s="3">
        <v>167</v>
      </c>
      <c r="O3411" s="3" t="s">
        <v>11915</v>
      </c>
      <c r="P3411" s="3" t="s">
        <v>4008</v>
      </c>
      <c r="Q3411" s="3" t="s">
        <v>294</v>
      </c>
      <c r="R3411" s="3" t="s">
        <v>28</v>
      </c>
      <c r="S3411" s="3">
        <v>11020001</v>
      </c>
      <c r="T3411" s="3">
        <v>1332212711</v>
      </c>
      <c r="U3411" s="3" t="s">
        <v>29</v>
      </c>
    </row>
    <row r="3412" spans="1:21" ht="13.2" x14ac:dyDescent="0.25">
      <c r="A3412" s="14">
        <v>36687087000164</v>
      </c>
      <c r="B3412" s="15" t="str">
        <f t="shared" si="53"/>
        <v>36.687.087/0001-64</v>
      </c>
      <c r="C3412" s="12"/>
      <c r="D3412" s="3" t="s">
        <v>11916</v>
      </c>
      <c r="E3412" s="3" t="s">
        <v>11917</v>
      </c>
      <c r="F3412" s="3" t="s">
        <v>20</v>
      </c>
      <c r="G3412" s="4">
        <v>43906</v>
      </c>
      <c r="H3412" s="3" t="s">
        <v>21</v>
      </c>
      <c r="I3412" s="3" t="s">
        <v>22</v>
      </c>
      <c r="J3412" s="5">
        <v>100000</v>
      </c>
      <c r="K3412" s="3">
        <v>4744003</v>
      </c>
      <c r="L3412" s="3" t="s">
        <v>6548</v>
      </c>
      <c r="M3412" s="3" t="s">
        <v>11918</v>
      </c>
      <c r="N3412" s="3">
        <v>901</v>
      </c>
      <c r="P3412" s="3" t="s">
        <v>11919</v>
      </c>
      <c r="Q3412" s="3" t="s">
        <v>11920</v>
      </c>
      <c r="R3412" s="3" t="s">
        <v>28</v>
      </c>
      <c r="S3412" s="3">
        <v>15801440</v>
      </c>
      <c r="T3412" s="3">
        <v>1738574666</v>
      </c>
      <c r="U3412" s="3" t="s">
        <v>29</v>
      </c>
    </row>
    <row r="3413" spans="1:21" ht="13.2" x14ac:dyDescent="0.25">
      <c r="A3413" s="14">
        <v>9445502000109</v>
      </c>
      <c r="B3413" s="15" t="str">
        <f t="shared" si="53"/>
        <v>09.445.502/0001-09</v>
      </c>
      <c r="C3413" s="12"/>
      <c r="D3413" s="3" t="s">
        <v>11921</v>
      </c>
      <c r="E3413" s="3" t="s">
        <v>11922</v>
      </c>
      <c r="F3413" s="3" t="s">
        <v>20</v>
      </c>
      <c r="G3413" s="4">
        <v>39521</v>
      </c>
      <c r="H3413" s="3" t="s">
        <v>21</v>
      </c>
      <c r="I3413" s="3" t="s">
        <v>33</v>
      </c>
      <c r="J3413" s="5">
        <v>15000000</v>
      </c>
      <c r="K3413" s="3">
        <v>8121400</v>
      </c>
      <c r="L3413" s="3" t="s">
        <v>494</v>
      </c>
      <c r="M3413" s="3" t="s">
        <v>11923</v>
      </c>
      <c r="N3413" s="3">
        <v>55</v>
      </c>
      <c r="O3413" s="3" t="s">
        <v>11924</v>
      </c>
      <c r="P3413" s="3" t="s">
        <v>2261</v>
      </c>
      <c r="Q3413" s="3" t="s">
        <v>27</v>
      </c>
      <c r="R3413" s="3" t="s">
        <v>28</v>
      </c>
      <c r="S3413" s="3">
        <v>3323000</v>
      </c>
      <c r="T3413" s="3">
        <v>1120815590</v>
      </c>
      <c r="U3413" s="3" t="s">
        <v>29</v>
      </c>
    </row>
    <row r="3414" spans="1:21" ht="13.2" x14ac:dyDescent="0.25">
      <c r="A3414" s="14">
        <v>11896538000142</v>
      </c>
      <c r="B3414" s="15" t="str">
        <f t="shared" si="53"/>
        <v>11.896.538/0001-42</v>
      </c>
      <c r="C3414" s="12"/>
      <c r="D3414" s="3" t="s">
        <v>11925</v>
      </c>
      <c r="E3414" s="3" t="s">
        <v>11925</v>
      </c>
      <c r="F3414" s="3" t="s">
        <v>20</v>
      </c>
      <c r="G3414" s="4">
        <v>40301</v>
      </c>
      <c r="H3414" s="3" t="s">
        <v>21</v>
      </c>
      <c r="I3414" s="3" t="s">
        <v>33</v>
      </c>
      <c r="J3414" s="5">
        <v>1000000</v>
      </c>
      <c r="K3414" s="3">
        <v>4644301</v>
      </c>
      <c r="L3414" s="3" t="s">
        <v>326</v>
      </c>
      <c r="M3414" s="3" t="s">
        <v>11926</v>
      </c>
      <c r="N3414" s="3">
        <v>6455</v>
      </c>
      <c r="P3414" s="3" t="s">
        <v>11927</v>
      </c>
      <c r="Q3414" s="3" t="s">
        <v>827</v>
      </c>
      <c r="R3414" s="3" t="s">
        <v>100</v>
      </c>
      <c r="S3414" s="3">
        <v>37704720</v>
      </c>
      <c r="T3414" s="3">
        <v>3136425250</v>
      </c>
      <c r="U3414" s="3" t="s">
        <v>29</v>
      </c>
    </row>
    <row r="3415" spans="1:21" ht="13.2" x14ac:dyDescent="0.25">
      <c r="A3415" s="14">
        <v>7270661000186</v>
      </c>
      <c r="B3415" s="15" t="str">
        <f t="shared" si="53"/>
        <v>07.270.661/0001-86</v>
      </c>
      <c r="C3415" s="12"/>
      <c r="D3415" s="3" t="s">
        <v>11928</v>
      </c>
      <c r="E3415" s="3" t="s">
        <v>11929</v>
      </c>
      <c r="F3415" s="3" t="s">
        <v>20</v>
      </c>
      <c r="G3415" s="4">
        <v>38419</v>
      </c>
      <c r="H3415" s="3" t="s">
        <v>21</v>
      </c>
      <c r="I3415" s="3" t="s">
        <v>22</v>
      </c>
      <c r="J3415" s="5">
        <v>100000</v>
      </c>
      <c r="K3415" s="3">
        <v>4757100</v>
      </c>
      <c r="L3415" s="3" t="s">
        <v>1833</v>
      </c>
      <c r="M3415" s="3" t="s">
        <v>7346</v>
      </c>
      <c r="N3415" s="3">
        <v>176</v>
      </c>
      <c r="O3415" s="3" t="s">
        <v>11930</v>
      </c>
      <c r="P3415" s="3" t="s">
        <v>5986</v>
      </c>
      <c r="Q3415" s="3" t="s">
        <v>3491</v>
      </c>
      <c r="R3415" s="3" t="s">
        <v>765</v>
      </c>
      <c r="S3415" s="3">
        <v>29192243</v>
      </c>
      <c r="T3415" s="3">
        <v>2732563002</v>
      </c>
      <c r="U3415" s="3" t="s">
        <v>29</v>
      </c>
    </row>
    <row r="3416" spans="1:21" ht="13.2" x14ac:dyDescent="0.25">
      <c r="A3416" s="14">
        <v>33304547000130</v>
      </c>
      <c r="B3416" s="15" t="str">
        <f t="shared" si="53"/>
        <v>33.304.547/0001-30</v>
      </c>
      <c r="C3416" s="12"/>
      <c r="D3416" s="3" t="s">
        <v>11931</v>
      </c>
      <c r="E3416" s="3" t="s">
        <v>11931</v>
      </c>
      <c r="F3416" s="3" t="s">
        <v>20</v>
      </c>
      <c r="G3416" s="4">
        <v>43564</v>
      </c>
      <c r="H3416" s="3" t="s">
        <v>94</v>
      </c>
      <c r="I3416" s="3" t="s">
        <v>33</v>
      </c>
      <c r="J3416" s="5">
        <v>24000000</v>
      </c>
      <c r="K3416" s="3">
        <v>7711000</v>
      </c>
      <c r="L3416" s="3" t="s">
        <v>2763</v>
      </c>
      <c r="M3416" s="3" t="s">
        <v>11932</v>
      </c>
      <c r="N3416" s="3">
        <v>24</v>
      </c>
      <c r="O3416" s="3" t="s">
        <v>4037</v>
      </c>
      <c r="P3416" s="3" t="s">
        <v>70</v>
      </c>
      <c r="Q3416" s="3" t="s">
        <v>27</v>
      </c>
      <c r="R3416" s="3" t="s">
        <v>28</v>
      </c>
      <c r="S3416" s="3">
        <v>1014900</v>
      </c>
      <c r="T3416" s="3">
        <v>1141308118</v>
      </c>
      <c r="U3416" s="3" t="s">
        <v>29</v>
      </c>
    </row>
    <row r="3417" spans="1:21" ht="13.2" x14ac:dyDescent="0.25">
      <c r="A3417" s="14">
        <v>3513203000170</v>
      </c>
      <c r="B3417" s="15" t="str">
        <f t="shared" si="53"/>
        <v>03.513.203/0001-70</v>
      </c>
      <c r="C3417" s="12"/>
      <c r="D3417" s="3" t="s">
        <v>11933</v>
      </c>
      <c r="E3417" s="3" t="s">
        <v>11933</v>
      </c>
      <c r="F3417" s="3" t="s">
        <v>45</v>
      </c>
      <c r="G3417" s="4">
        <v>36476</v>
      </c>
      <c r="H3417" s="3" t="s">
        <v>21</v>
      </c>
      <c r="I3417" s="3" t="s">
        <v>33</v>
      </c>
      <c r="J3417" s="5">
        <v>110573140</v>
      </c>
      <c r="K3417" s="3">
        <v>4684299</v>
      </c>
      <c r="L3417" s="3" t="s">
        <v>419</v>
      </c>
      <c r="M3417" s="3" t="s">
        <v>11934</v>
      </c>
      <c r="N3417" s="3" t="s">
        <v>82</v>
      </c>
      <c r="P3417" s="3" t="s">
        <v>11935</v>
      </c>
      <c r="Q3417" s="3" t="s">
        <v>1410</v>
      </c>
      <c r="R3417" s="3" t="s">
        <v>28</v>
      </c>
      <c r="S3417" s="3">
        <v>9071190</v>
      </c>
      <c r="U3417" s="3" t="s">
        <v>29</v>
      </c>
    </row>
    <row r="3418" spans="1:21" ht="13.2" x14ac:dyDescent="0.25">
      <c r="A3418" s="14">
        <v>54030629000103</v>
      </c>
      <c r="B3418" s="15" t="str">
        <f t="shared" si="53"/>
        <v>54.030.629/0001-03</v>
      </c>
      <c r="C3418" s="12" t="str">
        <f>VLOOKUP(B3418,[1]Planilha1!$A:$B,2,0)</f>
        <v>Malu Montesino</v>
      </c>
      <c r="D3418" s="3" t="s">
        <v>11936</v>
      </c>
      <c r="E3418" s="3" t="s">
        <v>11937</v>
      </c>
      <c r="F3418" s="3" t="s">
        <v>20</v>
      </c>
      <c r="G3418" s="4">
        <v>45344</v>
      </c>
      <c r="H3418" s="3" t="s">
        <v>2634</v>
      </c>
      <c r="I3418" s="3" t="s">
        <v>33</v>
      </c>
      <c r="J3418" s="5">
        <v>0</v>
      </c>
      <c r="K3418" s="3">
        <v>6462000</v>
      </c>
      <c r="L3418" s="3" t="s">
        <v>250</v>
      </c>
      <c r="M3418" s="3" t="s">
        <v>11938</v>
      </c>
      <c r="N3418" s="3" t="s">
        <v>82</v>
      </c>
      <c r="O3418" s="3" t="s">
        <v>11939</v>
      </c>
      <c r="P3418" s="3" t="s">
        <v>11940</v>
      </c>
      <c r="R3418" s="3" t="s">
        <v>2637</v>
      </c>
      <c r="U3418" s="3" t="s">
        <v>29</v>
      </c>
    </row>
    <row r="3419" spans="1:21" ht="13.2" x14ac:dyDescent="0.25">
      <c r="A3419" s="14">
        <v>62908166000168</v>
      </c>
      <c r="B3419" s="15" t="str">
        <f t="shared" si="53"/>
        <v>62.908.166/0001-68</v>
      </c>
      <c r="C3419" s="12" t="str">
        <f>VLOOKUP(B3419,[1]Planilha1!$A:$B,2,0)</f>
        <v>Malu Montesino</v>
      </c>
      <c r="D3419" s="3" t="s">
        <v>11941</v>
      </c>
      <c r="E3419" s="3" t="s">
        <v>11942</v>
      </c>
      <c r="F3419" s="3" t="s">
        <v>20</v>
      </c>
      <c r="G3419" s="4">
        <v>45926</v>
      </c>
      <c r="H3419" s="3" t="s">
        <v>21</v>
      </c>
      <c r="I3419" s="3" t="s">
        <v>47</v>
      </c>
      <c r="J3419" s="5">
        <v>10000</v>
      </c>
      <c r="K3419" s="3">
        <v>8211300</v>
      </c>
      <c r="L3419" s="3" t="s">
        <v>166</v>
      </c>
      <c r="M3419" s="3" t="s">
        <v>10532</v>
      </c>
      <c r="N3419" s="3">
        <v>363</v>
      </c>
      <c r="O3419" s="3" t="s">
        <v>11943</v>
      </c>
      <c r="P3419" s="3" t="s">
        <v>10534</v>
      </c>
      <c r="Q3419" s="3" t="s">
        <v>5089</v>
      </c>
      <c r="R3419" s="3" t="s">
        <v>281</v>
      </c>
      <c r="S3419" s="3">
        <v>42710500</v>
      </c>
      <c r="T3419" s="3">
        <v>7196383218</v>
      </c>
      <c r="U3419" s="3" t="s">
        <v>29</v>
      </c>
    </row>
    <row r="3420" spans="1:21" ht="13.2" x14ac:dyDescent="0.25">
      <c r="A3420" s="14">
        <v>3743732000160</v>
      </c>
      <c r="B3420" s="15" t="str">
        <f t="shared" si="53"/>
        <v>03.743.732/0001-60</v>
      </c>
      <c r="C3420" s="12"/>
      <c r="D3420" s="3" t="s">
        <v>11944</v>
      </c>
      <c r="E3420" s="3" t="s">
        <v>11945</v>
      </c>
      <c r="F3420" s="3" t="s">
        <v>20</v>
      </c>
      <c r="G3420" s="4">
        <v>36620</v>
      </c>
      <c r="H3420" s="3" t="s">
        <v>21</v>
      </c>
      <c r="I3420" s="3" t="s">
        <v>33</v>
      </c>
      <c r="J3420" s="5">
        <v>400000</v>
      </c>
      <c r="K3420" s="3">
        <v>7490199</v>
      </c>
      <c r="L3420" s="3" t="s">
        <v>1091</v>
      </c>
      <c r="M3420" s="3" t="s">
        <v>11946</v>
      </c>
      <c r="N3420" s="3">
        <v>701</v>
      </c>
      <c r="P3420" s="3" t="s">
        <v>5730</v>
      </c>
      <c r="Q3420" s="3" t="s">
        <v>204</v>
      </c>
      <c r="R3420" s="3" t="s">
        <v>187</v>
      </c>
      <c r="S3420" s="3">
        <v>80045395</v>
      </c>
      <c r="T3420" s="3">
        <v>4130150805</v>
      </c>
      <c r="U3420" s="3" t="s">
        <v>29</v>
      </c>
    </row>
    <row r="3421" spans="1:21" ht="13.2" x14ac:dyDescent="0.25">
      <c r="A3421" s="14">
        <v>6294126000100</v>
      </c>
      <c r="B3421" s="15" t="str">
        <f t="shared" si="53"/>
        <v>06.294.126/0001-00</v>
      </c>
      <c r="C3421" s="12"/>
      <c r="D3421" s="3" t="s">
        <v>11947</v>
      </c>
      <c r="E3421" s="3" t="s">
        <v>11947</v>
      </c>
      <c r="F3421" s="3" t="s">
        <v>20</v>
      </c>
      <c r="G3421" s="4">
        <v>38132</v>
      </c>
      <c r="H3421" s="3" t="s">
        <v>21</v>
      </c>
      <c r="I3421" s="3" t="s">
        <v>33</v>
      </c>
      <c r="J3421" s="5">
        <v>10000000</v>
      </c>
      <c r="K3421" s="3">
        <v>4645101</v>
      </c>
      <c r="L3421" s="3" t="s">
        <v>135</v>
      </c>
      <c r="M3421" s="3" t="s">
        <v>11948</v>
      </c>
      <c r="N3421" s="3">
        <v>30</v>
      </c>
      <c r="P3421" s="3" t="s">
        <v>70</v>
      </c>
      <c r="Q3421" s="3" t="s">
        <v>4703</v>
      </c>
      <c r="R3421" s="3" t="s">
        <v>53</v>
      </c>
      <c r="S3421" s="3">
        <v>92990000</v>
      </c>
      <c r="T3421" s="3">
        <v>5133479000</v>
      </c>
      <c r="U3421" s="3" t="s">
        <v>29</v>
      </c>
    </row>
    <row r="3422" spans="1:21" ht="13.2" x14ac:dyDescent="0.25">
      <c r="A3422" s="14">
        <v>2538798000155</v>
      </c>
      <c r="B3422" s="15" t="str">
        <f t="shared" si="53"/>
        <v>02.538.798/0001-55</v>
      </c>
      <c r="C3422" s="12"/>
      <c r="D3422" s="3" t="s">
        <v>11949</v>
      </c>
      <c r="E3422" s="3" t="s">
        <v>11949</v>
      </c>
      <c r="F3422" s="3" t="s">
        <v>20</v>
      </c>
      <c r="G3422" s="4">
        <v>35858</v>
      </c>
      <c r="H3422" s="3" t="s">
        <v>94</v>
      </c>
      <c r="I3422" s="3" t="s">
        <v>33</v>
      </c>
      <c r="J3422" s="5">
        <v>0</v>
      </c>
      <c r="K3422" s="3">
        <v>6462000</v>
      </c>
      <c r="L3422" s="3" t="s">
        <v>250</v>
      </c>
      <c r="M3422" s="3" t="s">
        <v>388</v>
      </c>
      <c r="N3422" s="3">
        <v>651</v>
      </c>
      <c r="O3422" s="3" t="s">
        <v>11950</v>
      </c>
      <c r="P3422" s="3" t="s">
        <v>70</v>
      </c>
      <c r="Q3422" s="3" t="s">
        <v>253</v>
      </c>
      <c r="R3422" s="3" t="s">
        <v>78</v>
      </c>
      <c r="S3422" s="3">
        <v>20030041</v>
      </c>
      <c r="T3422" s="3">
        <v>2121317100</v>
      </c>
      <c r="U3422" s="3" t="s">
        <v>29</v>
      </c>
    </row>
    <row r="3423" spans="1:21" ht="13.2" x14ac:dyDescent="0.25">
      <c r="A3423" s="14">
        <v>44705774000193</v>
      </c>
      <c r="B3423" s="15" t="str">
        <f t="shared" si="53"/>
        <v>44.705.774/0001-93</v>
      </c>
      <c r="C3423" s="12" t="str">
        <f>VLOOKUP(B3423,[1]Planilha1!$A:$B,2,0)</f>
        <v>Malu Montesino</v>
      </c>
      <c r="D3423" s="3" t="s">
        <v>11951</v>
      </c>
      <c r="E3423" s="3" t="s">
        <v>11952</v>
      </c>
      <c r="F3423" s="3" t="s">
        <v>20</v>
      </c>
      <c r="G3423" s="4">
        <v>44560</v>
      </c>
      <c r="H3423" s="3" t="s">
        <v>94</v>
      </c>
      <c r="I3423" s="3" t="s">
        <v>33</v>
      </c>
      <c r="J3423" s="5">
        <v>6000000</v>
      </c>
      <c r="K3423" s="3">
        <v>6499999</v>
      </c>
      <c r="L3423" s="3" t="s">
        <v>34</v>
      </c>
      <c r="M3423" s="3" t="s">
        <v>11953</v>
      </c>
      <c r="N3423" s="3">
        <v>4335</v>
      </c>
      <c r="O3423" s="3" t="s">
        <v>11954</v>
      </c>
      <c r="P3423" s="3" t="s">
        <v>11955</v>
      </c>
      <c r="Q3423" s="3" t="s">
        <v>667</v>
      </c>
      <c r="R3423" s="3" t="s">
        <v>301</v>
      </c>
      <c r="S3423" s="3">
        <v>60833005</v>
      </c>
      <c r="T3423" s="3">
        <v>8532156650</v>
      </c>
      <c r="U3423" s="3" t="s">
        <v>29</v>
      </c>
    </row>
    <row r="3424" spans="1:21" ht="13.2" x14ac:dyDescent="0.25">
      <c r="A3424" s="14">
        <v>3347723000150</v>
      </c>
      <c r="B3424" s="15" t="str">
        <f t="shared" si="53"/>
        <v>03.347.723/0001-50</v>
      </c>
      <c r="C3424" s="12"/>
      <c r="D3424" s="3" t="s">
        <v>11956</v>
      </c>
      <c r="E3424" s="3" t="s">
        <v>11956</v>
      </c>
      <c r="F3424" s="3" t="s">
        <v>20</v>
      </c>
      <c r="G3424" s="4">
        <v>36381</v>
      </c>
      <c r="H3424" s="3" t="s">
        <v>21</v>
      </c>
      <c r="I3424" s="3" t="s">
        <v>33</v>
      </c>
      <c r="J3424" s="5">
        <v>1867564000</v>
      </c>
      <c r="K3424" s="3">
        <v>600001</v>
      </c>
      <c r="L3424" s="3" t="s">
        <v>2644</v>
      </c>
      <c r="M3424" s="3" t="s">
        <v>2071</v>
      </c>
      <c r="N3424" s="3">
        <v>3500</v>
      </c>
      <c r="O3424" s="3" t="s">
        <v>11957</v>
      </c>
      <c r="P3424" s="3" t="s">
        <v>252</v>
      </c>
      <c r="Q3424" s="3" t="s">
        <v>253</v>
      </c>
      <c r="R3424" s="3" t="s">
        <v>78</v>
      </c>
      <c r="S3424" s="3">
        <v>22640102</v>
      </c>
      <c r="T3424" s="3">
        <v>2137369200</v>
      </c>
      <c r="U3424" s="3" t="s">
        <v>29</v>
      </c>
    </row>
    <row r="3425" spans="1:21" ht="13.2" x14ac:dyDescent="0.25">
      <c r="A3425" s="14">
        <v>60492131000165</v>
      </c>
      <c r="B3425" s="15" t="str">
        <f t="shared" si="53"/>
        <v>60.492.131/0001-65</v>
      </c>
      <c r="C3425" s="12" t="str">
        <f>VLOOKUP(B3425,[1]Planilha1!$A:$B,2,0)</f>
        <v>Malu Montesino</v>
      </c>
      <c r="D3425" s="3" t="s">
        <v>11958</v>
      </c>
      <c r="E3425" s="3" t="s">
        <v>11959</v>
      </c>
      <c r="F3425" s="3" t="s">
        <v>20</v>
      </c>
      <c r="G3425" s="4">
        <v>45769</v>
      </c>
      <c r="H3425" s="3" t="s">
        <v>2634</v>
      </c>
      <c r="I3425" s="3" t="s">
        <v>33</v>
      </c>
      <c r="J3425" s="5">
        <v>0</v>
      </c>
      <c r="K3425" s="3">
        <v>2660400</v>
      </c>
      <c r="L3425" s="3" t="s">
        <v>953</v>
      </c>
      <c r="M3425" s="3" t="s">
        <v>11960</v>
      </c>
      <c r="N3425" s="3" t="s">
        <v>82</v>
      </c>
      <c r="O3425" s="3" t="s">
        <v>11961</v>
      </c>
      <c r="P3425" s="3" t="s">
        <v>11962</v>
      </c>
      <c r="R3425" s="3" t="s">
        <v>2637</v>
      </c>
      <c r="U3425" s="3" t="s">
        <v>29</v>
      </c>
    </row>
    <row r="3426" spans="1:21" ht="13.2" x14ac:dyDescent="0.25">
      <c r="A3426" s="14">
        <v>92792530000138</v>
      </c>
      <c r="B3426" s="15" t="str">
        <f t="shared" si="53"/>
        <v>92.792.530/0001-38</v>
      </c>
      <c r="C3426" s="12"/>
      <c r="D3426" s="3" t="s">
        <v>11963</v>
      </c>
      <c r="E3426" s="3" t="s">
        <v>11964</v>
      </c>
      <c r="F3426" s="3" t="s">
        <v>20</v>
      </c>
      <c r="G3426" s="4">
        <v>24342</v>
      </c>
      <c r="H3426" s="3" t="s">
        <v>21</v>
      </c>
      <c r="I3426" s="3" t="s">
        <v>33</v>
      </c>
      <c r="J3426" s="5">
        <v>120469930</v>
      </c>
      <c r="K3426" s="3">
        <v>4645102</v>
      </c>
      <c r="L3426" s="3" t="s">
        <v>2858</v>
      </c>
      <c r="M3426" s="3" t="s">
        <v>3076</v>
      </c>
      <c r="N3426" s="3">
        <v>215</v>
      </c>
      <c r="O3426" s="3" t="s">
        <v>11965</v>
      </c>
      <c r="P3426" s="3" t="s">
        <v>3078</v>
      </c>
      <c r="Q3426" s="3" t="s">
        <v>27</v>
      </c>
      <c r="R3426" s="3" t="s">
        <v>28</v>
      </c>
      <c r="S3426" s="3">
        <v>5804900</v>
      </c>
      <c r="T3426" s="3">
        <v>1137477147</v>
      </c>
      <c r="U3426" s="3" t="s">
        <v>29</v>
      </c>
    </row>
    <row r="3427" spans="1:21" ht="13.2" x14ac:dyDescent="0.25">
      <c r="A3427" s="14">
        <v>4078456000125</v>
      </c>
      <c r="B3427" s="15" t="str">
        <f t="shared" si="53"/>
        <v>04.078.456/0001-25</v>
      </c>
      <c r="C3427" s="12"/>
      <c r="D3427" s="3" t="s">
        <v>11966</v>
      </c>
      <c r="E3427" s="3" t="s">
        <v>11967</v>
      </c>
      <c r="F3427" s="3" t="s">
        <v>20</v>
      </c>
      <c r="G3427" s="4">
        <v>36755</v>
      </c>
      <c r="H3427" s="3" t="s">
        <v>21</v>
      </c>
      <c r="I3427" s="3" t="s">
        <v>33</v>
      </c>
      <c r="J3427" s="5">
        <v>32707464</v>
      </c>
      <c r="K3427" s="3">
        <v>6209100</v>
      </c>
      <c r="L3427" s="3" t="s">
        <v>303</v>
      </c>
      <c r="M3427" s="3" t="s">
        <v>246</v>
      </c>
      <c r="N3427" s="3">
        <v>2202</v>
      </c>
      <c r="O3427" s="3" t="s">
        <v>6657</v>
      </c>
      <c r="P3427" s="3" t="s">
        <v>248</v>
      </c>
      <c r="Q3427" s="3" t="s">
        <v>27</v>
      </c>
      <c r="R3427" s="3" t="s">
        <v>28</v>
      </c>
      <c r="S3427" s="3">
        <v>1310932</v>
      </c>
      <c r="T3427" s="3">
        <v>1133656300</v>
      </c>
      <c r="U3427" s="3" t="s">
        <v>29</v>
      </c>
    </row>
    <row r="3428" spans="1:21" ht="13.2" x14ac:dyDescent="0.25">
      <c r="A3428" s="14">
        <v>88634977000101</v>
      </c>
      <c r="B3428" s="15" t="str">
        <f t="shared" si="53"/>
        <v>88.634.977/0001-01</v>
      </c>
      <c r="C3428" s="12" t="str">
        <f>VLOOKUP(B3428,[1]Planilha1!$A:$B,2,0)</f>
        <v>Malu Montesino</v>
      </c>
      <c r="D3428" s="3" t="s">
        <v>11968</v>
      </c>
      <c r="E3428" s="3" t="s">
        <v>11968</v>
      </c>
      <c r="F3428" s="3" t="s">
        <v>20</v>
      </c>
      <c r="G3428" s="4">
        <v>19940</v>
      </c>
      <c r="H3428" s="3" t="s">
        <v>21</v>
      </c>
      <c r="I3428" s="3" t="s">
        <v>33</v>
      </c>
      <c r="J3428" s="5">
        <v>314569760</v>
      </c>
      <c r="K3428" s="3">
        <v>5211701</v>
      </c>
      <c r="L3428" s="3" t="s">
        <v>1623</v>
      </c>
      <c r="M3428" s="3" t="s">
        <v>11969</v>
      </c>
      <c r="N3428" s="3" t="s">
        <v>82</v>
      </c>
      <c r="O3428" s="3" t="s">
        <v>9780</v>
      </c>
      <c r="P3428" s="3" t="s">
        <v>610</v>
      </c>
      <c r="Q3428" s="3" t="s">
        <v>417</v>
      </c>
      <c r="R3428" s="3" t="s">
        <v>53</v>
      </c>
      <c r="S3428" s="3">
        <v>95178000</v>
      </c>
      <c r="T3428" s="3">
        <v>5421096000</v>
      </c>
      <c r="U3428" s="3" t="s">
        <v>29</v>
      </c>
    </row>
    <row r="3429" spans="1:21" ht="13.2" x14ac:dyDescent="0.25">
      <c r="A3429" s="14">
        <v>9367060000111</v>
      </c>
      <c r="B3429" s="15" t="str">
        <f t="shared" si="53"/>
        <v>09.367.060/0001-11</v>
      </c>
      <c r="C3429" s="12"/>
      <c r="D3429" s="3" t="s">
        <v>11970</v>
      </c>
      <c r="E3429" s="3" t="s">
        <v>11971</v>
      </c>
      <c r="F3429" s="3" t="s">
        <v>20</v>
      </c>
      <c r="G3429" s="4">
        <v>39489</v>
      </c>
      <c r="H3429" s="3" t="s">
        <v>21</v>
      </c>
      <c r="I3429" s="3" t="s">
        <v>22</v>
      </c>
      <c r="J3429" s="5">
        <v>20000</v>
      </c>
      <c r="K3429" s="3">
        <v>4649405</v>
      </c>
      <c r="L3429" s="3" t="s">
        <v>11972</v>
      </c>
      <c r="M3429" s="3" t="s">
        <v>11973</v>
      </c>
      <c r="N3429" s="3">
        <v>465</v>
      </c>
      <c r="P3429" s="3" t="s">
        <v>5797</v>
      </c>
      <c r="Q3429" s="3" t="s">
        <v>231</v>
      </c>
      <c r="R3429" s="3" t="s">
        <v>28</v>
      </c>
      <c r="S3429" s="3">
        <v>18046070</v>
      </c>
      <c r="T3429" s="3">
        <v>1532177860</v>
      </c>
      <c r="U3429" s="3" t="s">
        <v>29</v>
      </c>
    </row>
    <row r="3430" spans="1:21" ht="13.2" x14ac:dyDescent="0.25">
      <c r="A3430" s="14">
        <v>11893112000135</v>
      </c>
      <c r="B3430" s="15" t="str">
        <f t="shared" si="53"/>
        <v>11.893.112/0001-35</v>
      </c>
      <c r="C3430" s="12"/>
      <c r="D3430" s="3" t="s">
        <v>11974</v>
      </c>
      <c r="E3430" s="3" t="s">
        <v>11975</v>
      </c>
      <c r="F3430" s="3" t="s">
        <v>20</v>
      </c>
      <c r="G3430" s="4">
        <v>31827</v>
      </c>
      <c r="H3430" s="3" t="s">
        <v>21</v>
      </c>
      <c r="I3430" s="3" t="s">
        <v>33</v>
      </c>
      <c r="J3430" s="5">
        <v>3000000</v>
      </c>
      <c r="K3430" s="3">
        <v>4682600</v>
      </c>
      <c r="L3430" s="3" t="s">
        <v>1219</v>
      </c>
      <c r="M3430" s="3" t="s">
        <v>11976</v>
      </c>
      <c r="N3430" s="3">
        <v>134</v>
      </c>
      <c r="P3430" s="3" t="s">
        <v>11977</v>
      </c>
      <c r="Q3430" s="3" t="s">
        <v>6023</v>
      </c>
      <c r="R3430" s="3" t="s">
        <v>4623</v>
      </c>
      <c r="S3430" s="3">
        <v>58083386</v>
      </c>
      <c r="T3430" s="3">
        <v>8332417886</v>
      </c>
      <c r="U3430" s="3" t="s">
        <v>29</v>
      </c>
    </row>
    <row r="3431" spans="1:21" ht="13.2" x14ac:dyDescent="0.25">
      <c r="A3431" s="14">
        <v>4744134000178</v>
      </c>
      <c r="B3431" s="15" t="str">
        <f t="shared" si="53"/>
        <v>04.744.134/0001-78</v>
      </c>
      <c r="C3431" s="12"/>
      <c r="D3431" s="3" t="s">
        <v>11978</v>
      </c>
      <c r="E3431" s="3" t="s">
        <v>11979</v>
      </c>
      <c r="F3431" s="3" t="s">
        <v>20</v>
      </c>
      <c r="G3431" s="4">
        <v>37193</v>
      </c>
      <c r="H3431" s="3" t="s">
        <v>21</v>
      </c>
      <c r="I3431" s="3" t="s">
        <v>33</v>
      </c>
      <c r="J3431" s="5">
        <v>1500000</v>
      </c>
      <c r="K3431" s="3">
        <v>8219999</v>
      </c>
      <c r="L3431" s="3" t="s">
        <v>121</v>
      </c>
      <c r="M3431" s="3" t="s">
        <v>11980</v>
      </c>
      <c r="N3431" s="3" t="s">
        <v>111</v>
      </c>
      <c r="O3431" s="3" t="s">
        <v>11981</v>
      </c>
      <c r="P3431" s="3" t="s">
        <v>1456</v>
      </c>
      <c r="Q3431" s="3" t="s">
        <v>631</v>
      </c>
      <c r="R3431" s="3" t="s">
        <v>632</v>
      </c>
      <c r="S3431" s="3">
        <v>71205080</v>
      </c>
      <c r="T3431" s="3">
        <v>6133746216</v>
      </c>
      <c r="U3431" s="3" t="s">
        <v>29</v>
      </c>
    </row>
    <row r="3432" spans="1:21" ht="13.2" x14ac:dyDescent="0.25">
      <c r="A3432" s="14">
        <v>20585735000131</v>
      </c>
      <c r="B3432" s="15" t="str">
        <f t="shared" si="53"/>
        <v>20.585.735/0001-31</v>
      </c>
      <c r="C3432" s="12"/>
      <c r="D3432" s="3" t="s">
        <v>11982</v>
      </c>
      <c r="E3432" s="3" t="s">
        <v>11983</v>
      </c>
      <c r="F3432" s="3" t="s">
        <v>20</v>
      </c>
      <c r="G3432" s="4">
        <v>41824</v>
      </c>
      <c r="H3432" s="3" t="s">
        <v>21</v>
      </c>
      <c r="I3432" s="3" t="s">
        <v>47</v>
      </c>
      <c r="J3432" s="5">
        <v>480000</v>
      </c>
      <c r="K3432" s="3">
        <v>4322302</v>
      </c>
      <c r="L3432" s="3" t="s">
        <v>5651</v>
      </c>
      <c r="M3432" s="3" t="s">
        <v>11984</v>
      </c>
      <c r="N3432" s="3">
        <v>548</v>
      </c>
      <c r="P3432" s="3" t="s">
        <v>2912</v>
      </c>
      <c r="Q3432" s="3" t="s">
        <v>27</v>
      </c>
      <c r="R3432" s="3" t="s">
        <v>28</v>
      </c>
      <c r="S3432" s="3">
        <v>4276000</v>
      </c>
      <c r="T3432" s="3">
        <v>1150610474</v>
      </c>
      <c r="U3432" s="3" t="s">
        <v>29</v>
      </c>
    </row>
    <row r="3433" spans="1:21" ht="13.2" x14ac:dyDescent="0.25">
      <c r="A3433" s="14">
        <v>58520858000167</v>
      </c>
      <c r="B3433" s="15" t="str">
        <f t="shared" si="53"/>
        <v>58.520.858/0001-67</v>
      </c>
      <c r="C3433" s="12" t="str">
        <f>VLOOKUP(B3433,[1]Planilha1!$A:$B,2,0)</f>
        <v>Malu Montesino</v>
      </c>
      <c r="D3433" s="3" t="s">
        <v>11985</v>
      </c>
      <c r="E3433" s="3" t="s">
        <v>11986</v>
      </c>
      <c r="F3433" s="3" t="s">
        <v>20</v>
      </c>
      <c r="G3433" s="4">
        <v>45645</v>
      </c>
      <c r="H3433" s="3" t="s">
        <v>21</v>
      </c>
      <c r="I3433" s="3" t="s">
        <v>47</v>
      </c>
      <c r="J3433" s="5">
        <v>40000</v>
      </c>
      <c r="K3433" s="3">
        <v>6201501</v>
      </c>
      <c r="L3433" s="3" t="s">
        <v>298</v>
      </c>
      <c r="M3433" s="3" t="s">
        <v>11987</v>
      </c>
      <c r="N3433" s="7">
        <v>11748</v>
      </c>
      <c r="P3433" s="3" t="s">
        <v>11988</v>
      </c>
      <c r="Q3433" s="3" t="s">
        <v>107</v>
      </c>
      <c r="R3433" s="3" t="s">
        <v>91</v>
      </c>
      <c r="S3433" s="3">
        <v>88064002</v>
      </c>
      <c r="T3433" s="3">
        <v>4891715428</v>
      </c>
      <c r="U3433" s="3" t="s">
        <v>29</v>
      </c>
    </row>
    <row r="3434" spans="1:21" ht="13.2" x14ac:dyDescent="0.25">
      <c r="A3434" s="14">
        <v>11278588000166</v>
      </c>
      <c r="B3434" s="15" t="str">
        <f t="shared" si="53"/>
        <v>11.278.588/0001-66</v>
      </c>
      <c r="C3434" s="12"/>
      <c r="D3434" s="3" t="s">
        <v>11989</v>
      </c>
      <c r="E3434" s="3" t="s">
        <v>11989</v>
      </c>
      <c r="F3434" s="3" t="s">
        <v>20</v>
      </c>
      <c r="G3434" s="4">
        <v>40109</v>
      </c>
      <c r="H3434" s="3" t="s">
        <v>21</v>
      </c>
      <c r="I3434" s="3" t="s">
        <v>33</v>
      </c>
      <c r="J3434" s="5">
        <v>50000</v>
      </c>
      <c r="K3434" s="3">
        <v>6190699</v>
      </c>
      <c r="L3434" s="3" t="s">
        <v>258</v>
      </c>
      <c r="M3434" s="3" t="s">
        <v>10671</v>
      </c>
      <c r="N3434" s="3">
        <v>388</v>
      </c>
      <c r="O3434" s="3" t="s">
        <v>6891</v>
      </c>
      <c r="P3434" s="3" t="s">
        <v>1064</v>
      </c>
      <c r="Q3434" s="3" t="s">
        <v>27</v>
      </c>
      <c r="R3434" s="3" t="s">
        <v>28</v>
      </c>
      <c r="S3434" s="3">
        <v>4010000</v>
      </c>
      <c r="T3434" s="3">
        <v>1135347000</v>
      </c>
      <c r="U3434" s="3" t="s">
        <v>29</v>
      </c>
    </row>
    <row r="3435" spans="1:21" ht="13.2" x14ac:dyDescent="0.25">
      <c r="A3435" s="14">
        <v>34151100000130</v>
      </c>
      <c r="B3435" s="15" t="str">
        <f t="shared" si="53"/>
        <v>34.151.100/0001-30</v>
      </c>
      <c r="C3435" s="12" t="str">
        <f>VLOOKUP(B3435,[1]Planilha1!$A:$B,2,0)</f>
        <v>Malu Montesino</v>
      </c>
      <c r="D3435" s="3" t="s">
        <v>11990</v>
      </c>
      <c r="E3435" s="3" t="s">
        <v>11990</v>
      </c>
      <c r="F3435" s="3" t="s">
        <v>20</v>
      </c>
      <c r="G3435" s="4">
        <v>25985</v>
      </c>
      <c r="H3435" s="3" t="s">
        <v>94</v>
      </c>
      <c r="I3435" s="3" t="s">
        <v>33</v>
      </c>
      <c r="J3435" s="5">
        <v>1606668900</v>
      </c>
      <c r="K3435" s="3">
        <v>4662100</v>
      </c>
      <c r="L3435" s="3" t="s">
        <v>2324</v>
      </c>
      <c r="M3435" s="3" t="s">
        <v>81</v>
      </c>
      <c r="N3435" s="3" t="s">
        <v>82</v>
      </c>
      <c r="O3435" s="3" t="s">
        <v>11991</v>
      </c>
      <c r="P3435" s="3" t="s">
        <v>11992</v>
      </c>
      <c r="Q3435" s="3" t="s">
        <v>85</v>
      </c>
      <c r="R3435" s="3" t="s">
        <v>28</v>
      </c>
      <c r="S3435" s="3">
        <v>13178447</v>
      </c>
      <c r="T3435" s="3">
        <v>2121072100</v>
      </c>
      <c r="U3435" s="3" t="s">
        <v>29</v>
      </c>
    </row>
    <row r="3436" spans="1:21" ht="13.2" x14ac:dyDescent="0.25">
      <c r="A3436" s="14">
        <v>42105890000146</v>
      </c>
      <c r="B3436" s="15" t="str">
        <f t="shared" si="53"/>
        <v>42.105.890/0001-46</v>
      </c>
      <c r="C3436" s="12"/>
      <c r="D3436" s="3" t="s">
        <v>11993</v>
      </c>
      <c r="E3436" s="3" t="s">
        <v>11993</v>
      </c>
      <c r="F3436" s="3" t="s">
        <v>20</v>
      </c>
      <c r="G3436" s="4">
        <v>26919</v>
      </c>
      <c r="H3436" s="3" t="s">
        <v>94</v>
      </c>
      <c r="I3436" s="3" t="s">
        <v>33</v>
      </c>
      <c r="J3436" s="5">
        <v>975684160</v>
      </c>
      <c r="K3436" s="3">
        <v>6462000</v>
      </c>
      <c r="L3436" s="3" t="s">
        <v>250</v>
      </c>
      <c r="M3436" s="3" t="s">
        <v>2071</v>
      </c>
      <c r="N3436" s="3">
        <v>3500</v>
      </c>
      <c r="O3436" s="3" t="s">
        <v>11994</v>
      </c>
      <c r="P3436" s="3" t="s">
        <v>252</v>
      </c>
      <c r="Q3436" s="3" t="s">
        <v>253</v>
      </c>
      <c r="R3436" s="3" t="s">
        <v>78</v>
      </c>
      <c r="S3436" s="3">
        <v>22640102</v>
      </c>
      <c r="T3436" s="3">
        <v>2138244747</v>
      </c>
      <c r="U3436" s="3" t="s">
        <v>29</v>
      </c>
    </row>
    <row r="3437" spans="1:21" ht="13.2" x14ac:dyDescent="0.25">
      <c r="A3437" s="14">
        <v>9052229000144</v>
      </c>
      <c r="B3437" s="15" t="str">
        <f t="shared" si="53"/>
        <v>09.052.229/0001-44</v>
      </c>
      <c r="C3437" s="12"/>
      <c r="D3437" s="3" t="s">
        <v>11995</v>
      </c>
      <c r="E3437" s="3" t="s">
        <v>11995</v>
      </c>
      <c r="F3437" s="3" t="s">
        <v>20</v>
      </c>
      <c r="G3437" s="4">
        <v>39300</v>
      </c>
      <c r="H3437" s="3" t="s">
        <v>21</v>
      </c>
      <c r="I3437" s="3" t="s">
        <v>33</v>
      </c>
      <c r="J3437" s="5">
        <v>15000000</v>
      </c>
      <c r="K3437" s="3">
        <v>4211101</v>
      </c>
      <c r="L3437" s="3" t="s">
        <v>313</v>
      </c>
      <c r="M3437" s="3" t="s">
        <v>11996</v>
      </c>
      <c r="N3437" s="3">
        <v>366</v>
      </c>
      <c r="O3437" s="3" t="s">
        <v>11997</v>
      </c>
      <c r="P3437" s="3" t="s">
        <v>1740</v>
      </c>
      <c r="Q3437" s="3" t="s">
        <v>27</v>
      </c>
      <c r="R3437" s="3" t="s">
        <v>28</v>
      </c>
      <c r="S3437" s="3">
        <v>5425011</v>
      </c>
      <c r="T3437" s="3">
        <v>1138163988</v>
      </c>
      <c r="U3437" s="3" t="s">
        <v>29</v>
      </c>
    </row>
    <row r="3438" spans="1:21" ht="13.2" x14ac:dyDescent="0.25">
      <c r="A3438" s="14">
        <v>47909054000138</v>
      </c>
      <c r="B3438" s="15" t="str">
        <f t="shared" si="53"/>
        <v>47.909.054/0001-38</v>
      </c>
      <c r="C3438" s="12" t="str">
        <f>VLOOKUP(B3438,[1]Planilha1!$A:$B,2,0)</f>
        <v>Malu Montesino</v>
      </c>
      <c r="D3438" s="3" t="s">
        <v>11998</v>
      </c>
      <c r="E3438" s="3" t="s">
        <v>11998</v>
      </c>
      <c r="F3438" s="3" t="s">
        <v>20</v>
      </c>
      <c r="G3438" s="4">
        <v>44816</v>
      </c>
      <c r="H3438" s="3" t="s">
        <v>21</v>
      </c>
      <c r="I3438" s="3" t="s">
        <v>22</v>
      </c>
      <c r="J3438" s="5">
        <v>10000</v>
      </c>
      <c r="K3438" s="3">
        <v>6204000</v>
      </c>
      <c r="L3438" s="3" t="s">
        <v>2081</v>
      </c>
      <c r="M3438" s="3" t="s">
        <v>733</v>
      </c>
      <c r="N3438" s="3">
        <v>807</v>
      </c>
      <c r="O3438" s="3" t="s">
        <v>505</v>
      </c>
      <c r="P3438" s="3" t="s">
        <v>2994</v>
      </c>
      <c r="Q3438" s="3" t="s">
        <v>11999</v>
      </c>
      <c r="R3438" s="3" t="s">
        <v>53</v>
      </c>
      <c r="S3438" s="3">
        <v>93900000</v>
      </c>
      <c r="T3438" s="3">
        <v>5181846790</v>
      </c>
      <c r="U3438" s="3" t="s">
        <v>29</v>
      </c>
    </row>
    <row r="3439" spans="1:21" ht="13.2" x14ac:dyDescent="0.25">
      <c r="A3439" s="14">
        <v>7343392000130</v>
      </c>
      <c r="B3439" s="15" t="str">
        <f t="shared" si="53"/>
        <v>07.343.392/0001-30</v>
      </c>
      <c r="C3439" s="12"/>
      <c r="D3439" s="3" t="s">
        <v>12000</v>
      </c>
      <c r="E3439" s="3" t="s">
        <v>12001</v>
      </c>
      <c r="F3439" s="3" t="s">
        <v>20</v>
      </c>
      <c r="G3439" s="4">
        <v>38461</v>
      </c>
      <c r="H3439" s="3" t="s">
        <v>21</v>
      </c>
      <c r="I3439" s="3" t="s">
        <v>33</v>
      </c>
      <c r="J3439" s="5">
        <v>100000</v>
      </c>
      <c r="K3439" s="3">
        <v>4641903</v>
      </c>
      <c r="L3439" s="3" t="s">
        <v>12002</v>
      </c>
      <c r="M3439" s="3" t="s">
        <v>12003</v>
      </c>
      <c r="N3439" s="3" t="s">
        <v>82</v>
      </c>
      <c r="P3439" s="3" t="s">
        <v>6261</v>
      </c>
      <c r="Q3439" s="3" t="s">
        <v>631</v>
      </c>
      <c r="R3439" s="3" t="s">
        <v>632</v>
      </c>
      <c r="S3439" s="3">
        <v>72130055</v>
      </c>
      <c r="T3439" s="3">
        <v>1132314580</v>
      </c>
      <c r="U3439" s="3" t="s">
        <v>29</v>
      </c>
    </row>
    <row r="3440" spans="1:21" ht="13.2" x14ac:dyDescent="0.25">
      <c r="A3440" s="14">
        <v>29054802000166</v>
      </c>
      <c r="B3440" s="15" t="str">
        <f t="shared" si="53"/>
        <v>29.054.802/0001-66</v>
      </c>
      <c r="C3440" s="12"/>
      <c r="D3440" s="3" t="s">
        <v>12004</v>
      </c>
      <c r="E3440" s="3" t="s">
        <v>12005</v>
      </c>
      <c r="F3440" s="3" t="s">
        <v>20</v>
      </c>
      <c r="G3440" s="4">
        <v>43052</v>
      </c>
      <c r="H3440" s="3" t="s">
        <v>21</v>
      </c>
      <c r="I3440" s="3" t="s">
        <v>33</v>
      </c>
      <c r="J3440" s="5">
        <v>100000</v>
      </c>
      <c r="K3440" s="3">
        <v>4689399</v>
      </c>
      <c r="L3440" s="3" t="s">
        <v>783</v>
      </c>
      <c r="M3440" s="3" t="s">
        <v>3636</v>
      </c>
      <c r="N3440" s="3">
        <v>1231</v>
      </c>
      <c r="P3440" s="3" t="s">
        <v>3637</v>
      </c>
      <c r="Q3440" s="3" t="s">
        <v>3193</v>
      </c>
      <c r="R3440" s="3" t="s">
        <v>28</v>
      </c>
      <c r="S3440" s="3">
        <v>8750560</v>
      </c>
      <c r="T3440" s="3">
        <v>1123786000</v>
      </c>
      <c r="U3440" s="3" t="s">
        <v>29</v>
      </c>
    </row>
    <row r="3441" spans="1:21" ht="13.2" x14ac:dyDescent="0.25">
      <c r="A3441" s="14">
        <v>963994000141</v>
      </c>
      <c r="B3441" s="15" t="str">
        <f t="shared" si="53"/>
        <v>00.963.994/0001-41</v>
      </c>
      <c r="C3441" s="12"/>
      <c r="D3441" s="3" t="s">
        <v>12006</v>
      </c>
      <c r="E3441" s="3" t="s">
        <v>12006</v>
      </c>
      <c r="F3441" s="3" t="s">
        <v>20</v>
      </c>
      <c r="G3441" s="4">
        <v>35032</v>
      </c>
      <c r="H3441" s="3" t="s">
        <v>21</v>
      </c>
      <c r="I3441" s="3" t="s">
        <v>33</v>
      </c>
      <c r="J3441" s="5">
        <v>1315442</v>
      </c>
      <c r="K3441" s="3">
        <v>7111100</v>
      </c>
      <c r="L3441" s="3" t="s">
        <v>1115</v>
      </c>
      <c r="M3441" s="3" t="s">
        <v>314</v>
      </c>
      <c r="N3441" s="3">
        <v>242</v>
      </c>
      <c r="O3441" s="3" t="s">
        <v>3529</v>
      </c>
      <c r="P3441" s="3" t="s">
        <v>316</v>
      </c>
      <c r="Q3441" s="3" t="s">
        <v>27</v>
      </c>
      <c r="R3441" s="3" t="s">
        <v>28</v>
      </c>
      <c r="S3441" s="3">
        <v>4551000</v>
      </c>
      <c r="T3441" s="3">
        <v>1155097151</v>
      </c>
      <c r="U3441" s="3" t="s">
        <v>29</v>
      </c>
    </row>
    <row r="3442" spans="1:21" ht="13.2" x14ac:dyDescent="0.25">
      <c r="A3442" s="14">
        <v>61186888000193</v>
      </c>
      <c r="B3442" s="15" t="str">
        <f t="shared" si="53"/>
        <v>61.186.888/0001-93</v>
      </c>
      <c r="C3442" s="12"/>
      <c r="D3442" s="3" t="s">
        <v>12007</v>
      </c>
      <c r="E3442" s="3" t="s">
        <v>12008</v>
      </c>
      <c r="F3442" s="3" t="s">
        <v>20</v>
      </c>
      <c r="G3442" s="4">
        <v>25819</v>
      </c>
      <c r="H3442" s="3" t="s">
        <v>94</v>
      </c>
      <c r="I3442" s="3" t="s">
        <v>33</v>
      </c>
      <c r="J3442" s="5">
        <v>2676190000</v>
      </c>
      <c r="K3442" s="3">
        <v>4635402</v>
      </c>
      <c r="L3442" s="3" t="s">
        <v>3801</v>
      </c>
      <c r="M3442" s="3" t="s">
        <v>12009</v>
      </c>
      <c r="N3442" s="3">
        <v>352</v>
      </c>
      <c r="P3442" s="3" t="s">
        <v>8001</v>
      </c>
      <c r="Q3442" s="3" t="s">
        <v>27</v>
      </c>
      <c r="R3442" s="3" t="s">
        <v>28</v>
      </c>
      <c r="S3442" s="3">
        <v>4675901</v>
      </c>
      <c r="T3442" s="3">
        <v>1121025500</v>
      </c>
      <c r="U3442" s="3" t="s">
        <v>29</v>
      </c>
    </row>
    <row r="3443" spans="1:21" ht="13.2" x14ac:dyDescent="0.25">
      <c r="A3443" s="14">
        <v>11230625000166</v>
      </c>
      <c r="B3443" s="15" t="str">
        <f t="shared" si="53"/>
        <v>11.230.625/0001-66</v>
      </c>
      <c r="C3443" s="12"/>
      <c r="D3443" s="3" t="s">
        <v>12010</v>
      </c>
      <c r="E3443" s="3" t="s">
        <v>12010</v>
      </c>
      <c r="F3443" s="3" t="s">
        <v>20</v>
      </c>
      <c r="G3443" s="4">
        <v>40093</v>
      </c>
      <c r="H3443" s="3" t="s">
        <v>21</v>
      </c>
      <c r="I3443" s="3" t="s">
        <v>33</v>
      </c>
      <c r="J3443" s="5">
        <v>630165000</v>
      </c>
      <c r="K3443" s="3">
        <v>600001</v>
      </c>
      <c r="L3443" s="3" t="s">
        <v>2644</v>
      </c>
      <c r="M3443" s="3" t="s">
        <v>3275</v>
      </c>
      <c r="N3443" s="3">
        <v>13223</v>
      </c>
      <c r="O3443" s="3" t="s">
        <v>12011</v>
      </c>
      <c r="P3443" s="3" t="s">
        <v>950</v>
      </c>
      <c r="Q3443" s="3" t="s">
        <v>280</v>
      </c>
      <c r="R3443" s="3" t="s">
        <v>281</v>
      </c>
      <c r="S3443" s="3">
        <v>41500300</v>
      </c>
      <c r="T3443" s="3">
        <v>7136350296</v>
      </c>
      <c r="U3443" s="3" t="s">
        <v>29</v>
      </c>
    </row>
    <row r="3444" spans="1:21" ht="13.2" x14ac:dyDescent="0.25">
      <c r="A3444" s="14">
        <v>17113110000162</v>
      </c>
      <c r="B3444" s="15" t="str">
        <f t="shared" si="53"/>
        <v>17.113.110/0001-62</v>
      </c>
      <c r="C3444" s="12"/>
      <c r="D3444" s="3" t="s">
        <v>12012</v>
      </c>
      <c r="E3444" s="3" t="s">
        <v>12013</v>
      </c>
      <c r="F3444" s="3" t="s">
        <v>20</v>
      </c>
      <c r="G3444" s="4">
        <v>41214</v>
      </c>
      <c r="H3444" s="3" t="s">
        <v>21</v>
      </c>
      <c r="I3444" s="3" t="s">
        <v>22</v>
      </c>
      <c r="J3444" s="5">
        <v>270000</v>
      </c>
      <c r="K3444" s="3">
        <v>4681805</v>
      </c>
      <c r="L3444" s="3" t="s">
        <v>2003</v>
      </c>
      <c r="M3444" s="3" t="s">
        <v>12014</v>
      </c>
      <c r="N3444" s="3">
        <v>1</v>
      </c>
      <c r="P3444" s="3" t="s">
        <v>3930</v>
      </c>
      <c r="Q3444" s="3" t="s">
        <v>631</v>
      </c>
      <c r="R3444" s="3" t="s">
        <v>632</v>
      </c>
      <c r="S3444" s="3">
        <v>71927540</v>
      </c>
      <c r="T3444" s="3">
        <v>6139610800</v>
      </c>
      <c r="U3444" s="3" t="s">
        <v>29</v>
      </c>
    </row>
    <row r="3445" spans="1:21" ht="13.2" x14ac:dyDescent="0.25">
      <c r="A3445" s="14">
        <v>17456852000190</v>
      </c>
      <c r="B3445" s="15" t="str">
        <f t="shared" si="53"/>
        <v>17.456.852/0001-90</v>
      </c>
      <c r="C3445" s="12"/>
      <c r="D3445" s="3" t="s">
        <v>12015</v>
      </c>
      <c r="E3445" s="3" t="s">
        <v>12016</v>
      </c>
      <c r="F3445" s="3" t="s">
        <v>20</v>
      </c>
      <c r="G3445" s="4">
        <v>41289</v>
      </c>
      <c r="H3445" s="3" t="s">
        <v>21</v>
      </c>
      <c r="I3445" s="3" t="s">
        <v>47</v>
      </c>
      <c r="J3445" s="5">
        <v>50000</v>
      </c>
      <c r="K3445" s="3">
        <v>2212900</v>
      </c>
      <c r="L3445" s="3" t="s">
        <v>2901</v>
      </c>
      <c r="M3445" s="3" t="s">
        <v>12017</v>
      </c>
      <c r="N3445" s="3">
        <v>433</v>
      </c>
      <c r="O3445" s="3" t="s">
        <v>1536</v>
      </c>
      <c r="P3445" s="3" t="s">
        <v>12018</v>
      </c>
      <c r="Q3445" s="3" t="s">
        <v>12019</v>
      </c>
      <c r="R3445" s="3" t="s">
        <v>187</v>
      </c>
      <c r="S3445" s="3">
        <v>83730000</v>
      </c>
      <c r="T3445" s="3">
        <v>4136252191</v>
      </c>
      <c r="U3445" s="3" t="s">
        <v>29</v>
      </c>
    </row>
    <row r="3446" spans="1:21" ht="13.2" x14ac:dyDescent="0.25">
      <c r="A3446" s="14">
        <v>4576105000497</v>
      </c>
      <c r="B3446" s="15" t="str">
        <f t="shared" si="53"/>
        <v>04.576.105/0004-97</v>
      </c>
      <c r="C3446" s="12"/>
      <c r="D3446" s="3" t="s">
        <v>12020</v>
      </c>
      <c r="E3446" s="3" t="s">
        <v>12020</v>
      </c>
      <c r="F3446" s="3" t="s">
        <v>20</v>
      </c>
      <c r="G3446" s="4">
        <v>43787</v>
      </c>
      <c r="H3446" s="3" t="s">
        <v>94</v>
      </c>
      <c r="I3446" s="3" t="s">
        <v>33</v>
      </c>
      <c r="J3446" s="5">
        <v>30000000</v>
      </c>
      <c r="K3446" s="3">
        <v>2824102</v>
      </c>
      <c r="L3446" s="3" t="s">
        <v>12021</v>
      </c>
      <c r="M3446" s="3" t="s">
        <v>12022</v>
      </c>
      <c r="N3446" s="3">
        <v>11000</v>
      </c>
      <c r="P3446" s="3" t="s">
        <v>12023</v>
      </c>
      <c r="Q3446" s="3" t="s">
        <v>11621</v>
      </c>
      <c r="R3446" s="3" t="s">
        <v>765</v>
      </c>
      <c r="S3446" s="3">
        <v>29909010</v>
      </c>
      <c r="T3446" s="3">
        <v>5421015700</v>
      </c>
      <c r="U3446" s="3" t="s">
        <v>29</v>
      </c>
    </row>
    <row r="3447" spans="1:21" ht="13.2" x14ac:dyDescent="0.25">
      <c r="A3447" s="14">
        <v>13534218000178</v>
      </c>
      <c r="B3447" s="15" t="str">
        <f t="shared" si="53"/>
        <v>13.534.218/0001-78</v>
      </c>
      <c r="C3447" s="12"/>
      <c r="D3447" s="3" t="s">
        <v>12024</v>
      </c>
      <c r="E3447" s="3" t="s">
        <v>12025</v>
      </c>
      <c r="F3447" s="3" t="s">
        <v>20</v>
      </c>
      <c r="G3447" s="4">
        <v>40646</v>
      </c>
      <c r="H3447" s="3" t="s">
        <v>21</v>
      </c>
      <c r="I3447" s="3" t="s">
        <v>47</v>
      </c>
      <c r="J3447" s="5">
        <v>30000</v>
      </c>
      <c r="K3447" s="3">
        <v>4645101</v>
      </c>
      <c r="L3447" s="3" t="s">
        <v>135</v>
      </c>
      <c r="M3447" s="3" t="s">
        <v>10857</v>
      </c>
      <c r="N3447" s="3">
        <v>159</v>
      </c>
      <c r="O3447" s="3" t="s">
        <v>12026</v>
      </c>
      <c r="P3447" s="3" t="s">
        <v>70</v>
      </c>
      <c r="Q3447" s="3" t="s">
        <v>357</v>
      </c>
      <c r="R3447" s="3" t="s">
        <v>28</v>
      </c>
      <c r="S3447" s="3">
        <v>7012020</v>
      </c>
      <c r="T3447" s="3">
        <v>1120873162</v>
      </c>
      <c r="U3447" s="3" t="s">
        <v>29</v>
      </c>
    </row>
    <row r="3448" spans="1:21" ht="13.2" x14ac:dyDescent="0.25">
      <c r="A3448" s="14">
        <v>5062477000115</v>
      </c>
      <c r="B3448" s="15" t="str">
        <f t="shared" si="53"/>
        <v>05.062.477/0001-15</v>
      </c>
      <c r="C3448" s="12" t="str">
        <f>VLOOKUP(B3448,[1]Planilha1!$A:$B,2,0)</f>
        <v>Malu Montesino</v>
      </c>
      <c r="D3448" s="3" t="s">
        <v>12027</v>
      </c>
      <c r="E3448" s="3" t="s">
        <v>12027</v>
      </c>
      <c r="F3448" s="3" t="s">
        <v>20</v>
      </c>
      <c r="G3448" s="4">
        <v>37397</v>
      </c>
      <c r="H3448" s="3" t="s">
        <v>21</v>
      </c>
      <c r="I3448" s="3" t="s">
        <v>33</v>
      </c>
      <c r="J3448" s="5">
        <v>2000000</v>
      </c>
      <c r="K3448" s="3">
        <v>4661300</v>
      </c>
      <c r="L3448" s="3" t="s">
        <v>595</v>
      </c>
      <c r="M3448" s="3" t="s">
        <v>12028</v>
      </c>
      <c r="N3448" s="3">
        <v>1080</v>
      </c>
      <c r="O3448" s="3" t="s">
        <v>12029</v>
      </c>
      <c r="P3448" s="3" t="s">
        <v>950</v>
      </c>
      <c r="Q3448" s="3" t="s">
        <v>1078</v>
      </c>
      <c r="R3448" s="3" t="s">
        <v>187</v>
      </c>
      <c r="S3448" s="3">
        <v>85063480</v>
      </c>
      <c r="T3448" s="3">
        <v>4236219100</v>
      </c>
      <c r="U3448" s="3" t="s">
        <v>29</v>
      </c>
    </row>
    <row r="3449" spans="1:21" ht="13.2" x14ac:dyDescent="0.25">
      <c r="A3449" s="14">
        <v>52462215000128</v>
      </c>
      <c r="B3449" s="15" t="str">
        <f t="shared" si="53"/>
        <v>52.462.215/0001-28</v>
      </c>
      <c r="C3449" s="12"/>
      <c r="D3449" s="3" t="s">
        <v>12030</v>
      </c>
      <c r="E3449" s="3" t="s">
        <v>12030</v>
      </c>
      <c r="F3449" s="3" t="s">
        <v>20</v>
      </c>
      <c r="G3449" s="4">
        <v>30420</v>
      </c>
      <c r="H3449" s="3" t="s">
        <v>21</v>
      </c>
      <c r="I3449" s="3" t="s">
        <v>33</v>
      </c>
      <c r="J3449" s="5">
        <v>39211884</v>
      </c>
      <c r="K3449" s="3">
        <v>2599399</v>
      </c>
      <c r="L3449" s="3" t="s">
        <v>1144</v>
      </c>
      <c r="M3449" s="3" t="s">
        <v>12031</v>
      </c>
      <c r="N3449" s="3">
        <v>1075</v>
      </c>
      <c r="P3449" s="3" t="s">
        <v>12032</v>
      </c>
      <c r="Q3449" s="3" t="s">
        <v>217</v>
      </c>
      <c r="R3449" s="3" t="s">
        <v>28</v>
      </c>
      <c r="S3449" s="3">
        <v>9820135</v>
      </c>
      <c r="T3449" s="3">
        <v>1121249525</v>
      </c>
      <c r="U3449" s="3" t="s">
        <v>29</v>
      </c>
    </row>
    <row r="3450" spans="1:21" ht="13.2" x14ac:dyDescent="0.25">
      <c r="A3450" s="14">
        <v>4144280000162</v>
      </c>
      <c r="B3450" s="15" t="str">
        <f t="shared" si="53"/>
        <v>04.144.280/0001-62</v>
      </c>
      <c r="C3450" s="12"/>
      <c r="D3450" s="3" t="s">
        <v>12033</v>
      </c>
      <c r="E3450" s="3" t="s">
        <v>12034</v>
      </c>
      <c r="F3450" s="3" t="s">
        <v>20</v>
      </c>
      <c r="G3450" s="4">
        <v>36839</v>
      </c>
      <c r="H3450" s="3" t="s">
        <v>21</v>
      </c>
      <c r="I3450" s="3" t="s">
        <v>33</v>
      </c>
      <c r="J3450" s="5">
        <v>8862523</v>
      </c>
      <c r="K3450" s="3">
        <v>6201501</v>
      </c>
      <c r="L3450" s="3" t="s">
        <v>298</v>
      </c>
      <c r="M3450" s="3" t="s">
        <v>6544</v>
      </c>
      <c r="N3450" s="3">
        <v>74</v>
      </c>
      <c r="O3450" s="3" t="s">
        <v>2676</v>
      </c>
      <c r="P3450" s="3" t="s">
        <v>1019</v>
      </c>
      <c r="Q3450" s="3" t="s">
        <v>27</v>
      </c>
      <c r="R3450" s="3" t="s">
        <v>28</v>
      </c>
      <c r="S3450" s="3">
        <v>4576060</v>
      </c>
      <c r="T3450" s="3">
        <v>1130768191</v>
      </c>
      <c r="U3450" s="3" t="s">
        <v>29</v>
      </c>
    </row>
    <row r="3451" spans="1:21" ht="13.2" x14ac:dyDescent="0.25">
      <c r="A3451" s="14">
        <v>4346665000102</v>
      </c>
      <c r="B3451" s="15" t="str">
        <f t="shared" si="53"/>
        <v>04.346.665/0001-02</v>
      </c>
      <c r="C3451" s="12"/>
      <c r="D3451" s="3" t="s">
        <v>12035</v>
      </c>
      <c r="E3451" s="3" t="s">
        <v>12035</v>
      </c>
      <c r="F3451" s="3" t="s">
        <v>20</v>
      </c>
      <c r="G3451" s="4">
        <v>36970</v>
      </c>
      <c r="H3451" s="3" t="s">
        <v>21</v>
      </c>
      <c r="I3451" s="3" t="s">
        <v>33</v>
      </c>
      <c r="J3451" s="5">
        <v>2078000</v>
      </c>
      <c r="K3451" s="3">
        <v>8011101</v>
      </c>
      <c r="L3451" s="3" t="s">
        <v>943</v>
      </c>
      <c r="M3451" s="3" t="s">
        <v>12036</v>
      </c>
      <c r="N3451" s="3">
        <v>25</v>
      </c>
      <c r="P3451" s="3" t="s">
        <v>12037</v>
      </c>
      <c r="Q3451" s="3" t="s">
        <v>443</v>
      </c>
      <c r="R3451" s="3" t="s">
        <v>28</v>
      </c>
      <c r="S3451" s="3">
        <v>17519690</v>
      </c>
      <c r="T3451" s="3">
        <v>1434132333</v>
      </c>
      <c r="U3451" s="3" t="s">
        <v>29</v>
      </c>
    </row>
    <row r="3452" spans="1:21" ht="13.2" x14ac:dyDescent="0.25">
      <c r="A3452" s="14">
        <v>31025038000142</v>
      </c>
      <c r="B3452" s="15" t="str">
        <f t="shared" si="53"/>
        <v>31.025.038/0001-42</v>
      </c>
      <c r="C3452" s="12"/>
      <c r="D3452" s="3" t="s">
        <v>12038</v>
      </c>
      <c r="E3452" s="3" t="s">
        <v>12039</v>
      </c>
      <c r="F3452" s="3" t="s">
        <v>20</v>
      </c>
      <c r="G3452" s="4">
        <v>43306</v>
      </c>
      <c r="H3452" s="3" t="s">
        <v>21</v>
      </c>
      <c r="I3452" s="3" t="s">
        <v>47</v>
      </c>
      <c r="J3452" s="5">
        <v>95500</v>
      </c>
      <c r="K3452" s="3">
        <v>3314799</v>
      </c>
      <c r="L3452" s="3" t="s">
        <v>1732</v>
      </c>
      <c r="M3452" s="3" t="s">
        <v>3370</v>
      </c>
      <c r="N3452" s="3">
        <v>124</v>
      </c>
      <c r="O3452" s="3" t="s">
        <v>721</v>
      </c>
      <c r="P3452" s="3" t="s">
        <v>3372</v>
      </c>
      <c r="Q3452" s="3" t="s">
        <v>253</v>
      </c>
      <c r="R3452" s="3" t="s">
        <v>78</v>
      </c>
      <c r="S3452" s="3">
        <v>20250450</v>
      </c>
      <c r="T3452" s="3">
        <v>2135071058</v>
      </c>
      <c r="U3452" s="3" t="s">
        <v>29</v>
      </c>
    </row>
    <row r="3453" spans="1:21" ht="13.2" x14ac:dyDescent="0.25">
      <c r="A3453" s="14">
        <v>8325039000190</v>
      </c>
      <c r="B3453" s="15" t="str">
        <f t="shared" si="53"/>
        <v>08.325.039/0001-90</v>
      </c>
      <c r="C3453" s="12"/>
      <c r="D3453" s="3" t="s">
        <v>12040</v>
      </c>
      <c r="E3453" s="3" t="s">
        <v>12041</v>
      </c>
      <c r="F3453" s="3" t="s">
        <v>20</v>
      </c>
      <c r="G3453" s="4">
        <v>38978</v>
      </c>
      <c r="H3453" s="3" t="s">
        <v>21</v>
      </c>
      <c r="I3453" s="3" t="s">
        <v>33</v>
      </c>
      <c r="J3453" s="5">
        <v>19286000</v>
      </c>
      <c r="K3453" s="3">
        <v>2592602</v>
      </c>
      <c r="L3453" s="3" t="s">
        <v>12042</v>
      </c>
      <c r="M3453" s="3" t="s">
        <v>12043</v>
      </c>
      <c r="N3453" s="3">
        <v>5150</v>
      </c>
      <c r="P3453" s="3" t="s">
        <v>12044</v>
      </c>
      <c r="Q3453" s="3" t="s">
        <v>12045</v>
      </c>
      <c r="R3453" s="3" t="s">
        <v>53</v>
      </c>
      <c r="S3453" s="3">
        <v>96503205</v>
      </c>
      <c r="T3453" s="3">
        <v>5137240808</v>
      </c>
      <c r="U3453" s="3" t="s">
        <v>29</v>
      </c>
    </row>
    <row r="3454" spans="1:21" ht="13.2" x14ac:dyDescent="0.25">
      <c r="A3454" s="14">
        <v>23302260000117</v>
      </c>
      <c r="B3454" s="15" t="str">
        <f t="shared" si="53"/>
        <v>23.302.260/0001-17</v>
      </c>
      <c r="C3454" s="12"/>
      <c r="D3454" s="3" t="s">
        <v>12046</v>
      </c>
      <c r="E3454" s="3" t="s">
        <v>12047</v>
      </c>
      <c r="F3454" s="3" t="s">
        <v>20</v>
      </c>
      <c r="G3454" s="4">
        <v>42265</v>
      </c>
      <c r="H3454" s="3" t="s">
        <v>21</v>
      </c>
      <c r="I3454" s="3" t="s">
        <v>47</v>
      </c>
      <c r="J3454" s="5">
        <v>1000000</v>
      </c>
      <c r="K3454" s="3">
        <v>8219999</v>
      </c>
      <c r="L3454" s="3" t="s">
        <v>121</v>
      </c>
      <c r="M3454" s="3" t="s">
        <v>679</v>
      </c>
      <c r="N3454" s="3">
        <v>2044</v>
      </c>
      <c r="O3454" s="3" t="s">
        <v>12048</v>
      </c>
      <c r="P3454" s="3" t="s">
        <v>681</v>
      </c>
      <c r="Q3454" s="3" t="s">
        <v>617</v>
      </c>
      <c r="R3454" s="3" t="s">
        <v>28</v>
      </c>
      <c r="S3454" s="3">
        <v>6455000</v>
      </c>
      <c r="T3454" s="3">
        <v>1148587681</v>
      </c>
      <c r="U3454" s="3" t="s">
        <v>29</v>
      </c>
    </row>
    <row r="3455" spans="1:21" ht="13.2" x14ac:dyDescent="0.25">
      <c r="A3455" s="14">
        <v>5159598000180</v>
      </c>
      <c r="B3455" s="15" t="str">
        <f t="shared" si="53"/>
        <v>05.159.598/0001-80</v>
      </c>
      <c r="C3455" s="12"/>
      <c r="D3455" s="3" t="s">
        <v>12049</v>
      </c>
      <c r="E3455" s="3" t="s">
        <v>12049</v>
      </c>
      <c r="F3455" s="3" t="s">
        <v>20</v>
      </c>
      <c r="G3455" s="4">
        <v>37448</v>
      </c>
      <c r="H3455" s="3" t="s">
        <v>21</v>
      </c>
      <c r="I3455" s="3" t="s">
        <v>22</v>
      </c>
      <c r="J3455" s="5">
        <v>282000</v>
      </c>
      <c r="K3455" s="3">
        <v>4744001</v>
      </c>
      <c r="L3455" s="3" t="s">
        <v>396</v>
      </c>
      <c r="M3455" s="3" t="s">
        <v>4015</v>
      </c>
      <c r="N3455" s="3">
        <v>408</v>
      </c>
      <c r="O3455" s="3" t="s">
        <v>9427</v>
      </c>
      <c r="P3455" s="3" t="s">
        <v>1760</v>
      </c>
      <c r="Q3455" s="3" t="s">
        <v>262</v>
      </c>
      <c r="R3455" s="3" t="s">
        <v>28</v>
      </c>
      <c r="S3455" s="3">
        <v>6086065</v>
      </c>
      <c r="T3455" s="3">
        <v>1136854223</v>
      </c>
      <c r="U3455" s="3" t="s">
        <v>29</v>
      </c>
    </row>
    <row r="3456" spans="1:21" ht="13.2" x14ac:dyDescent="0.25">
      <c r="A3456" s="14">
        <v>7791963000108</v>
      </c>
      <c r="B3456" s="15" t="str">
        <f t="shared" si="53"/>
        <v>07.791.963/0001-08</v>
      </c>
      <c r="C3456" s="12"/>
      <c r="D3456" s="3" t="s">
        <v>12050</v>
      </c>
      <c r="E3456" s="3" t="s">
        <v>12051</v>
      </c>
      <c r="F3456" s="3" t="s">
        <v>20</v>
      </c>
      <c r="G3456" s="4">
        <v>38609</v>
      </c>
      <c r="H3456" s="3" t="s">
        <v>1550</v>
      </c>
      <c r="I3456" s="3" t="s">
        <v>22</v>
      </c>
      <c r="J3456" s="5">
        <v>215000</v>
      </c>
      <c r="K3456" s="3">
        <v>6920602</v>
      </c>
      <c r="L3456" s="3" t="s">
        <v>1022</v>
      </c>
      <c r="M3456" s="3" t="s">
        <v>12052</v>
      </c>
      <c r="N3456" s="3">
        <v>68</v>
      </c>
      <c r="O3456" s="3" t="s">
        <v>12053</v>
      </c>
      <c r="P3456" s="3" t="s">
        <v>2041</v>
      </c>
      <c r="Q3456" s="3" t="s">
        <v>65</v>
      </c>
      <c r="R3456" s="3" t="s">
        <v>28</v>
      </c>
      <c r="S3456" s="3">
        <v>13030490</v>
      </c>
      <c r="T3456" s="3">
        <v>1981529989</v>
      </c>
      <c r="U3456" s="3" t="s">
        <v>29</v>
      </c>
    </row>
    <row r="3457" spans="1:21" ht="13.2" x14ac:dyDescent="0.25">
      <c r="A3457" s="14">
        <v>9062000164</v>
      </c>
      <c r="B3457" s="15" t="str">
        <f t="shared" si="53"/>
        <v>00.009.062/0001-64</v>
      </c>
      <c r="C3457" s="12"/>
      <c r="D3457" s="3" t="s">
        <v>12054</v>
      </c>
      <c r="E3457" s="3" t="s">
        <v>12054</v>
      </c>
      <c r="F3457" s="3" t="s">
        <v>20</v>
      </c>
      <c r="G3457" s="4">
        <v>34479</v>
      </c>
      <c r="H3457" s="3" t="s">
        <v>21</v>
      </c>
      <c r="I3457" s="3" t="s">
        <v>33</v>
      </c>
      <c r="J3457" s="5">
        <v>6000000</v>
      </c>
      <c r="K3457" s="3">
        <v>7830200</v>
      </c>
      <c r="L3457" s="3" t="s">
        <v>473</v>
      </c>
      <c r="M3457" s="3" t="s">
        <v>5769</v>
      </c>
      <c r="N3457" s="3">
        <v>3729</v>
      </c>
      <c r="P3457" s="3" t="s">
        <v>12055</v>
      </c>
      <c r="Q3457" s="3" t="s">
        <v>148</v>
      </c>
      <c r="R3457" s="3" t="s">
        <v>28</v>
      </c>
      <c r="S3457" s="3">
        <v>15014040</v>
      </c>
      <c r="T3457" s="3">
        <v>1740092888</v>
      </c>
      <c r="U3457" s="3" t="s">
        <v>29</v>
      </c>
    </row>
    <row r="3458" spans="1:21" ht="13.2" x14ac:dyDescent="0.25">
      <c r="A3458" s="14">
        <v>74631185000179</v>
      </c>
      <c r="B3458" s="15" t="str">
        <f t="shared" si="53"/>
        <v>74.631.185/0001-79</v>
      </c>
      <c r="C3458" s="12"/>
      <c r="D3458" s="3" t="s">
        <v>12056</v>
      </c>
      <c r="E3458" s="3" t="s">
        <v>12057</v>
      </c>
      <c r="F3458" s="3" t="s">
        <v>20</v>
      </c>
      <c r="G3458" s="4">
        <v>34438</v>
      </c>
      <c r="H3458" s="3" t="s">
        <v>21</v>
      </c>
      <c r="I3458" s="3" t="s">
        <v>33</v>
      </c>
      <c r="J3458" s="5">
        <v>1300000</v>
      </c>
      <c r="K3458" s="3">
        <v>4672900</v>
      </c>
      <c r="L3458" s="3" t="s">
        <v>1389</v>
      </c>
      <c r="M3458" s="3" t="s">
        <v>3295</v>
      </c>
      <c r="N3458" s="3">
        <v>348</v>
      </c>
      <c r="O3458" s="3" t="s">
        <v>12058</v>
      </c>
      <c r="P3458" s="3" t="s">
        <v>753</v>
      </c>
      <c r="Q3458" s="3" t="s">
        <v>27</v>
      </c>
      <c r="R3458" s="3" t="s">
        <v>28</v>
      </c>
      <c r="S3458" s="3">
        <v>5311000</v>
      </c>
      <c r="T3458" s="3">
        <v>1136614000</v>
      </c>
      <c r="U3458" s="3" t="s">
        <v>29</v>
      </c>
    </row>
    <row r="3459" spans="1:21" ht="13.2" x14ac:dyDescent="0.25">
      <c r="A3459" s="14">
        <v>61100061000115</v>
      </c>
      <c r="B3459" s="15" t="str">
        <f t="shared" ref="B3459:B3522" si="54">TEXT(A3459,"00\.000\.000\/0000\-00")</f>
        <v>61.100.061/0001-15</v>
      </c>
      <c r="C3459" s="12" t="str">
        <f>VLOOKUP(B3459,[1]Planilha1!$A:$B,2,0)</f>
        <v>Malu Montesino</v>
      </c>
      <c r="D3459" s="3" t="s">
        <v>12059</v>
      </c>
      <c r="E3459" s="3" t="s">
        <v>12059</v>
      </c>
      <c r="F3459" s="3" t="s">
        <v>20</v>
      </c>
      <c r="G3459" s="4">
        <v>24302</v>
      </c>
      <c r="H3459" s="3" t="s">
        <v>21</v>
      </c>
      <c r="I3459" s="3" t="s">
        <v>33</v>
      </c>
      <c r="J3459" s="5">
        <v>44678044</v>
      </c>
      <c r="K3459" s="3">
        <v>6462000</v>
      </c>
      <c r="L3459" s="3" t="s">
        <v>250</v>
      </c>
      <c r="M3459" s="3" t="s">
        <v>5455</v>
      </c>
      <c r="N3459" s="3">
        <v>235</v>
      </c>
      <c r="O3459" s="3" t="s">
        <v>12060</v>
      </c>
      <c r="P3459" s="3" t="s">
        <v>3910</v>
      </c>
      <c r="Q3459" s="3" t="s">
        <v>27</v>
      </c>
      <c r="R3459" s="3" t="s">
        <v>28</v>
      </c>
      <c r="S3459" s="3">
        <v>1043000</v>
      </c>
      <c r="T3459" s="3">
        <v>1131294738</v>
      </c>
      <c r="U3459" s="3" t="s">
        <v>29</v>
      </c>
    </row>
    <row r="3460" spans="1:21" ht="13.2" x14ac:dyDescent="0.25">
      <c r="A3460" s="14">
        <v>9409620000153</v>
      </c>
      <c r="B3460" s="15" t="str">
        <f t="shared" si="54"/>
        <v>09.409.620/0001-53</v>
      </c>
      <c r="C3460" s="12"/>
      <c r="D3460" s="3" t="s">
        <v>12061</v>
      </c>
      <c r="E3460" s="3" t="s">
        <v>12062</v>
      </c>
      <c r="F3460" s="3" t="s">
        <v>31</v>
      </c>
      <c r="G3460" s="4">
        <v>39510</v>
      </c>
      <c r="H3460" s="3" t="s">
        <v>21</v>
      </c>
      <c r="I3460" s="3" t="s">
        <v>33</v>
      </c>
      <c r="J3460" s="5">
        <v>1600000</v>
      </c>
      <c r="K3460" s="3">
        <v>7733100</v>
      </c>
      <c r="L3460" s="3" t="s">
        <v>2690</v>
      </c>
      <c r="M3460" s="3" t="s">
        <v>12063</v>
      </c>
      <c r="N3460" s="3">
        <v>1771</v>
      </c>
      <c r="O3460" s="3" t="s">
        <v>513</v>
      </c>
      <c r="P3460" s="3" t="s">
        <v>2258</v>
      </c>
      <c r="Q3460" s="3" t="s">
        <v>199</v>
      </c>
      <c r="R3460" s="3" t="s">
        <v>792</v>
      </c>
      <c r="S3460" s="3">
        <v>66095105</v>
      </c>
      <c r="T3460" s="3">
        <v>9130389284</v>
      </c>
      <c r="U3460" s="3" t="s">
        <v>29</v>
      </c>
    </row>
    <row r="3461" spans="1:21" ht="13.2" x14ac:dyDescent="0.25">
      <c r="A3461" s="14">
        <v>5252941000136</v>
      </c>
      <c r="B3461" s="15" t="str">
        <f t="shared" si="54"/>
        <v>05.252.941/0001-36</v>
      </c>
      <c r="C3461" s="12"/>
      <c r="D3461" s="3" t="s">
        <v>12064</v>
      </c>
      <c r="E3461" s="3" t="s">
        <v>12065</v>
      </c>
      <c r="F3461" s="3" t="s">
        <v>20</v>
      </c>
      <c r="G3461" s="4">
        <v>37490</v>
      </c>
      <c r="H3461" s="3" t="s">
        <v>21</v>
      </c>
      <c r="I3461" s="3" t="s">
        <v>33</v>
      </c>
      <c r="J3461" s="5">
        <v>1500000</v>
      </c>
      <c r="K3461" s="3">
        <v>4691500</v>
      </c>
      <c r="L3461" s="3" t="s">
        <v>1850</v>
      </c>
      <c r="M3461" s="3" t="s">
        <v>12066</v>
      </c>
      <c r="N3461" s="3">
        <v>4748</v>
      </c>
      <c r="P3461" s="3" t="s">
        <v>610</v>
      </c>
      <c r="Q3461" s="3" t="s">
        <v>6463</v>
      </c>
      <c r="R3461" s="3" t="s">
        <v>1604</v>
      </c>
      <c r="S3461" s="3">
        <v>76821082</v>
      </c>
      <c r="T3461" s="3">
        <v>6930150057</v>
      </c>
      <c r="U3461" s="3" t="s">
        <v>29</v>
      </c>
    </row>
    <row r="3462" spans="1:21" ht="13.2" x14ac:dyDescent="0.25">
      <c r="A3462" s="14">
        <v>2116734000166</v>
      </c>
      <c r="B3462" s="15" t="str">
        <f t="shared" si="54"/>
        <v>02.116.734/0001-66</v>
      </c>
      <c r="C3462" s="12"/>
      <c r="D3462" s="3" t="s">
        <v>12067</v>
      </c>
      <c r="E3462" s="3" t="s">
        <v>12067</v>
      </c>
      <c r="F3462" s="3" t="s">
        <v>20</v>
      </c>
      <c r="G3462" s="4">
        <v>35676</v>
      </c>
      <c r="H3462" s="3" t="s">
        <v>21</v>
      </c>
      <c r="I3462" s="3" t="s">
        <v>22</v>
      </c>
      <c r="J3462" s="5">
        <v>250000</v>
      </c>
      <c r="K3462" s="3">
        <v>4645101</v>
      </c>
      <c r="L3462" s="3" t="s">
        <v>135</v>
      </c>
      <c r="M3462" s="3" t="s">
        <v>10105</v>
      </c>
      <c r="N3462" s="3">
        <v>293</v>
      </c>
      <c r="O3462" s="3" t="s">
        <v>12068</v>
      </c>
      <c r="P3462" s="3" t="s">
        <v>940</v>
      </c>
      <c r="Q3462" s="3" t="s">
        <v>617</v>
      </c>
      <c r="R3462" s="3" t="s">
        <v>28</v>
      </c>
      <c r="S3462" s="3">
        <v>6454020</v>
      </c>
      <c r="T3462" s="3">
        <v>1136677758</v>
      </c>
      <c r="U3462" s="3" t="s">
        <v>29</v>
      </c>
    </row>
    <row r="3463" spans="1:21" ht="13.2" x14ac:dyDescent="0.25">
      <c r="A3463" s="14">
        <v>56994700000101</v>
      </c>
      <c r="B3463" s="15" t="str">
        <f t="shared" si="54"/>
        <v>56.994.700/0001-01</v>
      </c>
      <c r="C3463" s="12" t="str">
        <f>VLOOKUP(B3463,[1]Planilha1!$A:$B,2,0)</f>
        <v>Malu Montesino</v>
      </c>
      <c r="D3463" s="3" t="s">
        <v>12069</v>
      </c>
      <c r="E3463" s="3" t="s">
        <v>12069</v>
      </c>
      <c r="F3463" s="3" t="s">
        <v>20</v>
      </c>
      <c r="G3463" s="4">
        <v>24293</v>
      </c>
      <c r="H3463" s="3" t="s">
        <v>21</v>
      </c>
      <c r="I3463" s="3" t="s">
        <v>33</v>
      </c>
      <c r="J3463" s="5">
        <v>108775864</v>
      </c>
      <c r="K3463" s="3">
        <v>2543800</v>
      </c>
      <c r="L3463" s="3" t="s">
        <v>1469</v>
      </c>
      <c r="M3463" s="3" t="s">
        <v>12070</v>
      </c>
      <c r="N3463" s="3">
        <v>1880</v>
      </c>
      <c r="P3463" s="3" t="s">
        <v>12071</v>
      </c>
      <c r="Q3463" s="3" t="s">
        <v>1312</v>
      </c>
      <c r="R3463" s="3" t="s">
        <v>28</v>
      </c>
      <c r="S3463" s="3">
        <v>13306900</v>
      </c>
      <c r="T3463" s="3">
        <v>1121188121</v>
      </c>
      <c r="U3463" s="3" t="s">
        <v>29</v>
      </c>
    </row>
    <row r="3464" spans="1:21" ht="13.2" x14ac:dyDescent="0.25">
      <c r="A3464" s="14">
        <v>32263025000174</v>
      </c>
      <c r="B3464" s="15" t="str">
        <f t="shared" si="54"/>
        <v>32.263.025/0001-74</v>
      </c>
      <c r="C3464" s="12"/>
      <c r="D3464" s="3" t="s">
        <v>12072</v>
      </c>
      <c r="E3464" s="3" t="s">
        <v>12073</v>
      </c>
      <c r="F3464" s="3" t="s">
        <v>20</v>
      </c>
      <c r="G3464" s="4">
        <v>43450</v>
      </c>
      <c r="H3464" s="3" t="s">
        <v>21</v>
      </c>
      <c r="I3464" s="3" t="s">
        <v>22</v>
      </c>
      <c r="J3464" s="5">
        <v>60000</v>
      </c>
      <c r="K3464" s="3">
        <v>9512600</v>
      </c>
      <c r="L3464" s="3" t="s">
        <v>922</v>
      </c>
      <c r="M3464" s="3" t="s">
        <v>12074</v>
      </c>
      <c r="N3464" s="3">
        <v>45</v>
      </c>
      <c r="P3464" s="3" t="s">
        <v>12075</v>
      </c>
      <c r="Q3464" s="3" t="s">
        <v>27</v>
      </c>
      <c r="R3464" s="3" t="s">
        <v>28</v>
      </c>
      <c r="S3464" s="3">
        <v>3616010</v>
      </c>
      <c r="T3464" s="3">
        <v>1166615666</v>
      </c>
      <c r="U3464" s="3" t="s">
        <v>29</v>
      </c>
    </row>
    <row r="3465" spans="1:21" ht="13.2" x14ac:dyDescent="0.25">
      <c r="A3465" s="14">
        <v>22882613000132</v>
      </c>
      <c r="B3465" s="15" t="str">
        <f t="shared" si="54"/>
        <v>22.882.613/0001-32</v>
      </c>
      <c r="C3465" s="12"/>
      <c r="D3465" s="3" t="s">
        <v>12076</v>
      </c>
      <c r="E3465" s="3" t="s">
        <v>12077</v>
      </c>
      <c r="F3465" s="3" t="s">
        <v>20</v>
      </c>
      <c r="G3465" s="4">
        <v>42205</v>
      </c>
      <c r="H3465" s="3" t="s">
        <v>21</v>
      </c>
      <c r="I3465" s="3" t="s">
        <v>47</v>
      </c>
      <c r="J3465" s="5">
        <v>99800</v>
      </c>
      <c r="K3465" s="3">
        <v>8219999</v>
      </c>
      <c r="L3465" s="3" t="s">
        <v>121</v>
      </c>
      <c r="M3465" s="3" t="s">
        <v>12078</v>
      </c>
      <c r="N3465" s="3">
        <v>234</v>
      </c>
      <c r="O3465" s="3" t="s">
        <v>5910</v>
      </c>
      <c r="P3465" s="3" t="s">
        <v>1740</v>
      </c>
      <c r="Q3465" s="3" t="s">
        <v>27</v>
      </c>
      <c r="R3465" s="3" t="s">
        <v>28</v>
      </c>
      <c r="S3465" s="3">
        <v>5423906</v>
      </c>
      <c r="T3465" s="3">
        <v>1186090589</v>
      </c>
      <c r="U3465" s="3" t="s">
        <v>29</v>
      </c>
    </row>
    <row r="3466" spans="1:21" ht="13.2" x14ac:dyDescent="0.25">
      <c r="A3466" s="14">
        <v>17191995000118</v>
      </c>
      <c r="B3466" s="15" t="str">
        <f t="shared" si="54"/>
        <v>17.191.995/0001-18</v>
      </c>
      <c r="C3466" s="12"/>
      <c r="D3466" s="3" t="s">
        <v>12079</v>
      </c>
      <c r="E3466" s="3" t="s">
        <v>12079</v>
      </c>
      <c r="F3466" s="3" t="s">
        <v>20</v>
      </c>
      <c r="G3466" s="4">
        <v>41227</v>
      </c>
      <c r="H3466" s="3" t="s">
        <v>21</v>
      </c>
      <c r="I3466" s="3" t="s">
        <v>22</v>
      </c>
      <c r="J3466" s="5">
        <v>100000</v>
      </c>
      <c r="K3466" s="3">
        <v>4930202</v>
      </c>
      <c r="L3466" s="3" t="s">
        <v>2603</v>
      </c>
      <c r="M3466" s="3" t="s">
        <v>12080</v>
      </c>
      <c r="N3466" s="3">
        <v>1085</v>
      </c>
      <c r="O3466" s="3" t="s">
        <v>12081</v>
      </c>
      <c r="P3466" s="3" t="s">
        <v>12082</v>
      </c>
      <c r="Q3466" s="3" t="s">
        <v>37</v>
      </c>
      <c r="R3466" s="3" t="s">
        <v>28</v>
      </c>
      <c r="S3466" s="3">
        <v>13469291</v>
      </c>
      <c r="T3466" s="3">
        <v>1996412327</v>
      </c>
      <c r="U3466" s="3" t="s">
        <v>29</v>
      </c>
    </row>
    <row r="3467" spans="1:21" ht="13.2" x14ac:dyDescent="0.25">
      <c r="A3467" s="14">
        <v>622416000141</v>
      </c>
      <c r="B3467" s="15" t="str">
        <f t="shared" si="54"/>
        <v>00.622.416/0001-41</v>
      </c>
      <c r="C3467" s="12"/>
      <c r="D3467" s="3" t="s">
        <v>12083</v>
      </c>
      <c r="E3467" s="3" t="s">
        <v>12083</v>
      </c>
      <c r="F3467" s="3" t="s">
        <v>20</v>
      </c>
      <c r="G3467" s="4">
        <v>34844</v>
      </c>
      <c r="H3467" s="3" t="s">
        <v>377</v>
      </c>
      <c r="I3467" s="3" t="s">
        <v>33</v>
      </c>
      <c r="J3467" s="5">
        <v>4116767000</v>
      </c>
      <c r="K3467" s="3">
        <v>6462000</v>
      </c>
      <c r="L3467" s="3" t="s">
        <v>250</v>
      </c>
      <c r="M3467" s="3" t="s">
        <v>104</v>
      </c>
      <c r="N3467" s="3">
        <v>5500</v>
      </c>
      <c r="O3467" s="3" t="s">
        <v>12084</v>
      </c>
      <c r="P3467" s="3" t="s">
        <v>106</v>
      </c>
      <c r="Q3467" s="3" t="s">
        <v>107</v>
      </c>
      <c r="R3467" s="3" t="s">
        <v>91</v>
      </c>
      <c r="S3467" s="3">
        <v>88032005</v>
      </c>
      <c r="T3467" s="3">
        <v>4838777100</v>
      </c>
      <c r="U3467" s="3" t="s">
        <v>29</v>
      </c>
    </row>
    <row r="3468" spans="1:21" ht="13.2" x14ac:dyDescent="0.25">
      <c r="A3468" s="14">
        <v>56395510000160</v>
      </c>
      <c r="B3468" s="15" t="str">
        <f t="shared" si="54"/>
        <v>56.395.510/0001-60</v>
      </c>
      <c r="C3468" s="12" t="str">
        <f>VLOOKUP(B3468,[1]Planilha1!$A:$B,2,0)</f>
        <v>Malu Montesino</v>
      </c>
      <c r="D3468" s="3" t="s">
        <v>12085</v>
      </c>
      <c r="E3468" s="3" t="s">
        <v>12086</v>
      </c>
      <c r="F3468" s="3" t="s">
        <v>20</v>
      </c>
      <c r="G3468" s="4">
        <v>25408</v>
      </c>
      <c r="H3468" s="3" t="s">
        <v>21</v>
      </c>
      <c r="I3468" s="3" t="s">
        <v>33</v>
      </c>
      <c r="J3468" s="5">
        <v>5776884</v>
      </c>
      <c r="K3468" s="3">
        <v>4211101</v>
      </c>
      <c r="L3468" s="3" t="s">
        <v>313</v>
      </c>
      <c r="M3468" s="3" t="s">
        <v>12087</v>
      </c>
      <c r="N3468" s="3" t="s">
        <v>82</v>
      </c>
      <c r="O3468" s="3" t="s">
        <v>12088</v>
      </c>
      <c r="P3468" s="3" t="s">
        <v>12089</v>
      </c>
      <c r="Q3468" s="3" t="s">
        <v>2721</v>
      </c>
      <c r="R3468" s="3" t="s">
        <v>28</v>
      </c>
      <c r="S3468" s="3">
        <v>13500970</v>
      </c>
      <c r="T3468" s="3">
        <v>1935222830</v>
      </c>
      <c r="U3468" s="3" t="s">
        <v>29</v>
      </c>
    </row>
    <row r="3469" spans="1:21" ht="13.2" x14ac:dyDescent="0.25">
      <c r="A3469" s="14">
        <v>5890658000130</v>
      </c>
      <c r="B3469" s="15" t="str">
        <f t="shared" si="54"/>
        <v>05.890.658/0001-30</v>
      </c>
      <c r="C3469" s="12"/>
      <c r="D3469" s="3" t="s">
        <v>12090</v>
      </c>
      <c r="E3469" s="3" t="s">
        <v>12090</v>
      </c>
      <c r="F3469" s="3" t="s">
        <v>20</v>
      </c>
      <c r="G3469" s="4">
        <v>37879</v>
      </c>
      <c r="H3469" s="3" t="s">
        <v>21</v>
      </c>
      <c r="I3469" s="3" t="s">
        <v>33</v>
      </c>
      <c r="J3469" s="5">
        <v>84061900</v>
      </c>
      <c r="K3469" s="3">
        <v>4669999</v>
      </c>
      <c r="L3469" s="3" t="s">
        <v>558</v>
      </c>
      <c r="M3469" s="3" t="s">
        <v>10217</v>
      </c>
      <c r="N3469" s="3">
        <v>680</v>
      </c>
      <c r="O3469" s="3" t="s">
        <v>12091</v>
      </c>
      <c r="P3469" s="3" t="s">
        <v>2613</v>
      </c>
      <c r="Q3469" s="3" t="s">
        <v>27</v>
      </c>
      <c r="R3469" s="3" t="s">
        <v>28</v>
      </c>
      <c r="S3469" s="3">
        <v>2518080</v>
      </c>
      <c r="T3469" s="3">
        <v>1122487075</v>
      </c>
      <c r="U3469" s="3" t="s">
        <v>29</v>
      </c>
    </row>
    <row r="3470" spans="1:21" ht="13.2" x14ac:dyDescent="0.25">
      <c r="A3470" s="14">
        <v>58069360000120</v>
      </c>
      <c r="B3470" s="15" t="str">
        <f t="shared" si="54"/>
        <v>58.069.360/0001-20</v>
      </c>
      <c r="C3470" s="12"/>
      <c r="D3470" s="3" t="s">
        <v>12092</v>
      </c>
      <c r="E3470" s="3" t="s">
        <v>12092</v>
      </c>
      <c r="F3470" s="3" t="s">
        <v>20</v>
      </c>
      <c r="G3470" s="4">
        <v>32059</v>
      </c>
      <c r="H3470" s="3" t="s">
        <v>94</v>
      </c>
      <c r="I3470" s="3" t="s">
        <v>33</v>
      </c>
      <c r="J3470" s="5">
        <v>10000000</v>
      </c>
      <c r="K3470" s="3">
        <v>6201501</v>
      </c>
      <c r="L3470" s="3" t="s">
        <v>298</v>
      </c>
      <c r="M3470" s="3" t="s">
        <v>3950</v>
      </c>
      <c r="N3470" s="3">
        <v>1476</v>
      </c>
      <c r="P3470" s="3" t="s">
        <v>12093</v>
      </c>
      <c r="Q3470" s="3" t="s">
        <v>673</v>
      </c>
      <c r="R3470" s="3" t="s">
        <v>28</v>
      </c>
      <c r="S3470" s="3">
        <v>13912074</v>
      </c>
      <c r="T3470" s="3">
        <v>1130946000</v>
      </c>
      <c r="U3470" s="3" t="s">
        <v>29</v>
      </c>
    </row>
    <row r="3471" spans="1:21" ht="13.2" x14ac:dyDescent="0.25">
      <c r="A3471" s="14">
        <v>16701716003686</v>
      </c>
      <c r="B3471" s="15" t="str">
        <f t="shared" si="54"/>
        <v>16.701.716/0036-86</v>
      </c>
      <c r="C3471" s="12"/>
      <c r="D3471" s="3" t="s">
        <v>12094</v>
      </c>
      <c r="E3471" s="3" t="s">
        <v>12094</v>
      </c>
      <c r="F3471" s="3" t="s">
        <v>20</v>
      </c>
      <c r="G3471" s="4">
        <v>41418</v>
      </c>
      <c r="H3471" s="3" t="s">
        <v>21</v>
      </c>
      <c r="I3471" s="3" t="s">
        <v>33</v>
      </c>
      <c r="J3471" s="5">
        <v>31178220000</v>
      </c>
      <c r="K3471" s="3">
        <v>2910701</v>
      </c>
      <c r="L3471" s="3" t="s">
        <v>2241</v>
      </c>
      <c r="M3471" s="3" t="s">
        <v>12095</v>
      </c>
      <c r="N3471" s="3" t="s">
        <v>82</v>
      </c>
      <c r="O3471" s="3" t="s">
        <v>12096</v>
      </c>
      <c r="P3471" s="3" t="s">
        <v>12097</v>
      </c>
      <c r="Q3471" s="3" t="s">
        <v>12098</v>
      </c>
      <c r="R3471" s="3" t="s">
        <v>456</v>
      </c>
      <c r="S3471" s="3">
        <v>55900000</v>
      </c>
      <c r="T3471" s="3">
        <v>3198649854</v>
      </c>
      <c r="U3471" s="3" t="s">
        <v>29</v>
      </c>
    </row>
    <row r="3472" spans="1:21" ht="13.2" x14ac:dyDescent="0.25">
      <c r="A3472" s="14">
        <v>16701716000156</v>
      </c>
      <c r="B3472" s="15" t="str">
        <f t="shared" si="54"/>
        <v>16.701.716/0001-56</v>
      </c>
      <c r="C3472" s="12" t="str">
        <f>VLOOKUP(B3472,[1]Planilha1!$A:$B,2,0)</f>
        <v>Malu Montesino</v>
      </c>
      <c r="D3472" s="3" t="s">
        <v>12094</v>
      </c>
      <c r="E3472" s="3" t="s">
        <v>12099</v>
      </c>
      <c r="F3472" s="3" t="s">
        <v>20</v>
      </c>
      <c r="G3472" s="4">
        <v>26857</v>
      </c>
      <c r="H3472" s="3" t="s">
        <v>21</v>
      </c>
      <c r="I3472" s="3" t="s">
        <v>33</v>
      </c>
      <c r="J3472" s="5">
        <v>31178220000</v>
      </c>
      <c r="K3472" s="3">
        <v>2910701</v>
      </c>
      <c r="L3472" s="3" t="s">
        <v>2241</v>
      </c>
      <c r="M3472" s="3" t="s">
        <v>4633</v>
      </c>
      <c r="N3472" s="3">
        <v>3455</v>
      </c>
      <c r="P3472" s="3" t="s">
        <v>12100</v>
      </c>
      <c r="Q3472" s="3" t="s">
        <v>12101</v>
      </c>
      <c r="R3472" s="3" t="s">
        <v>100</v>
      </c>
      <c r="S3472" s="3">
        <v>32669900</v>
      </c>
      <c r="T3472" s="3">
        <v>3198649854</v>
      </c>
      <c r="U3472" s="3" t="s">
        <v>29</v>
      </c>
    </row>
    <row r="3473" spans="1:21" ht="13.2" x14ac:dyDescent="0.25">
      <c r="A3473" s="14">
        <v>37807135000173</v>
      </c>
      <c r="B3473" s="15" t="str">
        <f t="shared" si="54"/>
        <v>37.807.135/0001-73</v>
      </c>
      <c r="C3473" s="12" t="str">
        <f>VLOOKUP(B3473,[1]Planilha1!$A:$B,2,0)</f>
        <v>Malu Montesino</v>
      </c>
      <c r="D3473" s="3" t="s">
        <v>12102</v>
      </c>
      <c r="E3473" s="3" t="s">
        <v>12103</v>
      </c>
      <c r="F3473" s="3" t="s">
        <v>20</v>
      </c>
      <c r="G3473" s="4">
        <v>44033</v>
      </c>
      <c r="H3473" s="3" t="s">
        <v>21</v>
      </c>
      <c r="I3473" s="3" t="s">
        <v>33</v>
      </c>
      <c r="J3473" s="5">
        <v>959560</v>
      </c>
      <c r="K3473" s="3">
        <v>4664800</v>
      </c>
      <c r="L3473" s="3" t="s">
        <v>691</v>
      </c>
      <c r="M3473" s="3" t="s">
        <v>5951</v>
      </c>
      <c r="N3473" s="3">
        <v>329</v>
      </c>
      <c r="P3473" s="3" t="s">
        <v>5951</v>
      </c>
      <c r="Q3473" s="3" t="s">
        <v>423</v>
      </c>
      <c r="R3473" s="3" t="s">
        <v>91</v>
      </c>
      <c r="S3473" s="3">
        <v>89203300</v>
      </c>
      <c r="T3473" s="3">
        <v>4792820429</v>
      </c>
      <c r="U3473" s="3" t="s">
        <v>29</v>
      </c>
    </row>
    <row r="3474" spans="1:21" ht="13.2" x14ac:dyDescent="0.25">
      <c r="A3474" s="14">
        <v>12874848000129</v>
      </c>
      <c r="B3474" s="15" t="str">
        <f t="shared" si="54"/>
        <v>12.874.848/0001-29</v>
      </c>
      <c r="C3474" s="12"/>
      <c r="D3474" s="3" t="s">
        <v>12104</v>
      </c>
      <c r="E3474" s="3" t="s">
        <v>12104</v>
      </c>
      <c r="F3474" s="3" t="s">
        <v>45</v>
      </c>
      <c r="G3474" s="4">
        <v>32279</v>
      </c>
      <c r="H3474" s="3" t="s">
        <v>21</v>
      </c>
      <c r="I3474" s="3" t="s">
        <v>33</v>
      </c>
      <c r="J3474" s="5">
        <v>14382432</v>
      </c>
      <c r="K3474" s="3">
        <v>3822000</v>
      </c>
      <c r="L3474" s="3" t="s">
        <v>10943</v>
      </c>
      <c r="M3474" s="3" t="s">
        <v>12105</v>
      </c>
      <c r="N3474" s="3">
        <v>130</v>
      </c>
      <c r="P3474" s="3" t="s">
        <v>4976</v>
      </c>
      <c r="Q3474" s="3" t="s">
        <v>515</v>
      </c>
      <c r="R3474" s="3" t="s">
        <v>456</v>
      </c>
      <c r="S3474" s="3">
        <v>54360020</v>
      </c>
      <c r="T3474" s="3">
        <v>8132692215</v>
      </c>
      <c r="U3474" s="3" t="s">
        <v>29</v>
      </c>
    </row>
    <row r="3475" spans="1:21" ht="13.2" x14ac:dyDescent="0.25">
      <c r="A3475" s="14">
        <v>59233783000104</v>
      </c>
      <c r="B3475" s="15" t="str">
        <f t="shared" si="54"/>
        <v>59.233.783/0001-04</v>
      </c>
      <c r="C3475" s="12" t="str">
        <f>VLOOKUP(B3475,[1]Planilha1!$A:$B,2,0)</f>
        <v>Malu Montesino</v>
      </c>
      <c r="D3475" s="3" t="s">
        <v>12106</v>
      </c>
      <c r="E3475" s="3" t="s">
        <v>12106</v>
      </c>
      <c r="F3475" s="3" t="s">
        <v>20</v>
      </c>
      <c r="G3475" s="4">
        <v>32335</v>
      </c>
      <c r="H3475" s="3" t="s">
        <v>21</v>
      </c>
      <c r="I3475" s="3" t="s">
        <v>33</v>
      </c>
      <c r="J3475" s="5">
        <v>197460030</v>
      </c>
      <c r="K3475" s="3">
        <v>4649408</v>
      </c>
      <c r="L3475" s="3" t="s">
        <v>464</v>
      </c>
      <c r="M3475" s="3" t="s">
        <v>12107</v>
      </c>
      <c r="N3475" s="3">
        <v>77</v>
      </c>
      <c r="O3475" s="3" t="s">
        <v>12108</v>
      </c>
      <c r="P3475" s="3" t="s">
        <v>5670</v>
      </c>
      <c r="Q3475" s="3" t="s">
        <v>27</v>
      </c>
      <c r="R3475" s="3" t="s">
        <v>28</v>
      </c>
      <c r="S3475" s="3">
        <v>4524030</v>
      </c>
      <c r="T3475" s="3">
        <v>1143698900</v>
      </c>
      <c r="U3475" s="3" t="s">
        <v>29</v>
      </c>
    </row>
    <row r="3476" spans="1:21" ht="13.2" x14ac:dyDescent="0.25">
      <c r="A3476" s="14">
        <v>6106005000180</v>
      </c>
      <c r="B3476" s="15" t="str">
        <f t="shared" si="54"/>
        <v>06.106.005/0001-80</v>
      </c>
      <c r="C3476" s="12"/>
      <c r="D3476" s="3" t="s">
        <v>12109</v>
      </c>
      <c r="E3476" s="3" t="s">
        <v>12109</v>
      </c>
      <c r="F3476" s="3" t="s">
        <v>20</v>
      </c>
      <c r="G3476" s="4">
        <v>38013</v>
      </c>
      <c r="H3476" s="3" t="s">
        <v>94</v>
      </c>
      <c r="I3476" s="3" t="s">
        <v>33</v>
      </c>
      <c r="J3476" s="5" t="s">
        <v>12110</v>
      </c>
      <c r="K3476" s="3">
        <v>4644301</v>
      </c>
      <c r="L3476" s="3" t="s">
        <v>326</v>
      </c>
      <c r="M3476" s="3" t="s">
        <v>12111</v>
      </c>
      <c r="N3476" s="3">
        <v>100</v>
      </c>
      <c r="P3476" s="3" t="s">
        <v>70</v>
      </c>
      <c r="Q3476" s="3" t="s">
        <v>9163</v>
      </c>
      <c r="R3476" s="3" t="s">
        <v>53</v>
      </c>
      <c r="S3476" s="3">
        <v>96810408</v>
      </c>
      <c r="T3476" s="3">
        <v>5137151296</v>
      </c>
      <c r="U3476" s="3" t="s">
        <v>29</v>
      </c>
    </row>
    <row r="3477" spans="1:21" ht="13.2" x14ac:dyDescent="0.25">
      <c r="A3477" s="14">
        <v>16501555000157</v>
      </c>
      <c r="B3477" s="15" t="str">
        <f t="shared" si="54"/>
        <v>16.501.555/0001-57</v>
      </c>
      <c r="C3477" s="12"/>
      <c r="D3477" s="3" t="s">
        <v>12112</v>
      </c>
      <c r="E3477" s="3" t="s">
        <v>12112</v>
      </c>
      <c r="F3477" s="3" t="s">
        <v>20</v>
      </c>
      <c r="G3477" s="4">
        <v>41082</v>
      </c>
      <c r="H3477" s="3" t="s">
        <v>94</v>
      </c>
      <c r="I3477" s="3" t="s">
        <v>33</v>
      </c>
      <c r="J3477" s="5">
        <v>1389445200</v>
      </c>
      <c r="K3477" s="3">
        <v>6619399</v>
      </c>
      <c r="L3477" s="3" t="s">
        <v>4160</v>
      </c>
      <c r="M3477" s="3" t="s">
        <v>1767</v>
      </c>
      <c r="N3477" s="3">
        <v>2880</v>
      </c>
      <c r="O3477" s="3" t="s">
        <v>12113</v>
      </c>
      <c r="P3477" s="3" t="s">
        <v>1740</v>
      </c>
      <c r="Q3477" s="3" t="s">
        <v>27</v>
      </c>
      <c r="R3477" s="3" t="s">
        <v>28</v>
      </c>
      <c r="S3477" s="3">
        <v>5402500</v>
      </c>
      <c r="T3477" s="3">
        <v>2136097840</v>
      </c>
      <c r="U3477" s="3" t="s">
        <v>29</v>
      </c>
    </row>
    <row r="3478" spans="1:21" ht="13.2" x14ac:dyDescent="0.25">
      <c r="A3478" s="14">
        <v>31002375000114</v>
      </c>
      <c r="B3478" s="15" t="str">
        <f t="shared" si="54"/>
        <v>31.002.375/0001-14</v>
      </c>
      <c r="C3478" s="12"/>
      <c r="D3478" s="3" t="s">
        <v>12114</v>
      </c>
      <c r="E3478" s="3" t="s">
        <v>12115</v>
      </c>
      <c r="F3478" s="3" t="s">
        <v>20</v>
      </c>
      <c r="G3478" s="4">
        <v>43304</v>
      </c>
      <c r="H3478" s="3" t="s">
        <v>21</v>
      </c>
      <c r="I3478" s="3" t="s">
        <v>22</v>
      </c>
      <c r="J3478" s="5">
        <v>60000</v>
      </c>
      <c r="K3478" s="3">
        <v>4330499</v>
      </c>
      <c r="L3478" s="3" t="s">
        <v>73</v>
      </c>
      <c r="M3478" s="3" t="s">
        <v>304</v>
      </c>
      <c r="N3478" s="3">
        <v>1711</v>
      </c>
      <c r="O3478" s="3" t="s">
        <v>12116</v>
      </c>
      <c r="P3478" s="3" t="s">
        <v>306</v>
      </c>
      <c r="Q3478" s="3" t="s">
        <v>27</v>
      </c>
      <c r="R3478" s="3" t="s">
        <v>28</v>
      </c>
      <c r="S3478" s="3">
        <v>4717911</v>
      </c>
      <c r="T3478" s="3">
        <v>1181365541</v>
      </c>
      <c r="U3478" s="3" t="s">
        <v>29</v>
      </c>
    </row>
    <row r="3479" spans="1:21" ht="13.2" x14ac:dyDescent="0.25">
      <c r="A3479" s="14">
        <v>1297387000152</v>
      </c>
      <c r="B3479" s="15" t="str">
        <f t="shared" si="54"/>
        <v>01.297.387/0001-52</v>
      </c>
      <c r="C3479" s="12"/>
      <c r="D3479" s="3" t="s">
        <v>12117</v>
      </c>
      <c r="E3479" s="3" t="s">
        <v>12118</v>
      </c>
      <c r="F3479" s="3" t="s">
        <v>20</v>
      </c>
      <c r="G3479" s="4">
        <v>35249</v>
      </c>
      <c r="H3479" s="3" t="s">
        <v>21</v>
      </c>
      <c r="I3479" s="3" t="s">
        <v>33</v>
      </c>
      <c r="J3479" s="5">
        <v>200000</v>
      </c>
      <c r="K3479" s="3">
        <v>2599399</v>
      </c>
      <c r="L3479" s="3" t="s">
        <v>1144</v>
      </c>
      <c r="M3479" s="3" t="s">
        <v>12119</v>
      </c>
      <c r="N3479" s="3">
        <v>200</v>
      </c>
      <c r="O3479" s="3" t="s">
        <v>12120</v>
      </c>
      <c r="P3479" s="3" t="s">
        <v>2703</v>
      </c>
      <c r="Q3479" s="3" t="s">
        <v>27</v>
      </c>
      <c r="R3479" s="3" t="s">
        <v>28</v>
      </c>
      <c r="S3479" s="3">
        <v>8240165</v>
      </c>
      <c r="T3479" s="3">
        <v>1120577170</v>
      </c>
      <c r="U3479" s="3" t="s">
        <v>29</v>
      </c>
    </row>
    <row r="3480" spans="1:21" ht="13.2" x14ac:dyDescent="0.25">
      <c r="A3480" s="14">
        <v>1812515000159</v>
      </c>
      <c r="B3480" s="15" t="str">
        <f t="shared" si="54"/>
        <v>01.812.515/0001-59</v>
      </c>
      <c r="C3480" s="12"/>
      <c r="D3480" s="3" t="s">
        <v>12121</v>
      </c>
      <c r="E3480" s="3" t="s">
        <v>12121</v>
      </c>
      <c r="F3480" s="3" t="s">
        <v>20</v>
      </c>
      <c r="G3480" s="4">
        <v>35562</v>
      </c>
      <c r="H3480" s="3" t="s">
        <v>21</v>
      </c>
      <c r="I3480" s="3" t="s">
        <v>22</v>
      </c>
      <c r="J3480" s="5">
        <v>200000</v>
      </c>
      <c r="K3480" s="3">
        <v>4649499</v>
      </c>
      <c r="L3480" s="3" t="s">
        <v>5842</v>
      </c>
      <c r="M3480" s="3" t="s">
        <v>12122</v>
      </c>
      <c r="N3480" s="3">
        <v>752</v>
      </c>
      <c r="O3480" s="3" t="s">
        <v>12123</v>
      </c>
      <c r="P3480" s="3" t="s">
        <v>616</v>
      </c>
      <c r="Q3480" s="3" t="s">
        <v>617</v>
      </c>
      <c r="R3480" s="3" t="s">
        <v>28</v>
      </c>
      <c r="S3480" s="3">
        <v>6460050</v>
      </c>
      <c r="T3480" s="3">
        <v>1150335111</v>
      </c>
      <c r="U3480" s="3" t="s">
        <v>29</v>
      </c>
    </row>
    <row r="3481" spans="1:21" ht="13.2" x14ac:dyDescent="0.25">
      <c r="A3481" s="14">
        <v>38743357000132</v>
      </c>
      <c r="B3481" s="15" t="str">
        <f t="shared" si="54"/>
        <v>38.743.357/0001-32</v>
      </c>
      <c r="C3481" s="12" t="str">
        <f>VLOOKUP(B3481,[1]Planilha1!$A:$B,2,0)</f>
        <v>Malu Montesino</v>
      </c>
      <c r="D3481" s="3" t="s">
        <v>12124</v>
      </c>
      <c r="E3481" s="3" t="s">
        <v>12124</v>
      </c>
      <c r="F3481" s="3" t="s">
        <v>20</v>
      </c>
      <c r="G3481" s="4">
        <v>33122</v>
      </c>
      <c r="H3481" s="3" t="s">
        <v>21</v>
      </c>
      <c r="I3481" s="3" t="s">
        <v>33</v>
      </c>
      <c r="J3481" s="5">
        <v>20000000</v>
      </c>
      <c r="K3481" s="3">
        <v>7112000</v>
      </c>
      <c r="L3481" s="3" t="s">
        <v>276</v>
      </c>
      <c r="M3481" s="3" t="s">
        <v>12125</v>
      </c>
      <c r="N3481" s="3">
        <v>24</v>
      </c>
      <c r="P3481" s="3" t="s">
        <v>3241</v>
      </c>
      <c r="Q3481" s="3" t="s">
        <v>476</v>
      </c>
      <c r="R3481" s="3" t="s">
        <v>100</v>
      </c>
      <c r="S3481" s="3">
        <v>31330200</v>
      </c>
      <c r="T3481" s="3">
        <v>3125193009</v>
      </c>
      <c r="U3481" s="3" t="s">
        <v>29</v>
      </c>
    </row>
    <row r="3482" spans="1:21" ht="13.2" x14ac:dyDescent="0.25">
      <c r="A3482" s="14">
        <v>43316480000107</v>
      </c>
      <c r="B3482" s="15" t="str">
        <f t="shared" si="54"/>
        <v>43.316.480/0001-07</v>
      </c>
      <c r="C3482" s="12"/>
      <c r="D3482" s="3" t="s">
        <v>12126</v>
      </c>
      <c r="E3482" s="3" t="s">
        <v>12126</v>
      </c>
      <c r="F3482" s="3" t="s">
        <v>20</v>
      </c>
      <c r="G3482" s="4">
        <v>44435</v>
      </c>
      <c r="H3482" s="3" t="s">
        <v>21</v>
      </c>
      <c r="I3482" s="3" t="s">
        <v>33</v>
      </c>
      <c r="J3482" s="5">
        <v>516000</v>
      </c>
      <c r="K3482" s="3">
        <v>7020400</v>
      </c>
      <c r="L3482" s="3" t="s">
        <v>170</v>
      </c>
      <c r="M3482" s="3" t="s">
        <v>246</v>
      </c>
      <c r="N3482" s="3">
        <v>37</v>
      </c>
      <c r="O3482" s="3" t="s">
        <v>12127</v>
      </c>
      <c r="P3482" s="3" t="s">
        <v>248</v>
      </c>
      <c r="Q3482" s="3" t="s">
        <v>27</v>
      </c>
      <c r="R3482" s="3" t="s">
        <v>28</v>
      </c>
      <c r="S3482" s="3">
        <v>1311902</v>
      </c>
      <c r="T3482" s="3">
        <v>1140913900</v>
      </c>
      <c r="U3482" s="3" t="s">
        <v>29</v>
      </c>
    </row>
    <row r="3483" spans="1:21" ht="13.2" x14ac:dyDescent="0.25">
      <c r="A3483" s="14">
        <v>20259774000149</v>
      </c>
      <c r="B3483" s="15" t="str">
        <f t="shared" si="54"/>
        <v>20.259.774/0001-49</v>
      </c>
      <c r="C3483" s="12"/>
      <c r="D3483" s="3" t="s">
        <v>12128</v>
      </c>
      <c r="E3483" s="3" t="s">
        <v>12128</v>
      </c>
      <c r="F3483" s="3" t="s">
        <v>20</v>
      </c>
      <c r="G3483" s="4">
        <v>41774</v>
      </c>
      <c r="H3483" s="3" t="s">
        <v>21</v>
      </c>
      <c r="I3483" s="3" t="s">
        <v>47</v>
      </c>
      <c r="J3483" s="5">
        <v>452000</v>
      </c>
      <c r="K3483" s="3">
        <v>4672900</v>
      </c>
      <c r="L3483" s="3" t="s">
        <v>1389</v>
      </c>
      <c r="M3483" s="3" t="s">
        <v>246</v>
      </c>
      <c r="N3483" s="3">
        <v>1471</v>
      </c>
      <c r="O3483" s="3" t="s">
        <v>12129</v>
      </c>
      <c r="P3483" s="3" t="s">
        <v>248</v>
      </c>
      <c r="Q3483" s="3" t="s">
        <v>27</v>
      </c>
      <c r="R3483" s="3" t="s">
        <v>28</v>
      </c>
      <c r="S3483" s="3">
        <v>1311927</v>
      </c>
      <c r="T3483" s="3">
        <v>1187136666</v>
      </c>
      <c r="U3483" s="3" t="s">
        <v>29</v>
      </c>
    </row>
    <row r="3484" spans="1:21" ht="13.2" x14ac:dyDescent="0.25">
      <c r="A3484" s="14">
        <v>2966317000102</v>
      </c>
      <c r="B3484" s="15" t="str">
        <f t="shared" si="54"/>
        <v>02.966.317/0001-02</v>
      </c>
      <c r="C3484" s="12"/>
      <c r="D3484" s="3" t="s">
        <v>12130</v>
      </c>
      <c r="E3484" s="3" t="s">
        <v>12130</v>
      </c>
      <c r="F3484" s="3" t="s">
        <v>20</v>
      </c>
      <c r="G3484" s="4">
        <v>36125</v>
      </c>
      <c r="H3484" s="3" t="s">
        <v>21</v>
      </c>
      <c r="I3484" s="3" t="s">
        <v>33</v>
      </c>
      <c r="J3484" s="5">
        <v>313105150</v>
      </c>
      <c r="K3484" s="3">
        <v>4645101</v>
      </c>
      <c r="L3484" s="3" t="s">
        <v>135</v>
      </c>
      <c r="M3484" s="3" t="s">
        <v>12131</v>
      </c>
      <c r="N3484" s="3">
        <v>300</v>
      </c>
      <c r="O3484" s="3" t="s">
        <v>12132</v>
      </c>
      <c r="P3484" s="3" t="s">
        <v>1049</v>
      </c>
      <c r="Q3484" s="3" t="s">
        <v>27</v>
      </c>
      <c r="R3484" s="3" t="s">
        <v>28</v>
      </c>
      <c r="S3484" s="3">
        <v>4542903</v>
      </c>
      <c r="T3484" s="3">
        <v>1151892592</v>
      </c>
      <c r="U3484" s="3" t="s">
        <v>29</v>
      </c>
    </row>
    <row r="3485" spans="1:21" ht="13.2" x14ac:dyDescent="0.25">
      <c r="A3485" s="14">
        <v>17324331000180</v>
      </c>
      <c r="B3485" s="15" t="str">
        <f t="shared" si="54"/>
        <v>17.324.331/0001-80</v>
      </c>
      <c r="C3485" s="12"/>
      <c r="D3485" s="3" t="s">
        <v>12133</v>
      </c>
      <c r="E3485" s="3" t="s">
        <v>12133</v>
      </c>
      <c r="F3485" s="3" t="s">
        <v>20</v>
      </c>
      <c r="G3485" s="4">
        <v>41235</v>
      </c>
      <c r="H3485" s="3" t="s">
        <v>21</v>
      </c>
      <c r="I3485" s="3" t="s">
        <v>33</v>
      </c>
      <c r="J3485" s="5">
        <v>4500000</v>
      </c>
      <c r="K3485" s="3">
        <v>4511101</v>
      </c>
      <c r="L3485" s="3" t="s">
        <v>1870</v>
      </c>
      <c r="M3485" s="3" t="s">
        <v>85</v>
      </c>
      <c r="N3485" s="3">
        <v>574</v>
      </c>
      <c r="P3485" s="3" t="s">
        <v>4157</v>
      </c>
      <c r="Q3485" s="3" t="s">
        <v>27</v>
      </c>
      <c r="R3485" s="3" t="s">
        <v>28</v>
      </c>
      <c r="S3485" s="3">
        <v>5016090</v>
      </c>
      <c r="T3485" s="3">
        <v>1136741000</v>
      </c>
      <c r="U3485" s="3" t="s">
        <v>29</v>
      </c>
    </row>
    <row r="3486" spans="1:21" ht="13.2" x14ac:dyDescent="0.25">
      <c r="A3486" s="14">
        <v>22688889000184</v>
      </c>
      <c r="B3486" s="15" t="str">
        <f t="shared" si="54"/>
        <v>22.688.889/0001-84</v>
      </c>
      <c r="C3486" s="12"/>
      <c r="D3486" s="3" t="s">
        <v>12134</v>
      </c>
      <c r="E3486" s="3" t="s">
        <v>12134</v>
      </c>
      <c r="F3486" s="3" t="s">
        <v>20</v>
      </c>
      <c r="G3486" s="4">
        <v>42173</v>
      </c>
      <c r="H3486" s="3" t="s">
        <v>94</v>
      </c>
      <c r="I3486" s="3" t="s">
        <v>33</v>
      </c>
      <c r="J3486" s="5">
        <v>16558093</v>
      </c>
      <c r="K3486" s="3">
        <v>7020400</v>
      </c>
      <c r="L3486" s="3" t="s">
        <v>170</v>
      </c>
      <c r="M3486" s="3" t="s">
        <v>1195</v>
      </c>
      <c r="N3486" s="3">
        <v>1289</v>
      </c>
      <c r="O3486" s="3" t="s">
        <v>12135</v>
      </c>
      <c r="P3486" s="3" t="s">
        <v>316</v>
      </c>
      <c r="Q3486" s="3" t="s">
        <v>27</v>
      </c>
      <c r="R3486" s="3" t="s">
        <v>28</v>
      </c>
      <c r="S3486" s="3">
        <v>4550004</v>
      </c>
      <c r="T3486" s="3">
        <v>1123056294</v>
      </c>
      <c r="U3486" s="3" t="s">
        <v>29</v>
      </c>
    </row>
    <row r="3487" spans="1:21" ht="13.2" x14ac:dyDescent="0.25">
      <c r="A3487" s="14">
        <v>41707446000138</v>
      </c>
      <c r="B3487" s="15" t="str">
        <f t="shared" si="54"/>
        <v>41.707.446/0001-38</v>
      </c>
      <c r="C3487" s="12" t="str">
        <f>VLOOKUP(B3487,[1]Planilha1!$A:$B,2,0)</f>
        <v>Malu Montesino</v>
      </c>
      <c r="D3487" s="3" t="s">
        <v>12136</v>
      </c>
      <c r="E3487" s="3" t="s">
        <v>12137</v>
      </c>
      <c r="F3487" s="3" t="s">
        <v>20</v>
      </c>
      <c r="G3487" s="4">
        <v>44312</v>
      </c>
      <c r="H3487" s="3" t="s">
        <v>21</v>
      </c>
      <c r="I3487" s="3" t="s">
        <v>47</v>
      </c>
      <c r="J3487" s="5">
        <v>130000</v>
      </c>
      <c r="K3487" s="3">
        <v>7490104</v>
      </c>
      <c r="L3487" s="3" t="s">
        <v>1597</v>
      </c>
      <c r="M3487" s="3">
        <v>85</v>
      </c>
      <c r="N3487" s="3">
        <v>2635</v>
      </c>
      <c r="O3487" s="3" t="s">
        <v>12138</v>
      </c>
      <c r="P3487" s="3" t="s">
        <v>2219</v>
      </c>
      <c r="Q3487" s="3" t="s">
        <v>273</v>
      </c>
      <c r="R3487" s="3" t="s">
        <v>274</v>
      </c>
      <c r="S3487" s="3">
        <v>74160010</v>
      </c>
      <c r="T3487" s="3">
        <v>6283144219</v>
      </c>
      <c r="U3487" s="3" t="s">
        <v>29</v>
      </c>
    </row>
    <row r="3488" spans="1:21" ht="13.2" x14ac:dyDescent="0.25">
      <c r="A3488" s="14">
        <v>88175625000135</v>
      </c>
      <c r="B3488" s="15" t="str">
        <f t="shared" si="54"/>
        <v>88.175.625/0001-35</v>
      </c>
      <c r="C3488" s="12"/>
      <c r="D3488" s="3" t="s">
        <v>12139</v>
      </c>
      <c r="E3488" s="3" t="s">
        <v>12139</v>
      </c>
      <c r="F3488" s="3" t="s">
        <v>20</v>
      </c>
      <c r="G3488" s="4">
        <v>30083</v>
      </c>
      <c r="H3488" s="3" t="s">
        <v>21</v>
      </c>
      <c r="I3488" s="3" t="s">
        <v>33</v>
      </c>
      <c r="J3488" s="5">
        <v>804032</v>
      </c>
      <c r="K3488" s="3">
        <v>4921301</v>
      </c>
      <c r="L3488" s="3" t="s">
        <v>12140</v>
      </c>
      <c r="M3488" s="3" t="s">
        <v>12141</v>
      </c>
      <c r="N3488" s="3">
        <v>555</v>
      </c>
      <c r="P3488" s="3" t="s">
        <v>536</v>
      </c>
      <c r="Q3488" s="3" t="s">
        <v>437</v>
      </c>
      <c r="R3488" s="3" t="s">
        <v>53</v>
      </c>
      <c r="S3488" s="3">
        <v>91520630</v>
      </c>
      <c r="U3488" s="3" t="s">
        <v>29</v>
      </c>
    </row>
    <row r="3489" spans="1:21" ht="13.2" x14ac:dyDescent="0.25">
      <c r="A3489" s="14">
        <v>9543618000172</v>
      </c>
      <c r="B3489" s="15" t="str">
        <f t="shared" si="54"/>
        <v>09.543.618/0001-72</v>
      </c>
      <c r="C3489" s="12"/>
      <c r="D3489" s="3" t="s">
        <v>12142</v>
      </c>
      <c r="E3489" s="3" t="s">
        <v>12143</v>
      </c>
      <c r="F3489" s="3" t="s">
        <v>20</v>
      </c>
      <c r="G3489" s="4">
        <v>39541</v>
      </c>
      <c r="H3489" s="3" t="s">
        <v>21</v>
      </c>
      <c r="I3489" s="3" t="s">
        <v>33</v>
      </c>
      <c r="J3489" s="5">
        <v>800000</v>
      </c>
      <c r="K3489" s="3">
        <v>6202300</v>
      </c>
      <c r="L3489" s="3" t="s">
        <v>103</v>
      </c>
      <c r="M3489" s="3" t="s">
        <v>12144</v>
      </c>
      <c r="N3489" s="3">
        <v>393</v>
      </c>
      <c r="O3489" s="3" t="s">
        <v>12145</v>
      </c>
      <c r="P3489" s="3" t="s">
        <v>5702</v>
      </c>
      <c r="Q3489" s="3" t="s">
        <v>280</v>
      </c>
      <c r="R3489" s="3" t="s">
        <v>281</v>
      </c>
      <c r="S3489" s="3">
        <v>40010000</v>
      </c>
      <c r="T3489" s="3">
        <v>7134513467</v>
      </c>
      <c r="U3489" s="3" t="s">
        <v>29</v>
      </c>
    </row>
    <row r="3490" spans="1:21" ht="13.2" x14ac:dyDescent="0.25">
      <c r="A3490" s="14">
        <v>2410500000470</v>
      </c>
      <c r="B3490" s="15" t="str">
        <f t="shared" si="54"/>
        <v>02.410.500/0004-70</v>
      </c>
      <c r="C3490" s="12"/>
      <c r="D3490" s="3" t="s">
        <v>12146</v>
      </c>
      <c r="E3490" s="3" t="s">
        <v>12147</v>
      </c>
      <c r="F3490" s="3" t="s">
        <v>20</v>
      </c>
      <c r="G3490" s="4">
        <v>41604</v>
      </c>
      <c r="H3490" s="3" t="s">
        <v>21</v>
      </c>
      <c r="I3490" s="3" t="s">
        <v>33</v>
      </c>
      <c r="J3490" s="5">
        <v>600000</v>
      </c>
      <c r="K3490" s="3">
        <v>4663000</v>
      </c>
      <c r="L3490" s="3" t="s">
        <v>128</v>
      </c>
      <c r="M3490" s="3" t="s">
        <v>2477</v>
      </c>
      <c r="N3490" s="3">
        <v>851</v>
      </c>
      <c r="P3490" s="3" t="s">
        <v>336</v>
      </c>
      <c r="Q3490" s="3" t="s">
        <v>27</v>
      </c>
      <c r="R3490" s="3" t="s">
        <v>28</v>
      </c>
      <c r="S3490" s="3">
        <v>3186030</v>
      </c>
      <c r="T3490" s="3">
        <v>5133378477</v>
      </c>
      <c r="U3490" s="3" t="s">
        <v>29</v>
      </c>
    </row>
    <row r="3491" spans="1:21" ht="13.2" x14ac:dyDescent="0.25">
      <c r="A3491" s="14">
        <v>10528697000121</v>
      </c>
      <c r="B3491" s="15" t="str">
        <f t="shared" si="54"/>
        <v>10.528.697/0001-21</v>
      </c>
      <c r="C3491" s="12" t="str">
        <f>VLOOKUP(B3491,[1]Planilha1!$A:$B,2,0)</f>
        <v>Mariane Nascimento</v>
      </c>
      <c r="D3491" s="3" t="s">
        <v>12148</v>
      </c>
      <c r="E3491" s="3" t="s">
        <v>12149</v>
      </c>
      <c r="F3491" s="3" t="s">
        <v>20</v>
      </c>
      <c r="G3491" s="4">
        <v>39793</v>
      </c>
      <c r="H3491" s="3" t="s">
        <v>21</v>
      </c>
      <c r="I3491" s="3" t="s">
        <v>33</v>
      </c>
      <c r="J3491" s="5">
        <v>300400</v>
      </c>
      <c r="K3491" s="3">
        <v>3250701</v>
      </c>
      <c r="L3491" s="3" t="s">
        <v>2195</v>
      </c>
      <c r="M3491" s="3" t="s">
        <v>8342</v>
      </c>
      <c r="N3491" s="3" t="s">
        <v>12150</v>
      </c>
      <c r="O3491" s="3" t="s">
        <v>4295</v>
      </c>
      <c r="P3491" s="3" t="s">
        <v>12151</v>
      </c>
      <c r="Q3491" s="3" t="s">
        <v>343</v>
      </c>
      <c r="R3491" s="3" t="s">
        <v>91</v>
      </c>
      <c r="S3491" s="3">
        <v>89812111</v>
      </c>
      <c r="T3491" s="3">
        <v>4933232300</v>
      </c>
      <c r="U3491" s="3" t="s">
        <v>29</v>
      </c>
    </row>
    <row r="3492" spans="1:21" ht="13.2" x14ac:dyDescent="0.25">
      <c r="A3492" s="14">
        <v>77966687000149</v>
      </c>
      <c r="B3492" s="15" t="str">
        <f t="shared" si="54"/>
        <v>77.966.687/0001-49</v>
      </c>
      <c r="C3492" s="12"/>
      <c r="D3492" s="3" t="s">
        <v>12152</v>
      </c>
      <c r="E3492" s="3" t="s">
        <v>12153</v>
      </c>
      <c r="F3492" s="3" t="s">
        <v>20</v>
      </c>
      <c r="G3492" s="4">
        <v>28886</v>
      </c>
      <c r="H3492" s="3" t="s">
        <v>21</v>
      </c>
      <c r="I3492" s="3" t="s">
        <v>22</v>
      </c>
      <c r="J3492" s="5">
        <v>175000</v>
      </c>
      <c r="K3492" s="3">
        <v>4663000</v>
      </c>
      <c r="L3492" s="3" t="s">
        <v>128</v>
      </c>
      <c r="M3492" s="3" t="s">
        <v>12154</v>
      </c>
      <c r="N3492" s="3">
        <v>134</v>
      </c>
      <c r="O3492" s="3" t="s">
        <v>198</v>
      </c>
      <c r="P3492" s="3" t="s">
        <v>199</v>
      </c>
      <c r="Q3492" s="3" t="s">
        <v>204</v>
      </c>
      <c r="R3492" s="3" t="s">
        <v>187</v>
      </c>
      <c r="S3492" s="3">
        <v>80520020</v>
      </c>
      <c r="T3492" s="3">
        <v>4136213770</v>
      </c>
      <c r="U3492" s="3" t="s">
        <v>29</v>
      </c>
    </row>
    <row r="3493" spans="1:21" ht="13.2" x14ac:dyDescent="0.25">
      <c r="A3493" s="14">
        <v>77153260000121</v>
      </c>
      <c r="B3493" s="15" t="str">
        <f t="shared" si="54"/>
        <v>77.153.260/0001-21</v>
      </c>
      <c r="C3493" s="12" t="str">
        <f>VLOOKUP(B3493,[1]Planilha1!$A:$B,2,0)</f>
        <v>Malu Montesino</v>
      </c>
      <c r="D3493" s="3" t="s">
        <v>12155</v>
      </c>
      <c r="E3493" s="3" t="s">
        <v>12156</v>
      </c>
      <c r="F3493" s="3" t="s">
        <v>20</v>
      </c>
      <c r="G3493" s="4">
        <v>27834</v>
      </c>
      <c r="H3493" s="3" t="s">
        <v>21</v>
      </c>
      <c r="I3493" s="3" t="s">
        <v>33</v>
      </c>
      <c r="J3493" s="5">
        <v>39508656</v>
      </c>
      <c r="K3493" s="3">
        <v>4663000</v>
      </c>
      <c r="L3493" s="3" t="s">
        <v>128</v>
      </c>
      <c r="M3493" s="3" t="s">
        <v>12157</v>
      </c>
      <c r="N3493" s="3">
        <v>436</v>
      </c>
      <c r="O3493" s="3" t="s">
        <v>12158</v>
      </c>
      <c r="P3493" s="3" t="s">
        <v>1983</v>
      </c>
      <c r="Q3493" s="3" t="s">
        <v>204</v>
      </c>
      <c r="R3493" s="3" t="s">
        <v>187</v>
      </c>
      <c r="S3493" s="3">
        <v>80240230</v>
      </c>
      <c r="T3493" s="3">
        <v>1145892100</v>
      </c>
      <c r="U3493" s="3" t="s">
        <v>29</v>
      </c>
    </row>
    <row r="3494" spans="1:21" ht="13.2" x14ac:dyDescent="0.25">
      <c r="A3494" s="14">
        <v>12525361000130</v>
      </c>
      <c r="B3494" s="15" t="str">
        <f t="shared" si="54"/>
        <v>12.525.361/0001-30</v>
      </c>
      <c r="C3494" s="12" t="str">
        <f>VLOOKUP(B3494,[1]Planilha1!$A:$B,2,0)</f>
        <v>Malu Montesino</v>
      </c>
      <c r="D3494" s="3" t="s">
        <v>12159</v>
      </c>
      <c r="E3494" s="3" t="s">
        <v>12159</v>
      </c>
      <c r="F3494" s="3" t="s">
        <v>20</v>
      </c>
      <c r="G3494" s="4">
        <v>40387</v>
      </c>
      <c r="H3494" s="3" t="s">
        <v>21</v>
      </c>
      <c r="I3494" s="3" t="s">
        <v>33</v>
      </c>
      <c r="J3494" s="5">
        <v>200000000</v>
      </c>
      <c r="K3494" s="3">
        <v>2815102</v>
      </c>
      <c r="L3494" s="3" t="s">
        <v>1412</v>
      </c>
      <c r="M3494" s="3" t="s">
        <v>12160</v>
      </c>
      <c r="N3494" s="3">
        <v>500</v>
      </c>
      <c r="P3494" s="3" t="s">
        <v>12161</v>
      </c>
      <c r="Q3494" s="3" t="s">
        <v>1312</v>
      </c>
      <c r="R3494" s="3" t="s">
        <v>28</v>
      </c>
      <c r="S3494" s="3">
        <v>13312839</v>
      </c>
      <c r="T3494" s="3">
        <v>1144039247</v>
      </c>
      <c r="U3494" s="3" t="s">
        <v>29</v>
      </c>
    </row>
    <row r="3495" spans="1:21" ht="13.2" x14ac:dyDescent="0.25">
      <c r="A3495" s="14">
        <v>15796199000183</v>
      </c>
      <c r="B3495" s="15" t="str">
        <f t="shared" si="54"/>
        <v>15.796.199/0001-83</v>
      </c>
      <c r="C3495" s="12"/>
      <c r="D3495" s="3" t="s">
        <v>12162</v>
      </c>
      <c r="E3495" s="3" t="s">
        <v>12162</v>
      </c>
      <c r="F3495" s="3" t="s">
        <v>20</v>
      </c>
      <c r="G3495" s="4">
        <v>41087</v>
      </c>
      <c r="H3495" s="3" t="s">
        <v>2634</v>
      </c>
      <c r="I3495" s="3" t="s">
        <v>33</v>
      </c>
      <c r="J3495" s="5">
        <v>0</v>
      </c>
      <c r="K3495" s="3">
        <v>6462000</v>
      </c>
      <c r="L3495" s="3" t="s">
        <v>250</v>
      </c>
      <c r="M3495" s="3" t="s">
        <v>12163</v>
      </c>
      <c r="N3495" s="3" t="s">
        <v>82</v>
      </c>
      <c r="R3495" s="3" t="s">
        <v>2637</v>
      </c>
      <c r="U3495" s="3" t="s">
        <v>29</v>
      </c>
    </row>
    <row r="3496" spans="1:21" ht="13.2" x14ac:dyDescent="0.25">
      <c r="A3496" s="14">
        <v>42892600000151</v>
      </c>
      <c r="B3496" s="15" t="str">
        <f t="shared" si="54"/>
        <v>42.892.600/0001-51</v>
      </c>
      <c r="C3496" s="12"/>
      <c r="D3496" s="3" t="s">
        <v>12164</v>
      </c>
      <c r="E3496" s="3" t="s">
        <v>12165</v>
      </c>
      <c r="F3496" s="3" t="s">
        <v>20</v>
      </c>
      <c r="G3496" s="4">
        <v>44405</v>
      </c>
      <c r="H3496" s="3" t="s">
        <v>21</v>
      </c>
      <c r="I3496" s="3" t="s">
        <v>47</v>
      </c>
      <c r="J3496" s="5">
        <v>10000</v>
      </c>
      <c r="K3496" s="3">
        <v>4754701</v>
      </c>
      <c r="L3496" s="3" t="s">
        <v>2125</v>
      </c>
      <c r="M3496" s="3" t="s">
        <v>6672</v>
      </c>
      <c r="N3496" s="3">
        <v>394</v>
      </c>
      <c r="O3496" s="3" t="s">
        <v>12166</v>
      </c>
      <c r="P3496" s="3" t="s">
        <v>6672</v>
      </c>
      <c r="Q3496" s="3" t="s">
        <v>27</v>
      </c>
      <c r="R3496" s="3" t="s">
        <v>28</v>
      </c>
      <c r="S3496" s="3">
        <v>2520000</v>
      </c>
      <c r="T3496" s="3">
        <v>1126470660</v>
      </c>
      <c r="U3496" s="3" t="s">
        <v>29</v>
      </c>
    </row>
    <row r="3497" spans="1:21" ht="13.2" x14ac:dyDescent="0.25">
      <c r="A3497" s="14">
        <v>5035244000123</v>
      </c>
      <c r="B3497" s="15" t="str">
        <f t="shared" si="54"/>
        <v>05.035.244/0001-23</v>
      </c>
      <c r="C3497" s="12"/>
      <c r="D3497" s="3" t="s">
        <v>12167</v>
      </c>
      <c r="E3497" s="3" t="s">
        <v>12168</v>
      </c>
      <c r="F3497" s="3" t="s">
        <v>20</v>
      </c>
      <c r="G3497" s="4">
        <v>37371</v>
      </c>
      <c r="H3497" s="3" t="s">
        <v>21</v>
      </c>
      <c r="I3497" s="3" t="s">
        <v>33</v>
      </c>
      <c r="J3497" s="5">
        <v>5573482</v>
      </c>
      <c r="K3497" s="3">
        <v>4644301</v>
      </c>
      <c r="L3497" s="3" t="s">
        <v>326</v>
      </c>
      <c r="M3497" s="3" t="s">
        <v>12169</v>
      </c>
      <c r="N3497" s="3" t="s">
        <v>82</v>
      </c>
      <c r="O3497" s="3" t="s">
        <v>12170</v>
      </c>
      <c r="P3497" s="3" t="s">
        <v>12171</v>
      </c>
      <c r="Q3497" s="3" t="s">
        <v>273</v>
      </c>
      <c r="R3497" s="3" t="s">
        <v>274</v>
      </c>
      <c r="S3497" s="3">
        <v>74686100</v>
      </c>
      <c r="T3497" s="3">
        <v>6232052290</v>
      </c>
      <c r="U3497" s="3" t="s">
        <v>29</v>
      </c>
    </row>
    <row r="3498" spans="1:21" ht="13.2" x14ac:dyDescent="0.25">
      <c r="A3498" s="14">
        <v>29103672000104</v>
      </c>
      <c r="B3498" s="15" t="str">
        <f t="shared" si="54"/>
        <v>29.103.672/0001-04</v>
      </c>
      <c r="C3498" s="12"/>
      <c r="D3498" s="3" t="s">
        <v>12172</v>
      </c>
      <c r="E3498" s="3" t="s">
        <v>12172</v>
      </c>
      <c r="F3498" s="3" t="s">
        <v>20</v>
      </c>
      <c r="G3498" s="4">
        <v>43032</v>
      </c>
      <c r="H3498" s="3" t="s">
        <v>21</v>
      </c>
      <c r="I3498" s="3" t="s">
        <v>33</v>
      </c>
      <c r="J3498" s="5">
        <v>80035290</v>
      </c>
      <c r="K3498" s="3">
        <v>3511501</v>
      </c>
      <c r="L3498" s="3" t="s">
        <v>1917</v>
      </c>
      <c r="M3498" s="3" t="s">
        <v>308</v>
      </c>
      <c r="N3498" s="3">
        <v>14171</v>
      </c>
      <c r="O3498" s="3" t="s">
        <v>12173</v>
      </c>
      <c r="P3498" s="3" t="s">
        <v>310</v>
      </c>
      <c r="Q3498" s="3" t="s">
        <v>27</v>
      </c>
      <c r="R3498" s="3" t="s">
        <v>28</v>
      </c>
      <c r="S3498" s="3">
        <v>4794000</v>
      </c>
      <c r="T3498" s="3">
        <v>1126407093</v>
      </c>
      <c r="U3498" s="3" t="s">
        <v>29</v>
      </c>
    </row>
    <row r="3499" spans="1:21" ht="13.2" x14ac:dyDescent="0.25">
      <c r="A3499" s="14">
        <v>27252799000160</v>
      </c>
      <c r="B3499" s="15" t="str">
        <f t="shared" si="54"/>
        <v>27.252.799/0001-60</v>
      </c>
      <c r="C3499" s="12"/>
      <c r="D3499" s="3" t="s">
        <v>12174</v>
      </c>
      <c r="E3499" s="3" t="s">
        <v>12175</v>
      </c>
      <c r="F3499" s="3" t="s">
        <v>20</v>
      </c>
      <c r="G3499" s="4">
        <v>42802</v>
      </c>
      <c r="H3499" s="3" t="s">
        <v>21</v>
      </c>
      <c r="I3499" s="3" t="s">
        <v>22</v>
      </c>
      <c r="J3499" s="5">
        <v>340000</v>
      </c>
      <c r="K3499" s="3">
        <v>7112000</v>
      </c>
      <c r="L3499" s="3" t="s">
        <v>276</v>
      </c>
      <c r="M3499" s="3" t="s">
        <v>12176</v>
      </c>
      <c r="N3499" s="3">
        <v>1492</v>
      </c>
      <c r="O3499" s="3" t="s">
        <v>117</v>
      </c>
      <c r="P3499" s="3" t="s">
        <v>352</v>
      </c>
      <c r="Q3499" s="3" t="s">
        <v>27</v>
      </c>
      <c r="R3499" s="3" t="s">
        <v>28</v>
      </c>
      <c r="S3499" s="3">
        <v>3318000</v>
      </c>
      <c r="T3499" s="3">
        <v>1131721990</v>
      </c>
      <c r="U3499" s="3" t="s">
        <v>29</v>
      </c>
    </row>
    <row r="3500" spans="1:21" ht="13.2" x14ac:dyDescent="0.25">
      <c r="A3500" s="14">
        <v>3358698000100</v>
      </c>
      <c r="B3500" s="15" t="str">
        <f t="shared" si="54"/>
        <v>03.358.698/0001-00</v>
      </c>
      <c r="C3500" s="12"/>
      <c r="D3500" s="3" t="s">
        <v>12177</v>
      </c>
      <c r="E3500" s="3" t="s">
        <v>12178</v>
      </c>
      <c r="F3500" s="3" t="s">
        <v>20</v>
      </c>
      <c r="G3500" s="4">
        <v>36396</v>
      </c>
      <c r="H3500" s="3" t="s">
        <v>94</v>
      </c>
      <c r="I3500" s="3" t="s">
        <v>33</v>
      </c>
      <c r="J3500" s="5">
        <v>13736254</v>
      </c>
      <c r="K3500" s="3">
        <v>7020400</v>
      </c>
      <c r="L3500" s="3" t="s">
        <v>170</v>
      </c>
      <c r="M3500" s="3" t="s">
        <v>5306</v>
      </c>
      <c r="N3500" s="3">
        <v>1830</v>
      </c>
      <c r="O3500" s="3" t="s">
        <v>12179</v>
      </c>
      <c r="P3500" s="3" t="s">
        <v>1049</v>
      </c>
      <c r="Q3500" s="3" t="s">
        <v>27</v>
      </c>
      <c r="R3500" s="3" t="s">
        <v>28</v>
      </c>
      <c r="S3500" s="3">
        <v>4543000</v>
      </c>
      <c r="T3500" s="3">
        <v>1130801900</v>
      </c>
      <c r="U3500" s="3" t="s">
        <v>29</v>
      </c>
    </row>
    <row r="3501" spans="1:21" ht="13.2" x14ac:dyDescent="0.25">
      <c r="A3501" s="14">
        <v>22855156000197</v>
      </c>
      <c r="B3501" s="15" t="str">
        <f t="shared" si="54"/>
        <v>22.855.156/0001-97</v>
      </c>
      <c r="C3501" s="12"/>
      <c r="D3501" s="3" t="s">
        <v>12180</v>
      </c>
      <c r="E3501" s="3" t="s">
        <v>12181</v>
      </c>
      <c r="F3501" s="3" t="s">
        <v>31</v>
      </c>
      <c r="G3501" s="4">
        <v>42199</v>
      </c>
      <c r="H3501" s="3" t="s">
        <v>21</v>
      </c>
      <c r="I3501" s="3" t="s">
        <v>47</v>
      </c>
      <c r="J3501" s="5">
        <v>5000000</v>
      </c>
      <c r="K3501" s="3">
        <v>4617600</v>
      </c>
      <c r="L3501" s="3" t="s">
        <v>4593</v>
      </c>
      <c r="M3501" s="3" t="s">
        <v>3950</v>
      </c>
      <c r="N3501" s="3" t="s">
        <v>82</v>
      </c>
      <c r="O3501" s="3" t="s">
        <v>12182</v>
      </c>
      <c r="P3501" s="3" t="s">
        <v>12183</v>
      </c>
      <c r="Q3501" s="3" t="s">
        <v>4605</v>
      </c>
      <c r="R3501" s="3" t="s">
        <v>274</v>
      </c>
      <c r="S3501" s="3">
        <v>72850705</v>
      </c>
      <c r="T3501" s="3">
        <v>6136152000</v>
      </c>
      <c r="U3501" s="3" t="s">
        <v>29</v>
      </c>
    </row>
    <row r="3502" spans="1:21" ht="13.2" x14ac:dyDescent="0.25">
      <c r="A3502" s="14">
        <v>11320576000152</v>
      </c>
      <c r="B3502" s="15" t="str">
        <f t="shared" si="54"/>
        <v>11.320.576/0001-52</v>
      </c>
      <c r="C3502" s="12"/>
      <c r="D3502" s="3" t="s">
        <v>12184</v>
      </c>
      <c r="E3502" s="3" t="s">
        <v>4181</v>
      </c>
      <c r="F3502" s="3" t="s">
        <v>20</v>
      </c>
      <c r="G3502" s="4">
        <v>40129</v>
      </c>
      <c r="H3502" s="3" t="s">
        <v>21</v>
      </c>
      <c r="I3502" s="3" t="s">
        <v>22</v>
      </c>
      <c r="J3502" s="5">
        <v>1500000</v>
      </c>
      <c r="K3502" s="3">
        <v>8599604</v>
      </c>
      <c r="L3502" s="3" t="s">
        <v>55</v>
      </c>
      <c r="M3502" s="3" t="s">
        <v>12185</v>
      </c>
      <c r="N3502" s="3">
        <v>1</v>
      </c>
      <c r="O3502" s="3" t="s">
        <v>12186</v>
      </c>
      <c r="P3502" s="3" t="s">
        <v>3930</v>
      </c>
      <c r="Q3502" s="3" t="s">
        <v>631</v>
      </c>
      <c r="R3502" s="3" t="s">
        <v>632</v>
      </c>
      <c r="S3502" s="3">
        <v>72020016</v>
      </c>
      <c r="T3502" s="3">
        <v>2730224150</v>
      </c>
      <c r="U3502" s="3" t="s">
        <v>29</v>
      </c>
    </row>
    <row r="3503" spans="1:21" ht="13.2" x14ac:dyDescent="0.25">
      <c r="A3503" s="14">
        <v>10241516000181</v>
      </c>
      <c r="B3503" s="15" t="str">
        <f t="shared" si="54"/>
        <v>10.241.516/0001-81</v>
      </c>
      <c r="C3503" s="12"/>
      <c r="D3503" s="3" t="s">
        <v>12187</v>
      </c>
      <c r="E3503" s="3" t="s">
        <v>12188</v>
      </c>
      <c r="F3503" s="3" t="s">
        <v>20</v>
      </c>
      <c r="G3503" s="4">
        <v>39653</v>
      </c>
      <c r="H3503" s="3" t="s">
        <v>21</v>
      </c>
      <c r="I3503" s="3" t="s">
        <v>33</v>
      </c>
      <c r="J3503" s="5">
        <v>2507500</v>
      </c>
      <c r="K3503" s="3">
        <v>4642702</v>
      </c>
      <c r="L3503" s="3" t="s">
        <v>1139</v>
      </c>
      <c r="M3503" s="3" t="s">
        <v>1289</v>
      </c>
      <c r="N3503" s="3">
        <v>1582</v>
      </c>
      <c r="P3503" s="3" t="s">
        <v>6013</v>
      </c>
      <c r="Q3503" s="3" t="s">
        <v>1317</v>
      </c>
      <c r="R3503" s="3" t="s">
        <v>187</v>
      </c>
      <c r="S3503" s="3">
        <v>83325212</v>
      </c>
      <c r="T3503" s="3">
        <v>4131329999</v>
      </c>
      <c r="U3503" s="3" t="s">
        <v>29</v>
      </c>
    </row>
    <row r="3504" spans="1:21" ht="13.2" x14ac:dyDescent="0.25">
      <c r="A3504" s="14">
        <v>43312503000105</v>
      </c>
      <c r="B3504" s="15" t="str">
        <f t="shared" si="54"/>
        <v>43.312.503/0001-05</v>
      </c>
      <c r="C3504" s="12"/>
      <c r="D3504" s="3" t="s">
        <v>12189</v>
      </c>
      <c r="E3504" s="3" t="s">
        <v>12189</v>
      </c>
      <c r="F3504" s="3" t="s">
        <v>20</v>
      </c>
      <c r="G3504" s="4">
        <v>26472</v>
      </c>
      <c r="H3504" s="3" t="s">
        <v>94</v>
      </c>
      <c r="I3504" s="3" t="s">
        <v>33</v>
      </c>
      <c r="J3504" s="5">
        <v>13655164</v>
      </c>
      <c r="K3504" s="3">
        <v>2121101</v>
      </c>
      <c r="L3504" s="3" t="s">
        <v>233</v>
      </c>
      <c r="M3504" s="3" t="s">
        <v>308</v>
      </c>
      <c r="N3504" s="3">
        <v>22532</v>
      </c>
      <c r="O3504" s="3" t="s">
        <v>7473</v>
      </c>
      <c r="P3504" s="3" t="s">
        <v>1418</v>
      </c>
      <c r="Q3504" s="3" t="s">
        <v>27</v>
      </c>
      <c r="R3504" s="3" t="s">
        <v>28</v>
      </c>
      <c r="S3504" s="3">
        <v>4795000</v>
      </c>
      <c r="T3504" s="3">
        <v>1150908765</v>
      </c>
      <c r="U3504" s="3" t="s">
        <v>29</v>
      </c>
    </row>
    <row r="3505" spans="1:21" ht="13.2" x14ac:dyDescent="0.25">
      <c r="A3505" s="14">
        <v>39003322000120</v>
      </c>
      <c r="B3505" s="15" t="str">
        <f t="shared" si="54"/>
        <v>39.003.322/0001-20</v>
      </c>
      <c r="C3505" s="12"/>
      <c r="D3505" s="3" t="s">
        <v>12190</v>
      </c>
      <c r="E3505" s="3" t="s">
        <v>12190</v>
      </c>
      <c r="F3505" s="3" t="s">
        <v>20</v>
      </c>
      <c r="G3505" s="4">
        <v>33052</v>
      </c>
      <c r="H3505" s="3" t="s">
        <v>21</v>
      </c>
      <c r="I3505" s="3" t="s">
        <v>33</v>
      </c>
      <c r="J3505" s="5">
        <v>30000</v>
      </c>
      <c r="K3505" s="3">
        <v>2330305</v>
      </c>
      <c r="L3505" s="3" t="s">
        <v>1344</v>
      </c>
      <c r="M3505" s="3" t="s">
        <v>12191</v>
      </c>
      <c r="N3505" s="3">
        <v>1205</v>
      </c>
      <c r="P3505" s="3" t="s">
        <v>12192</v>
      </c>
      <c r="Q3505" s="3" t="s">
        <v>1023</v>
      </c>
      <c r="R3505" s="3" t="s">
        <v>28</v>
      </c>
      <c r="S3505" s="3">
        <v>18400100</v>
      </c>
      <c r="T3505" s="3">
        <v>1535222476</v>
      </c>
      <c r="U3505" s="3" t="s">
        <v>29</v>
      </c>
    </row>
    <row r="3506" spans="1:21" ht="13.2" x14ac:dyDescent="0.25">
      <c r="A3506" s="14">
        <v>42712343000129</v>
      </c>
      <c r="B3506" s="15" t="str">
        <f t="shared" si="54"/>
        <v>42.712.343/0001-29</v>
      </c>
      <c r="C3506" s="12"/>
      <c r="D3506" s="3" t="s">
        <v>12193</v>
      </c>
      <c r="E3506" s="3" t="s">
        <v>12194</v>
      </c>
      <c r="F3506" s="3" t="s">
        <v>45</v>
      </c>
      <c r="G3506" s="4">
        <v>44391</v>
      </c>
      <c r="H3506" s="3" t="s">
        <v>21</v>
      </c>
      <c r="I3506" s="3" t="s">
        <v>22</v>
      </c>
      <c r="J3506" s="5">
        <v>10000</v>
      </c>
      <c r="K3506" s="3">
        <v>4645101</v>
      </c>
      <c r="L3506" s="3" t="s">
        <v>135</v>
      </c>
      <c r="M3506" s="3" t="s">
        <v>3586</v>
      </c>
      <c r="N3506" s="3">
        <v>7796</v>
      </c>
      <c r="O3506" s="3" t="s">
        <v>12195</v>
      </c>
      <c r="P3506" s="3" t="s">
        <v>153</v>
      </c>
      <c r="Q3506" s="3" t="s">
        <v>423</v>
      </c>
      <c r="R3506" s="3" t="s">
        <v>91</v>
      </c>
      <c r="S3506" s="3">
        <v>89219600</v>
      </c>
      <c r="T3506" s="3">
        <v>1169125255</v>
      </c>
      <c r="U3506" s="3" t="s">
        <v>29</v>
      </c>
    </row>
    <row r="3507" spans="1:21" ht="13.2" x14ac:dyDescent="0.25">
      <c r="A3507" s="14">
        <v>5034914000197</v>
      </c>
      <c r="B3507" s="15" t="str">
        <f t="shared" si="54"/>
        <v>05.034.914/0001-97</v>
      </c>
      <c r="C3507" s="12"/>
      <c r="D3507" s="3" t="s">
        <v>12196</v>
      </c>
      <c r="E3507" s="3" t="s">
        <v>12197</v>
      </c>
      <c r="F3507" s="3" t="s">
        <v>20</v>
      </c>
      <c r="G3507" s="4">
        <v>37371</v>
      </c>
      <c r="H3507" s="3" t="s">
        <v>21</v>
      </c>
      <c r="I3507" s="3" t="s">
        <v>33</v>
      </c>
      <c r="J3507" s="5">
        <v>100000</v>
      </c>
      <c r="K3507" s="3">
        <v>2219600</v>
      </c>
      <c r="L3507" s="3" t="s">
        <v>613</v>
      </c>
      <c r="M3507" s="3" t="s">
        <v>1130</v>
      </c>
      <c r="N3507" s="3">
        <v>100</v>
      </c>
      <c r="O3507" s="3" t="s">
        <v>6790</v>
      </c>
      <c r="P3507" s="3" t="s">
        <v>487</v>
      </c>
      <c r="Q3507" s="3" t="s">
        <v>488</v>
      </c>
      <c r="R3507" s="3" t="s">
        <v>28</v>
      </c>
      <c r="S3507" s="3">
        <v>13288163</v>
      </c>
      <c r="T3507" s="3">
        <v>1938564100</v>
      </c>
      <c r="U3507" s="3" t="s">
        <v>29</v>
      </c>
    </row>
    <row r="3508" spans="1:21" ht="13.2" x14ac:dyDescent="0.25">
      <c r="A3508" s="14">
        <v>19791896000100</v>
      </c>
      <c r="B3508" s="15" t="str">
        <f t="shared" si="54"/>
        <v>19.791.896/0001-00</v>
      </c>
      <c r="C3508" s="12" t="str">
        <f>VLOOKUP(B3508,[1]Planilha1!$A:$B,2,0)</f>
        <v>Vanessa</v>
      </c>
      <c r="D3508" s="3" t="s">
        <v>12198</v>
      </c>
      <c r="E3508" s="3" t="s">
        <v>12198</v>
      </c>
      <c r="F3508" s="3" t="s">
        <v>20</v>
      </c>
      <c r="G3508" s="4">
        <v>24363</v>
      </c>
      <c r="H3508" s="3" t="s">
        <v>21</v>
      </c>
      <c r="I3508" s="3" t="s">
        <v>33</v>
      </c>
      <c r="J3508" s="5">
        <v>485766240</v>
      </c>
      <c r="K3508" s="3">
        <v>4682600</v>
      </c>
      <c r="L3508" s="3" t="s">
        <v>1219</v>
      </c>
      <c r="M3508" s="3" t="s">
        <v>12199</v>
      </c>
      <c r="N3508" s="3" t="s">
        <v>12200</v>
      </c>
      <c r="O3508" s="3" t="s">
        <v>12201</v>
      </c>
      <c r="P3508" s="3" t="s">
        <v>4015</v>
      </c>
      <c r="Q3508" s="3" t="s">
        <v>12101</v>
      </c>
      <c r="R3508" s="3" t="s">
        <v>100</v>
      </c>
      <c r="S3508" s="3">
        <v>32684298</v>
      </c>
      <c r="T3508" s="3">
        <v>2139745151</v>
      </c>
      <c r="U3508" s="3" t="s">
        <v>29</v>
      </c>
    </row>
    <row r="3509" spans="1:21" ht="13.2" x14ac:dyDescent="0.25">
      <c r="A3509" s="14">
        <v>45561404000192</v>
      </c>
      <c r="B3509" s="15" t="str">
        <f t="shared" si="54"/>
        <v>45.561.404/0001-92</v>
      </c>
      <c r="C3509" s="12"/>
      <c r="D3509" s="3" t="s">
        <v>12202</v>
      </c>
      <c r="E3509" s="3" t="s">
        <v>12202</v>
      </c>
      <c r="F3509" s="3" t="s">
        <v>20</v>
      </c>
      <c r="G3509" s="4">
        <v>27292</v>
      </c>
      <c r="H3509" s="3" t="s">
        <v>21</v>
      </c>
      <c r="I3509" s="3" t="s">
        <v>33</v>
      </c>
      <c r="J3509" s="5">
        <v>18729576</v>
      </c>
      <c r="K3509" s="3">
        <v>2822402</v>
      </c>
      <c r="L3509" s="3" t="s">
        <v>4317</v>
      </c>
      <c r="M3509" s="3" t="s">
        <v>12203</v>
      </c>
      <c r="N3509" s="3">
        <v>286</v>
      </c>
      <c r="P3509" s="3" t="s">
        <v>12204</v>
      </c>
      <c r="Q3509" s="3" t="s">
        <v>12205</v>
      </c>
      <c r="R3509" s="3" t="s">
        <v>28</v>
      </c>
      <c r="S3509" s="3">
        <v>13370400</v>
      </c>
      <c r="T3509" s="3">
        <v>1934967772</v>
      </c>
      <c r="U3509" s="3" t="s">
        <v>29</v>
      </c>
    </row>
    <row r="3510" spans="1:21" ht="13.2" x14ac:dyDescent="0.25">
      <c r="A3510" s="14">
        <v>11206099000522</v>
      </c>
      <c r="B3510" s="15" t="str">
        <f t="shared" si="54"/>
        <v>11.206.099/0005-22</v>
      </c>
      <c r="C3510" s="12" t="str">
        <f>VLOOKUP(B3510,[1]Planilha1!$A:$B,2,0)</f>
        <v>Mariane Nascimento</v>
      </c>
      <c r="D3510" s="3" t="s">
        <v>12206</v>
      </c>
      <c r="E3510" s="3" t="s">
        <v>12207</v>
      </c>
      <c r="F3510" s="3" t="s">
        <v>20</v>
      </c>
      <c r="G3510" s="4">
        <v>43349</v>
      </c>
      <c r="H3510" s="3" t="s">
        <v>21</v>
      </c>
      <c r="I3510" s="3" t="s">
        <v>33</v>
      </c>
      <c r="J3510" s="5">
        <v>28850000</v>
      </c>
      <c r="K3510" s="3">
        <v>4644301</v>
      </c>
      <c r="L3510" s="3" t="s">
        <v>326</v>
      </c>
      <c r="M3510" s="3" t="s">
        <v>12208</v>
      </c>
      <c r="N3510" s="3">
        <v>2937</v>
      </c>
      <c r="O3510" s="3" t="s">
        <v>12209</v>
      </c>
      <c r="P3510" s="3" t="s">
        <v>901</v>
      </c>
      <c r="Q3510" s="3" t="s">
        <v>27</v>
      </c>
      <c r="R3510" s="3" t="s">
        <v>28</v>
      </c>
      <c r="S3510" s="3">
        <v>4309011</v>
      </c>
      <c r="T3510" s="3">
        <v>1134411703</v>
      </c>
      <c r="U3510" s="3" t="s">
        <v>29</v>
      </c>
    </row>
    <row r="3511" spans="1:21" ht="13.2" x14ac:dyDescent="0.25">
      <c r="A3511" s="14">
        <v>6065614000138</v>
      </c>
      <c r="B3511" s="15" t="str">
        <f t="shared" si="54"/>
        <v>06.065.614/0001-38</v>
      </c>
      <c r="C3511" s="12" t="str">
        <f>VLOOKUP(B3511,[1]Planilha1!$A:$B,2,0)</f>
        <v>Mariane Nascimento</v>
      </c>
      <c r="D3511" s="3" t="s">
        <v>12210</v>
      </c>
      <c r="E3511" s="3" t="s">
        <v>12211</v>
      </c>
      <c r="F3511" s="3" t="s">
        <v>20</v>
      </c>
      <c r="G3511" s="4">
        <v>38001</v>
      </c>
      <c r="H3511" s="3" t="s">
        <v>21</v>
      </c>
      <c r="I3511" s="3" t="s">
        <v>33</v>
      </c>
      <c r="J3511" s="5">
        <v>700000</v>
      </c>
      <c r="K3511" s="3">
        <v>4644301</v>
      </c>
      <c r="L3511" s="3" t="s">
        <v>326</v>
      </c>
      <c r="M3511" s="3" t="s">
        <v>12212</v>
      </c>
      <c r="N3511" s="3">
        <v>686</v>
      </c>
      <c r="O3511" s="3" t="s">
        <v>12213</v>
      </c>
      <c r="P3511" s="3" t="s">
        <v>12214</v>
      </c>
      <c r="Q3511" s="3" t="s">
        <v>273</v>
      </c>
      <c r="R3511" s="3" t="s">
        <v>274</v>
      </c>
      <c r="S3511" s="3">
        <v>74255140</v>
      </c>
      <c r="T3511" s="3">
        <v>6239288989</v>
      </c>
      <c r="U3511" s="3" t="s">
        <v>29</v>
      </c>
    </row>
    <row r="3512" spans="1:21" ht="13.2" x14ac:dyDescent="0.25">
      <c r="A3512" s="14">
        <v>67803726001024</v>
      </c>
      <c r="B3512" s="15" t="str">
        <f t="shared" si="54"/>
        <v>67.803.726/0010-24</v>
      </c>
      <c r="C3512" s="12"/>
      <c r="D3512" s="3" t="s">
        <v>12215</v>
      </c>
      <c r="E3512" s="3" t="s">
        <v>12215</v>
      </c>
      <c r="F3512" s="3" t="s">
        <v>45</v>
      </c>
      <c r="G3512" s="4">
        <v>40522</v>
      </c>
      <c r="H3512" s="3" t="s">
        <v>21</v>
      </c>
      <c r="I3512" s="3" t="s">
        <v>33</v>
      </c>
      <c r="J3512" s="5">
        <v>10000000</v>
      </c>
      <c r="K3512" s="3">
        <v>8011101</v>
      </c>
      <c r="L3512" s="3" t="s">
        <v>943</v>
      </c>
      <c r="M3512" s="3" t="s">
        <v>12216</v>
      </c>
      <c r="N3512" s="3">
        <v>2011</v>
      </c>
      <c r="P3512" s="3" t="s">
        <v>12217</v>
      </c>
      <c r="Q3512" s="3" t="s">
        <v>1141</v>
      </c>
      <c r="R3512" s="3" t="s">
        <v>1142</v>
      </c>
      <c r="S3512" s="3">
        <v>79010220</v>
      </c>
      <c r="T3512" s="3">
        <v>1133509966</v>
      </c>
      <c r="U3512" s="3" t="s">
        <v>29</v>
      </c>
    </row>
    <row r="3513" spans="1:21" ht="13.2" x14ac:dyDescent="0.25">
      <c r="A3513" s="14">
        <v>18809570000192</v>
      </c>
      <c r="B3513" s="15" t="str">
        <f t="shared" si="54"/>
        <v>18.809.570/0001-92</v>
      </c>
      <c r="C3513" s="12" t="str">
        <f>VLOOKUP(B3513,[1]Planilha1!$A:$B,2,0)</f>
        <v>Mariane Nascimento</v>
      </c>
      <c r="D3513" s="3" t="s">
        <v>12218</v>
      </c>
      <c r="E3513" s="3" t="s">
        <v>12219</v>
      </c>
      <c r="F3513" s="3" t="s">
        <v>20</v>
      </c>
      <c r="G3513" s="4">
        <v>41520</v>
      </c>
      <c r="H3513" s="3" t="s">
        <v>21</v>
      </c>
      <c r="I3513" s="3" t="s">
        <v>33</v>
      </c>
      <c r="J3513" s="5">
        <v>1000000</v>
      </c>
      <c r="K3513" s="3">
        <v>4645101</v>
      </c>
      <c r="L3513" s="3" t="s">
        <v>135</v>
      </c>
      <c r="M3513" s="3" t="s">
        <v>12220</v>
      </c>
      <c r="N3513" s="3">
        <v>80</v>
      </c>
      <c r="O3513" s="3" t="s">
        <v>12221</v>
      </c>
      <c r="P3513" s="3" t="s">
        <v>252</v>
      </c>
      <c r="Q3513" s="3" t="s">
        <v>253</v>
      </c>
      <c r="R3513" s="3" t="s">
        <v>78</v>
      </c>
      <c r="S3513" s="3">
        <v>22793074</v>
      </c>
      <c r="T3513" s="3">
        <v>2124333930</v>
      </c>
      <c r="U3513" s="3" t="s">
        <v>29</v>
      </c>
    </row>
    <row r="3514" spans="1:21" ht="13.2" x14ac:dyDescent="0.25">
      <c r="A3514" s="14">
        <v>1107391000100</v>
      </c>
      <c r="B3514" s="15" t="str">
        <f t="shared" si="54"/>
        <v>01.107.391/0001-00</v>
      </c>
      <c r="C3514" s="12"/>
      <c r="D3514" s="3" t="s">
        <v>12222</v>
      </c>
      <c r="E3514" s="3" t="s">
        <v>12222</v>
      </c>
      <c r="F3514" s="3" t="s">
        <v>20</v>
      </c>
      <c r="G3514" s="4">
        <v>35143</v>
      </c>
      <c r="H3514" s="3" t="s">
        <v>21</v>
      </c>
      <c r="I3514" s="3" t="s">
        <v>33</v>
      </c>
      <c r="J3514" s="5">
        <v>164986690</v>
      </c>
      <c r="K3514" s="3">
        <v>4639701</v>
      </c>
      <c r="L3514" s="3" t="s">
        <v>3611</v>
      </c>
      <c r="M3514" s="3" t="s">
        <v>246</v>
      </c>
      <c r="N3514" s="3">
        <v>2300</v>
      </c>
      <c r="O3514" s="3" t="s">
        <v>12223</v>
      </c>
      <c r="P3514" s="3" t="s">
        <v>296</v>
      </c>
      <c r="Q3514" s="3" t="s">
        <v>27</v>
      </c>
      <c r="R3514" s="3" t="s">
        <v>28</v>
      </c>
      <c r="S3514" s="3">
        <v>1310300</v>
      </c>
      <c r="T3514" s="3">
        <v>1131051598</v>
      </c>
      <c r="U3514" s="3" t="s">
        <v>29</v>
      </c>
    </row>
    <row r="3515" spans="1:21" ht="13.2" x14ac:dyDescent="0.25">
      <c r="A3515" s="14">
        <v>7260050000157</v>
      </c>
      <c r="B3515" s="15" t="str">
        <f t="shared" si="54"/>
        <v>07.260.050/0001-57</v>
      </c>
      <c r="C3515" s="12"/>
      <c r="D3515" s="3" t="s">
        <v>12224</v>
      </c>
      <c r="E3515" s="3" t="s">
        <v>12224</v>
      </c>
      <c r="F3515" s="3" t="s">
        <v>20</v>
      </c>
      <c r="G3515" s="4">
        <v>38401</v>
      </c>
      <c r="H3515" s="3" t="s">
        <v>21</v>
      </c>
      <c r="I3515" s="3" t="s">
        <v>33</v>
      </c>
      <c r="J3515" s="5">
        <v>200000</v>
      </c>
      <c r="K3515" s="3">
        <v>4645101</v>
      </c>
      <c r="L3515" s="3" t="s">
        <v>135</v>
      </c>
      <c r="M3515" s="3" t="s">
        <v>3391</v>
      </c>
      <c r="N3515" s="3">
        <v>1265</v>
      </c>
      <c r="O3515" s="3" t="s">
        <v>10971</v>
      </c>
      <c r="P3515" s="3" t="s">
        <v>6265</v>
      </c>
      <c r="Q3515" s="3" t="s">
        <v>524</v>
      </c>
      <c r="R3515" s="3" t="s">
        <v>28</v>
      </c>
      <c r="S3515" s="3">
        <v>14020273</v>
      </c>
      <c r="T3515" s="3">
        <v>1655054040</v>
      </c>
      <c r="U3515" s="3" t="s">
        <v>29</v>
      </c>
    </row>
    <row r="3516" spans="1:21" ht="13.2" x14ac:dyDescent="0.25">
      <c r="A3516" s="14">
        <v>62145453000163</v>
      </c>
      <c r="B3516" s="15" t="str">
        <f t="shared" si="54"/>
        <v>62.145.453/0001-63</v>
      </c>
      <c r="C3516" s="12"/>
      <c r="D3516" s="3" t="s">
        <v>12225</v>
      </c>
      <c r="E3516" s="3" t="s">
        <v>12225</v>
      </c>
      <c r="F3516" s="3" t="s">
        <v>20</v>
      </c>
      <c r="G3516" s="4">
        <v>32885</v>
      </c>
      <c r="H3516" s="3" t="s">
        <v>21</v>
      </c>
      <c r="I3516" s="3" t="s">
        <v>33</v>
      </c>
      <c r="J3516" s="5">
        <v>25648000</v>
      </c>
      <c r="K3516" s="3">
        <v>4693100</v>
      </c>
      <c r="L3516" s="3" t="s">
        <v>238</v>
      </c>
      <c r="M3516" s="3" t="s">
        <v>81</v>
      </c>
      <c r="N3516" s="3" t="s">
        <v>82</v>
      </c>
      <c r="O3516" s="3" t="s">
        <v>12226</v>
      </c>
      <c r="P3516" s="3" t="s">
        <v>1029</v>
      </c>
      <c r="Q3516" s="3" t="s">
        <v>524</v>
      </c>
      <c r="R3516" s="3" t="s">
        <v>28</v>
      </c>
      <c r="S3516" s="3">
        <v>14097140</v>
      </c>
      <c r="T3516" s="3">
        <v>1621026500</v>
      </c>
      <c r="U3516" s="3" t="s">
        <v>29</v>
      </c>
    </row>
    <row r="3517" spans="1:21" ht="13.2" x14ac:dyDescent="0.25">
      <c r="A3517" s="14">
        <v>10226301000191</v>
      </c>
      <c r="B3517" s="15" t="str">
        <f t="shared" si="54"/>
        <v>10.226.301/0001-91</v>
      </c>
      <c r="C3517" s="12"/>
      <c r="D3517" s="3" t="s">
        <v>12227</v>
      </c>
      <c r="E3517" s="3" t="s">
        <v>12227</v>
      </c>
      <c r="F3517" s="3" t="s">
        <v>20</v>
      </c>
      <c r="G3517" s="4">
        <v>39640</v>
      </c>
      <c r="H3517" s="3" t="s">
        <v>21</v>
      </c>
      <c r="I3517" s="3" t="s">
        <v>33</v>
      </c>
      <c r="J3517" s="5">
        <v>11711459</v>
      </c>
      <c r="K3517" s="3">
        <v>4645101</v>
      </c>
      <c r="L3517" s="3" t="s">
        <v>135</v>
      </c>
      <c r="M3517" s="3" t="s">
        <v>12228</v>
      </c>
      <c r="N3517" s="3">
        <v>1817</v>
      </c>
      <c r="O3517" s="3" t="s">
        <v>12229</v>
      </c>
      <c r="P3517" s="3" t="s">
        <v>7583</v>
      </c>
      <c r="Q3517" s="3" t="s">
        <v>437</v>
      </c>
      <c r="R3517" s="3" t="s">
        <v>53</v>
      </c>
      <c r="S3517" s="3">
        <v>90200001</v>
      </c>
      <c r="T3517" s="3">
        <v>1239042399</v>
      </c>
      <c r="U3517" s="3" t="s">
        <v>29</v>
      </c>
    </row>
    <row r="3518" spans="1:21" ht="13.2" x14ac:dyDescent="0.25">
      <c r="A3518" s="14">
        <v>814559000155</v>
      </c>
      <c r="B3518" s="15" t="str">
        <f t="shared" si="54"/>
        <v>00.814.559/0001-55</v>
      </c>
      <c r="C3518" s="12"/>
      <c r="D3518" s="3" t="s">
        <v>12230</v>
      </c>
      <c r="E3518" s="3" t="s">
        <v>12230</v>
      </c>
      <c r="F3518" s="3" t="s">
        <v>20</v>
      </c>
      <c r="G3518" s="4">
        <v>34961</v>
      </c>
      <c r="H3518" s="3" t="s">
        <v>94</v>
      </c>
      <c r="I3518" s="3" t="s">
        <v>33</v>
      </c>
      <c r="J3518" s="5">
        <v>74099770</v>
      </c>
      <c r="K3518" s="3">
        <v>4645103</v>
      </c>
      <c r="L3518" s="3" t="s">
        <v>1568</v>
      </c>
      <c r="M3518" s="3" t="s">
        <v>12231</v>
      </c>
      <c r="N3518" s="3">
        <v>823</v>
      </c>
      <c r="P3518" s="3" t="s">
        <v>12232</v>
      </c>
      <c r="Q3518" s="3" t="s">
        <v>1289</v>
      </c>
      <c r="R3518" s="3" t="s">
        <v>187</v>
      </c>
      <c r="S3518" s="3">
        <v>87070030</v>
      </c>
      <c r="T3518" s="3">
        <v>8321062433</v>
      </c>
      <c r="U3518" s="3" t="s">
        <v>29</v>
      </c>
    </row>
    <row r="3519" spans="1:21" ht="13.2" x14ac:dyDescent="0.25">
      <c r="A3519" s="14">
        <v>17851447000177</v>
      </c>
      <c r="B3519" s="15" t="str">
        <f t="shared" si="54"/>
        <v>17.851.447/0001-77</v>
      </c>
      <c r="C3519" s="12"/>
      <c r="D3519" s="3" t="s">
        <v>12233</v>
      </c>
      <c r="E3519" s="3" t="s">
        <v>12233</v>
      </c>
      <c r="F3519" s="3" t="s">
        <v>20</v>
      </c>
      <c r="G3519" s="4">
        <v>41366</v>
      </c>
      <c r="H3519" s="3" t="s">
        <v>94</v>
      </c>
      <c r="I3519" s="3" t="s">
        <v>33</v>
      </c>
      <c r="J3519" s="5">
        <v>173702860</v>
      </c>
      <c r="K3519" s="3">
        <v>3811400</v>
      </c>
      <c r="L3519" s="3" t="s">
        <v>1243</v>
      </c>
      <c r="M3519" s="3" t="s">
        <v>12234</v>
      </c>
      <c r="N3519" s="3">
        <v>220</v>
      </c>
      <c r="O3519" s="3" t="s">
        <v>12235</v>
      </c>
      <c r="P3519" s="3" t="s">
        <v>5000</v>
      </c>
      <c r="Q3519" s="3" t="s">
        <v>27</v>
      </c>
      <c r="R3519" s="3" t="s">
        <v>28</v>
      </c>
      <c r="S3519" s="3">
        <v>5727220</v>
      </c>
      <c r="T3519" s="3">
        <v>1155131530</v>
      </c>
      <c r="U3519" s="3" t="s">
        <v>29</v>
      </c>
    </row>
    <row r="3520" spans="1:21" ht="13.2" x14ac:dyDescent="0.25">
      <c r="A3520" s="14">
        <v>16404287000155</v>
      </c>
      <c r="B3520" s="15" t="str">
        <f t="shared" si="54"/>
        <v>16.404.287/0001-55</v>
      </c>
      <c r="C3520" s="12" t="str">
        <f>VLOOKUP(B3520,[1]Planilha1!$A:$B,2,0)</f>
        <v>Malu Montesino</v>
      </c>
      <c r="D3520" s="3" t="s">
        <v>12236</v>
      </c>
      <c r="E3520" s="3" t="s">
        <v>12237</v>
      </c>
      <c r="F3520" s="3" t="s">
        <v>20</v>
      </c>
      <c r="G3520" s="4">
        <v>32128</v>
      </c>
      <c r="H3520" s="3" t="s">
        <v>377</v>
      </c>
      <c r="I3520" s="3" t="s">
        <v>33</v>
      </c>
      <c r="J3520" s="5">
        <v>19269282000</v>
      </c>
      <c r="K3520" s="3">
        <v>1710900</v>
      </c>
      <c r="L3520" s="3" t="s">
        <v>2683</v>
      </c>
      <c r="M3520" s="3" t="s">
        <v>7574</v>
      </c>
      <c r="N3520" s="3">
        <v>1752</v>
      </c>
      <c r="O3520" s="3" t="s">
        <v>12238</v>
      </c>
      <c r="P3520" s="3" t="s">
        <v>7576</v>
      </c>
      <c r="Q3520" s="3" t="s">
        <v>280</v>
      </c>
      <c r="R3520" s="3" t="s">
        <v>281</v>
      </c>
      <c r="S3520" s="3">
        <v>41810012</v>
      </c>
      <c r="T3520" s="3">
        <v>1136365000</v>
      </c>
      <c r="U3520" s="3" t="s">
        <v>29</v>
      </c>
    </row>
    <row r="3521" spans="1:21" ht="13.2" x14ac:dyDescent="0.25">
      <c r="A3521" s="14">
        <v>22330913000109</v>
      </c>
      <c r="B3521" s="15" t="str">
        <f t="shared" si="54"/>
        <v>22.330.913/0001-09</v>
      </c>
      <c r="C3521" s="12" t="str">
        <f>VLOOKUP(B3521,[1]Planilha1!$A:$B,2,0)</f>
        <v>Mariane Nascimento</v>
      </c>
      <c r="D3521" s="3" t="s">
        <v>12239</v>
      </c>
      <c r="E3521" s="3" t="s">
        <v>12239</v>
      </c>
      <c r="F3521" s="3" t="s">
        <v>20</v>
      </c>
      <c r="G3521" s="4">
        <v>42121</v>
      </c>
      <c r="H3521" s="3" t="s">
        <v>94</v>
      </c>
      <c r="I3521" s="3" t="s">
        <v>33</v>
      </c>
      <c r="J3521" s="5">
        <v>7056653</v>
      </c>
      <c r="K3521" s="3">
        <v>6202300</v>
      </c>
      <c r="L3521" s="3" t="s">
        <v>103</v>
      </c>
      <c r="M3521" s="3" t="s">
        <v>12240</v>
      </c>
      <c r="N3521" s="3">
        <v>258</v>
      </c>
      <c r="O3521" s="3" t="s">
        <v>12241</v>
      </c>
      <c r="P3521" s="3" t="s">
        <v>11441</v>
      </c>
      <c r="Q3521" s="3" t="s">
        <v>476</v>
      </c>
      <c r="R3521" s="3" t="s">
        <v>100</v>
      </c>
      <c r="S3521" s="3">
        <v>30140170</v>
      </c>
      <c r="T3521" s="3">
        <v>3130294878</v>
      </c>
      <c r="U3521" s="3" t="s">
        <v>29</v>
      </c>
    </row>
    <row r="3522" spans="1:21" ht="13.2" x14ac:dyDescent="0.25">
      <c r="A3522" s="14">
        <v>32924777000139</v>
      </c>
      <c r="B3522" s="15" t="str">
        <f t="shared" si="54"/>
        <v>32.924.777/0001-39</v>
      </c>
      <c r="C3522" s="12" t="str">
        <f>VLOOKUP(B3522,[1]Planilha1!$A:$B,2,0)</f>
        <v>Malu Montesino</v>
      </c>
      <c r="D3522" s="3" t="s">
        <v>12242</v>
      </c>
      <c r="E3522" s="3" t="s">
        <v>12243</v>
      </c>
      <c r="F3522" s="3" t="s">
        <v>20</v>
      </c>
      <c r="G3522" s="4">
        <v>43525</v>
      </c>
      <c r="H3522" s="3" t="s">
        <v>21</v>
      </c>
      <c r="I3522" s="3" t="s">
        <v>33</v>
      </c>
      <c r="J3522" s="5">
        <v>800000</v>
      </c>
      <c r="K3522" s="3">
        <v>4789099</v>
      </c>
      <c r="L3522" s="3" t="s">
        <v>774</v>
      </c>
      <c r="M3522" s="3" t="s">
        <v>6424</v>
      </c>
      <c r="N3522" s="3">
        <v>885</v>
      </c>
      <c r="P3522" s="3" t="s">
        <v>817</v>
      </c>
      <c r="Q3522" s="3" t="s">
        <v>217</v>
      </c>
      <c r="R3522" s="3" t="s">
        <v>28</v>
      </c>
      <c r="S3522" s="3">
        <v>9726412</v>
      </c>
      <c r="T3522" s="3">
        <v>1134058500</v>
      </c>
      <c r="U3522" s="3" t="s">
        <v>29</v>
      </c>
    </row>
    <row r="3523" spans="1:21" ht="13.2" x14ac:dyDescent="0.25">
      <c r="A3523" s="14">
        <v>26401688000105</v>
      </c>
      <c r="B3523" s="15" t="str">
        <f t="shared" ref="B3523:B3586" si="55">TEXT(A3523,"00\.000\.000\/0000\-00")</f>
        <v>26.401.688/0001-05</v>
      </c>
      <c r="C3523" s="12" t="str">
        <f>VLOOKUP(B3523,[1]Planilha1!$A:$B,2,0)</f>
        <v>Mariane Nascimento</v>
      </c>
      <c r="D3523" s="3" t="s">
        <v>12244</v>
      </c>
      <c r="E3523" s="3" t="s">
        <v>12244</v>
      </c>
      <c r="F3523" s="3" t="s">
        <v>20</v>
      </c>
      <c r="G3523" s="4">
        <v>42664</v>
      </c>
      <c r="H3523" s="3" t="s">
        <v>94</v>
      </c>
      <c r="I3523" s="3" t="s">
        <v>33</v>
      </c>
      <c r="J3523" s="5">
        <v>328925100</v>
      </c>
      <c r="K3523" s="3">
        <v>8299702</v>
      </c>
      <c r="L3523" s="3" t="s">
        <v>937</v>
      </c>
      <c r="M3523" s="3" t="s">
        <v>459</v>
      </c>
      <c r="N3523" s="3">
        <v>1355</v>
      </c>
      <c r="O3523" s="3" t="s">
        <v>12245</v>
      </c>
      <c r="P3523" s="3" t="s">
        <v>461</v>
      </c>
      <c r="Q3523" s="3" t="s">
        <v>27</v>
      </c>
      <c r="R3523" s="3" t="s">
        <v>28</v>
      </c>
      <c r="S3523" s="3">
        <v>1307003</v>
      </c>
      <c r="T3523" s="3">
        <v>1145607749</v>
      </c>
      <c r="U3523" s="3" t="s">
        <v>29</v>
      </c>
    </row>
    <row r="3524" spans="1:21" ht="13.2" x14ac:dyDescent="0.25">
      <c r="A3524" s="14">
        <v>52736949000158</v>
      </c>
      <c r="B3524" s="15" t="str">
        <f t="shared" si="55"/>
        <v>52.736.949/0001-58</v>
      </c>
      <c r="C3524" s="12" t="str">
        <f>VLOOKUP(B3524,[1]Planilha1!$A:$B,2,0)</f>
        <v>Malu Montesino</v>
      </c>
      <c r="D3524" s="3" t="s">
        <v>12246</v>
      </c>
      <c r="E3524" s="3" t="s">
        <v>12246</v>
      </c>
      <c r="F3524" s="3" t="s">
        <v>20</v>
      </c>
      <c r="G3524" s="4">
        <v>24313</v>
      </c>
      <c r="H3524" s="3" t="s">
        <v>21</v>
      </c>
      <c r="I3524" s="3" t="s">
        <v>33</v>
      </c>
      <c r="J3524" s="5">
        <v>2904446000</v>
      </c>
      <c r="K3524" s="3">
        <v>1721400</v>
      </c>
      <c r="L3524" s="3" t="s">
        <v>820</v>
      </c>
      <c r="M3524" s="3" t="s">
        <v>12247</v>
      </c>
      <c r="N3524" s="3" t="s">
        <v>111</v>
      </c>
      <c r="P3524" s="3" t="s">
        <v>12248</v>
      </c>
      <c r="Q3524" s="3" t="s">
        <v>1645</v>
      </c>
      <c r="R3524" s="3" t="s">
        <v>28</v>
      </c>
      <c r="S3524" s="3">
        <v>13845901</v>
      </c>
      <c r="T3524" s="3">
        <v>1938618100</v>
      </c>
      <c r="U3524" s="3" t="s">
        <v>29</v>
      </c>
    </row>
    <row r="3525" spans="1:21" ht="13.2" x14ac:dyDescent="0.25">
      <c r="A3525" s="14">
        <v>11926966000170</v>
      </c>
      <c r="B3525" s="15" t="str">
        <f t="shared" si="55"/>
        <v>11.926.966/0001-70</v>
      </c>
      <c r="C3525" s="12"/>
      <c r="D3525" s="3" t="s">
        <v>12249</v>
      </c>
      <c r="E3525" s="3" t="s">
        <v>12249</v>
      </c>
      <c r="F3525" s="3" t="s">
        <v>45</v>
      </c>
      <c r="G3525" s="4">
        <v>40263</v>
      </c>
      <c r="H3525" s="3" t="s">
        <v>21</v>
      </c>
      <c r="I3525" s="3" t="s">
        <v>33</v>
      </c>
      <c r="J3525" s="5">
        <v>12607300</v>
      </c>
      <c r="K3525" s="3">
        <v>4645101</v>
      </c>
      <c r="L3525" s="3" t="s">
        <v>135</v>
      </c>
      <c r="M3525" s="3" t="s">
        <v>1865</v>
      </c>
      <c r="N3525" s="7">
        <v>5205</v>
      </c>
      <c r="P3525" s="3" t="s">
        <v>70</v>
      </c>
      <c r="Q3525" s="3" t="s">
        <v>488</v>
      </c>
      <c r="R3525" s="3" t="s">
        <v>28</v>
      </c>
      <c r="S3525" s="3">
        <v>13280001</v>
      </c>
      <c r="T3525" s="3">
        <v>1127146925</v>
      </c>
      <c r="U3525" s="3" t="s">
        <v>29</v>
      </c>
    </row>
    <row r="3526" spans="1:21" ht="13.2" x14ac:dyDescent="0.25">
      <c r="A3526" s="14">
        <v>3263975000109</v>
      </c>
      <c r="B3526" s="15" t="str">
        <f t="shared" si="55"/>
        <v>03.263.975/0001-09</v>
      </c>
      <c r="C3526" s="12"/>
      <c r="D3526" s="3" t="s">
        <v>12250</v>
      </c>
      <c r="E3526" s="3" t="s">
        <v>12251</v>
      </c>
      <c r="F3526" s="3" t="s">
        <v>20</v>
      </c>
      <c r="G3526" s="4">
        <v>36349</v>
      </c>
      <c r="H3526" s="3" t="s">
        <v>21</v>
      </c>
      <c r="I3526" s="3" t="s">
        <v>33</v>
      </c>
      <c r="J3526" s="5">
        <v>10000000</v>
      </c>
      <c r="K3526" s="3">
        <v>4651601</v>
      </c>
      <c r="L3526" s="3" t="s">
        <v>684</v>
      </c>
      <c r="M3526" s="3" t="s">
        <v>12252</v>
      </c>
      <c r="N3526" s="3" t="s">
        <v>82</v>
      </c>
      <c r="O3526" s="3" t="s">
        <v>12253</v>
      </c>
      <c r="P3526" s="3" t="s">
        <v>7653</v>
      </c>
      <c r="Q3526" s="3" t="s">
        <v>631</v>
      </c>
      <c r="R3526" s="3" t="s">
        <v>632</v>
      </c>
      <c r="S3526" s="3">
        <v>70680550</v>
      </c>
      <c r="T3526" s="3">
        <v>6133423781</v>
      </c>
      <c r="U3526" s="3" t="s">
        <v>29</v>
      </c>
    </row>
    <row r="3527" spans="1:21" ht="13.2" x14ac:dyDescent="0.25">
      <c r="A3527" s="14">
        <v>21316341000140</v>
      </c>
      <c r="B3527" s="15" t="str">
        <f t="shared" si="55"/>
        <v>21.316.341/0001-40</v>
      </c>
      <c r="C3527" s="12"/>
      <c r="D3527" s="3" t="s">
        <v>12254</v>
      </c>
      <c r="E3527" s="3" t="s">
        <v>12254</v>
      </c>
      <c r="F3527" s="3" t="s">
        <v>45</v>
      </c>
      <c r="G3527" s="4">
        <v>41942</v>
      </c>
      <c r="H3527" s="3" t="s">
        <v>21</v>
      </c>
      <c r="I3527" s="3" t="s">
        <v>47</v>
      </c>
      <c r="J3527" s="5">
        <v>5000</v>
      </c>
      <c r="K3527" s="3">
        <v>4329105</v>
      </c>
      <c r="L3527" s="3" t="s">
        <v>12255</v>
      </c>
      <c r="M3527" s="3" t="s">
        <v>12256</v>
      </c>
      <c r="N3527" s="3">
        <v>387</v>
      </c>
      <c r="O3527" s="3" t="s">
        <v>12257</v>
      </c>
      <c r="P3527" s="3" t="s">
        <v>12258</v>
      </c>
      <c r="Q3527" s="3" t="s">
        <v>27</v>
      </c>
      <c r="R3527" s="3" t="s">
        <v>28</v>
      </c>
      <c r="S3527" s="3">
        <v>4405140</v>
      </c>
      <c r="T3527" s="3">
        <v>1132227881</v>
      </c>
      <c r="U3527" s="3" t="s">
        <v>29</v>
      </c>
    </row>
    <row r="3528" spans="1:21" ht="13.2" x14ac:dyDescent="0.25">
      <c r="A3528" s="14">
        <v>12937692000188</v>
      </c>
      <c r="B3528" s="15" t="str">
        <f t="shared" si="55"/>
        <v>12.937.692/0001-88</v>
      </c>
      <c r="C3528" s="12"/>
      <c r="D3528" s="3" t="s">
        <v>12259</v>
      </c>
      <c r="E3528" s="3" t="s">
        <v>12260</v>
      </c>
      <c r="F3528" s="3" t="s">
        <v>20</v>
      </c>
      <c r="G3528" s="4">
        <v>40508</v>
      </c>
      <c r="H3528" s="3" t="s">
        <v>21</v>
      </c>
      <c r="I3528" s="3" t="s">
        <v>22</v>
      </c>
      <c r="J3528" s="5">
        <v>180000</v>
      </c>
      <c r="K3528" s="3">
        <v>2731700</v>
      </c>
      <c r="L3528" s="3" t="s">
        <v>440</v>
      </c>
      <c r="M3528" s="3" t="s">
        <v>12261</v>
      </c>
      <c r="N3528" s="3">
        <v>520</v>
      </c>
      <c r="O3528" s="3" t="s">
        <v>12262</v>
      </c>
      <c r="P3528" s="3" t="s">
        <v>8280</v>
      </c>
      <c r="Q3528" s="3" t="s">
        <v>1701</v>
      </c>
      <c r="R3528" s="3" t="s">
        <v>100</v>
      </c>
      <c r="S3528" s="3">
        <v>32241160</v>
      </c>
      <c r="T3528" s="3">
        <v>3125650044</v>
      </c>
      <c r="U3528" s="3" t="s">
        <v>29</v>
      </c>
    </row>
    <row r="3529" spans="1:21" ht="13.2" x14ac:dyDescent="0.25">
      <c r="A3529" s="14">
        <v>712411000100</v>
      </c>
      <c r="B3529" s="15" t="str">
        <f t="shared" si="55"/>
        <v>00.712.411/0001-00</v>
      </c>
      <c r="C3529" s="12"/>
      <c r="D3529" s="3" t="s">
        <v>12263</v>
      </c>
      <c r="E3529" s="3" t="s">
        <v>12264</v>
      </c>
      <c r="F3529" s="3" t="s">
        <v>20</v>
      </c>
      <c r="G3529" s="4">
        <v>34901</v>
      </c>
      <c r="H3529" s="3" t="s">
        <v>21</v>
      </c>
      <c r="I3529" s="3" t="s">
        <v>33</v>
      </c>
      <c r="J3529" s="5">
        <v>17000000</v>
      </c>
      <c r="K3529" s="3">
        <v>6209100</v>
      </c>
      <c r="L3529" s="3" t="s">
        <v>303</v>
      </c>
      <c r="M3529" s="3" t="s">
        <v>12265</v>
      </c>
      <c r="N3529" s="3" t="s">
        <v>111</v>
      </c>
      <c r="P3529" s="3" t="s">
        <v>11316</v>
      </c>
      <c r="Q3529" s="3" t="s">
        <v>631</v>
      </c>
      <c r="R3529" s="3" t="s">
        <v>632</v>
      </c>
      <c r="S3529" s="3">
        <v>70801010</v>
      </c>
      <c r="T3529" s="3">
        <v>6130839250</v>
      </c>
      <c r="U3529" s="3" t="s">
        <v>29</v>
      </c>
    </row>
    <row r="3530" spans="1:21" ht="13.2" x14ac:dyDescent="0.25">
      <c r="A3530" s="14">
        <v>25221853000184</v>
      </c>
      <c r="B3530" s="15" t="str">
        <f t="shared" si="55"/>
        <v>25.221.853/0001-84</v>
      </c>
      <c r="C3530" s="12"/>
      <c r="D3530" s="3" t="s">
        <v>12266</v>
      </c>
      <c r="E3530" s="3" t="s">
        <v>12267</v>
      </c>
      <c r="F3530" s="3" t="s">
        <v>20</v>
      </c>
      <c r="G3530" s="4">
        <v>42567</v>
      </c>
      <c r="H3530" s="3" t="s">
        <v>21</v>
      </c>
      <c r="I3530" s="3" t="s">
        <v>47</v>
      </c>
      <c r="J3530" s="5">
        <v>1000000</v>
      </c>
      <c r="K3530" s="3">
        <v>4511101</v>
      </c>
      <c r="L3530" s="3" t="s">
        <v>1870</v>
      </c>
      <c r="M3530" s="3" t="s">
        <v>12268</v>
      </c>
      <c r="N3530" s="3">
        <v>2548</v>
      </c>
      <c r="P3530" s="3" t="s">
        <v>4558</v>
      </c>
      <c r="Q3530" s="3" t="s">
        <v>1650</v>
      </c>
      <c r="R3530" s="3" t="s">
        <v>1651</v>
      </c>
      <c r="S3530" s="3">
        <v>68901283</v>
      </c>
      <c r="T3530" s="3">
        <v>9691665277</v>
      </c>
      <c r="U3530" s="3" t="s">
        <v>29</v>
      </c>
    </row>
    <row r="3531" spans="1:21" ht="13.2" x14ac:dyDescent="0.25">
      <c r="A3531" s="14">
        <v>3685129000179</v>
      </c>
      <c r="B3531" s="15" t="str">
        <f t="shared" si="55"/>
        <v>03.685.129/0001-79</v>
      </c>
      <c r="C3531" s="12" t="str">
        <f>VLOOKUP(B3531,[1]Planilha1!$A:$B,2,0)</f>
        <v>Malu Montesino</v>
      </c>
      <c r="D3531" s="3" t="s">
        <v>12269</v>
      </c>
      <c r="E3531" s="3" t="s">
        <v>12270</v>
      </c>
      <c r="F3531" s="3" t="s">
        <v>20</v>
      </c>
      <c r="G3531" s="4">
        <v>36573</v>
      </c>
      <c r="H3531" s="3" t="s">
        <v>21</v>
      </c>
      <c r="I3531" s="3" t="s">
        <v>33</v>
      </c>
      <c r="J3531" s="5">
        <v>24468520</v>
      </c>
      <c r="K3531" s="3">
        <v>4649499</v>
      </c>
      <c r="L3531" s="3" t="s">
        <v>5842</v>
      </c>
      <c r="M3531" s="3" t="s">
        <v>3498</v>
      </c>
      <c r="N3531" s="3">
        <v>200</v>
      </c>
      <c r="P3531" s="3" t="s">
        <v>12271</v>
      </c>
      <c r="Q3531" s="3" t="s">
        <v>1988</v>
      </c>
      <c r="R3531" s="3" t="s">
        <v>28</v>
      </c>
      <c r="S3531" s="3">
        <v>6730000</v>
      </c>
      <c r="T3531" s="3">
        <v>1141589990</v>
      </c>
      <c r="U3531" s="3" t="s">
        <v>29</v>
      </c>
    </row>
    <row r="3532" spans="1:21" ht="13.2" x14ac:dyDescent="0.25">
      <c r="A3532" s="14">
        <v>90102609000164</v>
      </c>
      <c r="B3532" s="15" t="str">
        <f t="shared" si="55"/>
        <v>90.102.609/0001-64</v>
      </c>
      <c r="C3532" s="12"/>
      <c r="D3532" s="3" t="s">
        <v>12272</v>
      </c>
      <c r="E3532" s="3" t="s">
        <v>12272</v>
      </c>
      <c r="F3532" s="3" t="s">
        <v>20</v>
      </c>
      <c r="G3532" s="4">
        <v>30957</v>
      </c>
      <c r="H3532" s="3" t="s">
        <v>21</v>
      </c>
      <c r="I3532" s="3" t="s">
        <v>33</v>
      </c>
      <c r="J3532" s="5">
        <v>17513000</v>
      </c>
      <c r="K3532" s="3">
        <v>2229399</v>
      </c>
      <c r="L3532" s="3" t="s">
        <v>414</v>
      </c>
      <c r="M3532" s="3" t="s">
        <v>12273</v>
      </c>
      <c r="N3532" s="7">
        <v>1110</v>
      </c>
      <c r="P3532" s="3" t="s">
        <v>2994</v>
      </c>
      <c r="Q3532" s="3" t="s">
        <v>730</v>
      </c>
      <c r="R3532" s="3" t="s">
        <v>53</v>
      </c>
      <c r="S3532" s="3">
        <v>95112130</v>
      </c>
      <c r="T3532" s="3">
        <v>5430269500</v>
      </c>
      <c r="U3532" s="3" t="s">
        <v>29</v>
      </c>
    </row>
    <row r="3533" spans="1:21" ht="13.2" x14ac:dyDescent="0.25">
      <c r="A3533" s="14">
        <v>7143375000311</v>
      </c>
      <c r="B3533" s="15" t="str">
        <f t="shared" si="55"/>
        <v>07.143.375/0003-11</v>
      </c>
      <c r="C3533" s="12"/>
      <c r="D3533" s="3" t="s">
        <v>12274</v>
      </c>
      <c r="E3533" s="3" t="s">
        <v>12275</v>
      </c>
      <c r="F3533" s="3" t="s">
        <v>20</v>
      </c>
      <c r="G3533" s="4">
        <v>40527</v>
      </c>
      <c r="H3533" s="3" t="s">
        <v>94</v>
      </c>
      <c r="I3533" s="3" t="s">
        <v>33</v>
      </c>
      <c r="J3533" s="5">
        <v>13819742</v>
      </c>
      <c r="K3533" s="3">
        <v>2910701</v>
      </c>
      <c r="L3533" s="3" t="s">
        <v>2241</v>
      </c>
      <c r="M3533" s="3" t="s">
        <v>12276</v>
      </c>
      <c r="N3533" s="3">
        <v>646</v>
      </c>
      <c r="O3533" s="3" t="s">
        <v>12277</v>
      </c>
      <c r="P3533" s="3" t="s">
        <v>12278</v>
      </c>
      <c r="Q3533" s="3" t="s">
        <v>10566</v>
      </c>
      <c r="R3533" s="3" t="s">
        <v>281</v>
      </c>
      <c r="S3533" s="3">
        <v>43700000</v>
      </c>
      <c r="T3533" s="3">
        <v>7133418315</v>
      </c>
      <c r="U3533" s="3" t="s">
        <v>29</v>
      </c>
    </row>
    <row r="3534" spans="1:21" ht="13.2" x14ac:dyDescent="0.25">
      <c r="A3534" s="14">
        <v>83017350000198</v>
      </c>
      <c r="B3534" s="15" t="str">
        <f t="shared" si="55"/>
        <v>83.017.350/0001-98</v>
      </c>
      <c r="C3534" s="12"/>
      <c r="D3534" s="3" t="s">
        <v>12279</v>
      </c>
      <c r="E3534" s="3" t="s">
        <v>12280</v>
      </c>
      <c r="F3534" s="3" t="s">
        <v>20</v>
      </c>
      <c r="G3534" s="4">
        <v>33344</v>
      </c>
      <c r="H3534" s="3" t="s">
        <v>21</v>
      </c>
      <c r="I3534" s="3" t="s">
        <v>33</v>
      </c>
      <c r="J3534" s="5">
        <v>7600000</v>
      </c>
      <c r="K3534" s="3">
        <v>4691500</v>
      </c>
      <c r="L3534" s="3" t="s">
        <v>1850</v>
      </c>
      <c r="M3534" s="3" t="s">
        <v>12281</v>
      </c>
      <c r="N3534" s="3">
        <v>155</v>
      </c>
      <c r="P3534" s="3" t="s">
        <v>7597</v>
      </c>
      <c r="Q3534" s="3" t="s">
        <v>536</v>
      </c>
      <c r="R3534" s="3" t="s">
        <v>91</v>
      </c>
      <c r="S3534" s="3">
        <v>88104810</v>
      </c>
      <c r="T3534" s="3">
        <v>4821065000</v>
      </c>
      <c r="U3534" s="3" t="s">
        <v>29</v>
      </c>
    </row>
    <row r="3535" spans="1:21" ht="13.2" x14ac:dyDescent="0.25">
      <c r="A3535" s="14">
        <v>14600552000145</v>
      </c>
      <c r="B3535" s="15" t="str">
        <f t="shared" si="55"/>
        <v>14.600.552/0001-45</v>
      </c>
      <c r="C3535" s="12"/>
      <c r="D3535" s="3" t="s">
        <v>12282</v>
      </c>
      <c r="E3535" s="3" t="s">
        <v>12283</v>
      </c>
      <c r="F3535" s="3" t="s">
        <v>20</v>
      </c>
      <c r="G3535" s="4">
        <v>40812</v>
      </c>
      <c r="H3535" s="3" t="s">
        <v>21</v>
      </c>
      <c r="I3535" s="3" t="s">
        <v>33</v>
      </c>
      <c r="J3535" s="5">
        <v>200000</v>
      </c>
      <c r="K3535" s="3">
        <v>2599399</v>
      </c>
      <c r="L3535" s="3" t="s">
        <v>1144</v>
      </c>
      <c r="M3535" s="3" t="s">
        <v>12284</v>
      </c>
      <c r="N3535" s="3">
        <v>258</v>
      </c>
      <c r="P3535" s="3" t="s">
        <v>9393</v>
      </c>
      <c r="Q3535" s="3" t="s">
        <v>488</v>
      </c>
      <c r="R3535" s="3" t="s">
        <v>28</v>
      </c>
      <c r="S3535" s="3">
        <v>13285332</v>
      </c>
      <c r="T3535" s="3">
        <v>1935008210</v>
      </c>
      <c r="U3535" s="3" t="s">
        <v>29</v>
      </c>
    </row>
    <row r="3536" spans="1:21" ht="13.2" x14ac:dyDescent="0.25">
      <c r="A3536" s="14">
        <v>61099008000141</v>
      </c>
      <c r="B3536" s="15" t="str">
        <f t="shared" si="55"/>
        <v>61.099.008/0001-41</v>
      </c>
      <c r="C3536" s="12"/>
      <c r="D3536" s="3" t="s">
        <v>12285</v>
      </c>
      <c r="E3536" s="3" t="s">
        <v>12286</v>
      </c>
      <c r="F3536" s="3" t="s">
        <v>20</v>
      </c>
      <c r="G3536" s="4">
        <v>25940</v>
      </c>
      <c r="H3536" s="3" t="s">
        <v>21</v>
      </c>
      <c r="I3536" s="3" t="s">
        <v>33</v>
      </c>
      <c r="J3536" s="5">
        <v>34000000</v>
      </c>
      <c r="K3536" s="3">
        <v>3319800</v>
      </c>
      <c r="L3536" s="3" t="s">
        <v>1394</v>
      </c>
      <c r="M3536" s="3" t="s">
        <v>3295</v>
      </c>
      <c r="N3536" s="3">
        <v>840</v>
      </c>
      <c r="O3536" s="3" t="s">
        <v>12287</v>
      </c>
      <c r="P3536" s="3" t="s">
        <v>753</v>
      </c>
      <c r="Q3536" s="3" t="s">
        <v>27</v>
      </c>
      <c r="R3536" s="3" t="s">
        <v>28</v>
      </c>
      <c r="S3536" s="3">
        <v>5311000</v>
      </c>
      <c r="T3536" s="3">
        <v>1151999199</v>
      </c>
      <c r="U3536" s="3" t="s">
        <v>29</v>
      </c>
    </row>
    <row r="3537" spans="1:21" ht="13.2" x14ac:dyDescent="0.25">
      <c r="A3537" s="14">
        <v>3263382000134</v>
      </c>
      <c r="B3537" s="15" t="str">
        <f t="shared" si="55"/>
        <v>03.263.382/0001-34</v>
      </c>
      <c r="C3537" s="12"/>
      <c r="D3537" s="3" t="s">
        <v>12288</v>
      </c>
      <c r="E3537" s="3" t="s">
        <v>12288</v>
      </c>
      <c r="F3537" s="3" t="s">
        <v>20</v>
      </c>
      <c r="G3537" s="4">
        <v>36311</v>
      </c>
      <c r="H3537" s="3" t="s">
        <v>1550</v>
      </c>
      <c r="I3537" s="3" t="s">
        <v>33</v>
      </c>
      <c r="J3537" s="5">
        <v>500000</v>
      </c>
      <c r="K3537" s="3">
        <v>6911701</v>
      </c>
      <c r="L3537" s="3" t="s">
        <v>1551</v>
      </c>
      <c r="M3537" s="3" t="s">
        <v>1077</v>
      </c>
      <c r="N3537" s="3">
        <v>231</v>
      </c>
      <c r="O3537" s="3" t="s">
        <v>12289</v>
      </c>
      <c r="P3537" s="3" t="s">
        <v>12290</v>
      </c>
      <c r="Q3537" s="3" t="s">
        <v>1078</v>
      </c>
      <c r="R3537" s="3" t="s">
        <v>187</v>
      </c>
      <c r="S3537" s="3">
        <v>85051070</v>
      </c>
      <c r="T3537" s="3">
        <v>4236228888</v>
      </c>
      <c r="U3537" s="3" t="s">
        <v>29</v>
      </c>
    </row>
    <row r="3538" spans="1:21" ht="13.2" x14ac:dyDescent="0.25">
      <c r="A3538" s="14">
        <v>14332326000120</v>
      </c>
      <c r="B3538" s="15" t="str">
        <f t="shared" si="55"/>
        <v>14.332.326/0001-20</v>
      </c>
      <c r="C3538" s="12"/>
      <c r="D3538" s="3" t="s">
        <v>12291</v>
      </c>
      <c r="E3538" s="3" t="s">
        <v>12291</v>
      </c>
      <c r="F3538" s="3" t="s">
        <v>20</v>
      </c>
      <c r="G3538" s="4">
        <v>40788</v>
      </c>
      <c r="H3538" s="3" t="s">
        <v>21</v>
      </c>
      <c r="I3538" s="3" t="s">
        <v>33</v>
      </c>
      <c r="J3538" s="5">
        <v>100000</v>
      </c>
      <c r="K3538" s="3">
        <v>2452100</v>
      </c>
      <c r="L3538" s="3" t="s">
        <v>6497</v>
      </c>
      <c r="M3538" s="3" t="s">
        <v>12292</v>
      </c>
      <c r="N3538" s="3">
        <v>200</v>
      </c>
      <c r="P3538" s="3" t="s">
        <v>2254</v>
      </c>
      <c r="Q3538" s="3" t="s">
        <v>204</v>
      </c>
      <c r="R3538" s="3" t="s">
        <v>187</v>
      </c>
      <c r="S3538" s="3">
        <v>81290250</v>
      </c>
      <c r="T3538" s="3">
        <v>4130265770</v>
      </c>
      <c r="U3538" s="3" t="s">
        <v>29</v>
      </c>
    </row>
    <row r="3539" spans="1:21" ht="13.2" x14ac:dyDescent="0.25">
      <c r="A3539" s="14">
        <v>52045457000116</v>
      </c>
      <c r="B3539" s="15" t="str">
        <f t="shared" si="55"/>
        <v>52.045.457/0001-16</v>
      </c>
      <c r="C3539" s="12"/>
      <c r="D3539" s="3" t="s">
        <v>12293</v>
      </c>
      <c r="E3539" s="3" t="s">
        <v>12293</v>
      </c>
      <c r="F3539" s="3" t="s">
        <v>20</v>
      </c>
      <c r="G3539" s="4">
        <v>24292</v>
      </c>
      <c r="H3539" s="3" t="s">
        <v>94</v>
      </c>
      <c r="I3539" s="3" t="s">
        <v>33</v>
      </c>
      <c r="J3539" s="5">
        <v>54818796</v>
      </c>
      <c r="K3539" s="3">
        <v>5112901</v>
      </c>
      <c r="L3539" s="3" t="s">
        <v>12294</v>
      </c>
      <c r="M3539" s="3" t="s">
        <v>12295</v>
      </c>
      <c r="N3539" s="3">
        <v>250</v>
      </c>
      <c r="P3539" s="3" t="s">
        <v>901</v>
      </c>
      <c r="Q3539" s="3" t="s">
        <v>27</v>
      </c>
      <c r="R3539" s="3" t="s">
        <v>28</v>
      </c>
      <c r="S3539" s="3">
        <v>4342110</v>
      </c>
      <c r="T3539" s="3">
        <v>1128907730</v>
      </c>
      <c r="U3539" s="3" t="s">
        <v>29</v>
      </c>
    </row>
    <row r="3540" spans="1:21" ht="13.2" x14ac:dyDescent="0.25">
      <c r="A3540" s="14">
        <v>92118488000174</v>
      </c>
      <c r="B3540" s="15" t="str">
        <f t="shared" si="55"/>
        <v>92.118.488/0001-74</v>
      </c>
      <c r="C3540" s="12"/>
      <c r="D3540" s="3" t="s">
        <v>12296</v>
      </c>
      <c r="E3540" s="3" t="s">
        <v>12296</v>
      </c>
      <c r="F3540" s="3" t="s">
        <v>20</v>
      </c>
      <c r="G3540" s="4">
        <v>32289</v>
      </c>
      <c r="H3540" s="3" t="s">
        <v>21</v>
      </c>
      <c r="I3540" s="3" t="s">
        <v>22</v>
      </c>
      <c r="J3540" s="5">
        <v>100000</v>
      </c>
      <c r="K3540" s="3">
        <v>4530703</v>
      </c>
      <c r="L3540" s="3" t="s">
        <v>768</v>
      </c>
      <c r="M3540" s="3" t="s">
        <v>12297</v>
      </c>
      <c r="N3540" s="3">
        <v>2286</v>
      </c>
      <c r="P3540" s="3" t="s">
        <v>12298</v>
      </c>
      <c r="Q3540" s="3" t="s">
        <v>437</v>
      </c>
      <c r="R3540" s="3" t="s">
        <v>53</v>
      </c>
      <c r="S3540" s="3">
        <v>91910000</v>
      </c>
      <c r="T3540" s="3">
        <v>5132413917</v>
      </c>
      <c r="U3540" s="3" t="s">
        <v>29</v>
      </c>
    </row>
    <row r="3541" spans="1:21" ht="13.2" x14ac:dyDescent="0.25">
      <c r="A3541" s="14">
        <v>3529082000154</v>
      </c>
      <c r="B3541" s="15" t="str">
        <f t="shared" si="55"/>
        <v>03.529.082/0001-54</v>
      </c>
      <c r="C3541" s="12"/>
      <c r="D3541" s="3" t="s">
        <v>12299</v>
      </c>
      <c r="E3541" s="3" t="s">
        <v>12300</v>
      </c>
      <c r="F3541" s="3" t="s">
        <v>20</v>
      </c>
      <c r="G3541" s="4">
        <v>36486</v>
      </c>
      <c r="H3541" s="3" t="s">
        <v>21</v>
      </c>
      <c r="I3541" s="3" t="s">
        <v>47</v>
      </c>
      <c r="J3541" s="5">
        <v>5000</v>
      </c>
      <c r="K3541" s="3">
        <v>4754701</v>
      </c>
      <c r="L3541" s="3" t="s">
        <v>2125</v>
      </c>
      <c r="M3541" s="3" t="s">
        <v>12301</v>
      </c>
      <c r="N3541" s="7">
        <v>2030</v>
      </c>
      <c r="P3541" s="3" t="s">
        <v>12302</v>
      </c>
      <c r="Q3541" s="3" t="s">
        <v>1657</v>
      </c>
      <c r="R3541" s="3" t="s">
        <v>28</v>
      </c>
      <c r="S3541" s="3">
        <v>6320290</v>
      </c>
      <c r="U3541" s="3" t="s">
        <v>29</v>
      </c>
    </row>
    <row r="3542" spans="1:21" ht="13.2" x14ac:dyDescent="0.25">
      <c r="A3542" s="14">
        <v>26239346000130</v>
      </c>
      <c r="B3542" s="15" t="str">
        <f t="shared" si="55"/>
        <v>26.239.346/0001-30</v>
      </c>
      <c r="C3542" s="12"/>
      <c r="D3542" s="3" t="s">
        <v>12303</v>
      </c>
      <c r="E3542" s="3" t="s">
        <v>12304</v>
      </c>
      <c r="F3542" s="3" t="s">
        <v>20</v>
      </c>
      <c r="G3542" s="4">
        <v>42639</v>
      </c>
      <c r="H3542" s="3" t="s">
        <v>21</v>
      </c>
      <c r="I3542" s="3" t="s">
        <v>22</v>
      </c>
      <c r="J3542" s="5">
        <v>153800</v>
      </c>
      <c r="K3542" s="3">
        <v>6920602</v>
      </c>
      <c r="L3542" s="3" t="s">
        <v>1022</v>
      </c>
      <c r="M3542" s="3" t="s">
        <v>3121</v>
      </c>
      <c r="N3542" s="3">
        <v>1069</v>
      </c>
      <c r="O3542" s="3" t="s">
        <v>12305</v>
      </c>
      <c r="P3542" s="3" t="s">
        <v>316</v>
      </c>
      <c r="Q3542" s="3" t="s">
        <v>27</v>
      </c>
      <c r="R3542" s="3" t="s">
        <v>28</v>
      </c>
      <c r="S3542" s="3">
        <v>4547004</v>
      </c>
      <c r="T3542" s="3">
        <v>1134592518</v>
      </c>
      <c r="U3542" s="3" t="s">
        <v>29</v>
      </c>
    </row>
    <row r="3543" spans="1:21" ht="13.2" x14ac:dyDescent="0.25">
      <c r="A3543" s="14">
        <v>10286826000112</v>
      </c>
      <c r="B3543" s="15" t="str">
        <f t="shared" si="55"/>
        <v>10.286.826/0001-12</v>
      </c>
      <c r="C3543" s="12"/>
      <c r="D3543" s="3" t="s">
        <v>12306</v>
      </c>
      <c r="E3543" s="3" t="s">
        <v>12307</v>
      </c>
      <c r="F3543" s="3" t="s">
        <v>20</v>
      </c>
      <c r="G3543" s="4">
        <v>39160</v>
      </c>
      <c r="H3543" s="3" t="s">
        <v>21</v>
      </c>
      <c r="I3543" s="3" t="s">
        <v>33</v>
      </c>
      <c r="J3543" s="5">
        <v>9400000</v>
      </c>
      <c r="K3543" s="3">
        <v>3292202</v>
      </c>
      <c r="L3543" s="3" t="s">
        <v>1654</v>
      </c>
      <c r="M3543" s="3" t="s">
        <v>12308</v>
      </c>
      <c r="N3543" s="3">
        <v>21</v>
      </c>
      <c r="O3543" s="3" t="s">
        <v>12309</v>
      </c>
      <c r="P3543" s="3" t="s">
        <v>12310</v>
      </c>
      <c r="Q3543" s="3" t="s">
        <v>1312</v>
      </c>
      <c r="R3543" s="3" t="s">
        <v>28</v>
      </c>
      <c r="S3543" s="3">
        <v>13312820</v>
      </c>
      <c r="T3543" s="3">
        <v>1140134128</v>
      </c>
      <c r="U3543" s="3" t="s">
        <v>29</v>
      </c>
    </row>
    <row r="3544" spans="1:21" ht="13.2" x14ac:dyDescent="0.25">
      <c r="A3544" s="14">
        <v>28216064000143</v>
      </c>
      <c r="B3544" s="15" t="str">
        <f t="shared" si="55"/>
        <v>28.216.064/0001-43</v>
      </c>
      <c r="C3544" s="12"/>
      <c r="D3544" s="3" t="s">
        <v>12311</v>
      </c>
      <c r="E3544" s="3" t="s">
        <v>12312</v>
      </c>
      <c r="F3544" s="3" t="s">
        <v>20</v>
      </c>
      <c r="G3544" s="4">
        <v>42935</v>
      </c>
      <c r="H3544" s="3" t="s">
        <v>21</v>
      </c>
      <c r="I3544" s="3" t="s">
        <v>47</v>
      </c>
      <c r="J3544" s="5">
        <v>100000</v>
      </c>
      <c r="K3544" s="3">
        <v>8130300</v>
      </c>
      <c r="L3544" s="3" t="s">
        <v>8521</v>
      </c>
      <c r="M3544" s="3" t="s">
        <v>10325</v>
      </c>
      <c r="N3544" s="3">
        <v>264</v>
      </c>
      <c r="P3544" s="3" t="s">
        <v>12313</v>
      </c>
      <c r="Q3544" s="3" t="s">
        <v>12314</v>
      </c>
      <c r="R3544" s="3" t="s">
        <v>1142</v>
      </c>
      <c r="S3544" s="3">
        <v>79170000</v>
      </c>
      <c r="T3544" s="3">
        <v>6732721197</v>
      </c>
      <c r="U3544" s="3" t="s">
        <v>29</v>
      </c>
    </row>
    <row r="3545" spans="1:21" ht="13.2" x14ac:dyDescent="0.25">
      <c r="A3545" s="14">
        <v>3311116000130</v>
      </c>
      <c r="B3545" s="15" t="str">
        <f t="shared" si="55"/>
        <v>03.311.116/0001-30</v>
      </c>
      <c r="C3545" s="12"/>
      <c r="D3545" s="3" t="s">
        <v>12315</v>
      </c>
      <c r="E3545" s="3" t="s">
        <v>12315</v>
      </c>
      <c r="F3545" s="3" t="s">
        <v>20</v>
      </c>
      <c r="G3545" s="4">
        <v>36367</v>
      </c>
      <c r="H3545" s="3" t="s">
        <v>21</v>
      </c>
      <c r="I3545" s="3" t="s">
        <v>33</v>
      </c>
      <c r="J3545" s="5">
        <v>12382640</v>
      </c>
      <c r="K3545" s="3">
        <v>8299799</v>
      </c>
      <c r="L3545" s="3" t="s">
        <v>532</v>
      </c>
      <c r="M3545" s="3" t="s">
        <v>8730</v>
      </c>
      <c r="N3545" s="3">
        <v>35</v>
      </c>
      <c r="O3545" s="3" t="s">
        <v>12316</v>
      </c>
      <c r="P3545" s="3" t="s">
        <v>8732</v>
      </c>
      <c r="Q3545" s="3" t="s">
        <v>688</v>
      </c>
      <c r="R3545" s="3" t="s">
        <v>28</v>
      </c>
      <c r="S3545" s="3">
        <v>6710700</v>
      </c>
      <c r="T3545" s="3">
        <v>1146157700</v>
      </c>
      <c r="U3545" s="3" t="s">
        <v>29</v>
      </c>
    </row>
    <row r="3546" spans="1:21" ht="13.2" x14ac:dyDescent="0.25">
      <c r="A3546" s="14">
        <v>4291824000119</v>
      </c>
      <c r="B3546" s="15" t="str">
        <f t="shared" si="55"/>
        <v>04.291.824/0001-19</v>
      </c>
      <c r="C3546" s="12"/>
      <c r="D3546" s="3" t="s">
        <v>12317</v>
      </c>
      <c r="E3546" s="3" t="s">
        <v>12318</v>
      </c>
      <c r="F3546" s="3" t="s">
        <v>20</v>
      </c>
      <c r="G3546" s="4">
        <v>36915</v>
      </c>
      <c r="H3546" s="3" t="s">
        <v>21</v>
      </c>
      <c r="I3546" s="3" t="s">
        <v>33</v>
      </c>
      <c r="J3546" s="5">
        <v>78800</v>
      </c>
      <c r="K3546" s="3">
        <v>4664800</v>
      </c>
      <c r="L3546" s="3" t="s">
        <v>691</v>
      </c>
      <c r="M3546" s="3" t="s">
        <v>12319</v>
      </c>
      <c r="N3546" s="3">
        <v>3105</v>
      </c>
      <c r="P3546" s="3" t="s">
        <v>4302</v>
      </c>
      <c r="Q3546" s="3" t="s">
        <v>27</v>
      </c>
      <c r="R3546" s="3" t="s">
        <v>28</v>
      </c>
      <c r="S3546" s="3">
        <v>3653000</v>
      </c>
      <c r="T3546" s="3">
        <v>1126512777</v>
      </c>
      <c r="U3546" s="3" t="s">
        <v>29</v>
      </c>
    </row>
    <row r="3547" spans="1:21" ht="13.2" x14ac:dyDescent="0.25">
      <c r="A3547" s="14">
        <v>94397000128</v>
      </c>
      <c r="B3547" s="15" t="str">
        <f t="shared" si="55"/>
        <v>00.094.397/0001-28</v>
      </c>
      <c r="C3547" s="12" t="str">
        <f>VLOOKUP(B3547,[1]Planilha1!$A:$B,2,0)</f>
        <v>Mariane Nascimento</v>
      </c>
      <c r="D3547" s="3" t="s">
        <v>12320</v>
      </c>
      <c r="E3547" s="3" t="s">
        <v>12321</v>
      </c>
      <c r="F3547" s="3" t="s">
        <v>20</v>
      </c>
      <c r="G3547" s="4">
        <v>34500</v>
      </c>
      <c r="H3547" s="3" t="s">
        <v>21</v>
      </c>
      <c r="I3547" s="3" t="s">
        <v>33</v>
      </c>
      <c r="J3547" s="5">
        <v>20000000</v>
      </c>
      <c r="K3547" s="3">
        <v>8640204</v>
      </c>
      <c r="L3547" s="3" t="s">
        <v>12322</v>
      </c>
      <c r="M3547" s="3" t="s">
        <v>12323</v>
      </c>
      <c r="N3547" s="3">
        <v>911</v>
      </c>
      <c r="P3547" s="3" t="s">
        <v>12324</v>
      </c>
      <c r="Q3547" s="3" t="s">
        <v>9066</v>
      </c>
      <c r="R3547" s="3" t="s">
        <v>100</v>
      </c>
      <c r="S3547" s="3">
        <v>36025290</v>
      </c>
      <c r="T3547" s="3">
        <v>3291390020</v>
      </c>
      <c r="U3547" s="3" t="s">
        <v>29</v>
      </c>
    </row>
    <row r="3548" spans="1:21" ht="13.2" x14ac:dyDescent="0.25">
      <c r="A3548" s="14">
        <v>8217851000100</v>
      </c>
      <c r="B3548" s="15" t="str">
        <f t="shared" si="55"/>
        <v>08.217.851/0001-00</v>
      </c>
      <c r="C3548" s="12"/>
      <c r="D3548" s="3" t="s">
        <v>12325</v>
      </c>
      <c r="E3548" s="3" t="s">
        <v>12325</v>
      </c>
      <c r="F3548" s="3" t="s">
        <v>20</v>
      </c>
      <c r="G3548" s="4">
        <v>38937</v>
      </c>
      <c r="H3548" s="3" t="s">
        <v>21</v>
      </c>
      <c r="I3548" s="3" t="s">
        <v>33</v>
      </c>
      <c r="J3548" s="5">
        <v>30000000</v>
      </c>
      <c r="K3548" s="3">
        <v>4120400</v>
      </c>
      <c r="L3548" s="3" t="s">
        <v>87</v>
      </c>
      <c r="M3548" s="3" t="s">
        <v>2311</v>
      </c>
      <c r="N3548" s="3">
        <v>6685</v>
      </c>
      <c r="O3548" s="3" t="s">
        <v>496</v>
      </c>
      <c r="P3548" s="3" t="s">
        <v>1112</v>
      </c>
      <c r="Q3548" s="3" t="s">
        <v>2313</v>
      </c>
      <c r="R3548" s="3" t="s">
        <v>28</v>
      </c>
      <c r="S3548" s="3">
        <v>12926210</v>
      </c>
      <c r="T3548" s="3">
        <v>1140352809</v>
      </c>
      <c r="U3548" s="3" t="s">
        <v>29</v>
      </c>
    </row>
    <row r="3549" spans="1:21" ht="13.2" x14ac:dyDescent="0.25">
      <c r="A3549" s="14">
        <v>6093568000180</v>
      </c>
      <c r="B3549" s="15" t="str">
        <f t="shared" si="55"/>
        <v>06.093.568/0001-80</v>
      </c>
      <c r="C3549" s="12"/>
      <c r="D3549" s="3" t="s">
        <v>12326</v>
      </c>
      <c r="E3549" s="3" t="s">
        <v>12326</v>
      </c>
      <c r="F3549" s="3" t="s">
        <v>20</v>
      </c>
      <c r="G3549" s="4">
        <v>38008</v>
      </c>
      <c r="H3549" s="3" t="s">
        <v>21</v>
      </c>
      <c r="I3549" s="3" t="s">
        <v>33</v>
      </c>
      <c r="J3549" s="5">
        <v>750000</v>
      </c>
      <c r="K3549" s="3">
        <v>6201501</v>
      </c>
      <c r="L3549" s="3" t="s">
        <v>298</v>
      </c>
      <c r="M3549" s="3" t="s">
        <v>12327</v>
      </c>
      <c r="N3549" s="3">
        <v>1437</v>
      </c>
      <c r="O3549" s="3" t="s">
        <v>12328</v>
      </c>
      <c r="P3549" s="3" t="s">
        <v>1740</v>
      </c>
      <c r="Q3549" s="3" t="s">
        <v>27</v>
      </c>
      <c r="R3549" s="3" t="s">
        <v>28</v>
      </c>
      <c r="S3549" s="3">
        <v>5409010</v>
      </c>
      <c r="T3549" s="3">
        <v>1121256313</v>
      </c>
      <c r="U3549" s="3" t="s">
        <v>29</v>
      </c>
    </row>
    <row r="3550" spans="1:21" ht="13.2" x14ac:dyDescent="0.25">
      <c r="A3550" s="14">
        <v>907845000165</v>
      </c>
      <c r="B3550" s="15" t="str">
        <f t="shared" si="55"/>
        <v>00.907.845/0001-65</v>
      </c>
      <c r="C3550" s="12"/>
      <c r="D3550" s="3" t="s">
        <v>12329</v>
      </c>
      <c r="E3550" s="3" t="s">
        <v>12330</v>
      </c>
      <c r="F3550" s="3" t="s">
        <v>20</v>
      </c>
      <c r="G3550" s="4">
        <v>35010</v>
      </c>
      <c r="H3550" s="3" t="s">
        <v>21</v>
      </c>
      <c r="I3550" s="3" t="s">
        <v>33</v>
      </c>
      <c r="J3550" s="5">
        <v>279087420</v>
      </c>
      <c r="K3550" s="3">
        <v>8211300</v>
      </c>
      <c r="L3550" s="3" t="s">
        <v>166</v>
      </c>
      <c r="M3550" s="3" t="s">
        <v>10217</v>
      </c>
      <c r="N3550" s="3">
        <v>680</v>
      </c>
      <c r="O3550" s="3" t="s">
        <v>12331</v>
      </c>
      <c r="P3550" s="3" t="s">
        <v>2613</v>
      </c>
      <c r="Q3550" s="3" t="s">
        <v>27</v>
      </c>
      <c r="R3550" s="3" t="s">
        <v>28</v>
      </c>
      <c r="S3550" s="3">
        <v>2518080</v>
      </c>
      <c r="T3550" s="3">
        <v>1134046164</v>
      </c>
      <c r="U3550" s="3" t="s">
        <v>29</v>
      </c>
    </row>
    <row r="3551" spans="1:21" ht="13.2" x14ac:dyDescent="0.25">
      <c r="A3551" s="14">
        <v>60933017000123</v>
      </c>
      <c r="B3551" s="15" t="str">
        <f t="shared" si="55"/>
        <v>60.933.017/0001-23</v>
      </c>
      <c r="C3551" s="12"/>
      <c r="D3551" s="3" t="s">
        <v>12332</v>
      </c>
      <c r="E3551" s="3" t="s">
        <v>12333</v>
      </c>
      <c r="F3551" s="3" t="s">
        <v>20</v>
      </c>
      <c r="G3551" s="4">
        <v>32700</v>
      </c>
      <c r="H3551" s="3" t="s">
        <v>21</v>
      </c>
      <c r="I3551" s="3" t="s">
        <v>33</v>
      </c>
      <c r="J3551" s="5">
        <v>110000</v>
      </c>
      <c r="K3551" s="3">
        <v>4663000</v>
      </c>
      <c r="L3551" s="3" t="s">
        <v>128</v>
      </c>
      <c r="M3551" s="3" t="s">
        <v>11885</v>
      </c>
      <c r="N3551" s="3">
        <v>1150</v>
      </c>
      <c r="P3551" s="3" t="s">
        <v>12334</v>
      </c>
      <c r="Q3551" s="3" t="s">
        <v>1657</v>
      </c>
      <c r="R3551" s="3" t="s">
        <v>28</v>
      </c>
      <c r="S3551" s="3">
        <v>6343040</v>
      </c>
      <c r="T3551" s="3">
        <v>1121996965</v>
      </c>
      <c r="U3551" s="3" t="s">
        <v>29</v>
      </c>
    </row>
    <row r="3552" spans="1:21" ht="13.2" x14ac:dyDescent="0.25">
      <c r="A3552" s="14">
        <v>7480205000160</v>
      </c>
      <c r="B3552" s="15" t="str">
        <f t="shared" si="55"/>
        <v>07.480.205/0001-60</v>
      </c>
      <c r="C3552" s="12"/>
      <c r="D3552" s="3" t="s">
        <v>12335</v>
      </c>
      <c r="E3552" s="3" t="s">
        <v>12335</v>
      </c>
      <c r="F3552" s="3" t="s">
        <v>20</v>
      </c>
      <c r="G3552" s="4">
        <v>30991</v>
      </c>
      <c r="H3552" s="3" t="s">
        <v>21</v>
      </c>
      <c r="I3552" s="3" t="s">
        <v>47</v>
      </c>
      <c r="J3552" s="5">
        <v>100000</v>
      </c>
      <c r="K3552" s="3">
        <v>4322302</v>
      </c>
      <c r="L3552" s="3" t="s">
        <v>5651</v>
      </c>
      <c r="M3552" s="3" t="s">
        <v>12336</v>
      </c>
      <c r="N3552" s="3">
        <v>1227</v>
      </c>
      <c r="P3552" s="3" t="s">
        <v>70</v>
      </c>
      <c r="Q3552" s="3" t="s">
        <v>883</v>
      </c>
      <c r="R3552" s="3" t="s">
        <v>951</v>
      </c>
      <c r="S3552" s="3">
        <v>64000240</v>
      </c>
      <c r="U3552" s="3" t="s">
        <v>29</v>
      </c>
    </row>
    <row r="3553" spans="1:21" ht="13.2" x14ac:dyDescent="0.25">
      <c r="A3553" s="14">
        <v>24050685000149</v>
      </c>
      <c r="B3553" s="15" t="str">
        <f t="shared" si="55"/>
        <v>24.050.685/0001-49</v>
      </c>
      <c r="C3553" s="12"/>
      <c r="D3553" s="3" t="s">
        <v>12337</v>
      </c>
      <c r="E3553" s="3" t="s">
        <v>12338</v>
      </c>
      <c r="F3553" s="3" t="s">
        <v>20</v>
      </c>
      <c r="G3553" s="4">
        <v>42395</v>
      </c>
      <c r="H3553" s="3" t="s">
        <v>21</v>
      </c>
      <c r="I3553" s="3" t="s">
        <v>22</v>
      </c>
      <c r="J3553" s="5">
        <v>121200</v>
      </c>
      <c r="K3553" s="3">
        <v>3314710</v>
      </c>
      <c r="L3553" s="3" t="s">
        <v>7345</v>
      </c>
      <c r="M3553" s="3" t="s">
        <v>5964</v>
      </c>
      <c r="N3553" s="3">
        <v>251</v>
      </c>
      <c r="O3553" s="3" t="s">
        <v>12339</v>
      </c>
      <c r="P3553" s="3" t="s">
        <v>9442</v>
      </c>
      <c r="Q3553" s="3" t="s">
        <v>1339</v>
      </c>
      <c r="R3553" s="3" t="s">
        <v>456</v>
      </c>
      <c r="S3553" s="3">
        <v>51110160</v>
      </c>
      <c r="T3553" s="3">
        <v>8134682118</v>
      </c>
      <c r="U3553" s="3" t="s">
        <v>29</v>
      </c>
    </row>
    <row r="3554" spans="1:21" ht="13.2" x14ac:dyDescent="0.25">
      <c r="A3554" s="14">
        <v>6083148000113</v>
      </c>
      <c r="B3554" s="15" t="str">
        <f t="shared" si="55"/>
        <v>06.083.148/0001-13</v>
      </c>
      <c r="C3554" s="12"/>
      <c r="D3554" s="3" t="s">
        <v>12340</v>
      </c>
      <c r="E3554" s="3" t="s">
        <v>12341</v>
      </c>
      <c r="F3554" s="3" t="s">
        <v>20</v>
      </c>
      <c r="G3554" s="4">
        <v>37978</v>
      </c>
      <c r="H3554" s="3" t="s">
        <v>21</v>
      </c>
      <c r="I3554" s="3" t="s">
        <v>33</v>
      </c>
      <c r="J3554" s="5">
        <v>2000000</v>
      </c>
      <c r="K3554" s="3">
        <v>3321000</v>
      </c>
      <c r="L3554" s="3" t="s">
        <v>2479</v>
      </c>
      <c r="M3554" s="3" t="s">
        <v>12342</v>
      </c>
      <c r="N3554" s="3">
        <v>247</v>
      </c>
      <c r="P3554" s="3" t="s">
        <v>4008</v>
      </c>
      <c r="Q3554" s="3" t="s">
        <v>294</v>
      </c>
      <c r="R3554" s="3" t="s">
        <v>28</v>
      </c>
      <c r="S3554" s="3">
        <v>11015220</v>
      </c>
      <c r="T3554" s="3">
        <v>1340099040</v>
      </c>
      <c r="U3554" s="3" t="s">
        <v>29</v>
      </c>
    </row>
    <row r="3555" spans="1:21" ht="13.2" x14ac:dyDescent="0.25">
      <c r="A3555" s="14">
        <v>17359233000188</v>
      </c>
      <c r="B3555" s="15" t="str">
        <f t="shared" si="55"/>
        <v>17.359.233/0001-88</v>
      </c>
      <c r="C3555" s="12"/>
      <c r="D3555" s="3" t="s">
        <v>12343</v>
      </c>
      <c r="E3555" s="3" t="s">
        <v>12344</v>
      </c>
      <c r="F3555" s="3" t="s">
        <v>20</v>
      </c>
      <c r="G3555" s="4">
        <v>25183</v>
      </c>
      <c r="H3555" s="3" t="s">
        <v>377</v>
      </c>
      <c r="I3555" s="3" t="s">
        <v>33</v>
      </c>
      <c r="J3555" s="5">
        <v>383000000</v>
      </c>
      <c r="K3555" s="3">
        <v>4689399</v>
      </c>
      <c r="L3555" s="3" t="s">
        <v>783</v>
      </c>
      <c r="M3555" s="3" t="s">
        <v>12345</v>
      </c>
      <c r="N3555" s="3" t="s">
        <v>82</v>
      </c>
      <c r="P3555" s="3" t="s">
        <v>12346</v>
      </c>
      <c r="Q3555" s="3" t="s">
        <v>1701</v>
      </c>
      <c r="R3555" s="3" t="s">
        <v>100</v>
      </c>
      <c r="S3555" s="3">
        <v>32060514</v>
      </c>
      <c r="T3555" s="3">
        <v>3133590000</v>
      </c>
      <c r="U3555" s="3" t="s">
        <v>29</v>
      </c>
    </row>
    <row r="3556" spans="1:21" ht="13.2" x14ac:dyDescent="0.25">
      <c r="A3556" s="14">
        <v>9046654000120</v>
      </c>
      <c r="B3556" s="15" t="str">
        <f t="shared" si="55"/>
        <v>09.046.654/0001-20</v>
      </c>
      <c r="C3556" s="12"/>
      <c r="D3556" s="3" t="s">
        <v>12347</v>
      </c>
      <c r="E3556" s="3" t="s">
        <v>12348</v>
      </c>
      <c r="F3556" s="3" t="s">
        <v>20</v>
      </c>
      <c r="G3556" s="4">
        <v>39330</v>
      </c>
      <c r="H3556" s="3" t="s">
        <v>21</v>
      </c>
      <c r="I3556" s="3" t="s">
        <v>47</v>
      </c>
      <c r="J3556" s="5">
        <v>300000</v>
      </c>
      <c r="K3556" s="3">
        <v>4761003</v>
      </c>
      <c r="L3556" s="3" t="s">
        <v>2086</v>
      </c>
      <c r="M3556" s="3" t="s">
        <v>5569</v>
      </c>
      <c r="N3556" s="3">
        <v>242</v>
      </c>
      <c r="P3556" s="3" t="s">
        <v>2181</v>
      </c>
      <c r="Q3556" s="3" t="s">
        <v>27</v>
      </c>
      <c r="R3556" s="3" t="s">
        <v>28</v>
      </c>
      <c r="S3556" s="3">
        <v>5075000</v>
      </c>
      <c r="T3556" s="3">
        <v>3636821190</v>
      </c>
      <c r="U3556" s="3" t="s">
        <v>29</v>
      </c>
    </row>
    <row r="3557" spans="1:21" ht="13.2" x14ac:dyDescent="0.25">
      <c r="A3557" s="14">
        <v>53552691000100</v>
      </c>
      <c r="B3557" s="15" t="str">
        <f t="shared" si="55"/>
        <v>53.552.691/0001-00</v>
      </c>
      <c r="C3557" s="12"/>
      <c r="D3557" s="3" t="s">
        <v>12349</v>
      </c>
      <c r="E3557" s="3" t="s">
        <v>12349</v>
      </c>
      <c r="F3557" s="3" t="s">
        <v>20</v>
      </c>
      <c r="G3557" s="4">
        <v>30847</v>
      </c>
      <c r="H3557" s="3" t="s">
        <v>21</v>
      </c>
      <c r="I3557" s="3" t="s">
        <v>33</v>
      </c>
      <c r="J3557" s="5">
        <v>18000000</v>
      </c>
      <c r="K3557" s="3">
        <v>4313400</v>
      </c>
      <c r="L3557" s="3" t="s">
        <v>3808</v>
      </c>
      <c r="M3557" s="3" t="s">
        <v>12350</v>
      </c>
      <c r="N3557" s="3">
        <v>73</v>
      </c>
      <c r="P3557" s="3" t="s">
        <v>12351</v>
      </c>
      <c r="Q3557" s="3" t="s">
        <v>27</v>
      </c>
      <c r="R3557" s="3" t="s">
        <v>28</v>
      </c>
      <c r="S3557" s="3">
        <v>3938060</v>
      </c>
      <c r="T3557" s="3">
        <v>1127272413</v>
      </c>
      <c r="U3557" s="3" t="s">
        <v>29</v>
      </c>
    </row>
    <row r="3558" spans="1:21" ht="13.2" x14ac:dyDescent="0.25">
      <c r="A3558" s="14">
        <v>31829598000150</v>
      </c>
      <c r="B3558" s="15" t="str">
        <f t="shared" si="55"/>
        <v>31.829.598/0001-50</v>
      </c>
      <c r="C3558" s="12" t="str">
        <f>VLOOKUP(B3558,[1]Planilha1!$A:$B,2,0)</f>
        <v>Malu Montesino</v>
      </c>
      <c r="D3558" s="3" t="s">
        <v>12352</v>
      </c>
      <c r="E3558" s="3" t="s">
        <v>12353</v>
      </c>
      <c r="F3558" s="3" t="s">
        <v>20</v>
      </c>
      <c r="G3558" s="4">
        <v>43395</v>
      </c>
      <c r="H3558" s="3" t="s">
        <v>21</v>
      </c>
      <c r="I3558" s="3" t="s">
        <v>33</v>
      </c>
      <c r="J3558" s="5">
        <v>340000</v>
      </c>
      <c r="K3558" s="3">
        <v>4664800</v>
      </c>
      <c r="L3558" s="3" t="s">
        <v>691</v>
      </c>
      <c r="M3558" s="3" t="s">
        <v>12354</v>
      </c>
      <c r="N3558" s="3">
        <v>275</v>
      </c>
      <c r="O3558" s="3" t="s">
        <v>12355</v>
      </c>
      <c r="P3558" s="3" t="s">
        <v>70</v>
      </c>
      <c r="Q3558" s="3" t="s">
        <v>217</v>
      </c>
      <c r="R3558" s="3" t="s">
        <v>28</v>
      </c>
      <c r="S3558" s="3">
        <v>9770000</v>
      </c>
      <c r="T3558" s="3">
        <v>1125985401</v>
      </c>
      <c r="U3558" s="3" t="s">
        <v>29</v>
      </c>
    </row>
    <row r="3559" spans="1:21" ht="13.2" x14ac:dyDescent="0.25">
      <c r="A3559" s="14">
        <v>7241124000108</v>
      </c>
      <c r="B3559" s="15" t="str">
        <f t="shared" si="55"/>
        <v>07.241.124/0001-08</v>
      </c>
      <c r="C3559" s="12"/>
      <c r="D3559" s="3" t="s">
        <v>12356</v>
      </c>
      <c r="E3559" s="3" t="s">
        <v>12357</v>
      </c>
      <c r="F3559" s="3" t="s">
        <v>20</v>
      </c>
      <c r="G3559" s="4">
        <v>38378</v>
      </c>
      <c r="H3559" s="3" t="s">
        <v>21</v>
      </c>
      <c r="I3559" s="3" t="s">
        <v>22</v>
      </c>
      <c r="J3559" s="5">
        <v>104500</v>
      </c>
      <c r="K3559" s="3">
        <v>4773300</v>
      </c>
      <c r="L3559" s="3" t="s">
        <v>706</v>
      </c>
      <c r="M3559" s="3" t="s">
        <v>12358</v>
      </c>
      <c r="N3559" s="3">
        <v>409</v>
      </c>
      <c r="O3559" s="3" t="s">
        <v>4486</v>
      </c>
      <c r="P3559" s="3" t="s">
        <v>4062</v>
      </c>
      <c r="Q3559" s="3" t="s">
        <v>1312</v>
      </c>
      <c r="R3559" s="3" t="s">
        <v>28</v>
      </c>
      <c r="S3559" s="3">
        <v>13309100</v>
      </c>
      <c r="T3559" s="3">
        <v>1184730212</v>
      </c>
      <c r="U3559" s="3" t="s">
        <v>29</v>
      </c>
    </row>
    <row r="3560" spans="1:21" ht="13.2" x14ac:dyDescent="0.25">
      <c r="A3560" s="14">
        <v>21748841000151</v>
      </c>
      <c r="B3560" s="15" t="str">
        <f t="shared" si="55"/>
        <v>21.748.841/0001-51</v>
      </c>
      <c r="C3560" s="12"/>
      <c r="D3560" s="3" t="s">
        <v>12359</v>
      </c>
      <c r="E3560" s="3" t="s">
        <v>12360</v>
      </c>
      <c r="F3560" s="3" t="s">
        <v>20</v>
      </c>
      <c r="G3560" s="4">
        <v>42030</v>
      </c>
      <c r="H3560" s="3" t="s">
        <v>21</v>
      </c>
      <c r="I3560" s="3" t="s">
        <v>33</v>
      </c>
      <c r="J3560" s="5">
        <v>4500000</v>
      </c>
      <c r="K3560" s="3">
        <v>6202300</v>
      </c>
      <c r="L3560" s="3" t="s">
        <v>103</v>
      </c>
      <c r="M3560" s="3" t="s">
        <v>4364</v>
      </c>
      <c r="N3560" s="3">
        <v>249</v>
      </c>
      <c r="O3560" s="3" t="s">
        <v>1570</v>
      </c>
      <c r="P3560" s="3" t="s">
        <v>12361</v>
      </c>
      <c r="Q3560" s="3" t="s">
        <v>12362</v>
      </c>
      <c r="R3560" s="3" t="s">
        <v>456</v>
      </c>
      <c r="S3560" s="3">
        <v>53520020</v>
      </c>
      <c r="T3560" s="3">
        <v>1132302592</v>
      </c>
      <c r="U3560" s="3" t="s">
        <v>29</v>
      </c>
    </row>
    <row r="3561" spans="1:21" ht="13.2" x14ac:dyDescent="0.25">
      <c r="A3561" s="14">
        <v>13275220000170</v>
      </c>
      <c r="B3561" s="15" t="str">
        <f t="shared" si="55"/>
        <v>13.275.220/0001-70</v>
      </c>
      <c r="C3561" s="12"/>
      <c r="D3561" s="3" t="s">
        <v>12363</v>
      </c>
      <c r="E3561" s="3" t="s">
        <v>12363</v>
      </c>
      <c r="F3561" s="3" t="s">
        <v>20</v>
      </c>
      <c r="G3561" s="4">
        <v>40532</v>
      </c>
      <c r="H3561" s="3" t="s">
        <v>21</v>
      </c>
      <c r="I3561" s="3" t="s">
        <v>33</v>
      </c>
      <c r="J3561" s="5">
        <v>300000</v>
      </c>
      <c r="K3561" s="3">
        <v>2229302</v>
      </c>
      <c r="L3561" s="3" t="s">
        <v>576</v>
      </c>
      <c r="M3561" s="3" t="s">
        <v>12364</v>
      </c>
      <c r="N3561" s="3" t="s">
        <v>12200</v>
      </c>
      <c r="O3561" s="3" t="s">
        <v>12365</v>
      </c>
      <c r="P3561" s="3" t="s">
        <v>12366</v>
      </c>
      <c r="Q3561" s="3" t="s">
        <v>1709</v>
      </c>
      <c r="R3561" s="3" t="s">
        <v>28</v>
      </c>
      <c r="S3561" s="3">
        <v>13315000</v>
      </c>
      <c r="T3561" s="3">
        <v>1175479189</v>
      </c>
      <c r="U3561" s="3" t="s">
        <v>29</v>
      </c>
    </row>
    <row r="3562" spans="1:21" ht="13.2" x14ac:dyDescent="0.25">
      <c r="A3562" s="14">
        <v>29000841000180</v>
      </c>
      <c r="B3562" s="15" t="str">
        <f t="shared" si="55"/>
        <v>29.000.841/0001-80</v>
      </c>
      <c r="C3562" s="12"/>
      <c r="D3562" s="3" t="s">
        <v>12367</v>
      </c>
      <c r="E3562" s="3" t="s">
        <v>12367</v>
      </c>
      <c r="F3562" s="3" t="s">
        <v>20</v>
      </c>
      <c r="G3562" s="4">
        <v>31065</v>
      </c>
      <c r="H3562" s="3" t="s">
        <v>21</v>
      </c>
      <c r="I3562" s="3" t="s">
        <v>33</v>
      </c>
      <c r="J3562" s="5">
        <v>287000</v>
      </c>
      <c r="K3562" s="3">
        <v>7830200</v>
      </c>
      <c r="L3562" s="3" t="s">
        <v>473</v>
      </c>
      <c r="M3562" s="3" t="s">
        <v>12368</v>
      </c>
      <c r="N3562" s="3">
        <v>414</v>
      </c>
      <c r="O3562" s="3" t="s">
        <v>12369</v>
      </c>
      <c r="P3562" s="3" t="s">
        <v>12370</v>
      </c>
      <c r="Q3562" s="3" t="s">
        <v>253</v>
      </c>
      <c r="R3562" s="3" t="s">
        <v>78</v>
      </c>
      <c r="S3562" s="3">
        <v>20720012</v>
      </c>
      <c r="T3562" s="3">
        <v>2134494779</v>
      </c>
      <c r="U3562" s="3" t="s">
        <v>29</v>
      </c>
    </row>
    <row r="3563" spans="1:21" ht="13.2" x14ac:dyDescent="0.25">
      <c r="A3563" s="14">
        <v>2990846000141</v>
      </c>
      <c r="B3563" s="15" t="str">
        <f t="shared" si="55"/>
        <v>02.990.846/0001-41</v>
      </c>
      <c r="C3563" s="12" t="str">
        <f>VLOOKUP(B3563,[1]Planilha1!$A:$B,2,0)</f>
        <v>Malu Montesino</v>
      </c>
      <c r="D3563" s="3" t="s">
        <v>12371</v>
      </c>
      <c r="E3563" s="3" t="s">
        <v>12371</v>
      </c>
      <c r="F3563" s="3" t="s">
        <v>20</v>
      </c>
      <c r="G3563" s="4">
        <v>36151</v>
      </c>
      <c r="H3563" s="3" t="s">
        <v>21</v>
      </c>
      <c r="I3563" s="3" t="s">
        <v>33</v>
      </c>
      <c r="J3563" s="5">
        <v>12401188</v>
      </c>
      <c r="K3563" s="3">
        <v>2223400</v>
      </c>
      <c r="L3563" s="3" t="s">
        <v>868</v>
      </c>
      <c r="M3563" s="3" t="s">
        <v>12372</v>
      </c>
      <c r="N3563" s="3">
        <v>394</v>
      </c>
      <c r="O3563" s="3" t="s">
        <v>12373</v>
      </c>
      <c r="P3563" s="3" t="s">
        <v>12374</v>
      </c>
      <c r="Q3563" s="3" t="s">
        <v>27</v>
      </c>
      <c r="R3563" s="3" t="s">
        <v>28</v>
      </c>
      <c r="S3563" s="3">
        <v>8340010</v>
      </c>
      <c r="T3563" s="3">
        <v>1136198883</v>
      </c>
      <c r="U3563" s="3" t="s">
        <v>29</v>
      </c>
    </row>
    <row r="3564" spans="1:21" ht="13.2" x14ac:dyDescent="0.25">
      <c r="A3564" s="14">
        <v>19485728000189</v>
      </c>
      <c r="B3564" s="15" t="str">
        <f t="shared" si="55"/>
        <v>19.485.728/0001-89</v>
      </c>
      <c r="C3564" s="12" t="str">
        <f>VLOOKUP(B3564,[1]Planilha1!$A:$B,2,0)</f>
        <v>Malu Montesino</v>
      </c>
      <c r="D3564" s="3" t="s">
        <v>12375</v>
      </c>
      <c r="E3564" s="3" t="s">
        <v>12376</v>
      </c>
      <c r="F3564" s="3" t="s">
        <v>20</v>
      </c>
      <c r="G3564" s="4">
        <v>41645</v>
      </c>
      <c r="H3564" s="3" t="s">
        <v>21</v>
      </c>
      <c r="I3564" s="3" t="s">
        <v>33</v>
      </c>
      <c r="J3564" s="5">
        <v>1000000</v>
      </c>
      <c r="K3564" s="3">
        <v>4751201</v>
      </c>
      <c r="L3564" s="3" t="s">
        <v>23</v>
      </c>
      <c r="M3564" s="3" t="s">
        <v>12377</v>
      </c>
      <c r="N3564" s="3">
        <v>6</v>
      </c>
      <c r="O3564" s="3" t="s">
        <v>12378</v>
      </c>
      <c r="P3564" s="3" t="s">
        <v>12379</v>
      </c>
      <c r="Q3564" s="3" t="s">
        <v>631</v>
      </c>
      <c r="R3564" s="3" t="s">
        <v>632</v>
      </c>
      <c r="S3564" s="3">
        <v>71736101</v>
      </c>
      <c r="T3564" s="3">
        <v>6130344748</v>
      </c>
      <c r="U3564" s="3" t="s">
        <v>29</v>
      </c>
    </row>
    <row r="3565" spans="1:21" ht="13.2" x14ac:dyDescent="0.25">
      <c r="A3565" s="14">
        <v>3954780000105</v>
      </c>
      <c r="B3565" s="15" t="str">
        <f t="shared" si="55"/>
        <v>03.954.780/0001-05</v>
      </c>
      <c r="C3565" s="12"/>
      <c r="D3565" s="3" t="s">
        <v>12380</v>
      </c>
      <c r="E3565" s="3" t="s">
        <v>12381</v>
      </c>
      <c r="F3565" s="3" t="s">
        <v>20</v>
      </c>
      <c r="G3565" s="4">
        <v>36728</v>
      </c>
      <c r="H3565" s="3" t="s">
        <v>21</v>
      </c>
      <c r="I3565" s="3" t="s">
        <v>47</v>
      </c>
      <c r="J3565" s="5">
        <v>1300000</v>
      </c>
      <c r="K3565" s="3">
        <v>3299003</v>
      </c>
      <c r="L3565" s="3" t="s">
        <v>2654</v>
      </c>
      <c r="M3565" s="3" t="s">
        <v>12382</v>
      </c>
      <c r="N3565" s="3">
        <v>361</v>
      </c>
      <c r="P3565" s="3" t="s">
        <v>2540</v>
      </c>
      <c r="Q3565" s="3" t="s">
        <v>688</v>
      </c>
      <c r="R3565" s="3" t="s">
        <v>28</v>
      </c>
      <c r="S3565" s="3">
        <v>6715775</v>
      </c>
      <c r="T3565" s="3">
        <v>1141874413</v>
      </c>
      <c r="U3565" s="3" t="s">
        <v>29</v>
      </c>
    </row>
    <row r="3566" spans="1:21" ht="13.2" x14ac:dyDescent="0.25">
      <c r="A3566" s="14">
        <v>55798839000109</v>
      </c>
      <c r="B3566" s="15" t="str">
        <f t="shared" si="55"/>
        <v>55.798.839/0001-09</v>
      </c>
      <c r="C3566" s="12"/>
      <c r="D3566" s="3" t="s">
        <v>12383</v>
      </c>
      <c r="E3566" s="3" t="s">
        <v>12383</v>
      </c>
      <c r="F3566" s="3" t="s">
        <v>20</v>
      </c>
      <c r="G3566" s="4">
        <v>31555</v>
      </c>
      <c r="H3566" s="3" t="s">
        <v>21</v>
      </c>
      <c r="I3566" s="3" t="s">
        <v>33</v>
      </c>
      <c r="J3566" s="5">
        <v>259186</v>
      </c>
      <c r="K3566" s="3">
        <v>8122200</v>
      </c>
      <c r="L3566" s="3" t="s">
        <v>2910</v>
      </c>
      <c r="M3566" s="3" t="s">
        <v>12384</v>
      </c>
      <c r="N3566" s="3">
        <v>456</v>
      </c>
      <c r="P3566" s="3" t="s">
        <v>12385</v>
      </c>
      <c r="Q3566" s="3" t="s">
        <v>27</v>
      </c>
      <c r="R3566" s="3" t="s">
        <v>28</v>
      </c>
      <c r="S3566" s="3">
        <v>4710001</v>
      </c>
      <c r="T3566" s="3">
        <v>1155068500</v>
      </c>
      <c r="U3566" s="3" t="s">
        <v>29</v>
      </c>
    </row>
    <row r="3567" spans="1:21" ht="13.2" x14ac:dyDescent="0.25">
      <c r="A3567" s="14">
        <v>5514905000101</v>
      </c>
      <c r="B3567" s="15" t="str">
        <f t="shared" si="55"/>
        <v>05.514.905/0001-01</v>
      </c>
      <c r="C3567" s="12"/>
      <c r="D3567" s="3" t="s">
        <v>12386</v>
      </c>
      <c r="E3567" s="3" t="s">
        <v>12386</v>
      </c>
      <c r="F3567" s="3" t="s">
        <v>20</v>
      </c>
      <c r="G3567" s="4">
        <v>37627</v>
      </c>
      <c r="H3567" s="3" t="s">
        <v>21</v>
      </c>
      <c r="I3567" s="3" t="s">
        <v>33</v>
      </c>
      <c r="J3567" s="5">
        <v>20482432</v>
      </c>
      <c r="K3567" s="3">
        <v>4211101</v>
      </c>
      <c r="L3567" s="3" t="s">
        <v>313</v>
      </c>
      <c r="M3567" s="3" t="s">
        <v>4430</v>
      </c>
      <c r="N3567" s="3">
        <v>2001</v>
      </c>
      <c r="O3567" s="3" t="s">
        <v>12387</v>
      </c>
      <c r="P3567" s="3" t="s">
        <v>3673</v>
      </c>
      <c r="Q3567" s="3" t="s">
        <v>476</v>
      </c>
      <c r="R3567" s="3" t="s">
        <v>100</v>
      </c>
      <c r="S3567" s="3">
        <v>30140074</v>
      </c>
      <c r="T3567" s="3">
        <v>3137898061</v>
      </c>
      <c r="U3567" s="3" t="s">
        <v>29</v>
      </c>
    </row>
    <row r="3568" spans="1:21" ht="13.2" x14ac:dyDescent="0.25">
      <c r="A3568" s="14">
        <v>60569845000124</v>
      </c>
      <c r="B3568" s="15" t="str">
        <f t="shared" si="55"/>
        <v>60.569.845/0001-24</v>
      </c>
      <c r="C3568" s="12"/>
      <c r="D3568" s="3" t="s">
        <v>12388</v>
      </c>
      <c r="E3568" s="3" t="s">
        <v>12389</v>
      </c>
      <c r="F3568" s="3" t="s">
        <v>20</v>
      </c>
      <c r="G3568" s="4">
        <v>24845</v>
      </c>
      <c r="H3568" s="3" t="s">
        <v>94</v>
      </c>
      <c r="I3568" s="3" t="s">
        <v>33</v>
      </c>
      <c r="J3568" s="5">
        <v>762000</v>
      </c>
      <c r="K3568" s="3">
        <v>2229399</v>
      </c>
      <c r="L3568" s="3" t="s">
        <v>414</v>
      </c>
      <c r="M3568" s="3" t="s">
        <v>12390</v>
      </c>
      <c r="N3568" s="7">
        <v>4340</v>
      </c>
      <c r="O3568" s="3" t="s">
        <v>12391</v>
      </c>
      <c r="P3568" s="3" t="s">
        <v>4550</v>
      </c>
      <c r="Q3568" s="3" t="s">
        <v>27</v>
      </c>
      <c r="R3568" s="3" t="s">
        <v>28</v>
      </c>
      <c r="S3568" s="3">
        <v>5520200</v>
      </c>
      <c r="T3568" s="3">
        <v>1126949888</v>
      </c>
      <c r="U3568" s="3" t="s">
        <v>29</v>
      </c>
    </row>
    <row r="3569" spans="1:21" ht="13.2" x14ac:dyDescent="0.25">
      <c r="A3569" s="14">
        <v>6120576000179</v>
      </c>
      <c r="B3569" s="15" t="str">
        <f t="shared" si="55"/>
        <v>06.120.576/0001-79</v>
      </c>
      <c r="C3569" s="12" t="str">
        <f>VLOOKUP(B3569,[1]Planilha1!$A:$B,2,0)</f>
        <v>Malu Montesino</v>
      </c>
      <c r="D3569" s="3" t="s">
        <v>12392</v>
      </c>
      <c r="E3569" s="3" t="s">
        <v>12393</v>
      </c>
      <c r="F3569" s="3" t="s">
        <v>20</v>
      </c>
      <c r="G3569" s="4">
        <v>38029</v>
      </c>
      <c r="H3569" s="3" t="s">
        <v>21</v>
      </c>
      <c r="I3569" s="3" t="s">
        <v>33</v>
      </c>
      <c r="J3569" s="5">
        <v>870000</v>
      </c>
      <c r="K3569" s="3">
        <v>2813500</v>
      </c>
      <c r="L3569" s="3" t="s">
        <v>1383</v>
      </c>
      <c r="M3569" s="3" t="s">
        <v>12394</v>
      </c>
      <c r="N3569" s="3">
        <v>333</v>
      </c>
      <c r="P3569" s="3" t="s">
        <v>70</v>
      </c>
      <c r="Q3569" s="3" t="s">
        <v>12395</v>
      </c>
      <c r="R3569" s="3" t="s">
        <v>28</v>
      </c>
      <c r="S3569" s="3">
        <v>14120000</v>
      </c>
      <c r="U3569" s="3" t="s">
        <v>29</v>
      </c>
    </row>
    <row r="3570" spans="1:21" ht="13.2" x14ac:dyDescent="0.25">
      <c r="A3570" s="14">
        <v>17295205000144</v>
      </c>
      <c r="B3570" s="15" t="str">
        <f t="shared" si="55"/>
        <v>17.295.205/0001-44</v>
      </c>
      <c r="C3570" s="12"/>
      <c r="D3570" s="3" t="s">
        <v>12396</v>
      </c>
      <c r="E3570" s="3" t="s">
        <v>12396</v>
      </c>
      <c r="F3570" s="3" t="s">
        <v>20</v>
      </c>
      <c r="G3570" s="4">
        <v>24705</v>
      </c>
      <c r="H3570" s="3" t="s">
        <v>21</v>
      </c>
      <c r="I3570" s="3" t="s">
        <v>33</v>
      </c>
      <c r="J3570" s="5">
        <v>36939120</v>
      </c>
      <c r="K3570" s="3">
        <v>2740602</v>
      </c>
      <c r="L3570" s="3" t="s">
        <v>1994</v>
      </c>
      <c r="M3570" s="3" t="s">
        <v>10232</v>
      </c>
      <c r="N3570" s="3">
        <v>1228</v>
      </c>
      <c r="P3570" s="3" t="s">
        <v>12397</v>
      </c>
      <c r="Q3570" s="3" t="s">
        <v>1701</v>
      </c>
      <c r="R3570" s="3" t="s">
        <v>100</v>
      </c>
      <c r="S3570" s="3">
        <v>32010090</v>
      </c>
      <c r="T3570" s="3">
        <v>3133598203</v>
      </c>
      <c r="U3570" s="3" t="s">
        <v>29</v>
      </c>
    </row>
    <row r="3571" spans="1:21" ht="13.2" x14ac:dyDescent="0.25">
      <c r="A3571" s="14">
        <v>2351144000118</v>
      </c>
      <c r="B3571" s="15" t="str">
        <f t="shared" si="55"/>
        <v>02.351.144/0001-18</v>
      </c>
      <c r="C3571" s="12" t="str">
        <f>VLOOKUP(B3571,[1]Planilha1!$A:$B,2,0)</f>
        <v>Malu Montesino</v>
      </c>
      <c r="D3571" s="3" t="s">
        <v>12398</v>
      </c>
      <c r="E3571" s="3" t="s">
        <v>12398</v>
      </c>
      <c r="F3571" s="3" t="s">
        <v>20</v>
      </c>
      <c r="G3571" s="4">
        <v>35817</v>
      </c>
      <c r="H3571" s="3" t="s">
        <v>377</v>
      </c>
      <c r="I3571" s="3" t="s">
        <v>33</v>
      </c>
      <c r="J3571" s="5">
        <v>438838900</v>
      </c>
      <c r="K3571" s="3">
        <v>4930202</v>
      </c>
      <c r="L3571" s="3" t="s">
        <v>2603</v>
      </c>
      <c r="M3571" s="3" t="s">
        <v>12399</v>
      </c>
      <c r="N3571" s="3">
        <v>2000</v>
      </c>
      <c r="P3571" s="3" t="s">
        <v>12032</v>
      </c>
      <c r="Q3571" s="3" t="s">
        <v>217</v>
      </c>
      <c r="R3571" s="3" t="s">
        <v>28</v>
      </c>
      <c r="S3571" s="3">
        <v>9820655</v>
      </c>
      <c r="T3571" s="3">
        <v>1143462500</v>
      </c>
      <c r="U3571" s="3" t="s">
        <v>29</v>
      </c>
    </row>
    <row r="3572" spans="1:21" ht="13.2" x14ac:dyDescent="0.25">
      <c r="A3572" s="14">
        <v>11430143000150</v>
      </c>
      <c r="B3572" s="15" t="str">
        <f t="shared" si="55"/>
        <v>11.430.143/0001-50</v>
      </c>
      <c r="C3572" s="12" t="str">
        <f>VLOOKUP(B3572,[1]Planilha1!$A:$B,2,0)</f>
        <v>Malu Montesino</v>
      </c>
      <c r="D3572" s="3" t="s">
        <v>12400</v>
      </c>
      <c r="E3572" s="3" t="s">
        <v>12401</v>
      </c>
      <c r="F3572" s="3" t="s">
        <v>20</v>
      </c>
      <c r="G3572" s="4">
        <v>40158</v>
      </c>
      <c r="H3572" s="3" t="s">
        <v>21</v>
      </c>
      <c r="I3572" s="3" t="s">
        <v>33</v>
      </c>
      <c r="J3572" s="5">
        <v>153000</v>
      </c>
      <c r="K3572" s="3">
        <v>4530703</v>
      </c>
      <c r="L3572" s="3" t="s">
        <v>768</v>
      </c>
      <c r="M3572" s="3" t="s">
        <v>2102</v>
      </c>
      <c r="N3572" s="3">
        <v>268</v>
      </c>
      <c r="O3572" s="3" t="s">
        <v>12402</v>
      </c>
      <c r="P3572" s="3" t="s">
        <v>2104</v>
      </c>
      <c r="Q3572" s="3" t="s">
        <v>617</v>
      </c>
      <c r="R3572" s="3" t="s">
        <v>28</v>
      </c>
      <c r="S3572" s="3">
        <v>6472001</v>
      </c>
      <c r="T3572" s="3">
        <v>1124246174</v>
      </c>
      <c r="U3572" s="3" t="s">
        <v>29</v>
      </c>
    </row>
    <row r="3573" spans="1:21" ht="13.2" x14ac:dyDescent="0.25">
      <c r="A3573" s="14">
        <v>27460001000175</v>
      </c>
      <c r="B3573" s="15" t="str">
        <f t="shared" si="55"/>
        <v>27.460.001/0001-75</v>
      </c>
      <c r="C3573" s="12" t="str">
        <f>VLOOKUP(B3573,[1]Planilha1!$A:$B,2,0)</f>
        <v>Mariane Nascimento</v>
      </c>
      <c r="D3573" s="3" t="s">
        <v>12403</v>
      </c>
      <c r="E3573" s="3" t="s">
        <v>12404</v>
      </c>
      <c r="F3573" s="3" t="s">
        <v>20</v>
      </c>
      <c r="G3573" s="4">
        <v>42829</v>
      </c>
      <c r="H3573" s="3" t="s">
        <v>21</v>
      </c>
      <c r="I3573" s="3" t="s">
        <v>33</v>
      </c>
      <c r="J3573" s="5">
        <v>9752777</v>
      </c>
      <c r="K3573" s="3">
        <v>8650003</v>
      </c>
      <c r="L3573" s="3" t="s">
        <v>12405</v>
      </c>
      <c r="M3573" s="3" t="s">
        <v>12406</v>
      </c>
      <c r="N3573" s="3">
        <v>643</v>
      </c>
      <c r="O3573" s="3" t="s">
        <v>12407</v>
      </c>
      <c r="P3573" s="3" t="s">
        <v>461</v>
      </c>
      <c r="Q3573" s="3" t="s">
        <v>27</v>
      </c>
      <c r="R3573" s="3" t="s">
        <v>28</v>
      </c>
      <c r="S3573" s="3">
        <v>1415901</v>
      </c>
      <c r="T3573" s="3">
        <v>1135786338</v>
      </c>
      <c r="U3573" s="3" t="s">
        <v>29</v>
      </c>
    </row>
    <row r="3574" spans="1:21" ht="13.2" x14ac:dyDescent="0.25">
      <c r="A3574" s="14">
        <v>71680193001008</v>
      </c>
      <c r="B3574" s="15" t="str">
        <f t="shared" si="55"/>
        <v>71.680.193/0010-08</v>
      </c>
      <c r="C3574" s="12" t="str">
        <f>VLOOKUP(B3574,[1]Planilha1!$A:$B,2,0)</f>
        <v>Malu Montesino</v>
      </c>
      <c r="D3574" s="3" t="s">
        <v>12408</v>
      </c>
      <c r="E3574" s="3" t="s">
        <v>12408</v>
      </c>
      <c r="F3574" s="3" t="s">
        <v>20</v>
      </c>
      <c r="G3574" s="4">
        <v>44550</v>
      </c>
      <c r="H3574" s="3" t="s">
        <v>21</v>
      </c>
      <c r="I3574" s="3" t="s">
        <v>33</v>
      </c>
      <c r="J3574" s="5">
        <v>10000000</v>
      </c>
      <c r="K3574" s="3">
        <v>4651601</v>
      </c>
      <c r="L3574" s="3" t="s">
        <v>684</v>
      </c>
      <c r="M3574" s="3" t="s">
        <v>12409</v>
      </c>
      <c r="N3574" s="3">
        <v>3171</v>
      </c>
      <c r="P3574" s="3" t="s">
        <v>12410</v>
      </c>
      <c r="Q3574" s="3" t="s">
        <v>667</v>
      </c>
      <c r="R3574" s="3" t="s">
        <v>301</v>
      </c>
      <c r="S3574" s="3">
        <v>60120140</v>
      </c>
      <c r="T3574" s="3">
        <v>1121467777</v>
      </c>
      <c r="U3574" s="3" t="s">
        <v>29</v>
      </c>
    </row>
    <row r="3575" spans="1:21" ht="13.2" x14ac:dyDescent="0.25">
      <c r="A3575" s="14">
        <v>51695709000190</v>
      </c>
      <c r="B3575" s="15" t="str">
        <f t="shared" si="55"/>
        <v>51.695.709/0001-90</v>
      </c>
      <c r="C3575" s="12" t="str">
        <f>VLOOKUP(B3575,[1]Planilha1!$A:$B,2,0)</f>
        <v>Malu Montesino</v>
      </c>
      <c r="D3575" s="3" t="s">
        <v>12411</v>
      </c>
      <c r="E3575" s="3" t="s">
        <v>12411</v>
      </c>
      <c r="F3575" s="3" t="s">
        <v>20</v>
      </c>
      <c r="G3575" s="4">
        <v>45142</v>
      </c>
      <c r="H3575" s="3" t="s">
        <v>21</v>
      </c>
      <c r="I3575" s="3" t="s">
        <v>33</v>
      </c>
      <c r="J3575" s="5">
        <v>50000000</v>
      </c>
      <c r="K3575" s="3">
        <v>4652400</v>
      </c>
      <c r="L3575" s="3" t="s">
        <v>1031</v>
      </c>
      <c r="M3575" s="3" t="s">
        <v>10671</v>
      </c>
      <c r="N3575" s="3">
        <v>2187</v>
      </c>
      <c r="O3575" s="3" t="s">
        <v>12412</v>
      </c>
      <c r="P3575" s="3" t="s">
        <v>1064</v>
      </c>
      <c r="Q3575" s="3" t="s">
        <v>27</v>
      </c>
      <c r="R3575" s="3" t="s">
        <v>28</v>
      </c>
      <c r="S3575" s="3">
        <v>4035000</v>
      </c>
      <c r="T3575" s="3">
        <v>1155835583</v>
      </c>
      <c r="U3575" s="3" t="s">
        <v>29</v>
      </c>
    </row>
    <row r="3576" spans="1:21" ht="13.2" x14ac:dyDescent="0.25">
      <c r="A3576" s="14">
        <v>2558157000162</v>
      </c>
      <c r="B3576" s="15" t="str">
        <f t="shared" si="55"/>
        <v>02.558.157/0001-62</v>
      </c>
      <c r="C3576" s="12"/>
      <c r="D3576" s="3" t="s">
        <v>12413</v>
      </c>
      <c r="E3576" s="3" t="s">
        <v>12413</v>
      </c>
      <c r="F3576" s="3" t="s">
        <v>20</v>
      </c>
      <c r="G3576" s="4">
        <v>35950</v>
      </c>
      <c r="H3576" s="3" t="s">
        <v>377</v>
      </c>
      <c r="I3576" s="3" t="s">
        <v>33</v>
      </c>
      <c r="J3576" s="5">
        <v>60071416000</v>
      </c>
      <c r="K3576" s="3">
        <v>6110801</v>
      </c>
      <c r="L3576" s="3" t="s">
        <v>990</v>
      </c>
      <c r="M3576" s="3" t="s">
        <v>12414</v>
      </c>
      <c r="N3576" s="3">
        <v>1376</v>
      </c>
      <c r="P3576" s="3" t="s">
        <v>1019</v>
      </c>
      <c r="Q3576" s="3" t="s">
        <v>27</v>
      </c>
      <c r="R3576" s="3" t="s">
        <v>28</v>
      </c>
      <c r="S3576" s="3">
        <v>4571936</v>
      </c>
      <c r="T3576" s="3">
        <v>1134304532</v>
      </c>
      <c r="U3576" s="3" t="s">
        <v>29</v>
      </c>
    </row>
    <row r="3577" spans="1:21" ht="13.2" x14ac:dyDescent="0.25">
      <c r="A3577" s="14">
        <v>44772937000150</v>
      </c>
      <c r="B3577" s="15" t="str">
        <f t="shared" si="55"/>
        <v>44.772.937/0001-50</v>
      </c>
      <c r="C3577" s="12"/>
      <c r="D3577" s="3" t="s">
        <v>12415</v>
      </c>
      <c r="E3577" s="3" t="s">
        <v>12415</v>
      </c>
      <c r="F3577" s="3" t="s">
        <v>20</v>
      </c>
      <c r="G3577" s="4">
        <v>29503</v>
      </c>
      <c r="H3577" s="3" t="s">
        <v>21</v>
      </c>
      <c r="I3577" s="3" t="s">
        <v>33</v>
      </c>
      <c r="J3577" s="5">
        <v>6520000</v>
      </c>
      <c r="K3577" s="3">
        <v>4751201</v>
      </c>
      <c r="L3577" s="3" t="s">
        <v>23</v>
      </c>
      <c r="M3577" s="3" t="s">
        <v>12416</v>
      </c>
      <c r="N3577" s="3">
        <v>370</v>
      </c>
      <c r="O3577" s="3" t="s">
        <v>3681</v>
      </c>
      <c r="P3577" s="3" t="s">
        <v>12417</v>
      </c>
      <c r="Q3577" s="3" t="s">
        <v>617</v>
      </c>
      <c r="R3577" s="3" t="s">
        <v>28</v>
      </c>
      <c r="S3577" s="3">
        <v>6402010</v>
      </c>
      <c r="T3577" s="3">
        <v>1139336381</v>
      </c>
      <c r="U3577" s="3" t="s">
        <v>29</v>
      </c>
    </row>
    <row r="3578" spans="1:21" ht="13.2" x14ac:dyDescent="0.25">
      <c r="A3578" s="14">
        <v>11006037000143</v>
      </c>
      <c r="B3578" s="15" t="str">
        <f t="shared" si="55"/>
        <v>11.006.037/0001-43</v>
      </c>
      <c r="C3578" s="12"/>
      <c r="D3578" s="3" t="s">
        <v>12418</v>
      </c>
      <c r="E3578" s="3" t="s">
        <v>12418</v>
      </c>
      <c r="F3578" s="3" t="s">
        <v>20</v>
      </c>
      <c r="G3578" s="4">
        <v>40022</v>
      </c>
      <c r="H3578" s="3" t="s">
        <v>21</v>
      </c>
      <c r="I3578" s="3" t="s">
        <v>33</v>
      </c>
      <c r="J3578" s="5">
        <v>481717</v>
      </c>
      <c r="K3578" s="3">
        <v>4645101</v>
      </c>
      <c r="L3578" s="3" t="s">
        <v>135</v>
      </c>
      <c r="M3578" s="3" t="s">
        <v>12419</v>
      </c>
      <c r="N3578" s="3">
        <v>840</v>
      </c>
      <c r="O3578" s="3" t="s">
        <v>12420</v>
      </c>
      <c r="P3578" s="3" t="s">
        <v>252</v>
      </c>
      <c r="Q3578" s="3" t="s">
        <v>253</v>
      </c>
      <c r="R3578" s="3" t="s">
        <v>78</v>
      </c>
      <c r="S3578" s="3">
        <v>22631470</v>
      </c>
      <c r="T3578" s="3">
        <v>2134009090</v>
      </c>
      <c r="U3578" s="3" t="s">
        <v>29</v>
      </c>
    </row>
    <row r="3579" spans="1:21" ht="13.2" x14ac:dyDescent="0.25">
      <c r="A3579" s="14">
        <v>73442360000117</v>
      </c>
      <c r="B3579" s="15" t="str">
        <f t="shared" si="55"/>
        <v>73.442.360/0001-17</v>
      </c>
      <c r="C3579" s="12"/>
      <c r="D3579" s="3" t="s">
        <v>12421</v>
      </c>
      <c r="E3579" s="3" t="s">
        <v>12422</v>
      </c>
      <c r="F3579" s="3" t="s">
        <v>20</v>
      </c>
      <c r="G3579" s="4">
        <v>34247</v>
      </c>
      <c r="H3579" s="3" t="s">
        <v>94</v>
      </c>
      <c r="I3579" s="3" t="s">
        <v>33</v>
      </c>
      <c r="J3579" s="5">
        <v>23000000</v>
      </c>
      <c r="K3579" s="3">
        <v>4751201</v>
      </c>
      <c r="L3579" s="3" t="s">
        <v>23</v>
      </c>
      <c r="M3579" s="3" t="s">
        <v>12423</v>
      </c>
      <c r="N3579" s="3" t="s">
        <v>12424</v>
      </c>
      <c r="O3579" s="3" t="s">
        <v>9427</v>
      </c>
      <c r="P3579" s="3" t="s">
        <v>1064</v>
      </c>
      <c r="Q3579" s="3" t="s">
        <v>27</v>
      </c>
      <c r="R3579" s="3" t="s">
        <v>28</v>
      </c>
      <c r="S3579" s="3">
        <v>4016034</v>
      </c>
      <c r="T3579" s="3">
        <v>1139220900</v>
      </c>
      <c r="U3579" s="3" t="s">
        <v>29</v>
      </c>
    </row>
    <row r="3580" spans="1:21" ht="13.2" x14ac:dyDescent="0.25">
      <c r="A3580" s="14">
        <v>28164557000187</v>
      </c>
      <c r="B3580" s="15" t="str">
        <f t="shared" si="55"/>
        <v>28.164.557/0001-87</v>
      </c>
      <c r="C3580" s="12"/>
      <c r="D3580" s="3" t="s">
        <v>12425</v>
      </c>
      <c r="E3580" s="3" t="s">
        <v>12426</v>
      </c>
      <c r="F3580" s="3" t="s">
        <v>20</v>
      </c>
      <c r="G3580" s="4">
        <v>42928</v>
      </c>
      <c r="H3580" s="3" t="s">
        <v>21</v>
      </c>
      <c r="I3580" s="3" t="s">
        <v>22</v>
      </c>
      <c r="J3580" s="5">
        <v>500000</v>
      </c>
      <c r="K3580" s="3">
        <v>4679699</v>
      </c>
      <c r="L3580" s="3" t="s">
        <v>40</v>
      </c>
      <c r="M3580" s="3" t="s">
        <v>12427</v>
      </c>
      <c r="N3580" s="3">
        <v>403</v>
      </c>
      <c r="P3580" s="3" t="s">
        <v>709</v>
      </c>
      <c r="Q3580" s="3" t="s">
        <v>710</v>
      </c>
      <c r="R3580" s="3" t="s">
        <v>711</v>
      </c>
      <c r="S3580" s="3">
        <v>49055250</v>
      </c>
      <c r="T3580" s="3">
        <v>7932215379</v>
      </c>
      <c r="U3580" s="3" t="s">
        <v>29</v>
      </c>
    </row>
    <row r="3581" spans="1:21" ht="13.2" x14ac:dyDescent="0.25">
      <c r="A3581" s="14">
        <v>26589915000178</v>
      </c>
      <c r="B3581" s="15" t="str">
        <f t="shared" si="55"/>
        <v>26.589.915/0001-78</v>
      </c>
      <c r="C3581" s="12"/>
      <c r="D3581" s="3" t="s">
        <v>12428</v>
      </c>
      <c r="E3581" s="3" t="s">
        <v>12429</v>
      </c>
      <c r="F3581" s="3" t="s">
        <v>20</v>
      </c>
      <c r="G3581" s="4">
        <v>42697</v>
      </c>
      <c r="H3581" s="3" t="s">
        <v>21</v>
      </c>
      <c r="I3581" s="3" t="s">
        <v>47</v>
      </c>
      <c r="J3581" s="5">
        <v>30000</v>
      </c>
      <c r="K3581" s="3">
        <v>4679699</v>
      </c>
      <c r="L3581" s="3" t="s">
        <v>40</v>
      </c>
      <c r="M3581" s="3" t="s">
        <v>12430</v>
      </c>
      <c r="N3581" s="3">
        <v>114</v>
      </c>
      <c r="O3581" s="3">
        <v>122</v>
      </c>
      <c r="P3581" s="3" t="s">
        <v>8740</v>
      </c>
      <c r="Q3581" s="3" t="s">
        <v>27</v>
      </c>
      <c r="R3581" s="3" t="s">
        <v>28</v>
      </c>
      <c r="S3581" s="3">
        <v>3480000</v>
      </c>
      <c r="T3581" s="3">
        <v>1121435131</v>
      </c>
      <c r="U3581" s="3" t="s">
        <v>29</v>
      </c>
    </row>
    <row r="3582" spans="1:21" ht="13.2" x14ac:dyDescent="0.25">
      <c r="A3582" s="14">
        <v>9134267000146</v>
      </c>
      <c r="B3582" s="15" t="str">
        <f t="shared" si="55"/>
        <v>09.134.267/0001-46</v>
      </c>
      <c r="C3582" s="12"/>
      <c r="D3582" s="3" t="s">
        <v>12431</v>
      </c>
      <c r="E3582" s="3" t="s">
        <v>12432</v>
      </c>
      <c r="F3582" s="3" t="s">
        <v>20</v>
      </c>
      <c r="G3582" s="4">
        <v>39252</v>
      </c>
      <c r="H3582" s="3" t="s">
        <v>21</v>
      </c>
      <c r="I3582" s="3" t="s">
        <v>22</v>
      </c>
      <c r="J3582" s="5">
        <v>100000</v>
      </c>
      <c r="K3582" s="3">
        <v>3292202</v>
      </c>
      <c r="L3582" s="3" t="s">
        <v>1654</v>
      </c>
      <c r="M3582" s="3" t="s">
        <v>12433</v>
      </c>
      <c r="N3582" s="3">
        <v>265</v>
      </c>
      <c r="P3582" s="3" t="s">
        <v>12434</v>
      </c>
      <c r="Q3582" s="3" t="s">
        <v>27</v>
      </c>
      <c r="R3582" s="3" t="s">
        <v>28</v>
      </c>
      <c r="S3582" s="3">
        <v>3937090</v>
      </c>
      <c r="T3582" s="3">
        <v>1162114866</v>
      </c>
      <c r="U3582" s="3" t="s">
        <v>29</v>
      </c>
    </row>
    <row r="3583" spans="1:21" ht="13.2" x14ac:dyDescent="0.25">
      <c r="A3583" s="14">
        <v>9625762000158</v>
      </c>
      <c r="B3583" s="15" t="str">
        <f t="shared" si="55"/>
        <v>09.625.762/0001-58</v>
      </c>
      <c r="C3583" s="12"/>
      <c r="D3583" s="3" t="s">
        <v>12435</v>
      </c>
      <c r="E3583" s="3" t="s">
        <v>12435</v>
      </c>
      <c r="F3583" s="3" t="s">
        <v>20</v>
      </c>
      <c r="G3583" s="4">
        <v>39608</v>
      </c>
      <c r="H3583" s="3" t="s">
        <v>94</v>
      </c>
      <c r="I3583" s="3" t="s">
        <v>33</v>
      </c>
      <c r="J3583" s="5">
        <v>240102400</v>
      </c>
      <c r="K3583" s="3">
        <v>4120400</v>
      </c>
      <c r="L3583" s="3" t="s">
        <v>87</v>
      </c>
      <c r="M3583" s="3" t="s">
        <v>370</v>
      </c>
      <c r="N3583" s="3">
        <v>280</v>
      </c>
      <c r="O3583" s="3" t="s">
        <v>4276</v>
      </c>
      <c r="P3583" s="3" t="s">
        <v>70</v>
      </c>
      <c r="Q3583" s="3" t="s">
        <v>27</v>
      </c>
      <c r="R3583" s="3" t="s">
        <v>28</v>
      </c>
      <c r="S3583" s="3">
        <v>1014908</v>
      </c>
      <c r="T3583" s="3">
        <v>1146321799</v>
      </c>
      <c r="U3583" s="3" t="s">
        <v>29</v>
      </c>
    </row>
    <row r="3584" spans="1:21" ht="13.2" x14ac:dyDescent="0.25">
      <c r="A3584" s="14">
        <v>896571001390</v>
      </c>
      <c r="B3584" s="15" t="str">
        <f t="shared" si="55"/>
        <v>00.896.571/0013-90</v>
      </c>
      <c r="C3584" s="12"/>
      <c r="D3584" s="3" t="s">
        <v>12436</v>
      </c>
      <c r="E3584" s="3" t="s">
        <v>12436</v>
      </c>
      <c r="F3584" s="3" t="s">
        <v>45</v>
      </c>
      <c r="G3584" s="4">
        <v>41353</v>
      </c>
      <c r="H3584" s="3" t="s">
        <v>21</v>
      </c>
      <c r="I3584" s="3" t="s">
        <v>33</v>
      </c>
      <c r="J3584" s="5">
        <v>1000000</v>
      </c>
      <c r="K3584" s="3">
        <v>4789099</v>
      </c>
      <c r="L3584" s="3" t="s">
        <v>774</v>
      </c>
      <c r="M3584" s="3" t="s">
        <v>901</v>
      </c>
      <c r="N3584" s="3">
        <v>2958</v>
      </c>
      <c r="O3584" s="3" t="s">
        <v>2916</v>
      </c>
      <c r="P3584" s="3" t="s">
        <v>903</v>
      </c>
      <c r="Q3584" s="3" t="s">
        <v>27</v>
      </c>
      <c r="R3584" s="3" t="s">
        <v>28</v>
      </c>
      <c r="S3584" s="3">
        <v>4046500</v>
      </c>
      <c r="T3584" s="3">
        <v>6733167408</v>
      </c>
      <c r="U3584" s="3" t="s">
        <v>29</v>
      </c>
    </row>
    <row r="3585" spans="1:21" ht="13.2" x14ac:dyDescent="0.25">
      <c r="A3585" s="14">
        <v>1084855000100</v>
      </c>
      <c r="B3585" s="15" t="str">
        <f t="shared" si="55"/>
        <v>01.084.855/0001-00</v>
      </c>
      <c r="C3585" s="12"/>
      <c r="D3585" s="3" t="s">
        <v>12437</v>
      </c>
      <c r="E3585" s="3" t="s">
        <v>12438</v>
      </c>
      <c r="F3585" s="3" t="s">
        <v>20</v>
      </c>
      <c r="G3585" s="4">
        <v>35110</v>
      </c>
      <c r="H3585" s="3" t="s">
        <v>21</v>
      </c>
      <c r="I3585" s="3" t="s">
        <v>33</v>
      </c>
      <c r="J3585" s="5">
        <v>3000000</v>
      </c>
      <c r="K3585" s="3">
        <v>2865800</v>
      </c>
      <c r="L3585" s="3" t="s">
        <v>2353</v>
      </c>
      <c r="M3585" s="3" t="s">
        <v>12439</v>
      </c>
      <c r="N3585" s="3">
        <v>1300</v>
      </c>
      <c r="P3585" s="3" t="s">
        <v>2254</v>
      </c>
      <c r="Q3585" s="3" t="s">
        <v>204</v>
      </c>
      <c r="R3585" s="3" t="s">
        <v>187</v>
      </c>
      <c r="S3585" s="3">
        <v>81460130</v>
      </c>
      <c r="T3585" s="3">
        <v>4133039700</v>
      </c>
      <c r="U3585" s="3" t="s">
        <v>29</v>
      </c>
    </row>
    <row r="3586" spans="1:21" ht="13.2" x14ac:dyDescent="0.25">
      <c r="A3586" s="14">
        <v>47080619000117</v>
      </c>
      <c r="B3586" s="15" t="str">
        <f t="shared" si="55"/>
        <v>47.080.619/0001-17</v>
      </c>
      <c r="C3586" s="12"/>
      <c r="D3586" s="3" t="s">
        <v>12440</v>
      </c>
      <c r="E3586" s="3" t="s">
        <v>12441</v>
      </c>
      <c r="F3586" s="3" t="s">
        <v>20</v>
      </c>
      <c r="G3586" s="4">
        <v>25625</v>
      </c>
      <c r="H3586" s="3" t="s">
        <v>94</v>
      </c>
      <c r="I3586" s="3" t="s">
        <v>33</v>
      </c>
      <c r="J3586" s="5">
        <v>2778329000</v>
      </c>
      <c r="K3586" s="3">
        <v>1071600</v>
      </c>
      <c r="L3586" s="3" t="s">
        <v>7816</v>
      </c>
      <c r="M3586" s="3" t="s">
        <v>12442</v>
      </c>
      <c r="N3586" s="3" t="s">
        <v>111</v>
      </c>
      <c r="O3586" s="3" t="s">
        <v>8641</v>
      </c>
      <c r="P3586" s="3" t="s">
        <v>12443</v>
      </c>
      <c r="Q3586" s="3" t="s">
        <v>4144</v>
      </c>
      <c r="R3586" s="3" t="s">
        <v>28</v>
      </c>
      <c r="S3586" s="3">
        <v>15409899</v>
      </c>
      <c r="T3586" s="3">
        <v>1798117351</v>
      </c>
      <c r="U3586" s="3" t="s">
        <v>29</v>
      </c>
    </row>
    <row r="3587" spans="1:21" ht="13.2" x14ac:dyDescent="0.25">
      <c r="A3587" s="14">
        <v>59106666000171</v>
      </c>
      <c r="B3587" s="15" t="str">
        <f t="shared" ref="B3587:B3650" si="56">TEXT(A3587,"00\.000\.000\/0000\-00")</f>
        <v>59.106.666/0001-71</v>
      </c>
      <c r="C3587" s="12" t="str">
        <f>VLOOKUP(B3587,[1]Planilha1!$A:$B,2,0)</f>
        <v>Malu Montesino</v>
      </c>
      <c r="D3587" s="3" t="s">
        <v>12444</v>
      </c>
      <c r="E3587" s="3" t="s">
        <v>12444</v>
      </c>
      <c r="F3587" s="3" t="s">
        <v>20</v>
      </c>
      <c r="G3587" s="4">
        <v>24322</v>
      </c>
      <c r="H3587" s="3" t="s">
        <v>94</v>
      </c>
      <c r="I3587" s="3" t="s">
        <v>33</v>
      </c>
      <c r="J3587" s="5">
        <v>2400000000</v>
      </c>
      <c r="K3587" s="3">
        <v>2443100</v>
      </c>
      <c r="L3587" s="3" t="s">
        <v>12445</v>
      </c>
      <c r="M3587" s="3" t="s">
        <v>2054</v>
      </c>
      <c r="N3587" s="3">
        <v>2652</v>
      </c>
      <c r="O3587" s="3" t="s">
        <v>12446</v>
      </c>
      <c r="P3587" s="3" t="s">
        <v>2056</v>
      </c>
      <c r="Q3587" s="3" t="s">
        <v>217</v>
      </c>
      <c r="R3587" s="3" t="s">
        <v>28</v>
      </c>
      <c r="S3587" s="3">
        <v>9612000</v>
      </c>
      <c r="T3587" s="3">
        <v>1143669758</v>
      </c>
      <c r="U3587" s="3" t="s">
        <v>29</v>
      </c>
    </row>
    <row r="3588" spans="1:21" ht="13.2" x14ac:dyDescent="0.25">
      <c r="A3588" s="14">
        <v>7005330000119</v>
      </c>
      <c r="B3588" s="15" t="str">
        <f t="shared" si="56"/>
        <v>07.005.330/0001-19</v>
      </c>
      <c r="C3588" s="12"/>
      <c r="D3588" s="3" t="s">
        <v>12447</v>
      </c>
      <c r="E3588" s="3" t="s">
        <v>12447</v>
      </c>
      <c r="F3588" s="3" t="s">
        <v>20</v>
      </c>
      <c r="G3588" s="4">
        <v>38254</v>
      </c>
      <c r="H3588" s="3" t="s">
        <v>21</v>
      </c>
      <c r="I3588" s="3" t="s">
        <v>33</v>
      </c>
      <c r="J3588" s="5">
        <v>6905780700</v>
      </c>
      <c r="K3588" s="3">
        <v>2421100</v>
      </c>
      <c r="L3588" s="3" t="s">
        <v>12448</v>
      </c>
      <c r="M3588" s="3" t="s">
        <v>12449</v>
      </c>
      <c r="N3588" s="3" t="s">
        <v>82</v>
      </c>
      <c r="P3588" s="3" t="s">
        <v>1639</v>
      </c>
      <c r="Q3588" s="3" t="s">
        <v>253</v>
      </c>
      <c r="R3588" s="3" t="s">
        <v>78</v>
      </c>
      <c r="S3588" s="3">
        <v>23560352</v>
      </c>
      <c r="T3588" s="3">
        <v>2125074209</v>
      </c>
      <c r="U3588" s="3" t="s">
        <v>29</v>
      </c>
    </row>
    <row r="3589" spans="1:21" ht="13.2" x14ac:dyDescent="0.25">
      <c r="A3589" s="14">
        <v>7144507000168</v>
      </c>
      <c r="B3589" s="15" t="str">
        <f t="shared" si="56"/>
        <v>07.144.507/0001-68</v>
      </c>
      <c r="C3589" s="12"/>
      <c r="D3589" s="3" t="s">
        <v>12450</v>
      </c>
      <c r="E3589" s="3" t="s">
        <v>12451</v>
      </c>
      <c r="F3589" s="3" t="s">
        <v>20</v>
      </c>
      <c r="G3589" s="4">
        <v>38337</v>
      </c>
      <c r="H3589" s="3" t="s">
        <v>21</v>
      </c>
      <c r="I3589" s="3" t="s">
        <v>33</v>
      </c>
      <c r="J3589" s="5">
        <v>200000</v>
      </c>
      <c r="K3589" s="3">
        <v>4672900</v>
      </c>
      <c r="L3589" s="3" t="s">
        <v>1389</v>
      </c>
      <c r="M3589" s="3" t="s">
        <v>5652</v>
      </c>
      <c r="N3589" s="3" t="s">
        <v>111</v>
      </c>
      <c r="O3589" s="3" t="s">
        <v>12452</v>
      </c>
      <c r="P3589" s="3" t="s">
        <v>1456</v>
      </c>
      <c r="Q3589" s="3" t="s">
        <v>631</v>
      </c>
      <c r="R3589" s="3" t="s">
        <v>632</v>
      </c>
      <c r="S3589" s="3">
        <v>71200030</v>
      </c>
      <c r="T3589" s="3">
        <v>6137017003</v>
      </c>
      <c r="U3589" s="3" t="s">
        <v>29</v>
      </c>
    </row>
    <row r="3590" spans="1:21" ht="13.2" x14ac:dyDescent="0.25">
      <c r="A3590" s="14">
        <v>56854540000197</v>
      </c>
      <c r="B3590" s="15" t="str">
        <f t="shared" si="56"/>
        <v>56.854.540/0001-97</v>
      </c>
      <c r="C3590" s="12" t="str">
        <f>VLOOKUP(B3590,[1]Planilha1!$A:$B,2,0)</f>
        <v>Malu Montesino</v>
      </c>
      <c r="D3590" s="3" t="s">
        <v>12453</v>
      </c>
      <c r="E3590" s="3" t="s">
        <v>12453</v>
      </c>
      <c r="F3590" s="3" t="s">
        <v>20</v>
      </c>
      <c r="G3590" s="4">
        <v>31749</v>
      </c>
      <c r="H3590" s="3" t="s">
        <v>21</v>
      </c>
      <c r="I3590" s="3" t="s">
        <v>47</v>
      </c>
      <c r="J3590" s="5">
        <v>204000</v>
      </c>
      <c r="K3590" s="3">
        <v>4744099</v>
      </c>
      <c r="L3590" s="3" t="s">
        <v>115</v>
      </c>
      <c r="M3590" s="3" t="s">
        <v>12454</v>
      </c>
      <c r="N3590" s="3">
        <v>233</v>
      </c>
      <c r="P3590" s="3" t="s">
        <v>137</v>
      </c>
      <c r="Q3590" s="3" t="s">
        <v>367</v>
      </c>
      <c r="R3590" s="3" t="s">
        <v>28</v>
      </c>
      <c r="S3590" s="3">
        <v>13425014</v>
      </c>
      <c r="T3590" s="3">
        <v>1934110500</v>
      </c>
      <c r="U3590" s="3" t="s">
        <v>29</v>
      </c>
    </row>
    <row r="3591" spans="1:21" ht="13.2" x14ac:dyDescent="0.25">
      <c r="A3591" s="14">
        <v>41230162000101</v>
      </c>
      <c r="B3591" s="15" t="str">
        <f t="shared" si="56"/>
        <v>41.230.162/0001-01</v>
      </c>
      <c r="C3591" s="12" t="str">
        <f>VLOOKUP(B3591,[1]Planilha1!$A:$B,2,0)</f>
        <v>Mariane Nascimento</v>
      </c>
      <c r="D3591" s="3" t="s">
        <v>12455</v>
      </c>
      <c r="E3591" s="3" t="s">
        <v>12455</v>
      </c>
      <c r="F3591" s="3" t="s">
        <v>20</v>
      </c>
      <c r="G3591" s="4">
        <v>44271</v>
      </c>
      <c r="H3591" s="3" t="s">
        <v>21</v>
      </c>
      <c r="I3591" s="3" t="s">
        <v>47</v>
      </c>
      <c r="J3591" s="5">
        <v>500000</v>
      </c>
      <c r="K3591" s="3">
        <v>4664800</v>
      </c>
      <c r="L3591" s="3" t="s">
        <v>691</v>
      </c>
      <c r="M3591" s="3" t="s">
        <v>294</v>
      </c>
      <c r="N3591" s="3">
        <v>674</v>
      </c>
      <c r="P3591" s="3" t="s">
        <v>874</v>
      </c>
      <c r="Q3591" s="3" t="s">
        <v>476</v>
      </c>
      <c r="R3591" s="3" t="s">
        <v>100</v>
      </c>
      <c r="S3591" s="3">
        <v>30421386</v>
      </c>
      <c r="T3591" s="3">
        <v>3130468102</v>
      </c>
      <c r="U3591" s="3" t="s">
        <v>29</v>
      </c>
    </row>
    <row r="3592" spans="1:21" ht="13.2" x14ac:dyDescent="0.25">
      <c r="A3592" s="14">
        <v>17246459000172</v>
      </c>
      <c r="B3592" s="15" t="str">
        <f t="shared" si="56"/>
        <v>17.246.459/0001-72</v>
      </c>
      <c r="C3592" s="12"/>
      <c r="D3592" s="3" t="s">
        <v>12456</v>
      </c>
      <c r="E3592" s="3" t="s">
        <v>12457</v>
      </c>
      <c r="F3592" s="3" t="s">
        <v>45</v>
      </c>
      <c r="G3592" s="4">
        <v>41246</v>
      </c>
      <c r="H3592" s="3" t="s">
        <v>46</v>
      </c>
      <c r="I3592" s="3" t="s">
        <v>22</v>
      </c>
      <c r="J3592" s="5">
        <v>300000</v>
      </c>
      <c r="K3592" s="3">
        <v>4729699</v>
      </c>
      <c r="L3592" s="3" t="s">
        <v>2864</v>
      </c>
      <c r="M3592" s="3" t="s">
        <v>780</v>
      </c>
      <c r="N3592" s="3">
        <v>1459</v>
      </c>
      <c r="P3592" s="3" t="s">
        <v>12458</v>
      </c>
      <c r="Q3592" s="3" t="s">
        <v>12459</v>
      </c>
      <c r="R3592" s="3" t="s">
        <v>1142</v>
      </c>
      <c r="S3592" s="3">
        <v>79904506</v>
      </c>
      <c r="T3592" s="3">
        <v>6734312057</v>
      </c>
      <c r="U3592" s="3" t="s">
        <v>29</v>
      </c>
    </row>
    <row r="3593" spans="1:21" ht="13.2" x14ac:dyDescent="0.25">
      <c r="A3593" s="14">
        <v>10141389000149</v>
      </c>
      <c r="B3593" s="15" t="str">
        <f t="shared" si="56"/>
        <v>10.141.389/0001-49</v>
      </c>
      <c r="C3593" s="12"/>
      <c r="D3593" s="3" t="s">
        <v>12460</v>
      </c>
      <c r="E3593" s="3" t="s">
        <v>12460</v>
      </c>
      <c r="F3593" s="3" t="s">
        <v>20</v>
      </c>
      <c r="G3593" s="4">
        <v>39623</v>
      </c>
      <c r="H3593" s="3" t="s">
        <v>21</v>
      </c>
      <c r="I3593" s="3" t="s">
        <v>33</v>
      </c>
      <c r="J3593" s="5">
        <v>43392616</v>
      </c>
      <c r="K3593" s="3">
        <v>4645101</v>
      </c>
      <c r="L3593" s="3" t="s">
        <v>135</v>
      </c>
      <c r="M3593" s="3" t="s">
        <v>1822</v>
      </c>
      <c r="N3593" s="3">
        <v>220</v>
      </c>
      <c r="O3593" s="3" t="s">
        <v>10798</v>
      </c>
      <c r="P3593" s="3" t="s">
        <v>316</v>
      </c>
      <c r="Q3593" s="3" t="s">
        <v>27</v>
      </c>
      <c r="R3593" s="3" t="s">
        <v>28</v>
      </c>
      <c r="S3593" s="3">
        <v>4552000</v>
      </c>
      <c r="T3593" s="3">
        <v>1128992600</v>
      </c>
      <c r="U3593" s="3" t="s">
        <v>29</v>
      </c>
    </row>
    <row r="3594" spans="1:21" ht="13.2" x14ac:dyDescent="0.25">
      <c r="A3594" s="14">
        <v>3129105000133</v>
      </c>
      <c r="B3594" s="15" t="str">
        <f t="shared" si="56"/>
        <v>03.129.105/0001-33</v>
      </c>
      <c r="C3594" s="12" t="str">
        <f>VLOOKUP(B3594,[1]Planilha1!$A:$B,2,0)</f>
        <v>Mariane Nascimento</v>
      </c>
      <c r="D3594" s="3" t="s">
        <v>12461</v>
      </c>
      <c r="E3594" s="3" t="s">
        <v>12462</v>
      </c>
      <c r="F3594" s="3" t="s">
        <v>20</v>
      </c>
      <c r="G3594" s="4">
        <v>36280</v>
      </c>
      <c r="H3594" s="3" t="s">
        <v>21</v>
      </c>
      <c r="I3594" s="3" t="s">
        <v>33</v>
      </c>
      <c r="J3594" s="5">
        <v>33651000</v>
      </c>
      <c r="K3594" s="3">
        <v>4645101</v>
      </c>
      <c r="L3594" s="3" t="s">
        <v>135</v>
      </c>
      <c r="M3594" s="3" t="s">
        <v>12463</v>
      </c>
      <c r="N3594" s="3">
        <v>108</v>
      </c>
      <c r="O3594" s="3" t="s">
        <v>12464</v>
      </c>
      <c r="P3594" s="3" t="s">
        <v>12465</v>
      </c>
      <c r="Q3594" s="3" t="s">
        <v>27</v>
      </c>
      <c r="R3594" s="3" t="s">
        <v>28</v>
      </c>
      <c r="S3594" s="3">
        <v>4571150</v>
      </c>
      <c r="T3594" s="3">
        <v>1135943800</v>
      </c>
      <c r="U3594" s="3" t="s">
        <v>29</v>
      </c>
    </row>
    <row r="3595" spans="1:21" ht="13.2" x14ac:dyDescent="0.25">
      <c r="A3595" s="14">
        <v>24705143000167</v>
      </c>
      <c r="B3595" s="15" t="str">
        <f t="shared" si="56"/>
        <v>24.705.143/0001-67</v>
      </c>
      <c r="C3595" s="12"/>
      <c r="D3595" s="3" t="s">
        <v>12466</v>
      </c>
      <c r="E3595" s="3" t="s">
        <v>12467</v>
      </c>
      <c r="F3595" s="3" t="s">
        <v>20</v>
      </c>
      <c r="G3595" s="4">
        <v>42489</v>
      </c>
      <c r="H3595" s="3" t="s">
        <v>21</v>
      </c>
      <c r="I3595" s="3" t="s">
        <v>33</v>
      </c>
      <c r="J3595" s="5">
        <v>500000</v>
      </c>
      <c r="K3595" s="3">
        <v>5250803</v>
      </c>
      <c r="L3595" s="3" t="s">
        <v>6320</v>
      </c>
      <c r="M3595" s="3" t="s">
        <v>12468</v>
      </c>
      <c r="N3595" s="3">
        <v>185</v>
      </c>
      <c r="O3595" s="3" t="s">
        <v>12469</v>
      </c>
      <c r="P3595" s="3" t="s">
        <v>12470</v>
      </c>
      <c r="Q3595" s="3" t="s">
        <v>357</v>
      </c>
      <c r="R3595" s="3" t="s">
        <v>28</v>
      </c>
      <c r="S3595" s="3">
        <v>7120040</v>
      </c>
      <c r="T3595" s="3">
        <v>1139950117</v>
      </c>
      <c r="U3595" s="3" t="s">
        <v>29</v>
      </c>
    </row>
    <row r="3596" spans="1:21" ht="13.2" x14ac:dyDescent="0.25">
      <c r="A3596" s="14">
        <v>4480645000120</v>
      </c>
      <c r="B3596" s="15" t="str">
        <f t="shared" si="56"/>
        <v>04.480.645/0001-20</v>
      </c>
      <c r="C3596" s="12"/>
      <c r="D3596" s="3" t="s">
        <v>12471</v>
      </c>
      <c r="E3596" s="3" t="s">
        <v>12471</v>
      </c>
      <c r="F3596" s="3" t="s">
        <v>20</v>
      </c>
      <c r="G3596" s="4">
        <v>37043</v>
      </c>
      <c r="H3596" s="3" t="s">
        <v>21</v>
      </c>
      <c r="I3596" s="3" t="s">
        <v>33</v>
      </c>
      <c r="J3596" s="5">
        <v>45217176</v>
      </c>
      <c r="K3596" s="3">
        <v>4689399</v>
      </c>
      <c r="L3596" s="3" t="s">
        <v>783</v>
      </c>
      <c r="M3596" s="3" t="s">
        <v>4074</v>
      </c>
      <c r="N3596" s="3">
        <v>1259</v>
      </c>
      <c r="O3596" s="3" t="s">
        <v>12472</v>
      </c>
      <c r="P3596" s="3" t="s">
        <v>3385</v>
      </c>
      <c r="Q3596" s="3" t="s">
        <v>204</v>
      </c>
      <c r="R3596" s="3" t="s">
        <v>187</v>
      </c>
      <c r="S3596" s="3">
        <v>80030000</v>
      </c>
      <c r="T3596" s="3">
        <v>4130218100</v>
      </c>
      <c r="U3596" s="3" t="s">
        <v>29</v>
      </c>
    </row>
    <row r="3597" spans="1:21" ht="13.2" x14ac:dyDescent="0.25">
      <c r="A3597" s="14">
        <v>46737978000131</v>
      </c>
      <c r="B3597" s="15" t="str">
        <f t="shared" si="56"/>
        <v>46.737.978/0001-31</v>
      </c>
      <c r="C3597" s="12"/>
      <c r="D3597" s="3" t="s">
        <v>12473</v>
      </c>
      <c r="E3597" s="3" t="s">
        <v>12474</v>
      </c>
      <c r="F3597" s="3" t="s">
        <v>20</v>
      </c>
      <c r="G3597" s="4">
        <v>44722</v>
      </c>
      <c r="H3597" s="3" t="s">
        <v>21</v>
      </c>
      <c r="I3597" s="3" t="s">
        <v>33</v>
      </c>
      <c r="J3597" s="5">
        <v>12403686</v>
      </c>
      <c r="K3597" s="3">
        <v>4683400</v>
      </c>
      <c r="L3597" s="3" t="s">
        <v>3002</v>
      </c>
      <c r="M3597" s="3" t="s">
        <v>12475</v>
      </c>
      <c r="N3597" s="3">
        <v>150</v>
      </c>
      <c r="O3597" s="3" t="s">
        <v>12476</v>
      </c>
      <c r="P3597" s="3" t="s">
        <v>12477</v>
      </c>
      <c r="Q3597" s="3" t="s">
        <v>65</v>
      </c>
      <c r="R3597" s="3" t="s">
        <v>28</v>
      </c>
      <c r="S3597" s="3">
        <v>13091611</v>
      </c>
      <c r="T3597" s="3">
        <v>1935781269</v>
      </c>
      <c r="U3597" s="3" t="s">
        <v>29</v>
      </c>
    </row>
    <row r="3598" spans="1:21" ht="13.2" x14ac:dyDescent="0.25">
      <c r="A3598" s="14">
        <v>3144465000104</v>
      </c>
      <c r="B3598" s="15" t="str">
        <f t="shared" si="56"/>
        <v>03.144.465/0001-04</v>
      </c>
      <c r="C3598" s="12" t="str">
        <f>VLOOKUP(B3598,[1]Planilha1!$A:$B,2,0)</f>
        <v>Malu Montesino</v>
      </c>
      <c r="D3598" s="3" t="s">
        <v>12478</v>
      </c>
      <c r="E3598" s="3" t="s">
        <v>12479</v>
      </c>
      <c r="F3598" s="3" t="s">
        <v>20</v>
      </c>
      <c r="G3598" s="4">
        <v>36231</v>
      </c>
      <c r="H3598" s="3" t="s">
        <v>21</v>
      </c>
      <c r="I3598" s="3" t="s">
        <v>33</v>
      </c>
      <c r="J3598" s="5">
        <v>5359293</v>
      </c>
      <c r="K3598" s="3">
        <v>4789099</v>
      </c>
      <c r="L3598" s="3" t="s">
        <v>774</v>
      </c>
      <c r="M3598" s="3" t="s">
        <v>12480</v>
      </c>
      <c r="N3598" s="3">
        <v>299</v>
      </c>
      <c r="O3598" s="3" t="s">
        <v>12481</v>
      </c>
      <c r="P3598" s="3" t="s">
        <v>12482</v>
      </c>
      <c r="Q3598" s="3" t="s">
        <v>65</v>
      </c>
      <c r="R3598" s="3" t="s">
        <v>28</v>
      </c>
      <c r="S3598" s="3">
        <v>13098322</v>
      </c>
      <c r="T3598" s="3">
        <v>1937315800</v>
      </c>
      <c r="U3598" s="3" t="s">
        <v>29</v>
      </c>
    </row>
    <row r="3599" spans="1:21" ht="13.2" x14ac:dyDescent="0.25">
      <c r="A3599" s="14">
        <v>41383193000194</v>
      </c>
      <c r="B3599" s="15" t="str">
        <f t="shared" si="56"/>
        <v>41.383.193/0001-94</v>
      </c>
      <c r="C3599" s="12" t="str">
        <f>VLOOKUP(B3599,[1]Planilha1!$A:$B,2,0)</f>
        <v>Malu Montesino</v>
      </c>
      <c r="D3599" s="3" t="s">
        <v>12483</v>
      </c>
      <c r="E3599" s="3" t="s">
        <v>12484</v>
      </c>
      <c r="F3599" s="3" t="s">
        <v>20</v>
      </c>
      <c r="G3599" s="4">
        <v>44284</v>
      </c>
      <c r="H3599" s="3" t="s">
        <v>21</v>
      </c>
      <c r="I3599" s="3" t="s">
        <v>33</v>
      </c>
      <c r="J3599" s="5">
        <v>10000000</v>
      </c>
      <c r="K3599" s="3">
        <v>2920401</v>
      </c>
      <c r="L3599" s="3" t="s">
        <v>4553</v>
      </c>
      <c r="M3599" s="3" t="s">
        <v>12485</v>
      </c>
      <c r="N3599" s="3" t="s">
        <v>12486</v>
      </c>
      <c r="O3599" s="3" t="s">
        <v>12487</v>
      </c>
      <c r="P3599" s="3" t="s">
        <v>316</v>
      </c>
      <c r="Q3599" s="3" t="s">
        <v>27</v>
      </c>
      <c r="R3599" s="3" t="s">
        <v>28</v>
      </c>
      <c r="S3599" s="3">
        <v>4548005</v>
      </c>
      <c r="T3599" s="3">
        <v>1130442623</v>
      </c>
      <c r="U3599" s="3" t="s">
        <v>29</v>
      </c>
    </row>
    <row r="3600" spans="1:21" ht="13.2" x14ac:dyDescent="0.25">
      <c r="A3600" s="14">
        <v>634107000191</v>
      </c>
      <c r="B3600" s="15" t="str">
        <f t="shared" si="56"/>
        <v>00.634.107/0001-91</v>
      </c>
      <c r="C3600" s="12"/>
      <c r="D3600" s="3" t="s">
        <v>12488</v>
      </c>
      <c r="E3600" s="3" t="s">
        <v>12488</v>
      </c>
      <c r="F3600" s="3" t="s">
        <v>20</v>
      </c>
      <c r="G3600" s="4">
        <v>34851</v>
      </c>
      <c r="H3600" s="3" t="s">
        <v>21</v>
      </c>
      <c r="I3600" s="3" t="s">
        <v>22</v>
      </c>
      <c r="J3600" s="5">
        <v>120000</v>
      </c>
      <c r="K3600" s="3">
        <v>6209100</v>
      </c>
      <c r="L3600" s="3" t="s">
        <v>303</v>
      </c>
      <c r="M3600" s="3" t="s">
        <v>12489</v>
      </c>
      <c r="N3600" s="3">
        <v>1439</v>
      </c>
      <c r="O3600" s="3" t="s">
        <v>12490</v>
      </c>
      <c r="P3600" s="3" t="s">
        <v>4143</v>
      </c>
      <c r="Q3600" s="3" t="s">
        <v>37</v>
      </c>
      <c r="R3600" s="3" t="s">
        <v>28</v>
      </c>
      <c r="S3600" s="3">
        <v>13468120</v>
      </c>
      <c r="T3600" s="3">
        <v>1936217100</v>
      </c>
      <c r="U3600" s="3" t="s">
        <v>29</v>
      </c>
    </row>
    <row r="3601" spans="1:21" ht="13.2" x14ac:dyDescent="0.25">
      <c r="A3601" s="14">
        <v>4608635000127</v>
      </c>
      <c r="B3601" s="15" t="str">
        <f t="shared" si="56"/>
        <v>04.608.635/0001-27</v>
      </c>
      <c r="C3601" s="12" t="str">
        <f>VLOOKUP(B3601,[1]Planilha1!$A:$B,2,0)</f>
        <v>Malu Montesino</v>
      </c>
      <c r="D3601" s="3" t="s">
        <v>12491</v>
      </c>
      <c r="E3601" s="3" t="s">
        <v>12492</v>
      </c>
      <c r="F3601" s="3" t="s">
        <v>20</v>
      </c>
      <c r="G3601" s="4">
        <v>37117</v>
      </c>
      <c r="H3601" s="3" t="s">
        <v>21</v>
      </c>
      <c r="I3601" s="3" t="s">
        <v>33</v>
      </c>
      <c r="J3601" s="5">
        <v>1924000</v>
      </c>
      <c r="K3601" s="3">
        <v>1922599</v>
      </c>
      <c r="L3601" s="3" t="s">
        <v>3246</v>
      </c>
      <c r="M3601" s="3" t="s">
        <v>12493</v>
      </c>
      <c r="N3601" s="3">
        <v>1470</v>
      </c>
      <c r="O3601" s="3" t="s">
        <v>12494</v>
      </c>
      <c r="P3601" s="3" t="s">
        <v>12495</v>
      </c>
      <c r="Q3601" s="3" t="s">
        <v>12496</v>
      </c>
      <c r="R3601" s="3" t="s">
        <v>187</v>
      </c>
      <c r="S3601" s="3">
        <v>87507070</v>
      </c>
      <c r="T3601" s="3">
        <v>4436211550</v>
      </c>
      <c r="U3601" s="3" t="s">
        <v>29</v>
      </c>
    </row>
    <row r="3602" spans="1:21" ht="13.2" x14ac:dyDescent="0.25">
      <c r="A3602" s="14">
        <v>49870173000150</v>
      </c>
      <c r="B3602" s="15" t="str">
        <f t="shared" si="56"/>
        <v>49.870.173/0001-50</v>
      </c>
      <c r="C3602" s="12"/>
      <c r="D3602" s="3" t="s">
        <v>12497</v>
      </c>
      <c r="E3602" s="3" t="s">
        <v>12497</v>
      </c>
      <c r="F3602" s="3" t="s">
        <v>20</v>
      </c>
      <c r="G3602" s="4">
        <v>24298</v>
      </c>
      <c r="H3602" s="3" t="s">
        <v>21</v>
      </c>
      <c r="I3602" s="3" t="s">
        <v>33</v>
      </c>
      <c r="J3602" s="5">
        <v>240810140</v>
      </c>
      <c r="K3602" s="3">
        <v>8211300</v>
      </c>
      <c r="L3602" s="3" t="s">
        <v>166</v>
      </c>
      <c r="M3602" s="3" t="s">
        <v>8194</v>
      </c>
      <c r="N3602" s="3">
        <v>61</v>
      </c>
      <c r="O3602" s="3" t="s">
        <v>12498</v>
      </c>
      <c r="P3602" s="3" t="s">
        <v>2596</v>
      </c>
      <c r="Q3602" s="3" t="s">
        <v>27</v>
      </c>
      <c r="R3602" s="3" t="s">
        <v>28</v>
      </c>
      <c r="S3602" s="3">
        <v>1456010</v>
      </c>
      <c r="T3602" s="3">
        <v>1138114300</v>
      </c>
      <c r="U3602" s="3" t="s">
        <v>29</v>
      </c>
    </row>
    <row r="3603" spans="1:21" ht="13.2" x14ac:dyDescent="0.25">
      <c r="A3603" s="14">
        <v>11251470000144</v>
      </c>
      <c r="B3603" s="15" t="str">
        <f t="shared" si="56"/>
        <v>11.251.470/0001-44</v>
      </c>
      <c r="C3603" s="12"/>
      <c r="D3603" s="3" t="s">
        <v>12499</v>
      </c>
      <c r="E3603" s="3" t="s">
        <v>12499</v>
      </c>
      <c r="F3603" s="3" t="s">
        <v>20</v>
      </c>
      <c r="G3603" s="4">
        <v>39972</v>
      </c>
      <c r="H3603" s="3" t="s">
        <v>21</v>
      </c>
      <c r="I3603" s="3" t="s">
        <v>22</v>
      </c>
      <c r="J3603" s="5">
        <v>300000</v>
      </c>
      <c r="K3603" s="3">
        <v>4744001</v>
      </c>
      <c r="L3603" s="3" t="s">
        <v>396</v>
      </c>
      <c r="M3603" s="3" t="s">
        <v>12500</v>
      </c>
      <c r="N3603" s="3">
        <v>60</v>
      </c>
      <c r="P3603" s="3" t="s">
        <v>12501</v>
      </c>
      <c r="Q3603" s="3" t="s">
        <v>3968</v>
      </c>
      <c r="R3603" s="3" t="s">
        <v>28</v>
      </c>
      <c r="S3603" s="3">
        <v>18125000</v>
      </c>
      <c r="T3603" s="3">
        <v>1147152903</v>
      </c>
      <c r="U3603" s="3" t="s">
        <v>29</v>
      </c>
    </row>
    <row r="3604" spans="1:21" ht="13.2" x14ac:dyDescent="0.25">
      <c r="A3604" s="14">
        <v>10551135000107</v>
      </c>
      <c r="B3604" s="15" t="str">
        <f t="shared" si="56"/>
        <v>10.551.135/0001-07</v>
      </c>
      <c r="C3604" s="12"/>
      <c r="D3604" s="3" t="s">
        <v>12502</v>
      </c>
      <c r="E3604" s="3" t="s">
        <v>12503</v>
      </c>
      <c r="F3604" s="3" t="s">
        <v>31</v>
      </c>
      <c r="G3604" s="4">
        <v>39804</v>
      </c>
      <c r="H3604" s="3" t="s">
        <v>21</v>
      </c>
      <c r="I3604" s="3" t="s">
        <v>33</v>
      </c>
      <c r="J3604" s="5">
        <v>150000</v>
      </c>
      <c r="K3604" s="3">
        <v>8211300</v>
      </c>
      <c r="L3604" s="3" t="s">
        <v>166</v>
      </c>
      <c r="M3604" s="3" t="s">
        <v>12504</v>
      </c>
      <c r="N3604" s="3">
        <v>88</v>
      </c>
      <c r="O3604" s="3" t="s">
        <v>12505</v>
      </c>
      <c r="P3604" s="3" t="s">
        <v>70</v>
      </c>
      <c r="Q3604" s="3" t="s">
        <v>12506</v>
      </c>
      <c r="R3604" s="3" t="s">
        <v>187</v>
      </c>
      <c r="S3604" s="3">
        <v>86300000</v>
      </c>
      <c r="T3604" s="3">
        <v>4331321144</v>
      </c>
      <c r="U3604" s="3" t="s">
        <v>29</v>
      </c>
    </row>
    <row r="3605" spans="1:21" ht="13.2" x14ac:dyDescent="0.25">
      <c r="A3605" s="14">
        <v>1129534000185</v>
      </c>
      <c r="B3605" s="15" t="str">
        <f t="shared" si="56"/>
        <v>01.129.534/0001-85</v>
      </c>
      <c r="C3605" s="12"/>
      <c r="D3605" s="3" t="s">
        <v>12507</v>
      </c>
      <c r="E3605" s="3" t="s">
        <v>12507</v>
      </c>
      <c r="F3605" s="3" t="s">
        <v>20</v>
      </c>
      <c r="G3605" s="4">
        <v>35149</v>
      </c>
      <c r="H3605" s="3" t="s">
        <v>21</v>
      </c>
      <c r="I3605" s="3" t="s">
        <v>22</v>
      </c>
      <c r="J3605" s="5">
        <v>340000</v>
      </c>
      <c r="K3605" s="3">
        <v>1093702</v>
      </c>
      <c r="L3605" s="3" t="s">
        <v>6986</v>
      </c>
      <c r="M3605" s="3" t="s">
        <v>12485</v>
      </c>
      <c r="N3605" s="3">
        <v>221</v>
      </c>
      <c r="O3605" s="3" t="s">
        <v>209</v>
      </c>
      <c r="P3605" s="3" t="s">
        <v>316</v>
      </c>
      <c r="Q3605" s="3" t="s">
        <v>27</v>
      </c>
      <c r="R3605" s="3" t="s">
        <v>28</v>
      </c>
      <c r="S3605" s="3">
        <v>4548001</v>
      </c>
      <c r="T3605" s="3">
        <v>1138499002</v>
      </c>
      <c r="U3605" s="3" t="s">
        <v>29</v>
      </c>
    </row>
    <row r="3606" spans="1:21" ht="13.2" x14ac:dyDescent="0.25">
      <c r="A3606" s="14">
        <v>72011364000188</v>
      </c>
      <c r="B3606" s="15" t="str">
        <f t="shared" si="56"/>
        <v>72.011.364/0001-88</v>
      </c>
      <c r="C3606" s="12"/>
      <c r="D3606" s="3" t="s">
        <v>12508</v>
      </c>
      <c r="E3606" s="3" t="s">
        <v>12509</v>
      </c>
      <c r="F3606" s="3" t="s">
        <v>20</v>
      </c>
      <c r="G3606" s="4">
        <v>34226</v>
      </c>
      <c r="H3606" s="3" t="s">
        <v>21</v>
      </c>
      <c r="I3606" s="3" t="s">
        <v>33</v>
      </c>
      <c r="J3606" s="5">
        <v>589658</v>
      </c>
      <c r="K3606" s="3">
        <v>3313901</v>
      </c>
      <c r="L3606" s="3" t="s">
        <v>4610</v>
      </c>
      <c r="M3606" s="3" t="s">
        <v>12510</v>
      </c>
      <c r="N3606" s="3">
        <v>130</v>
      </c>
      <c r="O3606" s="3" t="s">
        <v>12511</v>
      </c>
      <c r="P3606" s="3" t="s">
        <v>6265</v>
      </c>
      <c r="Q3606" s="3" t="s">
        <v>119</v>
      </c>
      <c r="R3606" s="3" t="s">
        <v>28</v>
      </c>
      <c r="S3606" s="3">
        <v>6618010</v>
      </c>
      <c r="T3606" s="3">
        <v>1135551515</v>
      </c>
      <c r="U3606" s="3" t="s">
        <v>29</v>
      </c>
    </row>
    <row r="3607" spans="1:21" ht="13.2" x14ac:dyDescent="0.25">
      <c r="A3607" s="14">
        <v>33253071000155</v>
      </c>
      <c r="B3607" s="15" t="str">
        <f t="shared" si="56"/>
        <v>33.253.071/0001-55</v>
      </c>
      <c r="C3607" s="12" t="str">
        <f>VLOOKUP(B3607,[1]Planilha1!$A:$B,2,0)</f>
        <v>Malu Montesino</v>
      </c>
      <c r="D3607" s="3" t="s">
        <v>12512</v>
      </c>
      <c r="E3607" s="3" t="s">
        <v>12512</v>
      </c>
      <c r="F3607" s="3" t="s">
        <v>20</v>
      </c>
      <c r="G3607" s="4">
        <v>18973</v>
      </c>
      <c r="H3607" s="3" t="s">
        <v>21</v>
      </c>
      <c r="I3607" s="3" t="s">
        <v>33</v>
      </c>
      <c r="J3607" s="5">
        <v>6420194</v>
      </c>
      <c r="K3607" s="3">
        <v>2532202</v>
      </c>
      <c r="L3607" s="3" t="s">
        <v>12513</v>
      </c>
      <c r="M3607" s="3" t="s">
        <v>12514</v>
      </c>
      <c r="N3607" s="3">
        <v>601</v>
      </c>
      <c r="P3607" s="3" t="s">
        <v>12515</v>
      </c>
      <c r="Q3607" s="3" t="s">
        <v>253</v>
      </c>
      <c r="R3607" s="3" t="s">
        <v>78</v>
      </c>
      <c r="S3607" s="3">
        <v>21512040</v>
      </c>
      <c r="T3607" s="3">
        <v>2138183000</v>
      </c>
      <c r="U3607" s="3" t="s">
        <v>29</v>
      </c>
    </row>
    <row r="3608" spans="1:21" ht="13.2" x14ac:dyDescent="0.25">
      <c r="A3608" s="14">
        <v>9287895000161</v>
      </c>
      <c r="B3608" s="15" t="str">
        <f t="shared" si="56"/>
        <v>09.287.895/0001-61</v>
      </c>
      <c r="C3608" s="12"/>
      <c r="D3608" s="3" t="s">
        <v>12516</v>
      </c>
      <c r="E3608" s="3" t="s">
        <v>12516</v>
      </c>
      <c r="F3608" s="3" t="s">
        <v>20</v>
      </c>
      <c r="G3608" s="4">
        <v>39421</v>
      </c>
      <c r="H3608" s="3" t="s">
        <v>21</v>
      </c>
      <c r="I3608" s="3" t="s">
        <v>33</v>
      </c>
      <c r="J3608" s="5">
        <v>164587330</v>
      </c>
      <c r="K3608" s="3">
        <v>4663000</v>
      </c>
      <c r="L3608" s="3" t="s">
        <v>128</v>
      </c>
      <c r="M3608" s="3" t="s">
        <v>12517</v>
      </c>
      <c r="N3608" s="3">
        <v>191</v>
      </c>
      <c r="O3608" s="3" t="s">
        <v>12518</v>
      </c>
      <c r="P3608" s="3" t="s">
        <v>8589</v>
      </c>
      <c r="Q3608" s="3" t="s">
        <v>688</v>
      </c>
      <c r="R3608" s="3" t="s">
        <v>28</v>
      </c>
      <c r="S3608" s="3">
        <v>6715867</v>
      </c>
      <c r="T3608" s="3">
        <v>1150691027</v>
      </c>
      <c r="U3608" s="3" t="s">
        <v>29</v>
      </c>
    </row>
    <row r="3609" spans="1:21" ht="13.2" x14ac:dyDescent="0.25">
      <c r="A3609" s="14">
        <v>7925786000105</v>
      </c>
      <c r="B3609" s="15" t="str">
        <f t="shared" si="56"/>
        <v>07.925.786/0001-05</v>
      </c>
      <c r="C3609" s="12"/>
      <c r="D3609" s="3" t="s">
        <v>12519</v>
      </c>
      <c r="E3609" s="3" t="s">
        <v>12520</v>
      </c>
      <c r="F3609" s="3" t="s">
        <v>20</v>
      </c>
      <c r="G3609" s="4">
        <v>38807</v>
      </c>
      <c r="H3609" s="3" t="s">
        <v>21</v>
      </c>
      <c r="I3609" s="3" t="s">
        <v>33</v>
      </c>
      <c r="J3609" s="5">
        <v>1405000</v>
      </c>
      <c r="K3609" s="3">
        <v>2823200</v>
      </c>
      <c r="L3609" s="3" t="s">
        <v>1667</v>
      </c>
      <c r="M3609" s="3" t="s">
        <v>12521</v>
      </c>
      <c r="N3609" s="3">
        <v>10730</v>
      </c>
      <c r="O3609" s="3" t="s">
        <v>12522</v>
      </c>
      <c r="P3609" s="3" t="s">
        <v>12523</v>
      </c>
      <c r="Q3609" s="3" t="s">
        <v>5416</v>
      </c>
      <c r="R3609" s="3" t="s">
        <v>91</v>
      </c>
      <c r="S3609" s="3">
        <v>89108000</v>
      </c>
      <c r="T3609" s="3">
        <v>4733071100</v>
      </c>
      <c r="U3609" s="3" t="s">
        <v>29</v>
      </c>
    </row>
    <row r="3610" spans="1:21" ht="13.2" x14ac:dyDescent="0.25">
      <c r="A3610" s="14">
        <v>24090270000107</v>
      </c>
      <c r="B3610" s="15" t="str">
        <f t="shared" si="56"/>
        <v>24.090.270/0001-07</v>
      </c>
      <c r="C3610" s="12"/>
      <c r="D3610" s="3" t="s">
        <v>12524</v>
      </c>
      <c r="E3610" s="3" t="s">
        <v>12525</v>
      </c>
      <c r="F3610" s="3" t="s">
        <v>45</v>
      </c>
      <c r="G3610" s="4">
        <v>42401</v>
      </c>
      <c r="H3610" s="3" t="s">
        <v>1329</v>
      </c>
      <c r="I3610" s="3" t="s">
        <v>47</v>
      </c>
      <c r="J3610" s="5">
        <v>95400</v>
      </c>
      <c r="K3610" s="3">
        <v>4669999</v>
      </c>
      <c r="L3610" s="3" t="s">
        <v>558</v>
      </c>
      <c r="M3610" s="3" t="s">
        <v>12526</v>
      </c>
      <c r="N3610" s="3">
        <v>43</v>
      </c>
      <c r="O3610" s="3" t="s">
        <v>1862</v>
      </c>
      <c r="P3610" s="3" t="s">
        <v>1492</v>
      </c>
      <c r="Q3610" s="3" t="s">
        <v>27</v>
      </c>
      <c r="R3610" s="3" t="s">
        <v>28</v>
      </c>
      <c r="S3610" s="3">
        <v>5068010</v>
      </c>
      <c r="T3610" s="3">
        <v>1147051162</v>
      </c>
      <c r="U3610" s="3" t="s">
        <v>29</v>
      </c>
    </row>
    <row r="3611" spans="1:21" ht="13.2" x14ac:dyDescent="0.25">
      <c r="A3611" s="14">
        <v>62082821000171</v>
      </c>
      <c r="B3611" s="15" t="str">
        <f t="shared" si="56"/>
        <v>62.082.821/0001-71</v>
      </c>
      <c r="C3611" s="12"/>
      <c r="D3611" s="3" t="s">
        <v>12527</v>
      </c>
      <c r="E3611" s="3" t="s">
        <v>12527</v>
      </c>
      <c r="F3611" s="3" t="s">
        <v>20</v>
      </c>
      <c r="G3611" s="4">
        <v>32824</v>
      </c>
      <c r="H3611" s="3" t="s">
        <v>21</v>
      </c>
      <c r="I3611" s="3" t="s">
        <v>33</v>
      </c>
      <c r="J3611" s="5">
        <v>1471500</v>
      </c>
      <c r="K3611" s="3">
        <v>4322302</v>
      </c>
      <c r="L3611" s="3" t="s">
        <v>5651</v>
      </c>
      <c r="M3611" s="3" t="s">
        <v>12528</v>
      </c>
      <c r="N3611" s="3">
        <v>923</v>
      </c>
      <c r="P3611" s="3" t="s">
        <v>12529</v>
      </c>
      <c r="Q3611" s="3" t="s">
        <v>27</v>
      </c>
      <c r="R3611" s="3" t="s">
        <v>28</v>
      </c>
      <c r="S3611" s="3">
        <v>2452002</v>
      </c>
      <c r="U3611" s="3" t="s">
        <v>29</v>
      </c>
    </row>
    <row r="3612" spans="1:21" ht="13.2" x14ac:dyDescent="0.25">
      <c r="A3612" s="14">
        <v>29650201000116</v>
      </c>
      <c r="B3612" s="15" t="str">
        <f t="shared" si="56"/>
        <v>29.650.201/0001-16</v>
      </c>
      <c r="C3612" s="12"/>
      <c r="D3612" s="3" t="s">
        <v>12530</v>
      </c>
      <c r="E3612" s="3" t="s">
        <v>12531</v>
      </c>
      <c r="F3612" s="3" t="s">
        <v>20</v>
      </c>
      <c r="G3612" s="4">
        <v>43139</v>
      </c>
      <c r="H3612" s="3" t="s">
        <v>21</v>
      </c>
      <c r="I3612" s="3" t="s">
        <v>47</v>
      </c>
      <c r="J3612" s="5">
        <v>96000</v>
      </c>
      <c r="K3612" s="3">
        <v>4642702</v>
      </c>
      <c r="L3612" s="3" t="s">
        <v>1139</v>
      </c>
      <c r="M3612" s="3" t="s">
        <v>12532</v>
      </c>
      <c r="N3612" s="3">
        <v>1302</v>
      </c>
      <c r="P3612" s="3" t="s">
        <v>12533</v>
      </c>
      <c r="Q3612" s="3" t="s">
        <v>27</v>
      </c>
      <c r="R3612" s="3" t="s">
        <v>28</v>
      </c>
      <c r="S3612" s="3">
        <v>2734000</v>
      </c>
      <c r="T3612" s="3">
        <v>1139778917</v>
      </c>
      <c r="U3612" s="3" t="s">
        <v>29</v>
      </c>
    </row>
    <row r="3613" spans="1:21" ht="13.2" x14ac:dyDescent="0.25">
      <c r="A3613" s="14">
        <v>47366273000118</v>
      </c>
      <c r="B3613" s="15" t="str">
        <f t="shared" si="56"/>
        <v>47.366.273/0001-18</v>
      </c>
      <c r="C3613" s="12"/>
      <c r="D3613" s="3" t="s">
        <v>12534</v>
      </c>
      <c r="E3613" s="3" t="s">
        <v>12534</v>
      </c>
      <c r="F3613" s="3" t="s">
        <v>20</v>
      </c>
      <c r="G3613" s="4">
        <v>27878</v>
      </c>
      <c r="H3613" s="3" t="s">
        <v>21</v>
      </c>
      <c r="I3613" s="3" t="s">
        <v>33</v>
      </c>
      <c r="J3613" s="5">
        <v>1146139300</v>
      </c>
      <c r="K3613" s="3">
        <v>2815101</v>
      </c>
      <c r="L3613" s="3" t="s">
        <v>12535</v>
      </c>
      <c r="M3613" s="3" t="s">
        <v>12536</v>
      </c>
      <c r="N3613" s="3">
        <v>296</v>
      </c>
      <c r="O3613" s="3" t="s">
        <v>12537</v>
      </c>
      <c r="P3613" s="3" t="s">
        <v>12538</v>
      </c>
      <c r="Q3613" s="3" t="s">
        <v>1943</v>
      </c>
      <c r="R3613" s="3" t="s">
        <v>28</v>
      </c>
      <c r="S3613" s="3">
        <v>9941410</v>
      </c>
      <c r="T3613" s="3">
        <v>1140558423</v>
      </c>
      <c r="U3613" s="3" t="s">
        <v>29</v>
      </c>
    </row>
    <row r="3614" spans="1:21" ht="13.2" x14ac:dyDescent="0.25">
      <c r="A3614" s="14">
        <v>50942135000144</v>
      </c>
      <c r="B3614" s="15" t="str">
        <f t="shared" si="56"/>
        <v>50.942.135/0001-44</v>
      </c>
      <c r="C3614" s="12"/>
      <c r="D3614" s="3" t="s">
        <v>12539</v>
      </c>
      <c r="E3614" s="3" t="s">
        <v>12539</v>
      </c>
      <c r="F3614" s="3" t="s">
        <v>20</v>
      </c>
      <c r="G3614" s="4">
        <v>24316</v>
      </c>
      <c r="H3614" s="3" t="s">
        <v>21</v>
      </c>
      <c r="I3614" s="3" t="s">
        <v>33</v>
      </c>
      <c r="J3614" s="5">
        <v>85000000</v>
      </c>
      <c r="K3614" s="3">
        <v>2941700</v>
      </c>
      <c r="L3614" s="3" t="s">
        <v>2610</v>
      </c>
      <c r="M3614" s="3" t="s">
        <v>12540</v>
      </c>
      <c r="N3614" s="3">
        <v>1050</v>
      </c>
      <c r="P3614" s="3" t="s">
        <v>2596</v>
      </c>
      <c r="Q3614" s="3" t="s">
        <v>3981</v>
      </c>
      <c r="R3614" s="3" t="s">
        <v>28</v>
      </c>
      <c r="S3614" s="3">
        <v>13231900</v>
      </c>
      <c r="T3614" s="3">
        <v>1140399074</v>
      </c>
      <c r="U3614" s="3" t="s">
        <v>29</v>
      </c>
    </row>
    <row r="3615" spans="1:21" ht="13.2" x14ac:dyDescent="0.25">
      <c r="A3615" s="14">
        <v>47866934000174</v>
      </c>
      <c r="B3615" s="15" t="str">
        <f t="shared" si="56"/>
        <v>47.866.934/0001-74</v>
      </c>
      <c r="C3615" s="12"/>
      <c r="D3615" s="3" t="s">
        <v>12541</v>
      </c>
      <c r="E3615" s="3" t="s">
        <v>12541</v>
      </c>
      <c r="F3615" s="3" t="s">
        <v>20</v>
      </c>
      <c r="G3615" s="4">
        <v>27886</v>
      </c>
      <c r="H3615" s="3" t="s">
        <v>94</v>
      </c>
      <c r="I3615" s="3" t="s">
        <v>33</v>
      </c>
      <c r="J3615" s="5">
        <v>643705000</v>
      </c>
      <c r="K3615" s="3">
        <v>6619305</v>
      </c>
      <c r="L3615" s="3" t="s">
        <v>12542</v>
      </c>
      <c r="M3615" s="3" t="s">
        <v>2281</v>
      </c>
      <c r="N3615" s="3">
        <v>7815</v>
      </c>
      <c r="O3615" s="3" t="s">
        <v>12543</v>
      </c>
      <c r="P3615" s="3" t="s">
        <v>1740</v>
      </c>
      <c r="Q3615" s="3" t="s">
        <v>27</v>
      </c>
      <c r="R3615" s="3" t="s">
        <v>28</v>
      </c>
      <c r="S3615" s="3">
        <v>5425905</v>
      </c>
      <c r="T3615" s="3">
        <v>1140039000</v>
      </c>
      <c r="U3615" s="3" t="s">
        <v>29</v>
      </c>
    </row>
    <row r="3616" spans="1:21" ht="13.2" x14ac:dyDescent="0.25">
      <c r="A3616" s="14">
        <v>68857085000162</v>
      </c>
      <c r="B3616" s="15" t="str">
        <f t="shared" si="56"/>
        <v>68.857.085/0001-62</v>
      </c>
      <c r="C3616" s="12" t="str">
        <f>VLOOKUP(B3616,[1]Planilha1!$A:$B,2,0)</f>
        <v>Malu Montesino</v>
      </c>
      <c r="D3616" s="3" t="s">
        <v>12544</v>
      </c>
      <c r="E3616" s="3" t="s">
        <v>12544</v>
      </c>
      <c r="F3616" s="3" t="s">
        <v>45</v>
      </c>
      <c r="G3616" s="4">
        <v>33863</v>
      </c>
      <c r="H3616" s="3" t="s">
        <v>21</v>
      </c>
      <c r="I3616" s="3" t="s">
        <v>33</v>
      </c>
      <c r="J3616" s="5">
        <v>87381240</v>
      </c>
      <c r="K3616" s="3">
        <v>4511104</v>
      </c>
      <c r="L3616" s="3" t="s">
        <v>2728</v>
      </c>
      <c r="M3616" s="3" t="s">
        <v>12545</v>
      </c>
      <c r="N3616" s="3">
        <v>700</v>
      </c>
      <c r="P3616" s="3" t="s">
        <v>5027</v>
      </c>
      <c r="Q3616" s="3" t="s">
        <v>27</v>
      </c>
      <c r="R3616" s="3" t="s">
        <v>28</v>
      </c>
      <c r="S3616" s="3">
        <v>5118100</v>
      </c>
      <c r="T3616" s="3">
        <v>1123777000</v>
      </c>
      <c r="U3616" s="3" t="s">
        <v>29</v>
      </c>
    </row>
    <row r="3617" spans="1:21" ht="13.2" x14ac:dyDescent="0.25">
      <c r="A3617" s="14">
        <v>33064262000179</v>
      </c>
      <c r="B3617" s="15" t="str">
        <f t="shared" si="56"/>
        <v>33.064.262/0001-79</v>
      </c>
      <c r="C3617" s="12"/>
      <c r="D3617" s="3" t="s">
        <v>12546</v>
      </c>
      <c r="E3617" s="3" t="s">
        <v>12546</v>
      </c>
      <c r="F3617" s="3" t="s">
        <v>20</v>
      </c>
      <c r="G3617" s="4">
        <v>22987</v>
      </c>
      <c r="H3617" s="3" t="s">
        <v>94</v>
      </c>
      <c r="I3617" s="3" t="s">
        <v>33</v>
      </c>
      <c r="J3617" s="5">
        <v>336540580</v>
      </c>
      <c r="K3617" s="3">
        <v>2813500</v>
      </c>
      <c r="L3617" s="3" t="s">
        <v>1383</v>
      </c>
      <c r="M3617" s="3" t="s">
        <v>12547</v>
      </c>
      <c r="N3617" s="3">
        <v>245</v>
      </c>
      <c r="O3617" s="3" t="s">
        <v>12548</v>
      </c>
      <c r="P3617" s="3" t="s">
        <v>5689</v>
      </c>
      <c r="Q3617" s="3" t="s">
        <v>423</v>
      </c>
      <c r="R3617" s="3" t="s">
        <v>91</v>
      </c>
      <c r="S3617" s="3">
        <v>89217420</v>
      </c>
      <c r="T3617" s="3">
        <v>2130882204</v>
      </c>
      <c r="U3617" s="3" t="s">
        <v>29</v>
      </c>
    </row>
    <row r="3618" spans="1:21" ht="13.2" x14ac:dyDescent="0.25">
      <c r="A3618" s="14">
        <v>8862530000150</v>
      </c>
      <c r="B3618" s="15" t="str">
        <f t="shared" si="56"/>
        <v>08.862.530/0001-50</v>
      </c>
      <c r="C3618" s="12" t="str">
        <f>VLOOKUP(B3618,[1]Planilha1!$A:$B,2,0)</f>
        <v>Malu Montesino</v>
      </c>
      <c r="D3618" s="3" t="s">
        <v>12549</v>
      </c>
      <c r="E3618" s="3" t="s">
        <v>12550</v>
      </c>
      <c r="F3618" s="3" t="s">
        <v>20</v>
      </c>
      <c r="G3618" s="4">
        <v>39237</v>
      </c>
      <c r="H3618" s="3" t="s">
        <v>21</v>
      </c>
      <c r="I3618" s="3" t="s">
        <v>33</v>
      </c>
      <c r="J3618" s="5">
        <v>405055000</v>
      </c>
      <c r="K3618" s="3">
        <v>2223400</v>
      </c>
      <c r="L3618" s="3" t="s">
        <v>868</v>
      </c>
      <c r="M3618" s="3" t="s">
        <v>4027</v>
      </c>
      <c r="N3618" s="3">
        <v>54</v>
      </c>
      <c r="O3618" s="3" t="s">
        <v>12551</v>
      </c>
      <c r="P3618" s="3" t="s">
        <v>12552</v>
      </c>
      <c r="Q3618" s="3" t="s">
        <v>423</v>
      </c>
      <c r="R3618" s="3" t="s">
        <v>91</v>
      </c>
      <c r="S3618" s="3">
        <v>89203210</v>
      </c>
      <c r="T3618" s="3">
        <v>4734415172</v>
      </c>
      <c r="U3618" s="3" t="s">
        <v>29</v>
      </c>
    </row>
    <row r="3619" spans="1:21" ht="13.2" x14ac:dyDescent="0.25">
      <c r="A3619" s="14">
        <v>2421421000111</v>
      </c>
      <c r="B3619" s="15" t="str">
        <f t="shared" si="56"/>
        <v>02.421.421/0001-11</v>
      </c>
      <c r="C3619" s="12"/>
      <c r="D3619" s="3" t="s">
        <v>12553</v>
      </c>
      <c r="E3619" s="3" t="s">
        <v>12553</v>
      </c>
      <c r="F3619" s="3" t="s">
        <v>20</v>
      </c>
      <c r="G3619" s="4">
        <v>35863</v>
      </c>
      <c r="H3619" s="3" t="s">
        <v>377</v>
      </c>
      <c r="I3619" s="3" t="s">
        <v>33</v>
      </c>
      <c r="J3619" s="5">
        <v>13477890000</v>
      </c>
      <c r="K3619" s="3">
        <v>6110801</v>
      </c>
      <c r="L3619" s="3" t="s">
        <v>990</v>
      </c>
      <c r="M3619" s="3" t="s">
        <v>4858</v>
      </c>
      <c r="N3619" s="3">
        <v>850</v>
      </c>
      <c r="O3619" s="3" t="s">
        <v>12554</v>
      </c>
      <c r="P3619" s="3" t="s">
        <v>252</v>
      </c>
      <c r="Q3619" s="3" t="s">
        <v>253</v>
      </c>
      <c r="R3619" s="3" t="s">
        <v>78</v>
      </c>
      <c r="S3619" s="3">
        <v>22775057</v>
      </c>
      <c r="T3619" s="3">
        <v>2141198899</v>
      </c>
      <c r="U3619" s="3" t="s">
        <v>29</v>
      </c>
    </row>
    <row r="3620" spans="1:21" ht="13.2" x14ac:dyDescent="0.25">
      <c r="A3620" s="14">
        <v>44211112000167</v>
      </c>
      <c r="B3620" s="15" t="str">
        <f t="shared" si="56"/>
        <v>44.211.112/0001-67</v>
      </c>
      <c r="C3620" s="12" t="str">
        <f>VLOOKUP(B3620,[1]Planilha1!$A:$B,2,0)</f>
        <v>Malu Montesino</v>
      </c>
      <c r="D3620" s="3" t="s">
        <v>12555</v>
      </c>
      <c r="E3620" s="3" t="s">
        <v>12556</v>
      </c>
      <c r="F3620" s="3" t="s">
        <v>20</v>
      </c>
      <c r="G3620" s="4">
        <v>44511</v>
      </c>
      <c r="H3620" s="3" t="s">
        <v>21</v>
      </c>
      <c r="I3620" s="3" t="s">
        <v>22</v>
      </c>
      <c r="J3620" s="5">
        <v>500000</v>
      </c>
      <c r="K3620" s="3">
        <v>4399101</v>
      </c>
      <c r="L3620" s="3" t="s">
        <v>2919</v>
      </c>
      <c r="M3620" s="3" t="s">
        <v>246</v>
      </c>
      <c r="N3620" s="3">
        <v>1636</v>
      </c>
      <c r="O3620" s="3" t="s">
        <v>12557</v>
      </c>
      <c r="P3620" s="3" t="s">
        <v>248</v>
      </c>
      <c r="Q3620" s="3" t="s">
        <v>27</v>
      </c>
      <c r="R3620" s="3" t="s">
        <v>28</v>
      </c>
      <c r="S3620" s="3">
        <v>1310200</v>
      </c>
      <c r="T3620" s="3">
        <v>1126109330</v>
      </c>
      <c r="U3620" s="3" t="s">
        <v>29</v>
      </c>
    </row>
    <row r="3621" spans="1:21" ht="13.2" x14ac:dyDescent="0.25">
      <c r="A3621" s="14">
        <v>13754386000179</v>
      </c>
      <c r="B3621" s="15" t="str">
        <f t="shared" si="56"/>
        <v>13.754.386/0001-79</v>
      </c>
      <c r="C3621" s="12"/>
      <c r="D3621" s="3" t="s">
        <v>12558</v>
      </c>
      <c r="E3621" s="3" t="s">
        <v>12559</v>
      </c>
      <c r="F3621" s="3" t="s">
        <v>20</v>
      </c>
      <c r="G3621" s="4">
        <v>40688</v>
      </c>
      <c r="H3621" s="3" t="s">
        <v>21</v>
      </c>
      <c r="I3621" s="3" t="s">
        <v>47</v>
      </c>
      <c r="J3621" s="5">
        <v>10000</v>
      </c>
      <c r="K3621" s="3">
        <v>6201501</v>
      </c>
      <c r="L3621" s="3" t="s">
        <v>298</v>
      </c>
      <c r="M3621" s="3" t="s">
        <v>12560</v>
      </c>
      <c r="N3621" s="3">
        <v>233</v>
      </c>
      <c r="O3621" s="3" t="s">
        <v>12561</v>
      </c>
      <c r="P3621" s="3" t="s">
        <v>12562</v>
      </c>
      <c r="Q3621" s="3" t="s">
        <v>294</v>
      </c>
      <c r="R3621" s="3" t="s">
        <v>28</v>
      </c>
      <c r="S3621" s="3">
        <v>11050251</v>
      </c>
      <c r="T3621" s="3">
        <v>1333790013</v>
      </c>
      <c r="U3621" s="3" t="s">
        <v>29</v>
      </c>
    </row>
    <row r="3622" spans="1:21" ht="13.2" x14ac:dyDescent="0.25">
      <c r="A3622" s="14">
        <v>57483034000100</v>
      </c>
      <c r="B3622" s="15" t="str">
        <f t="shared" si="56"/>
        <v>57.483.034/0001-00</v>
      </c>
      <c r="C3622" s="12" t="str">
        <f>VLOOKUP(B3622,[1]Planilha1!$A:$B,2,0)</f>
        <v>Malu Montesino</v>
      </c>
      <c r="D3622" s="3" t="s">
        <v>12563</v>
      </c>
      <c r="E3622" s="3" t="s">
        <v>12563</v>
      </c>
      <c r="F3622" s="3" t="s">
        <v>45</v>
      </c>
      <c r="G3622" s="4">
        <v>24302</v>
      </c>
      <c r="H3622" s="3" t="s">
        <v>21</v>
      </c>
      <c r="I3622" s="3" t="s">
        <v>33</v>
      </c>
      <c r="J3622" s="5">
        <v>90476980</v>
      </c>
      <c r="K3622" s="3">
        <v>2071100</v>
      </c>
      <c r="L3622" s="3" t="s">
        <v>877</v>
      </c>
      <c r="M3622" s="3" t="s">
        <v>3802</v>
      </c>
      <c r="N3622" s="3">
        <v>2100</v>
      </c>
      <c r="P3622" s="3" t="s">
        <v>3346</v>
      </c>
      <c r="Q3622" s="3" t="s">
        <v>881</v>
      </c>
      <c r="R3622" s="3" t="s">
        <v>28</v>
      </c>
      <c r="S3622" s="3">
        <v>9370800</v>
      </c>
      <c r="T3622" s="3">
        <v>1107555838</v>
      </c>
      <c r="U3622" s="3" t="s">
        <v>29</v>
      </c>
    </row>
    <row r="3623" spans="1:21" ht="13.2" x14ac:dyDescent="0.25">
      <c r="A3623" s="14">
        <v>61149506000151</v>
      </c>
      <c r="B3623" s="15" t="str">
        <f t="shared" si="56"/>
        <v>61.149.506/0001-51</v>
      </c>
      <c r="C3623" s="12"/>
      <c r="D3623" s="3" t="s">
        <v>12564</v>
      </c>
      <c r="E3623" s="3" t="s">
        <v>12564</v>
      </c>
      <c r="F3623" s="3" t="s">
        <v>20</v>
      </c>
      <c r="G3623" s="4">
        <v>24302</v>
      </c>
      <c r="H3623" s="3" t="s">
        <v>21</v>
      </c>
      <c r="I3623" s="3" t="s">
        <v>33</v>
      </c>
      <c r="J3623" s="5">
        <v>8722892</v>
      </c>
      <c r="K3623" s="3">
        <v>4741500</v>
      </c>
      <c r="L3623" s="3" t="s">
        <v>10322</v>
      </c>
      <c r="M3623" s="3" t="s">
        <v>12565</v>
      </c>
      <c r="N3623" s="3">
        <v>378</v>
      </c>
      <c r="P3623" s="3" t="s">
        <v>2271</v>
      </c>
      <c r="Q3623" s="3" t="s">
        <v>27</v>
      </c>
      <c r="R3623" s="3" t="s">
        <v>28</v>
      </c>
      <c r="S3623" s="3">
        <v>4123000</v>
      </c>
      <c r="T3623" s="3">
        <v>1981114665</v>
      </c>
      <c r="U3623" s="3" t="s">
        <v>29</v>
      </c>
    </row>
    <row r="3624" spans="1:21" ht="13.2" x14ac:dyDescent="0.25">
      <c r="A3624" s="14">
        <v>7073027000153</v>
      </c>
      <c r="B3624" s="15" t="str">
        <f t="shared" si="56"/>
        <v>07.073.027/0001-53</v>
      </c>
      <c r="C3624" s="12"/>
      <c r="D3624" s="3" t="s">
        <v>12566</v>
      </c>
      <c r="E3624" s="3" t="s">
        <v>12566</v>
      </c>
      <c r="F3624" s="3" t="s">
        <v>20</v>
      </c>
      <c r="G3624" s="4">
        <v>38287</v>
      </c>
      <c r="H3624" s="3" t="s">
        <v>94</v>
      </c>
      <c r="I3624" s="3" t="s">
        <v>33</v>
      </c>
      <c r="J3624" s="5">
        <v>1167864200</v>
      </c>
      <c r="K3624" s="3">
        <v>6311900</v>
      </c>
      <c r="L3624" s="3" t="s">
        <v>3132</v>
      </c>
      <c r="M3624" s="3" t="s">
        <v>12567</v>
      </c>
      <c r="N3624" s="3">
        <v>621</v>
      </c>
      <c r="P3624" s="3" t="s">
        <v>6676</v>
      </c>
      <c r="Q3624" s="3" t="s">
        <v>27</v>
      </c>
      <c r="R3624" s="3" t="s">
        <v>28</v>
      </c>
      <c r="S3624" s="3">
        <v>4757000</v>
      </c>
      <c r="T3624" s="3">
        <v>1136269236</v>
      </c>
      <c r="U3624" s="3" t="s">
        <v>29</v>
      </c>
    </row>
    <row r="3625" spans="1:21" ht="13.2" x14ac:dyDescent="0.25">
      <c r="A3625" s="14">
        <v>90347840000118</v>
      </c>
      <c r="B3625" s="15" t="str">
        <f t="shared" si="56"/>
        <v>90.347.840/0001-18</v>
      </c>
      <c r="C3625" s="12"/>
      <c r="D3625" s="3" t="s">
        <v>12568</v>
      </c>
      <c r="E3625" s="3" t="s">
        <v>12568</v>
      </c>
      <c r="F3625" s="3" t="s">
        <v>20</v>
      </c>
      <c r="G3625" s="4">
        <v>24320</v>
      </c>
      <c r="H3625" s="3" t="s">
        <v>21</v>
      </c>
      <c r="I3625" s="3" t="s">
        <v>33</v>
      </c>
      <c r="J3625" s="5">
        <v>259606770</v>
      </c>
      <c r="K3625" s="3">
        <v>2822401</v>
      </c>
      <c r="L3625" s="3" t="s">
        <v>12569</v>
      </c>
      <c r="M3625" s="3" t="s">
        <v>748</v>
      </c>
      <c r="N3625" s="3">
        <v>1000</v>
      </c>
      <c r="P3625" s="3" t="s">
        <v>12570</v>
      </c>
      <c r="Q3625" s="3" t="s">
        <v>12571</v>
      </c>
      <c r="R3625" s="3" t="s">
        <v>53</v>
      </c>
      <c r="S3625" s="3">
        <v>92717190</v>
      </c>
      <c r="T3625" s="3">
        <v>5121297200</v>
      </c>
      <c r="U3625" s="3" t="s">
        <v>29</v>
      </c>
    </row>
    <row r="3626" spans="1:21" ht="13.2" x14ac:dyDescent="0.25">
      <c r="A3626" s="14">
        <v>9332314000166</v>
      </c>
      <c r="B3626" s="15" t="str">
        <f t="shared" si="56"/>
        <v>09.332.314/0001-66</v>
      </c>
      <c r="C3626" s="12"/>
      <c r="D3626" s="3" t="s">
        <v>12572</v>
      </c>
      <c r="E3626" s="3" t="s">
        <v>12573</v>
      </c>
      <c r="F3626" s="3" t="s">
        <v>20</v>
      </c>
      <c r="G3626" s="4">
        <v>39468</v>
      </c>
      <c r="H3626" s="3" t="s">
        <v>21</v>
      </c>
      <c r="I3626" s="3" t="s">
        <v>33</v>
      </c>
      <c r="J3626" s="5">
        <v>23000000</v>
      </c>
      <c r="K3626" s="3">
        <v>2822402</v>
      </c>
      <c r="L3626" s="3" t="s">
        <v>4317</v>
      </c>
      <c r="M3626" s="3" t="s">
        <v>12574</v>
      </c>
      <c r="N3626" s="3" t="s">
        <v>82</v>
      </c>
      <c r="O3626" s="3" t="s">
        <v>7458</v>
      </c>
      <c r="P3626" s="3" t="s">
        <v>911</v>
      </c>
      <c r="Q3626" s="3" t="s">
        <v>2374</v>
      </c>
      <c r="R3626" s="3" t="s">
        <v>53</v>
      </c>
      <c r="S3626" s="3">
        <v>95270000</v>
      </c>
      <c r="T3626" s="3">
        <v>5432023000</v>
      </c>
      <c r="U3626" s="3" t="s">
        <v>29</v>
      </c>
    </row>
    <row r="3627" spans="1:21" ht="13.2" x14ac:dyDescent="0.25">
      <c r="A3627" s="14">
        <v>7415627000152</v>
      </c>
      <c r="B3627" s="15" t="str">
        <f t="shared" si="56"/>
        <v>07.415.627/0001-52</v>
      </c>
      <c r="C3627" s="12"/>
      <c r="D3627" s="3" t="s">
        <v>12575</v>
      </c>
      <c r="E3627" s="3" t="s">
        <v>12575</v>
      </c>
      <c r="F3627" s="3" t="s">
        <v>20</v>
      </c>
      <c r="G3627" s="4">
        <v>38504</v>
      </c>
      <c r="H3627" s="3" t="s">
        <v>21</v>
      </c>
      <c r="I3627" s="3" t="s">
        <v>33</v>
      </c>
      <c r="J3627" s="5">
        <v>6836392</v>
      </c>
      <c r="K3627" s="3">
        <v>4645101</v>
      </c>
      <c r="L3627" s="3" t="s">
        <v>135</v>
      </c>
      <c r="M3627" s="3" t="s">
        <v>12576</v>
      </c>
      <c r="N3627" s="3">
        <v>220</v>
      </c>
      <c r="O3627" s="3" t="s">
        <v>12577</v>
      </c>
      <c r="P3627" s="3" t="s">
        <v>2254</v>
      </c>
      <c r="Q3627" s="3" t="s">
        <v>204</v>
      </c>
      <c r="R3627" s="3" t="s">
        <v>187</v>
      </c>
      <c r="S3627" s="3">
        <v>81290270</v>
      </c>
      <c r="T3627" s="3">
        <v>4130220926</v>
      </c>
      <c r="U3627" s="3" t="s">
        <v>29</v>
      </c>
    </row>
    <row r="3628" spans="1:21" ht="13.2" x14ac:dyDescent="0.25">
      <c r="A3628" s="14">
        <v>7774050000175</v>
      </c>
      <c r="B3628" s="15" t="str">
        <f t="shared" si="56"/>
        <v>07.774.050/0001-75</v>
      </c>
      <c r="C3628" s="12"/>
      <c r="D3628" s="3" t="s">
        <v>12578</v>
      </c>
      <c r="E3628" s="3" t="s">
        <v>12578</v>
      </c>
      <c r="F3628" s="3" t="s">
        <v>20</v>
      </c>
      <c r="G3628" s="4">
        <v>38722</v>
      </c>
      <c r="H3628" s="3" t="s">
        <v>21</v>
      </c>
      <c r="I3628" s="3" t="s">
        <v>33</v>
      </c>
      <c r="J3628" s="5">
        <v>43900000</v>
      </c>
      <c r="K3628" s="3">
        <v>8011101</v>
      </c>
      <c r="L3628" s="3" t="s">
        <v>943</v>
      </c>
      <c r="M3628" s="3" t="s">
        <v>12579</v>
      </c>
      <c r="N3628" s="3">
        <v>262</v>
      </c>
      <c r="P3628" s="3" t="s">
        <v>241</v>
      </c>
      <c r="Q3628" s="3" t="s">
        <v>1339</v>
      </c>
      <c r="R3628" s="3" t="s">
        <v>456</v>
      </c>
      <c r="S3628" s="3">
        <v>50100090</v>
      </c>
      <c r="T3628" s="3">
        <v>8130329700</v>
      </c>
      <c r="U3628" s="3" t="s">
        <v>29</v>
      </c>
    </row>
    <row r="3629" spans="1:21" ht="13.2" x14ac:dyDescent="0.25">
      <c r="A3629" s="14">
        <v>28131759000122</v>
      </c>
      <c r="B3629" s="15" t="str">
        <f t="shared" si="56"/>
        <v>28.131.759/0001-22</v>
      </c>
      <c r="C3629" s="12" t="str">
        <f>VLOOKUP(B3629,[1]Planilha1!$A:$B,2,0)</f>
        <v>Mariane Nascimento</v>
      </c>
      <c r="D3629" s="3" t="s">
        <v>12580</v>
      </c>
      <c r="E3629" s="3" t="s">
        <v>12580</v>
      </c>
      <c r="F3629" s="3" t="s">
        <v>20</v>
      </c>
      <c r="G3629" s="4">
        <v>42923</v>
      </c>
      <c r="H3629" s="3" t="s">
        <v>94</v>
      </c>
      <c r="I3629" s="3" t="s">
        <v>33</v>
      </c>
      <c r="J3629" s="5">
        <v>21300000</v>
      </c>
      <c r="K3629" s="3">
        <v>4313400</v>
      </c>
      <c r="L3629" s="3" t="s">
        <v>3808</v>
      </c>
      <c r="M3629" s="3" t="s">
        <v>3498</v>
      </c>
      <c r="N3629" s="3">
        <v>11182</v>
      </c>
      <c r="P3629" s="3" t="s">
        <v>12581</v>
      </c>
      <c r="Q3629" s="3" t="s">
        <v>6108</v>
      </c>
      <c r="R3629" s="3" t="s">
        <v>28</v>
      </c>
      <c r="S3629" s="3">
        <v>11705000</v>
      </c>
      <c r="T3629" s="3">
        <v>1334714163</v>
      </c>
      <c r="U3629" s="3" t="s">
        <v>29</v>
      </c>
    </row>
    <row r="3630" spans="1:21" ht="13.2" x14ac:dyDescent="0.25">
      <c r="A3630" s="14">
        <v>8689089000157</v>
      </c>
      <c r="B3630" s="15" t="str">
        <f t="shared" si="56"/>
        <v>08.689.089/0001-57</v>
      </c>
      <c r="C3630" s="12"/>
      <c r="D3630" s="3" t="s">
        <v>12582</v>
      </c>
      <c r="E3630" s="3" t="s">
        <v>12582</v>
      </c>
      <c r="F3630" s="3" t="s">
        <v>20</v>
      </c>
      <c r="G3630" s="4">
        <v>39128</v>
      </c>
      <c r="H3630" s="3" t="s">
        <v>21</v>
      </c>
      <c r="I3630" s="3" t="s">
        <v>33</v>
      </c>
      <c r="J3630" s="5">
        <v>6721106</v>
      </c>
      <c r="K3630" s="3">
        <v>6203100</v>
      </c>
      <c r="L3630" s="3" t="s">
        <v>2268</v>
      </c>
      <c r="M3630" s="3" t="s">
        <v>12583</v>
      </c>
      <c r="N3630" s="3">
        <v>5500</v>
      </c>
      <c r="O3630" s="3" t="s">
        <v>12584</v>
      </c>
      <c r="P3630" s="3" t="s">
        <v>106</v>
      </c>
      <c r="Q3630" s="3" t="s">
        <v>107</v>
      </c>
      <c r="R3630" s="3" t="s">
        <v>91</v>
      </c>
      <c r="S3630" s="3">
        <v>88032005</v>
      </c>
      <c r="T3630" s="3">
        <v>4832363004</v>
      </c>
      <c r="U3630" s="3" t="s">
        <v>29</v>
      </c>
    </row>
    <row r="3631" spans="1:21" ht="13.2" x14ac:dyDescent="0.25">
      <c r="A3631" s="14">
        <v>10608579000123</v>
      </c>
      <c r="B3631" s="15" t="str">
        <f t="shared" si="56"/>
        <v>10.608.579/0001-23</v>
      </c>
      <c r="C3631" s="12"/>
      <c r="D3631" s="3" t="s">
        <v>12585</v>
      </c>
      <c r="E3631" s="3" t="s">
        <v>12585</v>
      </c>
      <c r="F3631" s="3" t="s">
        <v>31</v>
      </c>
      <c r="G3631" s="4">
        <v>39836</v>
      </c>
      <c r="H3631" s="3" t="s">
        <v>21</v>
      </c>
      <c r="I3631" s="3" t="s">
        <v>47</v>
      </c>
      <c r="J3631" s="5">
        <v>2000</v>
      </c>
      <c r="K3631" s="3">
        <v>4930202</v>
      </c>
      <c r="L3631" s="3" t="s">
        <v>2603</v>
      </c>
      <c r="M3631" s="3" t="s">
        <v>12586</v>
      </c>
      <c r="N3631" s="3">
        <v>65</v>
      </c>
      <c r="P3631" s="3" t="s">
        <v>10240</v>
      </c>
      <c r="Q3631" s="3" t="s">
        <v>617</v>
      </c>
      <c r="R3631" s="3" t="s">
        <v>28</v>
      </c>
      <c r="S3631" s="3">
        <v>6412060</v>
      </c>
      <c r="T3631" s="3">
        <v>1136613556</v>
      </c>
      <c r="U3631" s="3" t="s">
        <v>29</v>
      </c>
    </row>
    <row r="3632" spans="1:21" ht="13.2" x14ac:dyDescent="0.25">
      <c r="A3632" s="14">
        <v>59704510000192</v>
      </c>
      <c r="B3632" s="15" t="str">
        <f t="shared" si="56"/>
        <v>59.704.510/0001-92</v>
      </c>
      <c r="C3632" s="12"/>
      <c r="D3632" s="3" t="s">
        <v>12587</v>
      </c>
      <c r="E3632" s="3" t="s">
        <v>12587</v>
      </c>
      <c r="F3632" s="3" t="s">
        <v>20</v>
      </c>
      <c r="G3632" s="4">
        <v>32464</v>
      </c>
      <c r="H3632" s="3" t="s">
        <v>21</v>
      </c>
      <c r="I3632" s="3" t="s">
        <v>33</v>
      </c>
      <c r="J3632" s="5">
        <v>88108376</v>
      </c>
      <c r="K3632" s="3">
        <v>2829199</v>
      </c>
      <c r="L3632" s="3" t="s">
        <v>1514</v>
      </c>
      <c r="M3632" s="3" t="s">
        <v>12588</v>
      </c>
      <c r="N3632" s="3">
        <v>1</v>
      </c>
      <c r="P3632" s="3" t="s">
        <v>12589</v>
      </c>
      <c r="Q3632" s="3" t="s">
        <v>217</v>
      </c>
      <c r="R3632" s="3" t="s">
        <v>28</v>
      </c>
      <c r="S3632" s="3">
        <v>9851330</v>
      </c>
      <c r="T3632" s="3">
        <v>1143569000</v>
      </c>
      <c r="U3632" s="3" t="s">
        <v>29</v>
      </c>
    </row>
    <row r="3633" spans="1:21" ht="13.2" x14ac:dyDescent="0.25">
      <c r="A3633" s="14">
        <v>4485016000192</v>
      </c>
      <c r="B3633" s="15" t="str">
        <f t="shared" si="56"/>
        <v>04.485.016/0001-92</v>
      </c>
      <c r="C3633" s="12"/>
      <c r="D3633" s="3" t="s">
        <v>12590</v>
      </c>
      <c r="E3633" s="3" t="s">
        <v>12591</v>
      </c>
      <c r="F3633" s="3" t="s">
        <v>20</v>
      </c>
      <c r="G3633" s="4">
        <v>37047</v>
      </c>
      <c r="H3633" s="3" t="s">
        <v>21</v>
      </c>
      <c r="I3633" s="3" t="s">
        <v>33</v>
      </c>
      <c r="J3633" s="5">
        <v>1879649</v>
      </c>
      <c r="K3633" s="3">
        <v>4120400</v>
      </c>
      <c r="L3633" s="3" t="s">
        <v>87</v>
      </c>
      <c r="M3633" s="3" t="s">
        <v>4308</v>
      </c>
      <c r="N3633" s="3">
        <v>620</v>
      </c>
      <c r="O3633" s="3" t="s">
        <v>1461</v>
      </c>
      <c r="P3633" s="3" t="s">
        <v>2596</v>
      </c>
      <c r="Q3633" s="3" t="s">
        <v>27</v>
      </c>
      <c r="R3633" s="3" t="s">
        <v>28</v>
      </c>
      <c r="S3633" s="3">
        <v>1455000</v>
      </c>
      <c r="T3633" s="3">
        <v>1130382000</v>
      </c>
      <c r="U3633" s="3" t="s">
        <v>29</v>
      </c>
    </row>
    <row r="3634" spans="1:21" ht="13.2" x14ac:dyDescent="0.25">
      <c r="A3634" s="14">
        <v>4595738000108</v>
      </c>
      <c r="B3634" s="15" t="str">
        <f t="shared" si="56"/>
        <v>04.595.738/0001-08</v>
      </c>
      <c r="C3634" s="12" t="str">
        <f>VLOOKUP(B3634,[1]Planilha1!$A:$B,2,0)</f>
        <v>Malu Montesino</v>
      </c>
      <c r="D3634" s="3" t="s">
        <v>12592</v>
      </c>
      <c r="E3634" s="3" t="s">
        <v>12593</v>
      </c>
      <c r="F3634" s="3" t="s">
        <v>20</v>
      </c>
      <c r="G3634" s="4">
        <v>37106</v>
      </c>
      <c r="H3634" s="3" t="s">
        <v>21</v>
      </c>
      <c r="I3634" s="3" t="s">
        <v>47</v>
      </c>
      <c r="J3634" s="5">
        <v>24000</v>
      </c>
      <c r="K3634" s="3">
        <v>4679604</v>
      </c>
      <c r="L3634" s="3" t="s">
        <v>4648</v>
      </c>
      <c r="M3634" s="3" t="s">
        <v>12594</v>
      </c>
      <c r="N3634" s="3" t="s">
        <v>82</v>
      </c>
      <c r="P3634" s="3" t="s">
        <v>12595</v>
      </c>
      <c r="Q3634" s="3" t="s">
        <v>27</v>
      </c>
      <c r="R3634" s="3" t="s">
        <v>28</v>
      </c>
      <c r="S3634" s="3">
        <v>3976160</v>
      </c>
      <c r="T3634" s="3">
        <v>1127318230</v>
      </c>
      <c r="U3634" s="3" t="s">
        <v>29</v>
      </c>
    </row>
    <row r="3635" spans="1:21" ht="13.2" x14ac:dyDescent="0.25">
      <c r="A3635" s="14">
        <v>7671564000103</v>
      </c>
      <c r="B3635" s="15" t="str">
        <f t="shared" si="56"/>
        <v>07.671.564/0001-03</v>
      </c>
      <c r="C3635" s="12"/>
      <c r="D3635" s="3" t="s">
        <v>12596</v>
      </c>
      <c r="E3635" s="3" t="s">
        <v>12597</v>
      </c>
      <c r="F3635" s="3" t="s">
        <v>45</v>
      </c>
      <c r="G3635" s="4">
        <v>38656</v>
      </c>
      <c r="H3635" s="3" t="s">
        <v>21</v>
      </c>
      <c r="I3635" s="3" t="s">
        <v>47</v>
      </c>
      <c r="J3635" s="5">
        <v>500000</v>
      </c>
      <c r="K3635" s="3">
        <v>4639702</v>
      </c>
      <c r="L3635" s="3" t="s">
        <v>12598</v>
      </c>
      <c r="M3635" s="3" t="s">
        <v>12599</v>
      </c>
      <c r="N3635" s="3" t="s">
        <v>82</v>
      </c>
      <c r="O3635" s="3" t="s">
        <v>12600</v>
      </c>
      <c r="P3635" s="3" t="s">
        <v>12601</v>
      </c>
      <c r="Q3635" s="3" t="s">
        <v>273</v>
      </c>
      <c r="R3635" s="3" t="s">
        <v>274</v>
      </c>
      <c r="S3635" s="3">
        <v>74484420</v>
      </c>
      <c r="T3635" s="3">
        <v>6235191700</v>
      </c>
      <c r="U3635" s="3" t="s">
        <v>29</v>
      </c>
    </row>
    <row r="3636" spans="1:21" ht="13.2" x14ac:dyDescent="0.25">
      <c r="A3636" s="14">
        <v>18722073000152</v>
      </c>
      <c r="B3636" s="15" t="str">
        <f t="shared" si="56"/>
        <v>18.722.073/0001-52</v>
      </c>
      <c r="C3636" s="12"/>
      <c r="D3636" s="3" t="s">
        <v>12602</v>
      </c>
      <c r="E3636" s="3" t="s">
        <v>12602</v>
      </c>
      <c r="F3636" s="3" t="s">
        <v>45</v>
      </c>
      <c r="G3636" s="4">
        <v>41507</v>
      </c>
      <c r="H3636" s="3" t="s">
        <v>21</v>
      </c>
      <c r="I3636" s="3" t="s">
        <v>22</v>
      </c>
      <c r="J3636" s="5">
        <v>115000</v>
      </c>
      <c r="K3636" s="3">
        <v>4649408</v>
      </c>
      <c r="L3636" s="3" t="s">
        <v>464</v>
      </c>
      <c r="M3636" s="3" t="s">
        <v>12603</v>
      </c>
      <c r="N3636" s="3">
        <v>334</v>
      </c>
      <c r="O3636" s="3" t="s">
        <v>12604</v>
      </c>
      <c r="P3636" s="3" t="s">
        <v>12605</v>
      </c>
      <c r="Q3636" s="3" t="s">
        <v>280</v>
      </c>
      <c r="R3636" s="3" t="s">
        <v>281</v>
      </c>
      <c r="S3636" s="3">
        <v>41100086</v>
      </c>
      <c r="T3636" s="3">
        <v>7130334078</v>
      </c>
      <c r="U3636" s="3" t="s">
        <v>29</v>
      </c>
    </row>
    <row r="3637" spans="1:21" ht="13.2" x14ac:dyDescent="0.25">
      <c r="A3637" s="14">
        <v>973749000115</v>
      </c>
      <c r="B3637" s="15" t="str">
        <f t="shared" si="56"/>
        <v>00.973.749/0001-15</v>
      </c>
      <c r="C3637" s="12"/>
      <c r="D3637" s="3" t="s">
        <v>12606</v>
      </c>
      <c r="E3637" s="3" t="s">
        <v>12607</v>
      </c>
      <c r="F3637" s="3" t="s">
        <v>20</v>
      </c>
      <c r="G3637" s="4">
        <v>35051</v>
      </c>
      <c r="H3637" s="3" t="s">
        <v>94</v>
      </c>
      <c r="I3637" s="3" t="s">
        <v>33</v>
      </c>
      <c r="J3637" s="5">
        <v>1450923900</v>
      </c>
      <c r="K3637" s="3">
        <v>7820500</v>
      </c>
      <c r="L3637" s="3" t="s">
        <v>481</v>
      </c>
      <c r="M3637" s="3" t="s">
        <v>6784</v>
      </c>
      <c r="N3637" s="7">
        <v>1205</v>
      </c>
      <c r="O3637" s="3" t="s">
        <v>222</v>
      </c>
      <c r="P3637" s="3" t="s">
        <v>4571</v>
      </c>
      <c r="Q3637" s="3" t="s">
        <v>27</v>
      </c>
      <c r="R3637" s="3" t="s">
        <v>28</v>
      </c>
      <c r="S3637" s="3">
        <v>5345000</v>
      </c>
      <c r="T3637" s="3">
        <v>1121978888</v>
      </c>
      <c r="U3637" s="3" t="s">
        <v>29</v>
      </c>
    </row>
    <row r="3638" spans="1:21" ht="13.2" x14ac:dyDescent="0.25">
      <c r="A3638" s="14">
        <v>26453341000106</v>
      </c>
      <c r="B3638" s="15" t="str">
        <f t="shared" si="56"/>
        <v>26.453.341/0001-06</v>
      </c>
      <c r="C3638" s="12"/>
      <c r="D3638" s="3" t="s">
        <v>12608</v>
      </c>
      <c r="E3638" s="3" t="s">
        <v>12609</v>
      </c>
      <c r="F3638" s="3" t="s">
        <v>20</v>
      </c>
      <c r="G3638" s="4">
        <v>42674</v>
      </c>
      <c r="H3638" s="3" t="s">
        <v>21</v>
      </c>
      <c r="I3638" s="3" t="s">
        <v>47</v>
      </c>
      <c r="J3638" s="5">
        <v>500000</v>
      </c>
      <c r="K3638" s="3">
        <v>4330404</v>
      </c>
      <c r="L3638" s="3" t="s">
        <v>12610</v>
      </c>
      <c r="M3638" s="3" t="s">
        <v>12611</v>
      </c>
      <c r="N3638" s="3">
        <v>158</v>
      </c>
      <c r="O3638" s="3" t="s">
        <v>12612</v>
      </c>
      <c r="P3638" s="3" t="s">
        <v>12613</v>
      </c>
      <c r="Q3638" s="3" t="s">
        <v>515</v>
      </c>
      <c r="R3638" s="3" t="s">
        <v>456</v>
      </c>
      <c r="S3638" s="3">
        <v>54400170</v>
      </c>
      <c r="T3638" s="3">
        <v>8134929531</v>
      </c>
      <c r="U3638" s="3" t="s">
        <v>29</v>
      </c>
    </row>
    <row r="3639" spans="1:21" ht="13.2" x14ac:dyDescent="0.25">
      <c r="A3639" s="14">
        <v>27821705000126</v>
      </c>
      <c r="B3639" s="15" t="str">
        <f t="shared" si="56"/>
        <v>27.821.705/0001-26</v>
      </c>
      <c r="C3639" s="12"/>
      <c r="D3639" s="3" t="s">
        <v>12614</v>
      </c>
      <c r="E3639" s="3" t="s">
        <v>12615</v>
      </c>
      <c r="F3639" s="3" t="s">
        <v>45</v>
      </c>
      <c r="G3639" s="4">
        <v>42880</v>
      </c>
      <c r="H3639" s="3" t="s">
        <v>1329</v>
      </c>
      <c r="I3639" s="3" t="s">
        <v>22</v>
      </c>
      <c r="J3639" s="5">
        <v>100000</v>
      </c>
      <c r="K3639" s="3">
        <v>4753900</v>
      </c>
      <c r="L3639" s="3" t="s">
        <v>214</v>
      </c>
      <c r="M3639" s="3" t="s">
        <v>12616</v>
      </c>
      <c r="N3639" s="3">
        <v>260</v>
      </c>
      <c r="O3639" s="3" t="s">
        <v>12617</v>
      </c>
      <c r="P3639" s="3" t="s">
        <v>12618</v>
      </c>
      <c r="Q3639" s="3" t="s">
        <v>1253</v>
      </c>
      <c r="R3639" s="3" t="s">
        <v>765</v>
      </c>
      <c r="S3639" s="3">
        <v>29052110</v>
      </c>
      <c r="T3639" s="3">
        <v>4733282389</v>
      </c>
      <c r="U3639" s="3" t="s">
        <v>29</v>
      </c>
    </row>
    <row r="3640" spans="1:21" ht="13.2" x14ac:dyDescent="0.25">
      <c r="A3640" s="14">
        <v>4977121000149</v>
      </c>
      <c r="B3640" s="15" t="str">
        <f t="shared" si="56"/>
        <v>04.977.121/0001-49</v>
      </c>
      <c r="C3640" s="12"/>
      <c r="D3640" s="3" t="s">
        <v>12619</v>
      </c>
      <c r="E3640" s="3" t="s">
        <v>12619</v>
      </c>
      <c r="F3640" s="3" t="s">
        <v>20</v>
      </c>
      <c r="G3640" s="4">
        <v>37215</v>
      </c>
      <c r="H3640" s="3" t="s">
        <v>21</v>
      </c>
      <c r="I3640" s="3" t="s">
        <v>33</v>
      </c>
      <c r="J3640" s="5">
        <v>200000</v>
      </c>
      <c r="K3640" s="3">
        <v>7739003</v>
      </c>
      <c r="L3640" s="3" t="s">
        <v>8564</v>
      </c>
      <c r="M3640" s="3" t="s">
        <v>12620</v>
      </c>
      <c r="N3640" s="3">
        <v>400</v>
      </c>
      <c r="O3640" s="3" t="s">
        <v>12621</v>
      </c>
      <c r="P3640" s="3" t="s">
        <v>12622</v>
      </c>
      <c r="Q3640" s="3" t="s">
        <v>1960</v>
      </c>
      <c r="R3640" s="3" t="s">
        <v>28</v>
      </c>
      <c r="S3640" s="3">
        <v>7723000</v>
      </c>
      <c r="T3640" s="3">
        <v>1131564890</v>
      </c>
      <c r="U3640" s="3" t="s">
        <v>29</v>
      </c>
    </row>
    <row r="3641" spans="1:21" ht="13.2" x14ac:dyDescent="0.25">
      <c r="A3641" s="14">
        <v>44138717000170</v>
      </c>
      <c r="B3641" s="15" t="str">
        <f t="shared" si="56"/>
        <v>44.138.717/0001-70</v>
      </c>
      <c r="C3641" s="12" t="str">
        <f>VLOOKUP(B3641,[1]Planilha1!$A:$B,2,0)</f>
        <v>Malu Montesino</v>
      </c>
      <c r="D3641" s="3" t="s">
        <v>12623</v>
      </c>
      <c r="E3641" s="3" t="s">
        <v>12623</v>
      </c>
      <c r="F3641" s="3" t="s">
        <v>20</v>
      </c>
      <c r="G3641" s="4">
        <v>27242</v>
      </c>
      <c r="H3641" s="3" t="s">
        <v>21</v>
      </c>
      <c r="I3641" s="3" t="s">
        <v>33</v>
      </c>
      <c r="J3641" s="5">
        <v>3850000</v>
      </c>
      <c r="K3641" s="3">
        <v>4689399</v>
      </c>
      <c r="L3641" s="3" t="s">
        <v>783</v>
      </c>
      <c r="M3641" s="3" t="s">
        <v>246</v>
      </c>
      <c r="N3641" s="3">
        <v>1048</v>
      </c>
      <c r="O3641" s="3" t="s">
        <v>3047</v>
      </c>
      <c r="P3641" s="3" t="s">
        <v>248</v>
      </c>
      <c r="Q3641" s="3" t="s">
        <v>27</v>
      </c>
      <c r="R3641" s="3" t="s">
        <v>28</v>
      </c>
      <c r="S3641" s="3">
        <v>1310100</v>
      </c>
      <c r="T3641" s="3">
        <v>1150524748</v>
      </c>
      <c r="U3641" s="3" t="s">
        <v>29</v>
      </c>
    </row>
    <row r="3642" spans="1:21" ht="13.2" x14ac:dyDescent="0.25">
      <c r="A3642" s="14">
        <v>17216052000100</v>
      </c>
      <c r="B3642" s="15" t="str">
        <f t="shared" si="56"/>
        <v>17.216.052/0001-00</v>
      </c>
      <c r="C3642" s="12"/>
      <c r="D3642" s="3" t="s">
        <v>12624</v>
      </c>
      <c r="E3642" s="3" t="s">
        <v>12624</v>
      </c>
      <c r="F3642" s="3" t="s">
        <v>20</v>
      </c>
      <c r="G3642" s="4">
        <v>24425</v>
      </c>
      <c r="H3642" s="3" t="s">
        <v>21</v>
      </c>
      <c r="I3642" s="3" t="s">
        <v>33</v>
      </c>
      <c r="J3642" s="5">
        <v>120368400</v>
      </c>
      <c r="K3642" s="3">
        <v>4211101</v>
      </c>
      <c r="L3642" s="3" t="s">
        <v>313</v>
      </c>
      <c r="M3642" s="3" t="s">
        <v>2444</v>
      </c>
      <c r="N3642" s="3">
        <v>1694</v>
      </c>
      <c r="O3642" s="3" t="s">
        <v>12625</v>
      </c>
      <c r="P3642" s="3" t="s">
        <v>1462</v>
      </c>
      <c r="Q3642" s="3" t="s">
        <v>476</v>
      </c>
      <c r="R3642" s="3" t="s">
        <v>100</v>
      </c>
      <c r="S3642" s="3">
        <v>30150338</v>
      </c>
      <c r="T3642" s="3">
        <v>3132843009</v>
      </c>
      <c r="U3642" s="3" t="s">
        <v>29</v>
      </c>
    </row>
    <row r="3643" spans="1:21" ht="13.2" x14ac:dyDescent="0.25">
      <c r="A3643" s="14">
        <v>3613252000184</v>
      </c>
      <c r="B3643" s="15" t="str">
        <f t="shared" si="56"/>
        <v>03.613.252/0001-84</v>
      </c>
      <c r="C3643" s="12"/>
      <c r="D3643" s="3" t="s">
        <v>12626</v>
      </c>
      <c r="E3643" s="3" t="s">
        <v>12627</v>
      </c>
      <c r="F3643" s="3" t="s">
        <v>20</v>
      </c>
      <c r="G3643" s="4">
        <v>36550</v>
      </c>
      <c r="H3643" s="3" t="s">
        <v>21</v>
      </c>
      <c r="I3643" s="3" t="s">
        <v>22</v>
      </c>
      <c r="J3643" s="5">
        <v>120000</v>
      </c>
      <c r="K3643" s="3">
        <v>8219999</v>
      </c>
      <c r="L3643" s="3" t="s">
        <v>121</v>
      </c>
      <c r="M3643" s="3" t="s">
        <v>9845</v>
      </c>
      <c r="N3643" s="3">
        <v>191</v>
      </c>
      <c r="O3643" s="3" t="s">
        <v>12628</v>
      </c>
      <c r="P3643" s="3" t="s">
        <v>9847</v>
      </c>
      <c r="Q3643" s="3" t="s">
        <v>567</v>
      </c>
      <c r="R3643" s="3" t="s">
        <v>28</v>
      </c>
      <c r="S3643" s="3">
        <v>13201840</v>
      </c>
      <c r="T3643" s="3">
        <v>1199206233</v>
      </c>
      <c r="U3643" s="3" t="s">
        <v>29</v>
      </c>
    </row>
    <row r="3644" spans="1:21" ht="13.2" x14ac:dyDescent="0.25">
      <c r="A3644" s="14">
        <v>47253307000168</v>
      </c>
      <c r="B3644" s="15" t="str">
        <f t="shared" si="56"/>
        <v>47.253.307/0001-68</v>
      </c>
      <c r="C3644" s="12" t="str">
        <f>VLOOKUP(B3644,[1]Planilha1!$A:$B,2,0)</f>
        <v>Malu Montesino</v>
      </c>
      <c r="D3644" s="3" t="s">
        <v>12629</v>
      </c>
      <c r="E3644" s="3" t="s">
        <v>1442</v>
      </c>
      <c r="F3644" s="3" t="s">
        <v>20</v>
      </c>
      <c r="G3644" s="4">
        <v>27631</v>
      </c>
      <c r="H3644" s="3" t="s">
        <v>21</v>
      </c>
      <c r="I3644" s="3" t="s">
        <v>33</v>
      </c>
      <c r="J3644" s="5">
        <v>0</v>
      </c>
      <c r="K3644" s="3">
        <v>4511101</v>
      </c>
      <c r="L3644" s="3" t="s">
        <v>1870</v>
      </c>
      <c r="M3644" s="3" t="s">
        <v>12630</v>
      </c>
      <c r="N3644" s="3">
        <v>1083</v>
      </c>
      <c r="O3644" s="3" t="s">
        <v>12631</v>
      </c>
      <c r="P3644" s="3" t="s">
        <v>12632</v>
      </c>
      <c r="Q3644" s="3" t="s">
        <v>27</v>
      </c>
      <c r="R3644" s="3" t="s">
        <v>28</v>
      </c>
      <c r="S3644" s="3">
        <v>2968000</v>
      </c>
      <c r="T3644" s="3">
        <v>1139904110</v>
      </c>
      <c r="U3644" s="3" t="s">
        <v>29</v>
      </c>
    </row>
    <row r="3645" spans="1:21" ht="13.2" x14ac:dyDescent="0.25">
      <c r="A3645" s="14">
        <v>3619767000191</v>
      </c>
      <c r="B3645" s="15" t="str">
        <f t="shared" si="56"/>
        <v>03.619.767/0001-91</v>
      </c>
      <c r="C3645" s="12"/>
      <c r="D3645" s="3" t="s">
        <v>12633</v>
      </c>
      <c r="E3645" s="3" t="s">
        <v>12633</v>
      </c>
      <c r="F3645" s="3" t="s">
        <v>20</v>
      </c>
      <c r="G3645" s="4">
        <v>36557</v>
      </c>
      <c r="H3645" s="3" t="s">
        <v>21</v>
      </c>
      <c r="I3645" s="3" t="s">
        <v>33</v>
      </c>
      <c r="J3645" s="5">
        <v>2000000</v>
      </c>
      <c r="K3645" s="3">
        <v>4651601</v>
      </c>
      <c r="L3645" s="3" t="s">
        <v>684</v>
      </c>
      <c r="M3645" s="3" t="s">
        <v>12634</v>
      </c>
      <c r="N3645" s="3">
        <v>120</v>
      </c>
      <c r="O3645" s="3" t="s">
        <v>12635</v>
      </c>
      <c r="P3645" s="3" t="s">
        <v>12636</v>
      </c>
      <c r="Q3645" s="3" t="s">
        <v>231</v>
      </c>
      <c r="R3645" s="3" t="s">
        <v>28</v>
      </c>
      <c r="S3645" s="3">
        <v>18085750</v>
      </c>
      <c r="T3645" s="3">
        <v>1532339320</v>
      </c>
      <c r="U3645" s="3" t="s">
        <v>29</v>
      </c>
    </row>
    <row r="3646" spans="1:21" ht="13.2" x14ac:dyDescent="0.25">
      <c r="A3646" s="14">
        <v>11233975000186</v>
      </c>
      <c r="B3646" s="15" t="str">
        <f t="shared" si="56"/>
        <v>11.233.975/0001-86</v>
      </c>
      <c r="C3646" s="12"/>
      <c r="D3646" s="3" t="s">
        <v>12637</v>
      </c>
      <c r="E3646" s="3" t="s">
        <v>12638</v>
      </c>
      <c r="F3646" s="3" t="s">
        <v>20</v>
      </c>
      <c r="G3646" s="4">
        <v>40088</v>
      </c>
      <c r="H3646" s="3" t="s">
        <v>21</v>
      </c>
      <c r="I3646" s="3" t="s">
        <v>33</v>
      </c>
      <c r="J3646" s="5">
        <v>1500000</v>
      </c>
      <c r="K3646" s="3">
        <v>2812700</v>
      </c>
      <c r="L3646" s="3" t="s">
        <v>1534</v>
      </c>
      <c r="M3646" s="3" t="s">
        <v>12639</v>
      </c>
      <c r="N3646" s="3">
        <v>70</v>
      </c>
      <c r="O3646" s="3" t="s">
        <v>12640</v>
      </c>
      <c r="P3646" s="3" t="s">
        <v>12641</v>
      </c>
      <c r="Q3646" s="3" t="s">
        <v>12642</v>
      </c>
      <c r="R3646" s="3" t="s">
        <v>28</v>
      </c>
      <c r="S3646" s="3">
        <v>13397230</v>
      </c>
      <c r="T3646" s="3">
        <v>1941020502</v>
      </c>
      <c r="U3646" s="3" t="s">
        <v>29</v>
      </c>
    </row>
    <row r="3647" spans="1:21" ht="13.2" x14ac:dyDescent="0.25">
      <c r="A3647" s="14">
        <v>11226885000168</v>
      </c>
      <c r="B3647" s="15" t="str">
        <f t="shared" si="56"/>
        <v>11.226.885/0001-68</v>
      </c>
      <c r="C3647" s="12"/>
      <c r="D3647" s="3" t="s">
        <v>12643</v>
      </c>
      <c r="E3647" s="3" t="s">
        <v>12643</v>
      </c>
      <c r="F3647" s="3" t="s">
        <v>20</v>
      </c>
      <c r="G3647" s="4">
        <v>40101</v>
      </c>
      <c r="H3647" s="3" t="s">
        <v>21</v>
      </c>
      <c r="I3647" s="3" t="s">
        <v>47</v>
      </c>
      <c r="J3647" s="5">
        <v>2400000</v>
      </c>
      <c r="K3647" s="3">
        <v>4644301</v>
      </c>
      <c r="L3647" s="3" t="s">
        <v>326</v>
      </c>
      <c r="M3647" s="3" t="s">
        <v>354</v>
      </c>
      <c r="N3647" s="3">
        <v>5901</v>
      </c>
      <c r="O3647" s="3" t="s">
        <v>12644</v>
      </c>
      <c r="P3647" s="3" t="s">
        <v>70</v>
      </c>
      <c r="Q3647" s="3" t="s">
        <v>12645</v>
      </c>
      <c r="R3647" s="3" t="s">
        <v>78</v>
      </c>
      <c r="S3647" s="3">
        <v>25510000</v>
      </c>
      <c r="T3647" s="3">
        <v>2160212606</v>
      </c>
      <c r="U3647" s="3" t="s">
        <v>29</v>
      </c>
    </row>
    <row r="3648" spans="1:21" ht="13.2" x14ac:dyDescent="0.25">
      <c r="A3648" s="14">
        <v>7598814000119</v>
      </c>
      <c r="B3648" s="15" t="str">
        <f t="shared" si="56"/>
        <v>07.598.814/0001-19</v>
      </c>
      <c r="C3648" s="12" t="str">
        <f>VLOOKUP(B3648,[1]Planilha1!$A:$B,2,0)</f>
        <v>Malu Montesino</v>
      </c>
      <c r="D3648" s="3" t="s">
        <v>12646</v>
      </c>
      <c r="E3648" s="3" t="s">
        <v>12647</v>
      </c>
      <c r="F3648" s="3" t="s">
        <v>20</v>
      </c>
      <c r="G3648" s="4">
        <v>38586</v>
      </c>
      <c r="H3648" s="3" t="s">
        <v>21</v>
      </c>
      <c r="I3648" s="3" t="s">
        <v>33</v>
      </c>
      <c r="J3648" s="5">
        <v>2480000</v>
      </c>
      <c r="K3648" s="3">
        <v>2599399</v>
      </c>
      <c r="L3648" s="3" t="s">
        <v>1144</v>
      </c>
      <c r="M3648" s="3" t="s">
        <v>12648</v>
      </c>
      <c r="N3648" s="3">
        <v>189</v>
      </c>
      <c r="P3648" s="3" t="s">
        <v>9367</v>
      </c>
      <c r="Q3648" s="3" t="s">
        <v>1581</v>
      </c>
      <c r="R3648" s="3" t="s">
        <v>187</v>
      </c>
      <c r="S3648" s="3">
        <v>83430000</v>
      </c>
      <c r="T3648" s="3">
        <v>4133626666</v>
      </c>
      <c r="U3648" s="3" t="s">
        <v>29</v>
      </c>
    </row>
    <row r="3649" spans="1:21" ht="13.2" x14ac:dyDescent="0.25">
      <c r="A3649" s="14">
        <v>53113791000122</v>
      </c>
      <c r="B3649" s="15" t="str">
        <f t="shared" si="56"/>
        <v>53.113.791/0001-22</v>
      </c>
      <c r="C3649" s="12" t="str">
        <f>VLOOKUP(B3649,[1]Planilha1!$A:$B,2,0)</f>
        <v>Malu Montesino</v>
      </c>
      <c r="D3649" s="3" t="s">
        <v>12649</v>
      </c>
      <c r="E3649" s="3" t="s">
        <v>12649</v>
      </c>
      <c r="F3649" s="3" t="s">
        <v>20</v>
      </c>
      <c r="G3649" s="4">
        <v>30663</v>
      </c>
      <c r="H3649" s="3" t="s">
        <v>377</v>
      </c>
      <c r="I3649" s="3" t="s">
        <v>33</v>
      </c>
      <c r="J3649" s="5">
        <v>2962584600</v>
      </c>
      <c r="K3649" s="3">
        <v>6201501</v>
      </c>
      <c r="L3649" s="3" t="s">
        <v>298</v>
      </c>
      <c r="M3649" s="3" t="s">
        <v>12650</v>
      </c>
      <c r="N3649" s="3">
        <v>1000</v>
      </c>
      <c r="P3649" s="3" t="s">
        <v>6672</v>
      </c>
      <c r="Q3649" s="3" t="s">
        <v>27</v>
      </c>
      <c r="R3649" s="3" t="s">
        <v>28</v>
      </c>
      <c r="S3649" s="3">
        <v>2511000</v>
      </c>
      <c r="T3649" s="3">
        <v>1140040015</v>
      </c>
      <c r="U3649" s="3" t="s">
        <v>29</v>
      </c>
    </row>
    <row r="3650" spans="1:21" ht="13.2" x14ac:dyDescent="0.25">
      <c r="A3650" s="14">
        <v>3817469000378</v>
      </c>
      <c r="B3650" s="15" t="str">
        <f t="shared" si="56"/>
        <v>03.817.469/0003-78</v>
      </c>
      <c r="C3650" s="12" t="str">
        <f>VLOOKUP(B3650,[1]Planilha1!$A:$B,2,0)</f>
        <v>Malu Montesino</v>
      </c>
      <c r="D3650" s="3" t="s">
        <v>12651</v>
      </c>
      <c r="E3650" s="3" t="s">
        <v>12651</v>
      </c>
      <c r="F3650" s="3" t="s">
        <v>20</v>
      </c>
      <c r="G3650" s="4">
        <v>42989</v>
      </c>
      <c r="H3650" s="3" t="s">
        <v>21</v>
      </c>
      <c r="I3650" s="3" t="s">
        <v>33</v>
      </c>
      <c r="J3650" s="5">
        <v>682891</v>
      </c>
      <c r="K3650" s="3">
        <v>4663000</v>
      </c>
      <c r="L3650" s="3" t="s">
        <v>128</v>
      </c>
      <c r="M3650" s="3" t="s">
        <v>12652</v>
      </c>
      <c r="N3650" s="3">
        <v>3601</v>
      </c>
      <c r="O3650" s="3" t="s">
        <v>12653</v>
      </c>
      <c r="P3650" s="3" t="s">
        <v>1371</v>
      </c>
      <c r="Q3650" s="3" t="s">
        <v>2287</v>
      </c>
      <c r="R3650" s="3" t="s">
        <v>91</v>
      </c>
      <c r="S3650" s="3">
        <v>88317600</v>
      </c>
      <c r="T3650" s="3">
        <v>4135959645</v>
      </c>
      <c r="U3650" s="3" t="s">
        <v>29</v>
      </c>
    </row>
    <row r="3651" spans="1:21" ht="13.2" x14ac:dyDescent="0.25">
      <c r="A3651" s="14">
        <v>59104760000191</v>
      </c>
      <c r="B3651" s="15" t="str">
        <f t="shared" ref="B3651:B3714" si="57">TEXT(A3651,"00\.000\.000\/0000\-00")</f>
        <v>59.104.760/0001-91</v>
      </c>
      <c r="C3651" s="12" t="str">
        <f>VLOOKUP(B3651,[1]Planilha1!$A:$B,2,0)</f>
        <v>Malu Montesino</v>
      </c>
      <c r="D3651" s="3" t="s">
        <v>12654</v>
      </c>
      <c r="E3651" s="3" t="s">
        <v>12654</v>
      </c>
      <c r="F3651" s="3" t="s">
        <v>20</v>
      </c>
      <c r="G3651" s="4">
        <v>22364</v>
      </c>
      <c r="H3651" s="3" t="s">
        <v>21</v>
      </c>
      <c r="I3651" s="3" t="s">
        <v>33</v>
      </c>
      <c r="J3651" s="5">
        <v>6709980000</v>
      </c>
      <c r="K3651" s="3">
        <v>8211300</v>
      </c>
      <c r="L3651" s="3" t="s">
        <v>166</v>
      </c>
      <c r="M3651" s="3" t="s">
        <v>12655</v>
      </c>
      <c r="N3651" s="3">
        <v>1024</v>
      </c>
      <c r="O3651" s="3" t="s">
        <v>12656</v>
      </c>
      <c r="P3651" s="3" t="s">
        <v>1465</v>
      </c>
      <c r="Q3651" s="3" t="s">
        <v>217</v>
      </c>
      <c r="R3651" s="3" t="s">
        <v>28</v>
      </c>
      <c r="S3651" s="3">
        <v>9895510</v>
      </c>
      <c r="T3651" s="3">
        <v>1143905100</v>
      </c>
      <c r="U3651" s="3" t="s">
        <v>29</v>
      </c>
    </row>
    <row r="3652" spans="1:21" ht="13.2" x14ac:dyDescent="0.25">
      <c r="A3652" s="14">
        <v>55847009000124</v>
      </c>
      <c r="B3652" s="15" t="str">
        <f t="shared" si="57"/>
        <v>55.847.009/0001-24</v>
      </c>
      <c r="C3652" s="12" t="str">
        <f>VLOOKUP(B3652,[1]Planilha1!$A:$B,2,0)</f>
        <v>Malu Montesino</v>
      </c>
      <c r="D3652" s="3" t="s">
        <v>12657</v>
      </c>
      <c r="E3652" s="3" t="s">
        <v>12657</v>
      </c>
      <c r="F3652" s="3" t="s">
        <v>20</v>
      </c>
      <c r="G3652" s="4">
        <v>45481</v>
      </c>
      <c r="H3652" s="3" t="s">
        <v>21</v>
      </c>
      <c r="I3652" s="3" t="s">
        <v>33</v>
      </c>
      <c r="J3652" s="5">
        <v>50197876</v>
      </c>
      <c r="K3652" s="3">
        <v>2632900</v>
      </c>
      <c r="L3652" s="3" t="s">
        <v>7595</v>
      </c>
      <c r="M3652" s="3" t="s">
        <v>3586</v>
      </c>
      <c r="N3652" s="3">
        <v>8300</v>
      </c>
      <c r="O3652" s="3" t="s">
        <v>12658</v>
      </c>
      <c r="P3652" s="3" t="s">
        <v>153</v>
      </c>
      <c r="Q3652" s="3" t="s">
        <v>423</v>
      </c>
      <c r="R3652" s="3" t="s">
        <v>91</v>
      </c>
      <c r="S3652" s="3">
        <v>89219600</v>
      </c>
      <c r="T3652" s="3">
        <v>1178356270</v>
      </c>
      <c r="U3652" s="3" t="s">
        <v>29</v>
      </c>
    </row>
    <row r="3653" spans="1:21" ht="13.2" x14ac:dyDescent="0.25">
      <c r="A3653" s="14">
        <v>11758367000195</v>
      </c>
      <c r="B3653" s="15" t="str">
        <f t="shared" si="57"/>
        <v>11.758.367/0001-95</v>
      </c>
      <c r="C3653" s="12"/>
      <c r="D3653" s="3" t="s">
        <v>12659</v>
      </c>
      <c r="E3653" s="3" t="s">
        <v>12659</v>
      </c>
      <c r="F3653" s="3" t="s">
        <v>20</v>
      </c>
      <c r="G3653" s="4">
        <v>40267</v>
      </c>
      <c r="H3653" s="3" t="s">
        <v>21</v>
      </c>
      <c r="I3653" s="3" t="s">
        <v>33</v>
      </c>
      <c r="J3653" s="5">
        <v>6650000</v>
      </c>
      <c r="K3653" s="3">
        <v>2610800</v>
      </c>
      <c r="L3653" s="3" t="s">
        <v>548</v>
      </c>
      <c r="M3653" s="3" t="s">
        <v>5685</v>
      </c>
      <c r="N3653" s="3">
        <v>2236</v>
      </c>
      <c r="O3653" s="3" t="s">
        <v>12660</v>
      </c>
      <c r="P3653" s="3" t="s">
        <v>467</v>
      </c>
      <c r="Q3653" s="3" t="s">
        <v>448</v>
      </c>
      <c r="R3653" s="3" t="s">
        <v>449</v>
      </c>
      <c r="S3653" s="3">
        <v>69058830</v>
      </c>
      <c r="T3653" s="3">
        <v>9221298944</v>
      </c>
      <c r="U3653" s="3" t="s">
        <v>29</v>
      </c>
    </row>
    <row r="3654" spans="1:21" ht="13.2" x14ac:dyDescent="0.25">
      <c r="A3654" s="14">
        <v>3258870000153</v>
      </c>
      <c r="B3654" s="15" t="str">
        <f t="shared" si="57"/>
        <v>03.258.870/0001-53</v>
      </c>
      <c r="C3654" s="12"/>
      <c r="D3654" s="3" t="s">
        <v>12661</v>
      </c>
      <c r="E3654" s="3" t="s">
        <v>12661</v>
      </c>
      <c r="F3654" s="3" t="s">
        <v>20</v>
      </c>
      <c r="G3654" s="4">
        <v>36342</v>
      </c>
      <c r="H3654" s="3" t="s">
        <v>21</v>
      </c>
      <c r="I3654" s="3" t="s">
        <v>33</v>
      </c>
      <c r="J3654" s="5">
        <v>127434880</v>
      </c>
      <c r="K3654" s="3">
        <v>4661300</v>
      </c>
      <c r="L3654" s="3" t="s">
        <v>595</v>
      </c>
      <c r="M3654" s="3" t="s">
        <v>12662</v>
      </c>
      <c r="N3654" s="3">
        <v>500</v>
      </c>
      <c r="P3654" s="3" t="s">
        <v>12663</v>
      </c>
      <c r="Q3654" s="3" t="s">
        <v>524</v>
      </c>
      <c r="R3654" s="3" t="s">
        <v>28</v>
      </c>
      <c r="S3654" s="3">
        <v>14078583</v>
      </c>
      <c r="T3654" s="3">
        <v>1639688080</v>
      </c>
      <c r="U3654" s="3" t="s">
        <v>29</v>
      </c>
    </row>
    <row r="3655" spans="1:21" ht="13.2" x14ac:dyDescent="0.25">
      <c r="A3655" s="14">
        <v>17312448000143</v>
      </c>
      <c r="B3655" s="15" t="str">
        <f t="shared" si="57"/>
        <v>17.312.448/0001-43</v>
      </c>
      <c r="C3655" s="12" t="str">
        <f>VLOOKUP(B3655,[1]Planilha1!$A:$B,2,0)</f>
        <v>Malu Montesino</v>
      </c>
      <c r="D3655" s="3" t="s">
        <v>12664</v>
      </c>
      <c r="E3655" s="3" t="s">
        <v>12664</v>
      </c>
      <c r="F3655" s="3" t="s">
        <v>20</v>
      </c>
      <c r="G3655" s="4">
        <v>25526</v>
      </c>
      <c r="H3655" s="3" t="s">
        <v>94</v>
      </c>
      <c r="I3655" s="3" t="s">
        <v>33</v>
      </c>
      <c r="J3655" s="5">
        <v>133535060</v>
      </c>
      <c r="K3655" s="3">
        <v>4662100</v>
      </c>
      <c r="L3655" s="3" t="s">
        <v>2324</v>
      </c>
      <c r="M3655" s="3" t="s">
        <v>11813</v>
      </c>
      <c r="N3655" s="3">
        <v>3600</v>
      </c>
      <c r="O3655" s="3">
        <v>3650</v>
      </c>
      <c r="P3655" s="3" t="s">
        <v>137</v>
      </c>
      <c r="Q3655" s="3" t="s">
        <v>1701</v>
      </c>
      <c r="R3655" s="3" t="s">
        <v>100</v>
      </c>
      <c r="S3655" s="3">
        <v>32370485</v>
      </c>
      <c r="T3655" s="3">
        <v>3121041800</v>
      </c>
      <c r="U3655" s="3" t="s">
        <v>29</v>
      </c>
    </row>
    <row r="3656" spans="1:21" ht="13.2" x14ac:dyDescent="0.25">
      <c r="A3656" s="14">
        <v>13386520000126</v>
      </c>
      <c r="B3656" s="15" t="str">
        <f t="shared" si="57"/>
        <v>13.386.520/0001-26</v>
      </c>
      <c r="C3656" s="12"/>
      <c r="D3656" s="3" t="s">
        <v>12665</v>
      </c>
      <c r="E3656" s="3" t="s">
        <v>12666</v>
      </c>
      <c r="F3656" s="3" t="s">
        <v>20</v>
      </c>
      <c r="G3656" s="4">
        <v>40592</v>
      </c>
      <c r="H3656" s="3" t="s">
        <v>21</v>
      </c>
      <c r="I3656" s="3" t="s">
        <v>22</v>
      </c>
      <c r="J3656" s="5">
        <v>400000</v>
      </c>
      <c r="K3656" s="3">
        <v>4634603</v>
      </c>
      <c r="L3656" s="3" t="s">
        <v>11698</v>
      </c>
      <c r="M3656" s="3" t="s">
        <v>12667</v>
      </c>
      <c r="N3656" s="3">
        <v>45</v>
      </c>
      <c r="P3656" s="3" t="s">
        <v>2555</v>
      </c>
      <c r="Q3656" s="3" t="s">
        <v>2556</v>
      </c>
      <c r="R3656" s="3" t="s">
        <v>28</v>
      </c>
      <c r="S3656" s="3">
        <v>12051381</v>
      </c>
      <c r="T3656" s="3">
        <v>1241013047</v>
      </c>
      <c r="U3656" s="3" t="s">
        <v>29</v>
      </c>
    </row>
    <row r="3657" spans="1:21" ht="13.2" x14ac:dyDescent="0.25">
      <c r="A3657" s="14">
        <v>90050238000114</v>
      </c>
      <c r="B3657" s="15" t="str">
        <f t="shared" si="57"/>
        <v>90.050.238/0001-14</v>
      </c>
      <c r="C3657" s="12" t="str">
        <f>VLOOKUP(B3657,[1]Planilha1!$A:$B,2,0)</f>
        <v>Malu Montesino</v>
      </c>
      <c r="D3657" s="3" t="s">
        <v>12668</v>
      </c>
      <c r="E3657" s="3" t="s">
        <v>12668</v>
      </c>
      <c r="F3657" s="3" t="s">
        <v>20</v>
      </c>
      <c r="G3657" s="4">
        <v>24351</v>
      </c>
      <c r="H3657" s="3" t="s">
        <v>94</v>
      </c>
      <c r="I3657" s="3" t="s">
        <v>33</v>
      </c>
      <c r="J3657" s="5">
        <v>1282000000</v>
      </c>
      <c r="K3657" s="3">
        <v>2541100</v>
      </c>
      <c r="L3657" s="3" t="s">
        <v>12669</v>
      </c>
      <c r="M3657" s="3" t="s">
        <v>12670</v>
      </c>
      <c r="N3657" s="3">
        <v>1024</v>
      </c>
      <c r="P3657" s="3" t="s">
        <v>12671</v>
      </c>
      <c r="Q3657" s="3" t="s">
        <v>12672</v>
      </c>
      <c r="R3657" s="3" t="s">
        <v>53</v>
      </c>
      <c r="S3657" s="3">
        <v>95185000</v>
      </c>
      <c r="T3657" s="3">
        <v>5434618400</v>
      </c>
      <c r="U3657" s="3" t="s">
        <v>29</v>
      </c>
    </row>
    <row r="3658" spans="1:21" ht="13.2" x14ac:dyDescent="0.25">
      <c r="A3658" s="14">
        <v>612684000182</v>
      </c>
      <c r="B3658" s="15" t="str">
        <f t="shared" si="57"/>
        <v>00.612.684/0001-82</v>
      </c>
      <c r="C3658" s="12"/>
      <c r="D3658" s="3" t="s">
        <v>12673</v>
      </c>
      <c r="E3658" s="3" t="s">
        <v>12674</v>
      </c>
      <c r="F3658" s="3" t="s">
        <v>20</v>
      </c>
      <c r="G3658" s="4">
        <v>34841</v>
      </c>
      <c r="H3658" s="3" t="s">
        <v>21</v>
      </c>
      <c r="I3658" s="3" t="s">
        <v>22</v>
      </c>
      <c r="J3658" s="5">
        <v>150000</v>
      </c>
      <c r="K3658" s="3">
        <v>4712100</v>
      </c>
      <c r="L3658" s="3" t="s">
        <v>3264</v>
      </c>
      <c r="M3658" s="3" t="s">
        <v>12675</v>
      </c>
      <c r="N3658" s="3">
        <v>3472</v>
      </c>
      <c r="P3658" s="3" t="s">
        <v>12676</v>
      </c>
      <c r="Q3658" s="3" t="s">
        <v>437</v>
      </c>
      <c r="R3658" s="3" t="s">
        <v>53</v>
      </c>
      <c r="S3658" s="3">
        <v>91550000</v>
      </c>
      <c r="T3658" s="3">
        <v>5132281801</v>
      </c>
      <c r="U3658" s="3" t="s">
        <v>29</v>
      </c>
    </row>
    <row r="3659" spans="1:21" ht="13.2" x14ac:dyDescent="0.25">
      <c r="A3659" s="14">
        <v>12847000196</v>
      </c>
      <c r="B3659" s="15" t="str">
        <f t="shared" si="57"/>
        <v>00.012.847/0001-96</v>
      </c>
      <c r="C3659" s="12"/>
      <c r="D3659" s="3" t="s">
        <v>12677</v>
      </c>
      <c r="E3659" s="3" t="s">
        <v>12677</v>
      </c>
      <c r="F3659" s="3" t="s">
        <v>20</v>
      </c>
      <c r="G3659" s="4">
        <v>34486</v>
      </c>
      <c r="H3659" s="3" t="s">
        <v>21</v>
      </c>
      <c r="I3659" s="3" t="s">
        <v>33</v>
      </c>
      <c r="J3659" s="5">
        <v>35000</v>
      </c>
      <c r="K3659" s="3">
        <v>2099199</v>
      </c>
      <c r="L3659" s="3" t="s">
        <v>80</v>
      </c>
      <c r="M3659" s="3" t="s">
        <v>426</v>
      </c>
      <c r="N3659" s="3">
        <v>828</v>
      </c>
      <c r="P3659" s="3" t="s">
        <v>428</v>
      </c>
      <c r="Q3659" s="3" t="s">
        <v>217</v>
      </c>
      <c r="R3659" s="3" t="s">
        <v>28</v>
      </c>
      <c r="S3659" s="3">
        <v>9852060</v>
      </c>
      <c r="T3659" s="3">
        <v>1141233244</v>
      </c>
      <c r="U3659" s="3" t="s">
        <v>29</v>
      </c>
    </row>
    <row r="3660" spans="1:21" ht="13.2" x14ac:dyDescent="0.25">
      <c r="A3660" s="14">
        <v>5495281000114</v>
      </c>
      <c r="B3660" s="15" t="str">
        <f t="shared" si="57"/>
        <v>05.495.281/0001-14</v>
      </c>
      <c r="C3660" s="12" t="str">
        <f>VLOOKUP(B3660,[1]Planilha1!$A:$B,2,0)</f>
        <v>Mariane Nascimento</v>
      </c>
      <c r="D3660" s="3" t="s">
        <v>12678</v>
      </c>
      <c r="E3660" s="3" t="s">
        <v>12679</v>
      </c>
      <c r="F3660" s="3" t="s">
        <v>20</v>
      </c>
      <c r="G3660" s="4">
        <v>37643</v>
      </c>
      <c r="H3660" s="3" t="s">
        <v>21</v>
      </c>
      <c r="I3660" s="3" t="s">
        <v>33</v>
      </c>
      <c r="J3660" s="5">
        <v>800000</v>
      </c>
      <c r="K3660" s="3">
        <v>4664800</v>
      </c>
      <c r="L3660" s="3" t="s">
        <v>691</v>
      </c>
      <c r="M3660" s="3" t="s">
        <v>12680</v>
      </c>
      <c r="N3660" s="3">
        <v>41</v>
      </c>
      <c r="O3660" s="3" t="s">
        <v>8798</v>
      </c>
      <c r="P3660" s="3" t="s">
        <v>12681</v>
      </c>
      <c r="Q3660" s="3" t="s">
        <v>217</v>
      </c>
      <c r="R3660" s="3" t="s">
        <v>28</v>
      </c>
      <c r="S3660" s="3">
        <v>9632030</v>
      </c>
      <c r="T3660" s="3">
        <v>1138329998</v>
      </c>
      <c r="U3660" s="3" t="s">
        <v>29</v>
      </c>
    </row>
    <row r="3661" spans="1:21" ht="13.2" x14ac:dyDescent="0.25">
      <c r="A3661" s="14">
        <v>43179225000160</v>
      </c>
      <c r="B3661" s="15" t="str">
        <f t="shared" si="57"/>
        <v>43.179.225/0001-60</v>
      </c>
      <c r="C3661" s="12"/>
      <c r="D3661" s="3" t="s">
        <v>12682</v>
      </c>
      <c r="E3661" s="3" t="s">
        <v>12682</v>
      </c>
      <c r="F3661" s="3" t="s">
        <v>20</v>
      </c>
      <c r="G3661" s="4">
        <v>29301</v>
      </c>
      <c r="H3661" s="3" t="s">
        <v>21</v>
      </c>
      <c r="I3661" s="3" t="s">
        <v>22</v>
      </c>
      <c r="J3661" s="5">
        <v>0</v>
      </c>
      <c r="K3661" s="3">
        <v>2660400</v>
      </c>
      <c r="L3661" s="3" t="s">
        <v>953</v>
      </c>
      <c r="M3661" s="3" t="s">
        <v>12683</v>
      </c>
      <c r="N3661" s="3">
        <v>33</v>
      </c>
      <c r="P3661" s="3" t="s">
        <v>12684</v>
      </c>
      <c r="Q3661" s="3" t="s">
        <v>27</v>
      </c>
      <c r="R3661" s="3" t="s">
        <v>28</v>
      </c>
      <c r="S3661" s="3">
        <v>4180010</v>
      </c>
      <c r="T3661" s="3">
        <v>1150007999</v>
      </c>
      <c r="U3661" s="3" t="s">
        <v>29</v>
      </c>
    </row>
    <row r="3662" spans="1:21" ht="13.2" x14ac:dyDescent="0.25">
      <c r="A3662" s="14">
        <v>7859971000130</v>
      </c>
      <c r="B3662" s="15" t="str">
        <f t="shared" si="57"/>
        <v>07.859.971/0001-30</v>
      </c>
      <c r="C3662" s="12"/>
      <c r="D3662" s="3" t="s">
        <v>12685</v>
      </c>
      <c r="E3662" s="3" t="s">
        <v>12685</v>
      </c>
      <c r="F3662" s="3" t="s">
        <v>20</v>
      </c>
      <c r="G3662" s="4">
        <v>38748</v>
      </c>
      <c r="H3662" s="3" t="s">
        <v>377</v>
      </c>
      <c r="I3662" s="3" t="s">
        <v>33</v>
      </c>
      <c r="J3662" s="5">
        <v>3067535000</v>
      </c>
      <c r="K3662" s="3">
        <v>3512300</v>
      </c>
      <c r="L3662" s="3" t="s">
        <v>1820</v>
      </c>
      <c r="M3662" s="3" t="s">
        <v>2071</v>
      </c>
      <c r="N3662" s="3">
        <v>2480</v>
      </c>
      <c r="O3662" s="3" t="s">
        <v>12686</v>
      </c>
      <c r="P3662" s="3" t="s">
        <v>252</v>
      </c>
      <c r="Q3662" s="3" t="s">
        <v>253</v>
      </c>
      <c r="R3662" s="3" t="s">
        <v>78</v>
      </c>
      <c r="S3662" s="3">
        <v>22640101</v>
      </c>
      <c r="T3662" s="3">
        <v>2122126000</v>
      </c>
      <c r="U3662" s="3" t="s">
        <v>29</v>
      </c>
    </row>
    <row r="3663" spans="1:21" ht="13.2" x14ac:dyDescent="0.25">
      <c r="A3663" s="14">
        <v>8552473000103</v>
      </c>
      <c r="B3663" s="15" t="str">
        <f t="shared" si="57"/>
        <v>08.552.473/0001-03</v>
      </c>
      <c r="C3663" s="12"/>
      <c r="D3663" s="3" t="s">
        <v>12687</v>
      </c>
      <c r="E3663" s="3" t="s">
        <v>12688</v>
      </c>
      <c r="F3663" s="3" t="s">
        <v>20</v>
      </c>
      <c r="G3663" s="4">
        <v>29745</v>
      </c>
      <c r="H3663" s="3" t="s">
        <v>21</v>
      </c>
      <c r="I3663" s="3" t="s">
        <v>33</v>
      </c>
      <c r="J3663" s="5">
        <v>5141303</v>
      </c>
      <c r="K3663" s="3">
        <v>4921301</v>
      </c>
      <c r="L3663" s="3" t="s">
        <v>12140</v>
      </c>
      <c r="M3663" s="3" t="s">
        <v>12689</v>
      </c>
      <c r="N3663" s="3">
        <v>4701</v>
      </c>
      <c r="P3663" s="3" t="s">
        <v>12690</v>
      </c>
      <c r="Q3663" s="3" t="s">
        <v>2477</v>
      </c>
      <c r="R3663" s="3" t="s">
        <v>1725</v>
      </c>
      <c r="S3663" s="3">
        <v>59122365</v>
      </c>
      <c r="T3663" s="3">
        <v>842133916</v>
      </c>
      <c r="U3663" s="3" t="s">
        <v>29</v>
      </c>
    </row>
    <row r="3664" spans="1:21" ht="13.2" x14ac:dyDescent="0.25">
      <c r="A3664" s="14">
        <v>37983719000108</v>
      </c>
      <c r="B3664" s="15" t="str">
        <f t="shared" si="57"/>
        <v>37.983.719/0001-08</v>
      </c>
      <c r="C3664" s="12"/>
      <c r="D3664" s="3" t="s">
        <v>12691</v>
      </c>
      <c r="E3664" s="3" t="s">
        <v>12692</v>
      </c>
      <c r="F3664" s="3" t="s">
        <v>20</v>
      </c>
      <c r="G3664" s="4">
        <v>44048</v>
      </c>
      <c r="H3664" s="3" t="s">
        <v>21</v>
      </c>
      <c r="I3664" s="3" t="s">
        <v>22</v>
      </c>
      <c r="J3664" s="5">
        <v>150000</v>
      </c>
      <c r="K3664" s="3">
        <v>4930202</v>
      </c>
      <c r="L3664" s="3" t="s">
        <v>2603</v>
      </c>
      <c r="M3664" s="3" t="s">
        <v>12693</v>
      </c>
      <c r="N3664" s="3">
        <v>63</v>
      </c>
      <c r="P3664" s="3" t="s">
        <v>4015</v>
      </c>
      <c r="Q3664" s="3" t="s">
        <v>7958</v>
      </c>
      <c r="R3664" s="3" t="s">
        <v>100</v>
      </c>
      <c r="S3664" s="3">
        <v>36576012</v>
      </c>
      <c r="T3664" s="3">
        <v>3138912016</v>
      </c>
      <c r="U3664" s="3" t="s">
        <v>29</v>
      </c>
    </row>
    <row r="3665" spans="1:21" ht="13.2" x14ac:dyDescent="0.25">
      <c r="A3665" s="14">
        <v>54883194000140</v>
      </c>
      <c r="B3665" s="15" t="str">
        <f t="shared" si="57"/>
        <v>54.883.194/0001-40</v>
      </c>
      <c r="C3665" s="12"/>
      <c r="D3665" s="3" t="s">
        <v>12694</v>
      </c>
      <c r="E3665" s="3" t="s">
        <v>12694</v>
      </c>
      <c r="F3665" s="3" t="s">
        <v>20</v>
      </c>
      <c r="G3665" s="4">
        <v>31307</v>
      </c>
      <c r="H3665" s="3" t="s">
        <v>21</v>
      </c>
      <c r="I3665" s="3" t="s">
        <v>33</v>
      </c>
      <c r="J3665" s="5">
        <v>42435500</v>
      </c>
      <c r="K3665" s="3">
        <v>4120400</v>
      </c>
      <c r="L3665" s="3" t="s">
        <v>87</v>
      </c>
      <c r="M3665" s="3" t="s">
        <v>4495</v>
      </c>
      <c r="N3665" s="3">
        <v>227</v>
      </c>
      <c r="O3665" s="3" t="s">
        <v>12695</v>
      </c>
      <c r="P3665" s="3" t="s">
        <v>3402</v>
      </c>
      <c r="Q3665" s="3" t="s">
        <v>27</v>
      </c>
      <c r="R3665" s="3" t="s">
        <v>28</v>
      </c>
      <c r="S3665" s="3">
        <v>5502020</v>
      </c>
      <c r="T3665" s="3">
        <v>1130372500</v>
      </c>
      <c r="U3665" s="3" t="s">
        <v>29</v>
      </c>
    </row>
    <row r="3666" spans="1:21" ht="13.2" x14ac:dyDescent="0.25">
      <c r="A3666" s="14">
        <v>56679863000191</v>
      </c>
      <c r="B3666" s="15" t="str">
        <f t="shared" si="57"/>
        <v>56.679.863/0001-91</v>
      </c>
      <c r="C3666" s="12"/>
      <c r="D3666" s="3" t="s">
        <v>12696</v>
      </c>
      <c r="E3666" s="3" t="s">
        <v>12697</v>
      </c>
      <c r="F3666" s="3" t="s">
        <v>20</v>
      </c>
      <c r="G3666" s="4">
        <v>31734</v>
      </c>
      <c r="H3666" s="3" t="s">
        <v>21</v>
      </c>
      <c r="I3666" s="3" t="s">
        <v>33</v>
      </c>
      <c r="J3666" s="5">
        <v>21060000</v>
      </c>
      <c r="K3666" s="3">
        <v>4647801</v>
      </c>
      <c r="L3666" s="3" t="s">
        <v>4947</v>
      </c>
      <c r="M3666" s="3" t="s">
        <v>12698</v>
      </c>
      <c r="N3666" s="3" t="s">
        <v>111</v>
      </c>
      <c r="O3666" s="3" t="s">
        <v>11070</v>
      </c>
      <c r="P3666" s="3" t="s">
        <v>911</v>
      </c>
      <c r="Q3666" s="3" t="s">
        <v>8850</v>
      </c>
      <c r="R3666" s="3" t="s">
        <v>28</v>
      </c>
      <c r="S3666" s="3">
        <v>13669899</v>
      </c>
      <c r="T3666" s="3">
        <v>1935898000</v>
      </c>
      <c r="U3666" s="3" t="s">
        <v>29</v>
      </c>
    </row>
    <row r="3667" spans="1:21" ht="13.2" x14ac:dyDescent="0.25">
      <c r="A3667" s="14">
        <v>39620242000113</v>
      </c>
      <c r="B3667" s="15" t="str">
        <f t="shared" si="57"/>
        <v>39.620.242/0001-13</v>
      </c>
      <c r="C3667" s="12"/>
      <c r="D3667" s="3" t="s">
        <v>12699</v>
      </c>
      <c r="E3667" s="3" t="s">
        <v>12699</v>
      </c>
      <c r="F3667" s="3" t="s">
        <v>20</v>
      </c>
      <c r="G3667" s="4">
        <v>44133</v>
      </c>
      <c r="H3667" s="3" t="s">
        <v>21</v>
      </c>
      <c r="I3667" s="3" t="s">
        <v>33</v>
      </c>
      <c r="J3667" s="5">
        <v>10000</v>
      </c>
      <c r="K3667" s="3">
        <v>6622300</v>
      </c>
      <c r="L3667" s="3" t="s">
        <v>1324</v>
      </c>
      <c r="M3667" s="3" t="s">
        <v>5333</v>
      </c>
      <c r="N3667" s="3">
        <v>105</v>
      </c>
      <c r="O3667" s="3" t="s">
        <v>12700</v>
      </c>
      <c r="P3667" s="3" t="s">
        <v>1019</v>
      </c>
      <c r="Q3667" s="3" t="s">
        <v>27</v>
      </c>
      <c r="R3667" s="3" t="s">
        <v>28</v>
      </c>
      <c r="S3667" s="3">
        <v>4571900</v>
      </c>
      <c r="T3667" s="3">
        <v>1137288444</v>
      </c>
      <c r="U3667" s="3" t="s">
        <v>29</v>
      </c>
    </row>
    <row r="3668" spans="1:21" ht="13.2" x14ac:dyDescent="0.25">
      <c r="A3668" s="14">
        <v>8568311000163</v>
      </c>
      <c r="B3668" s="15" t="str">
        <f t="shared" si="57"/>
        <v>08.568.311/0001-63</v>
      </c>
      <c r="C3668" s="12"/>
      <c r="D3668" s="3" t="s">
        <v>12701</v>
      </c>
      <c r="E3668" s="3" t="s">
        <v>12702</v>
      </c>
      <c r="F3668" s="3" t="s">
        <v>20</v>
      </c>
      <c r="G3668" s="4">
        <v>39071</v>
      </c>
      <c r="H3668" s="3" t="s">
        <v>21</v>
      </c>
      <c r="I3668" s="3" t="s">
        <v>22</v>
      </c>
      <c r="J3668" s="5">
        <v>100000</v>
      </c>
      <c r="K3668" s="3">
        <v>4789099</v>
      </c>
      <c r="L3668" s="3" t="s">
        <v>774</v>
      </c>
      <c r="M3668" s="3" t="s">
        <v>12703</v>
      </c>
      <c r="N3668" s="3">
        <v>1000</v>
      </c>
      <c r="O3668" s="3" t="s">
        <v>198</v>
      </c>
      <c r="P3668" s="3" t="s">
        <v>70</v>
      </c>
      <c r="Q3668" s="3" t="s">
        <v>3865</v>
      </c>
      <c r="R3668" s="3" t="s">
        <v>53</v>
      </c>
      <c r="S3668" s="3">
        <v>99700252</v>
      </c>
      <c r="T3668" s="3">
        <v>5437120818</v>
      </c>
      <c r="U3668" s="3" t="s">
        <v>29</v>
      </c>
    </row>
    <row r="3669" spans="1:21" ht="13.2" x14ac:dyDescent="0.25">
      <c r="A3669" s="14">
        <v>5827188000160</v>
      </c>
      <c r="B3669" s="15" t="str">
        <f t="shared" si="57"/>
        <v>05.827.188/0001-60</v>
      </c>
      <c r="C3669" s="12"/>
      <c r="D3669" s="3" t="s">
        <v>12704</v>
      </c>
      <c r="E3669" s="3" t="s">
        <v>12704</v>
      </c>
      <c r="F3669" s="3" t="s">
        <v>20</v>
      </c>
      <c r="G3669" s="4">
        <v>37832</v>
      </c>
      <c r="H3669" s="3" t="s">
        <v>21</v>
      </c>
      <c r="I3669" s="3" t="s">
        <v>33</v>
      </c>
      <c r="J3669" s="5">
        <v>44009980</v>
      </c>
      <c r="K3669" s="3">
        <v>2219600</v>
      </c>
      <c r="L3669" s="3" t="s">
        <v>613</v>
      </c>
      <c r="M3669" s="3" t="s">
        <v>12705</v>
      </c>
      <c r="N3669" s="3">
        <v>8000</v>
      </c>
      <c r="O3669" s="3" t="s">
        <v>12706</v>
      </c>
      <c r="P3669" s="3" t="s">
        <v>8559</v>
      </c>
      <c r="Q3669" s="3" t="s">
        <v>2822</v>
      </c>
      <c r="R3669" s="3" t="s">
        <v>28</v>
      </c>
      <c r="S3669" s="3">
        <v>12238365</v>
      </c>
      <c r="T3669" s="3">
        <v>1239327722</v>
      </c>
      <c r="U3669" s="3" t="s">
        <v>29</v>
      </c>
    </row>
    <row r="3670" spans="1:21" ht="13.2" x14ac:dyDescent="0.25">
      <c r="A3670" s="14">
        <v>28696908000109</v>
      </c>
      <c r="B3670" s="15" t="str">
        <f t="shared" si="57"/>
        <v>28.696.908/0001-09</v>
      </c>
      <c r="C3670" s="12"/>
      <c r="D3670" s="3" t="s">
        <v>12707</v>
      </c>
      <c r="E3670" s="3" t="s">
        <v>12708</v>
      </c>
      <c r="F3670" s="3" t="s">
        <v>20</v>
      </c>
      <c r="G3670" s="4">
        <v>42999</v>
      </c>
      <c r="H3670" s="3" t="s">
        <v>21</v>
      </c>
      <c r="I3670" s="3" t="s">
        <v>22</v>
      </c>
      <c r="J3670" s="5">
        <v>4000000</v>
      </c>
      <c r="K3670" s="3">
        <v>2660400</v>
      </c>
      <c r="L3670" s="3" t="s">
        <v>953</v>
      </c>
      <c r="M3670" s="3" t="s">
        <v>8587</v>
      </c>
      <c r="N3670" s="3">
        <v>931</v>
      </c>
      <c r="O3670" s="3" t="s">
        <v>12709</v>
      </c>
      <c r="P3670" s="3" t="s">
        <v>8589</v>
      </c>
      <c r="Q3670" s="3" t="s">
        <v>688</v>
      </c>
      <c r="R3670" s="3" t="s">
        <v>28</v>
      </c>
      <c r="S3670" s="3">
        <v>6715865</v>
      </c>
      <c r="T3670" s="3">
        <v>1146145395</v>
      </c>
      <c r="U3670" s="3" t="s">
        <v>29</v>
      </c>
    </row>
    <row r="3671" spans="1:21" ht="13.2" x14ac:dyDescent="0.25">
      <c r="A3671" s="14">
        <v>20118069000121</v>
      </c>
      <c r="B3671" s="15" t="str">
        <f t="shared" si="57"/>
        <v>20.118.069/0001-21</v>
      </c>
      <c r="C3671" s="12"/>
      <c r="D3671" s="3" t="s">
        <v>12710</v>
      </c>
      <c r="E3671" s="3" t="s">
        <v>12710</v>
      </c>
      <c r="F3671" s="3" t="s">
        <v>31</v>
      </c>
      <c r="G3671" s="4">
        <v>41752</v>
      </c>
      <c r="H3671" s="3" t="s">
        <v>21</v>
      </c>
      <c r="I3671" s="3" t="s">
        <v>22</v>
      </c>
      <c r="J3671" s="5">
        <v>100000</v>
      </c>
      <c r="K3671" s="3">
        <v>4632003</v>
      </c>
      <c r="L3671" s="3" t="s">
        <v>12711</v>
      </c>
      <c r="M3671" s="3" t="s">
        <v>2477</v>
      </c>
      <c r="N3671" s="3">
        <v>269</v>
      </c>
      <c r="P3671" s="3" t="s">
        <v>12712</v>
      </c>
      <c r="Q3671" s="3" t="s">
        <v>929</v>
      </c>
      <c r="R3671" s="3" t="s">
        <v>28</v>
      </c>
      <c r="S3671" s="3">
        <v>6529185</v>
      </c>
      <c r="T3671" s="3">
        <v>1146451144</v>
      </c>
      <c r="U3671" s="3" t="s">
        <v>29</v>
      </c>
    </row>
    <row r="3672" spans="1:21" ht="13.2" x14ac:dyDescent="0.25">
      <c r="A3672" s="14">
        <v>3667420000114</v>
      </c>
      <c r="B3672" s="15" t="str">
        <f t="shared" si="57"/>
        <v>03.667.420/0001-14</v>
      </c>
      <c r="C3672" s="12" t="str">
        <f>VLOOKUP(B3672,[1]Planilha1!$A:$B,2,0)</f>
        <v>Malu Montesino</v>
      </c>
      <c r="D3672" s="3" t="s">
        <v>12713</v>
      </c>
      <c r="E3672" s="3" t="s">
        <v>12713</v>
      </c>
      <c r="F3672" s="3" t="s">
        <v>20</v>
      </c>
      <c r="G3672" s="4">
        <v>36543</v>
      </c>
      <c r="H3672" s="3" t="s">
        <v>21</v>
      </c>
      <c r="I3672" s="3" t="s">
        <v>33</v>
      </c>
      <c r="J3672" s="5">
        <v>2756080</v>
      </c>
      <c r="K3672" s="3">
        <v>2866600</v>
      </c>
      <c r="L3672" s="3" t="s">
        <v>12714</v>
      </c>
      <c r="M3672" s="3" t="s">
        <v>12715</v>
      </c>
      <c r="N3672" s="3">
        <v>166</v>
      </c>
      <c r="P3672" s="3" t="s">
        <v>12716</v>
      </c>
      <c r="Q3672" s="3" t="s">
        <v>59</v>
      </c>
      <c r="R3672" s="3" t="s">
        <v>28</v>
      </c>
      <c r="S3672" s="3">
        <v>13279011</v>
      </c>
      <c r="T3672" s="3">
        <v>1938463700</v>
      </c>
      <c r="U3672" s="3" t="s">
        <v>29</v>
      </c>
    </row>
    <row r="3673" spans="1:21" ht="13.2" x14ac:dyDescent="0.25">
      <c r="A3673" s="14">
        <v>16852312000163</v>
      </c>
      <c r="B3673" s="15" t="str">
        <f t="shared" si="57"/>
        <v>16.852.312/0001-63</v>
      </c>
      <c r="C3673" s="12"/>
      <c r="D3673" s="3" t="s">
        <v>12717</v>
      </c>
      <c r="E3673" s="3" t="s">
        <v>12717</v>
      </c>
      <c r="F3673" s="3" t="s">
        <v>20</v>
      </c>
      <c r="G3673" s="4">
        <v>41164</v>
      </c>
      <c r="H3673" s="3" t="s">
        <v>21</v>
      </c>
      <c r="I3673" s="3" t="s">
        <v>22</v>
      </c>
      <c r="J3673" s="5">
        <v>100000</v>
      </c>
      <c r="K3673" s="3">
        <v>3321000</v>
      </c>
      <c r="L3673" s="3" t="s">
        <v>2479</v>
      </c>
      <c r="M3673" s="3" t="s">
        <v>1995</v>
      </c>
      <c r="N3673" s="3">
        <v>308</v>
      </c>
      <c r="O3673" s="3" t="s">
        <v>427</v>
      </c>
      <c r="P3673" s="3" t="s">
        <v>1996</v>
      </c>
      <c r="Q3673" s="3" t="s">
        <v>1235</v>
      </c>
      <c r="R3673" s="3" t="s">
        <v>28</v>
      </c>
      <c r="S3673" s="3">
        <v>13347662</v>
      </c>
      <c r="T3673" s="3">
        <v>1939366489</v>
      </c>
      <c r="U3673" s="3" t="s">
        <v>29</v>
      </c>
    </row>
    <row r="3674" spans="1:21" ht="13.2" x14ac:dyDescent="0.25">
      <c r="A3674" s="14">
        <v>84586734000194</v>
      </c>
      <c r="B3674" s="15" t="str">
        <f t="shared" si="57"/>
        <v>84.586.734/0001-94</v>
      </c>
      <c r="C3674" s="12"/>
      <c r="D3674" s="3" t="s">
        <v>12718</v>
      </c>
      <c r="E3674" s="3" t="s">
        <v>12719</v>
      </c>
      <c r="F3674" s="3" t="s">
        <v>20</v>
      </c>
      <c r="G3674" s="4">
        <v>24378</v>
      </c>
      <c r="H3674" s="3" t="s">
        <v>21</v>
      </c>
      <c r="I3674" s="3" t="s">
        <v>33</v>
      </c>
      <c r="J3674" s="5">
        <v>2208254</v>
      </c>
      <c r="K3674" s="3">
        <v>2833000</v>
      </c>
      <c r="L3674" s="3" t="s">
        <v>151</v>
      </c>
      <c r="M3674" s="3" t="s">
        <v>8788</v>
      </c>
      <c r="N3674" s="3">
        <v>263</v>
      </c>
      <c r="P3674" s="3" t="s">
        <v>12720</v>
      </c>
      <c r="Q3674" s="3" t="s">
        <v>12721</v>
      </c>
      <c r="R3674" s="3" t="s">
        <v>91</v>
      </c>
      <c r="S3674" s="3">
        <v>89609000</v>
      </c>
      <c r="T3674" s="3">
        <v>4935512900</v>
      </c>
      <c r="U3674" s="3" t="s">
        <v>29</v>
      </c>
    </row>
    <row r="3675" spans="1:21" ht="13.2" x14ac:dyDescent="0.25">
      <c r="A3675" s="14">
        <v>604122000197</v>
      </c>
      <c r="B3675" s="15" t="str">
        <f t="shared" si="57"/>
        <v>00.604.122/0001-97</v>
      </c>
      <c r="C3675" s="12"/>
      <c r="D3675" s="3" t="s">
        <v>12722</v>
      </c>
      <c r="E3675" s="3" t="s">
        <v>12722</v>
      </c>
      <c r="F3675" s="3" t="s">
        <v>20</v>
      </c>
      <c r="G3675" s="4">
        <v>34835</v>
      </c>
      <c r="H3675" s="3" t="s">
        <v>21</v>
      </c>
      <c r="I3675" s="3" t="s">
        <v>33</v>
      </c>
      <c r="J3675" s="5">
        <v>87867250</v>
      </c>
      <c r="K3675" s="3">
        <v>8299799</v>
      </c>
      <c r="L3675" s="3" t="s">
        <v>532</v>
      </c>
      <c r="M3675" s="3" t="s">
        <v>12723</v>
      </c>
      <c r="N3675" s="3">
        <v>200</v>
      </c>
      <c r="P3675" s="3" t="s">
        <v>7685</v>
      </c>
      <c r="Q3675" s="3" t="s">
        <v>987</v>
      </c>
      <c r="R3675" s="3" t="s">
        <v>100</v>
      </c>
      <c r="S3675" s="3">
        <v>38413069</v>
      </c>
      <c r="T3675" s="3">
        <v>3432932225</v>
      </c>
      <c r="U3675" s="3" t="s">
        <v>29</v>
      </c>
    </row>
    <row r="3676" spans="1:21" ht="13.2" x14ac:dyDescent="0.25">
      <c r="A3676" s="14">
        <v>3106735000192</v>
      </c>
      <c r="B3676" s="15" t="str">
        <f t="shared" si="57"/>
        <v>03.106.735/0001-92</v>
      </c>
      <c r="C3676" s="12" t="str">
        <f>VLOOKUP(B3676,[1]Planilha1!$A:$B,2,0)</f>
        <v>Malu Montesino</v>
      </c>
      <c r="D3676" s="3" t="s">
        <v>12724</v>
      </c>
      <c r="E3676" s="3" t="s">
        <v>12725</v>
      </c>
      <c r="F3676" s="3" t="s">
        <v>6165</v>
      </c>
      <c r="G3676" s="4">
        <v>36256</v>
      </c>
      <c r="H3676" s="3" t="s">
        <v>21</v>
      </c>
      <c r="I3676" s="3" t="s">
        <v>33</v>
      </c>
      <c r="J3676" s="5">
        <v>0</v>
      </c>
      <c r="K3676" s="3">
        <v>2610800</v>
      </c>
      <c r="L3676" s="3" t="s">
        <v>548</v>
      </c>
      <c r="M3676" s="3" t="s">
        <v>12726</v>
      </c>
      <c r="N3676" s="3">
        <v>279</v>
      </c>
      <c r="O3676" s="3" t="s">
        <v>198</v>
      </c>
      <c r="P3676" s="3" t="s">
        <v>4028</v>
      </c>
      <c r="Q3676" s="3" t="s">
        <v>27</v>
      </c>
      <c r="R3676" s="3" t="s">
        <v>28</v>
      </c>
      <c r="S3676" s="3">
        <v>4631000</v>
      </c>
      <c r="T3676" s="3">
        <v>112208644</v>
      </c>
      <c r="U3676" s="3" t="s">
        <v>29</v>
      </c>
    </row>
    <row r="3677" spans="1:21" ht="13.2" x14ac:dyDescent="0.25">
      <c r="A3677" s="14">
        <v>4092064000110</v>
      </c>
      <c r="B3677" s="15" t="str">
        <f t="shared" si="57"/>
        <v>04.092.064/0001-10</v>
      </c>
      <c r="C3677" s="12"/>
      <c r="D3677" s="3" t="s">
        <v>12727</v>
      </c>
      <c r="E3677" s="3" t="s">
        <v>12728</v>
      </c>
      <c r="F3677" s="3" t="s">
        <v>20</v>
      </c>
      <c r="G3677" s="4">
        <v>36809</v>
      </c>
      <c r="H3677" s="3" t="s">
        <v>21</v>
      </c>
      <c r="I3677" s="3" t="s">
        <v>33</v>
      </c>
      <c r="J3677" s="5">
        <v>0</v>
      </c>
      <c r="K3677" s="3">
        <v>1093702</v>
      </c>
      <c r="L3677" s="3" t="s">
        <v>6986</v>
      </c>
      <c r="M3677" s="3" t="s">
        <v>12729</v>
      </c>
      <c r="N3677" s="3" t="s">
        <v>82</v>
      </c>
      <c r="P3677" s="3" t="s">
        <v>6862</v>
      </c>
      <c r="Q3677" s="3" t="s">
        <v>12730</v>
      </c>
      <c r="R3677" s="3" t="s">
        <v>28</v>
      </c>
      <c r="S3677" s="3">
        <v>11950000</v>
      </c>
      <c r="T3677" s="3">
        <v>1338544273</v>
      </c>
      <c r="U3677" s="3" t="s">
        <v>29</v>
      </c>
    </row>
    <row r="3678" spans="1:21" ht="13.2" x14ac:dyDescent="0.25">
      <c r="A3678" s="14">
        <v>8195806000194</v>
      </c>
      <c r="B3678" s="15" t="str">
        <f t="shared" si="57"/>
        <v>08.195.806/0001-94</v>
      </c>
      <c r="C3678" s="12"/>
      <c r="D3678" s="3" t="s">
        <v>12731</v>
      </c>
      <c r="E3678" s="3" t="s">
        <v>12732</v>
      </c>
      <c r="F3678" s="3" t="s">
        <v>20</v>
      </c>
      <c r="G3678" s="4">
        <v>38931</v>
      </c>
      <c r="H3678" s="3" t="s">
        <v>94</v>
      </c>
      <c r="I3678" s="3" t="s">
        <v>33</v>
      </c>
      <c r="J3678" s="5">
        <v>977240900</v>
      </c>
      <c r="K3678" s="3">
        <v>1931400</v>
      </c>
      <c r="L3678" s="3" t="s">
        <v>7655</v>
      </c>
      <c r="M3678" s="3" t="s">
        <v>12733</v>
      </c>
      <c r="N3678" s="3" t="s">
        <v>111</v>
      </c>
      <c r="O3678" s="3" t="s">
        <v>12734</v>
      </c>
      <c r="P3678" s="3" t="s">
        <v>911</v>
      </c>
      <c r="Q3678" s="3" t="s">
        <v>12735</v>
      </c>
      <c r="R3678" s="3" t="s">
        <v>274</v>
      </c>
      <c r="S3678" s="3">
        <v>75940000</v>
      </c>
      <c r="T3678" s="3">
        <v>6434336371</v>
      </c>
      <c r="U3678" s="3" t="s">
        <v>29</v>
      </c>
    </row>
    <row r="3679" spans="1:21" ht="13.2" x14ac:dyDescent="0.25">
      <c r="A3679" s="14">
        <v>19357049000124</v>
      </c>
      <c r="B3679" s="15" t="str">
        <f t="shared" si="57"/>
        <v>19.357.049/0001-24</v>
      </c>
      <c r="C3679" s="12"/>
      <c r="D3679" s="3" t="s">
        <v>12736</v>
      </c>
      <c r="E3679" s="3" t="s">
        <v>12737</v>
      </c>
      <c r="F3679" s="3" t="s">
        <v>20</v>
      </c>
      <c r="G3679" s="4">
        <v>41611</v>
      </c>
      <c r="H3679" s="3" t="s">
        <v>21</v>
      </c>
      <c r="I3679" s="3" t="s">
        <v>33</v>
      </c>
      <c r="J3679" s="5">
        <v>20000</v>
      </c>
      <c r="K3679" s="3">
        <v>8599604</v>
      </c>
      <c r="L3679" s="3" t="s">
        <v>55</v>
      </c>
      <c r="M3679" s="3" t="s">
        <v>12738</v>
      </c>
      <c r="N3679" s="3">
        <v>410</v>
      </c>
      <c r="O3679" s="3" t="s">
        <v>11839</v>
      </c>
      <c r="P3679" s="3" t="s">
        <v>70</v>
      </c>
      <c r="Q3679" s="3" t="s">
        <v>476</v>
      </c>
      <c r="R3679" s="3" t="s">
        <v>100</v>
      </c>
      <c r="S3679" s="3">
        <v>30180912</v>
      </c>
      <c r="T3679" s="3">
        <v>3130291400</v>
      </c>
      <c r="U3679" s="3" t="s">
        <v>29</v>
      </c>
    </row>
    <row r="3680" spans="1:21" ht="13.2" x14ac:dyDescent="0.25">
      <c r="A3680" s="14">
        <v>66106600000147</v>
      </c>
      <c r="B3680" s="15" t="str">
        <f t="shared" si="57"/>
        <v>66.106.600/0001-47</v>
      </c>
      <c r="C3680" s="12" t="str">
        <f>VLOOKUP(B3680,[1]Planilha1!$A:$B,2,0)</f>
        <v>Mariane Nascimento</v>
      </c>
      <c r="D3680" s="3" t="s">
        <v>12739</v>
      </c>
      <c r="E3680" s="3" t="s">
        <v>12740</v>
      </c>
      <c r="F3680" s="3" t="s">
        <v>20</v>
      </c>
      <c r="G3680" s="4">
        <v>33410</v>
      </c>
      <c r="H3680" s="3" t="s">
        <v>21</v>
      </c>
      <c r="I3680" s="3" t="s">
        <v>33</v>
      </c>
      <c r="J3680" s="5">
        <v>31000000</v>
      </c>
      <c r="K3680" s="3">
        <v>9001999</v>
      </c>
      <c r="L3680" s="3" t="s">
        <v>12741</v>
      </c>
      <c r="M3680" s="3" t="s">
        <v>12742</v>
      </c>
      <c r="N3680" s="3" t="s">
        <v>82</v>
      </c>
      <c r="O3680" s="3" t="s">
        <v>12743</v>
      </c>
      <c r="P3680" s="3" t="s">
        <v>1428</v>
      </c>
      <c r="Q3680" s="3" t="s">
        <v>1429</v>
      </c>
      <c r="R3680" s="3" t="s">
        <v>28</v>
      </c>
      <c r="S3680" s="3">
        <v>13159899</v>
      </c>
      <c r="T3680" s="3">
        <v>1995918490</v>
      </c>
      <c r="U3680" s="3" t="s">
        <v>29</v>
      </c>
    </row>
    <row r="3681" spans="1:21" ht="13.2" x14ac:dyDescent="0.25">
      <c r="A3681" s="14">
        <v>5142588000131</v>
      </c>
      <c r="B3681" s="15" t="str">
        <f t="shared" si="57"/>
        <v>05.142.588/0001-31</v>
      </c>
      <c r="C3681" s="12"/>
      <c r="D3681" s="3" t="s">
        <v>12744</v>
      </c>
      <c r="E3681" s="3" t="s">
        <v>12744</v>
      </c>
      <c r="F3681" s="3" t="s">
        <v>20</v>
      </c>
      <c r="G3681" s="4">
        <v>37435</v>
      </c>
      <c r="H3681" s="3" t="s">
        <v>21</v>
      </c>
      <c r="I3681" s="3" t="s">
        <v>33</v>
      </c>
      <c r="J3681" s="5">
        <v>67206350</v>
      </c>
      <c r="K3681" s="3">
        <v>2930101</v>
      </c>
      <c r="L3681" s="3" t="s">
        <v>856</v>
      </c>
      <c r="M3681" s="3" t="s">
        <v>354</v>
      </c>
      <c r="N3681" s="3">
        <v>7777</v>
      </c>
      <c r="O3681" s="3" t="s">
        <v>12745</v>
      </c>
      <c r="P3681" s="3" t="s">
        <v>406</v>
      </c>
      <c r="Q3681" s="3" t="s">
        <v>357</v>
      </c>
      <c r="R3681" s="3" t="s">
        <v>28</v>
      </c>
      <c r="S3681" s="3">
        <v>7178580</v>
      </c>
      <c r="T3681" s="3">
        <v>1123777000</v>
      </c>
      <c r="U3681" s="3" t="s">
        <v>29</v>
      </c>
    </row>
    <row r="3682" spans="1:21" ht="13.2" x14ac:dyDescent="0.25">
      <c r="A3682" s="14">
        <v>10682187000104</v>
      </c>
      <c r="B3682" s="15" t="str">
        <f t="shared" si="57"/>
        <v>10.682.187/0001-04</v>
      </c>
      <c r="C3682" s="12"/>
      <c r="D3682" s="3" t="s">
        <v>12746</v>
      </c>
      <c r="E3682" s="3" t="s">
        <v>12747</v>
      </c>
      <c r="F3682" s="3" t="s">
        <v>20</v>
      </c>
      <c r="G3682" s="4">
        <v>39877</v>
      </c>
      <c r="H3682" s="3" t="s">
        <v>21</v>
      </c>
      <c r="I3682" s="3" t="s">
        <v>33</v>
      </c>
      <c r="J3682" s="5">
        <v>10000000</v>
      </c>
      <c r="K3682" s="3">
        <v>6209100</v>
      </c>
      <c r="L3682" s="3" t="s">
        <v>303</v>
      </c>
      <c r="M3682" s="3" t="s">
        <v>7062</v>
      </c>
      <c r="N3682" s="3">
        <v>118</v>
      </c>
      <c r="O3682" s="3" t="s">
        <v>7063</v>
      </c>
      <c r="P3682" s="3" t="s">
        <v>630</v>
      </c>
      <c r="Q3682" s="3" t="s">
        <v>631</v>
      </c>
      <c r="R3682" s="3" t="s">
        <v>632</v>
      </c>
      <c r="S3682" s="3">
        <v>70715900</v>
      </c>
      <c r="T3682" s="3">
        <v>6133273777</v>
      </c>
      <c r="U3682" s="3" t="s">
        <v>29</v>
      </c>
    </row>
    <row r="3683" spans="1:21" ht="13.2" x14ac:dyDescent="0.25">
      <c r="A3683" s="14">
        <v>5062274000129</v>
      </c>
      <c r="B3683" s="15" t="str">
        <f t="shared" si="57"/>
        <v>05.062.274/0001-29</v>
      </c>
      <c r="C3683" s="12"/>
      <c r="D3683" s="3" t="s">
        <v>12748</v>
      </c>
      <c r="E3683" s="3" t="s">
        <v>12749</v>
      </c>
      <c r="F3683" s="3" t="s">
        <v>20</v>
      </c>
      <c r="G3683" s="4">
        <v>37389</v>
      </c>
      <c r="H3683" s="3" t="s">
        <v>94</v>
      </c>
      <c r="I3683" s="3" t="s">
        <v>33</v>
      </c>
      <c r="J3683" s="5">
        <v>1000000</v>
      </c>
      <c r="K3683" s="3">
        <v>1821100</v>
      </c>
      <c r="L3683" s="3" t="s">
        <v>3504</v>
      </c>
      <c r="M3683" s="3" t="s">
        <v>12750</v>
      </c>
      <c r="N3683" s="3">
        <v>50</v>
      </c>
      <c r="P3683" s="3" t="s">
        <v>12751</v>
      </c>
      <c r="Q3683" s="3" t="s">
        <v>929</v>
      </c>
      <c r="R3683" s="3" t="s">
        <v>28</v>
      </c>
      <c r="S3683" s="3">
        <v>6501238</v>
      </c>
      <c r="U3683" s="3" t="s">
        <v>29</v>
      </c>
    </row>
    <row r="3684" spans="1:21" ht="13.2" x14ac:dyDescent="0.25">
      <c r="A3684" s="14">
        <v>15012434000189</v>
      </c>
      <c r="B3684" s="15" t="str">
        <f t="shared" si="57"/>
        <v>15.012.434/0001-89</v>
      </c>
      <c r="C3684" s="12"/>
      <c r="D3684" s="3" t="s">
        <v>12752</v>
      </c>
      <c r="E3684" s="3" t="s">
        <v>12752</v>
      </c>
      <c r="F3684" s="3" t="s">
        <v>20</v>
      </c>
      <c r="G3684" s="4">
        <v>40946</v>
      </c>
      <c r="H3684" s="3" t="s">
        <v>94</v>
      </c>
      <c r="I3684" s="3" t="s">
        <v>33</v>
      </c>
      <c r="J3684" s="5">
        <v>82620000</v>
      </c>
      <c r="K3684" s="3">
        <v>3600601</v>
      </c>
      <c r="L3684" s="3" t="s">
        <v>788</v>
      </c>
      <c r="M3684" s="3" t="s">
        <v>12753</v>
      </c>
      <c r="N3684" s="3">
        <v>685</v>
      </c>
      <c r="P3684" s="3" t="s">
        <v>70</v>
      </c>
      <c r="Q3684" s="3" t="s">
        <v>654</v>
      </c>
      <c r="R3684" s="3" t="s">
        <v>91</v>
      </c>
      <c r="S3684" s="3">
        <v>88701301</v>
      </c>
      <c r="T3684" s="3">
        <v>4830527420</v>
      </c>
      <c r="U3684" s="3" t="s">
        <v>29</v>
      </c>
    </row>
    <row r="3685" spans="1:21" ht="13.2" x14ac:dyDescent="0.25">
      <c r="A3685" s="14">
        <v>1477885000187</v>
      </c>
      <c r="B3685" s="15" t="str">
        <f t="shared" si="57"/>
        <v>01.477.885/0001-87</v>
      </c>
      <c r="C3685" s="12" t="str">
        <f>VLOOKUP(B3685,[1]Planilha1!$A:$B,2,0)</f>
        <v>Malu Montesino</v>
      </c>
      <c r="D3685" s="3" t="s">
        <v>12754</v>
      </c>
      <c r="E3685" s="3" t="s">
        <v>12754</v>
      </c>
      <c r="F3685" s="3" t="s">
        <v>20</v>
      </c>
      <c r="G3685" s="4">
        <v>35352</v>
      </c>
      <c r="H3685" s="3" t="s">
        <v>21</v>
      </c>
      <c r="I3685" s="3" t="s">
        <v>33</v>
      </c>
      <c r="J3685" s="5">
        <v>26180000</v>
      </c>
      <c r="K3685" s="3">
        <v>4685100</v>
      </c>
      <c r="L3685" s="3" t="s">
        <v>390</v>
      </c>
      <c r="M3685" s="3" t="s">
        <v>12755</v>
      </c>
      <c r="N3685" s="3">
        <v>300</v>
      </c>
      <c r="P3685" s="3" t="s">
        <v>1465</v>
      </c>
      <c r="Q3685" s="3" t="s">
        <v>217</v>
      </c>
      <c r="R3685" s="3" t="s">
        <v>28</v>
      </c>
      <c r="S3685" s="3">
        <v>9890070</v>
      </c>
      <c r="T3685" s="3">
        <v>1143916000</v>
      </c>
      <c r="U3685" s="3" t="s">
        <v>29</v>
      </c>
    </row>
    <row r="3686" spans="1:21" ht="13.2" x14ac:dyDescent="0.25">
      <c r="A3686" s="14">
        <v>11069316000156</v>
      </c>
      <c r="B3686" s="15" t="str">
        <f t="shared" si="57"/>
        <v>11.069.316/0001-56</v>
      </c>
      <c r="C3686" s="12" t="str">
        <f>VLOOKUP(B3686,[1]Planilha1!$A:$B,2,0)</f>
        <v>Malu Montesino</v>
      </c>
      <c r="D3686" s="3" t="s">
        <v>12756</v>
      </c>
      <c r="E3686" s="3" t="s">
        <v>12756</v>
      </c>
      <c r="F3686" s="3" t="s">
        <v>20</v>
      </c>
      <c r="G3686" s="4">
        <v>40029</v>
      </c>
      <c r="H3686" s="3" t="s">
        <v>21</v>
      </c>
      <c r="I3686" s="3" t="s">
        <v>33</v>
      </c>
      <c r="J3686" s="5">
        <v>82330904</v>
      </c>
      <c r="K3686" s="3">
        <v>2223400</v>
      </c>
      <c r="L3686" s="3" t="s">
        <v>868</v>
      </c>
      <c r="M3686" s="3" t="s">
        <v>12757</v>
      </c>
      <c r="N3686" s="3">
        <v>270</v>
      </c>
      <c r="P3686" s="3" t="s">
        <v>153</v>
      </c>
      <c r="Q3686" s="3" t="s">
        <v>2721</v>
      </c>
      <c r="R3686" s="3" t="s">
        <v>28</v>
      </c>
      <c r="S3686" s="3">
        <v>13505650</v>
      </c>
      <c r="T3686" s="3">
        <v>1983420006</v>
      </c>
      <c r="U3686" s="3" t="s">
        <v>29</v>
      </c>
    </row>
    <row r="3687" spans="1:21" ht="13.2" x14ac:dyDescent="0.25">
      <c r="A3687" s="14">
        <v>61131306000171</v>
      </c>
      <c r="B3687" s="15" t="str">
        <f t="shared" si="57"/>
        <v>61.131.306/0001-71</v>
      </c>
      <c r="C3687" s="12"/>
      <c r="D3687" s="3" t="s">
        <v>12758</v>
      </c>
      <c r="E3687" s="3" t="s">
        <v>12759</v>
      </c>
      <c r="F3687" s="3" t="s">
        <v>20</v>
      </c>
      <c r="G3687" s="4">
        <v>32722</v>
      </c>
      <c r="H3687" s="3" t="s">
        <v>21</v>
      </c>
      <c r="I3687" s="3" t="s">
        <v>22</v>
      </c>
      <c r="J3687" s="5">
        <v>537000</v>
      </c>
      <c r="K3687" s="3">
        <v>4644301</v>
      </c>
      <c r="L3687" s="3" t="s">
        <v>326</v>
      </c>
      <c r="M3687" s="3" t="s">
        <v>12760</v>
      </c>
      <c r="N3687" s="3">
        <v>535</v>
      </c>
      <c r="P3687" s="3" t="s">
        <v>12761</v>
      </c>
      <c r="Q3687" s="3" t="s">
        <v>12762</v>
      </c>
      <c r="R3687" s="3" t="s">
        <v>28</v>
      </c>
      <c r="S3687" s="3">
        <v>17607580</v>
      </c>
      <c r="T3687" s="3">
        <v>1434962663</v>
      </c>
      <c r="U3687" s="3" t="s">
        <v>29</v>
      </c>
    </row>
    <row r="3688" spans="1:21" ht="13.2" x14ac:dyDescent="0.25">
      <c r="A3688" s="14">
        <v>50516731000162</v>
      </c>
      <c r="B3688" s="15" t="str">
        <f t="shared" si="57"/>
        <v>50.516.731/0001-62</v>
      </c>
      <c r="C3688" s="12"/>
      <c r="D3688" s="3" t="s">
        <v>12763</v>
      </c>
      <c r="E3688" s="3" t="s">
        <v>12763</v>
      </c>
      <c r="F3688" s="3" t="s">
        <v>20</v>
      </c>
      <c r="G3688" s="4">
        <v>28977</v>
      </c>
      <c r="H3688" s="3" t="s">
        <v>21</v>
      </c>
      <c r="I3688" s="3" t="s">
        <v>33</v>
      </c>
      <c r="J3688" s="5">
        <v>2000000</v>
      </c>
      <c r="K3688" s="3">
        <v>2229301</v>
      </c>
      <c r="L3688" s="3" t="s">
        <v>1793</v>
      </c>
      <c r="M3688" s="3" t="s">
        <v>12764</v>
      </c>
      <c r="N3688" s="3">
        <v>1000</v>
      </c>
      <c r="O3688" s="3" t="s">
        <v>12765</v>
      </c>
      <c r="P3688" s="3" t="s">
        <v>2177</v>
      </c>
      <c r="Q3688" s="3" t="s">
        <v>262</v>
      </c>
      <c r="R3688" s="3" t="s">
        <v>28</v>
      </c>
      <c r="S3688" s="3">
        <v>6230098</v>
      </c>
      <c r="T3688" s="3">
        <v>1122017723</v>
      </c>
      <c r="U3688" s="3" t="s">
        <v>29</v>
      </c>
    </row>
    <row r="3689" spans="1:21" ht="13.2" x14ac:dyDescent="0.25">
      <c r="A3689" s="14">
        <v>274562000123</v>
      </c>
      <c r="B3689" s="15" t="str">
        <f t="shared" si="57"/>
        <v>00.274.562/0001-23</v>
      </c>
      <c r="C3689" s="12"/>
      <c r="D3689" s="3" t="s">
        <v>12766</v>
      </c>
      <c r="E3689" s="3" t="s">
        <v>12767</v>
      </c>
      <c r="F3689" s="3" t="s">
        <v>20</v>
      </c>
      <c r="G3689" s="4">
        <v>34627</v>
      </c>
      <c r="H3689" s="3" t="s">
        <v>21</v>
      </c>
      <c r="I3689" s="3" t="s">
        <v>33</v>
      </c>
      <c r="J3689" s="5">
        <v>362745</v>
      </c>
      <c r="K3689" s="3">
        <v>7020400</v>
      </c>
      <c r="L3689" s="3" t="s">
        <v>170</v>
      </c>
      <c r="M3689" s="3" t="s">
        <v>7633</v>
      </c>
      <c r="N3689" s="3">
        <v>222</v>
      </c>
      <c r="O3689" s="3" t="s">
        <v>266</v>
      </c>
      <c r="P3689" s="3" t="s">
        <v>2279</v>
      </c>
      <c r="Q3689" s="3" t="s">
        <v>617</v>
      </c>
      <c r="R3689" s="3" t="s">
        <v>28</v>
      </c>
      <c r="S3689" s="3">
        <v>6454010</v>
      </c>
      <c r="T3689" s="3">
        <v>1146899400</v>
      </c>
      <c r="U3689" s="3" t="s">
        <v>29</v>
      </c>
    </row>
    <row r="3690" spans="1:21" ht="13.2" x14ac:dyDescent="0.25">
      <c r="A3690" s="14">
        <v>18596958000152</v>
      </c>
      <c r="B3690" s="15" t="str">
        <f t="shared" si="57"/>
        <v>18.596.958/0001-52</v>
      </c>
      <c r="C3690" s="12"/>
      <c r="D3690" s="3" t="s">
        <v>12768</v>
      </c>
      <c r="E3690" s="3" t="s">
        <v>12769</v>
      </c>
      <c r="F3690" s="3" t="s">
        <v>20</v>
      </c>
      <c r="G3690" s="4">
        <v>41487</v>
      </c>
      <c r="H3690" s="3" t="s">
        <v>21</v>
      </c>
      <c r="I3690" s="3" t="s">
        <v>47</v>
      </c>
      <c r="J3690" s="5">
        <v>900000</v>
      </c>
      <c r="K3690" s="3">
        <v>4744001</v>
      </c>
      <c r="L3690" s="3" t="s">
        <v>396</v>
      </c>
      <c r="M3690" s="3" t="s">
        <v>12770</v>
      </c>
      <c r="N3690" s="3">
        <v>223</v>
      </c>
      <c r="P3690" s="3" t="s">
        <v>3985</v>
      </c>
      <c r="Q3690" s="3" t="s">
        <v>27</v>
      </c>
      <c r="R3690" s="3" t="s">
        <v>28</v>
      </c>
      <c r="S3690" s="3">
        <v>2143060</v>
      </c>
      <c r="T3690" s="3">
        <v>1124610840</v>
      </c>
      <c r="U3690" s="3" t="s">
        <v>29</v>
      </c>
    </row>
    <row r="3691" spans="1:21" ht="13.2" x14ac:dyDescent="0.25">
      <c r="A3691" s="14">
        <v>63975320000187</v>
      </c>
      <c r="B3691" s="15" t="str">
        <f t="shared" si="57"/>
        <v>63.975.320/0001-87</v>
      </c>
      <c r="C3691" s="12" t="str">
        <f>VLOOKUP(B3691,[1]Planilha1!$A:$B,2,0)</f>
        <v>Malu Montesino</v>
      </c>
      <c r="D3691" s="3" t="s">
        <v>12771</v>
      </c>
      <c r="E3691" s="3" t="s">
        <v>12771</v>
      </c>
      <c r="F3691" s="3" t="s">
        <v>45</v>
      </c>
      <c r="G3691" s="4">
        <v>33081</v>
      </c>
      <c r="H3691" s="3" t="s">
        <v>21</v>
      </c>
      <c r="I3691" s="3" t="s">
        <v>33</v>
      </c>
      <c r="J3691" s="5">
        <v>11923734</v>
      </c>
      <c r="K3691" s="3">
        <v>2512800</v>
      </c>
      <c r="L3691" s="3" t="s">
        <v>9205</v>
      </c>
      <c r="M3691" s="3" t="s">
        <v>1058</v>
      </c>
      <c r="N3691" s="3">
        <v>365</v>
      </c>
      <c r="P3691" s="3" t="s">
        <v>4870</v>
      </c>
      <c r="Q3691" s="3" t="s">
        <v>1943</v>
      </c>
      <c r="R3691" s="3" t="s">
        <v>28</v>
      </c>
      <c r="S3691" s="3">
        <v>9931390</v>
      </c>
      <c r="U3691" s="3" t="s">
        <v>29</v>
      </c>
    </row>
    <row r="3692" spans="1:21" ht="13.2" x14ac:dyDescent="0.25">
      <c r="A3692" s="14">
        <v>2987129000160</v>
      </c>
      <c r="B3692" s="15" t="str">
        <f t="shared" si="57"/>
        <v>02.987.129/0001-60</v>
      </c>
      <c r="C3692" s="12"/>
      <c r="D3692" s="3" t="s">
        <v>12772</v>
      </c>
      <c r="E3692" s="3" t="s">
        <v>12773</v>
      </c>
      <c r="F3692" s="3" t="s">
        <v>20</v>
      </c>
      <c r="G3692" s="4">
        <v>36193</v>
      </c>
      <c r="H3692" s="3" t="s">
        <v>21</v>
      </c>
      <c r="I3692" s="3" t="s">
        <v>22</v>
      </c>
      <c r="J3692" s="5">
        <v>2500000</v>
      </c>
      <c r="K3692" s="3">
        <v>3292202</v>
      </c>
      <c r="L3692" s="3" t="s">
        <v>1654</v>
      </c>
      <c r="M3692" s="3" t="s">
        <v>12774</v>
      </c>
      <c r="N3692" s="3">
        <v>234</v>
      </c>
      <c r="O3692" s="3" t="s">
        <v>2013</v>
      </c>
      <c r="P3692" s="3" t="s">
        <v>2482</v>
      </c>
      <c r="Q3692" s="3" t="s">
        <v>1943</v>
      </c>
      <c r="R3692" s="3" t="s">
        <v>28</v>
      </c>
      <c r="S3692" s="3">
        <v>9911510</v>
      </c>
      <c r="T3692" s="3">
        <v>1141773528</v>
      </c>
      <c r="U3692" s="3" t="s">
        <v>29</v>
      </c>
    </row>
    <row r="3693" spans="1:21" ht="13.2" x14ac:dyDescent="0.25">
      <c r="A3693" s="14">
        <v>14646435000112</v>
      </c>
      <c r="B3693" s="15" t="str">
        <f t="shared" si="57"/>
        <v>14.646.435/0001-12</v>
      </c>
      <c r="C3693" s="12" t="str">
        <f>VLOOKUP(B3693,[1]Planilha1!$A:$B,2,0)</f>
        <v>Mariane Nascimento</v>
      </c>
      <c r="D3693" s="3" t="s">
        <v>12775</v>
      </c>
      <c r="E3693" s="3" t="s">
        <v>12776</v>
      </c>
      <c r="F3693" s="3" t="s">
        <v>20</v>
      </c>
      <c r="G3693" s="4">
        <v>40864</v>
      </c>
      <c r="H3693" s="3" t="s">
        <v>21</v>
      </c>
      <c r="I3693" s="3" t="s">
        <v>33</v>
      </c>
      <c r="J3693" s="5">
        <v>5650000</v>
      </c>
      <c r="K3693" s="3">
        <v>4773300</v>
      </c>
      <c r="L3693" s="3" t="s">
        <v>706</v>
      </c>
      <c r="M3693" s="3" t="s">
        <v>12777</v>
      </c>
      <c r="N3693" s="3">
        <v>3496</v>
      </c>
      <c r="O3693" s="3" t="s">
        <v>12778</v>
      </c>
      <c r="P3693" s="3" t="s">
        <v>2392</v>
      </c>
      <c r="Q3693" s="3" t="s">
        <v>6463</v>
      </c>
      <c r="R3693" s="3" t="s">
        <v>1604</v>
      </c>
      <c r="S3693" s="3">
        <v>76803847</v>
      </c>
      <c r="T3693" s="3">
        <v>6932230900</v>
      </c>
      <c r="U3693" s="3" t="s">
        <v>29</v>
      </c>
    </row>
    <row r="3694" spans="1:21" ht="13.2" x14ac:dyDescent="0.25">
      <c r="A3694" s="14">
        <v>14481552000173</v>
      </c>
      <c r="B3694" s="15" t="str">
        <f t="shared" si="57"/>
        <v>14.481.552/0001-73</v>
      </c>
      <c r="C3694" s="12"/>
      <c r="D3694" s="3" t="s">
        <v>12779</v>
      </c>
      <c r="E3694" s="3" t="s">
        <v>12779</v>
      </c>
      <c r="F3694" s="3" t="s">
        <v>31</v>
      </c>
      <c r="G3694" s="4">
        <v>40792</v>
      </c>
      <c r="H3694" s="3" t="s">
        <v>21</v>
      </c>
      <c r="I3694" s="3" t="s">
        <v>22</v>
      </c>
      <c r="J3694" s="5">
        <v>62200</v>
      </c>
      <c r="K3694" s="3">
        <v>4789099</v>
      </c>
      <c r="L3694" s="3" t="s">
        <v>774</v>
      </c>
      <c r="M3694" s="3" t="s">
        <v>12780</v>
      </c>
      <c r="N3694" s="3">
        <v>191</v>
      </c>
      <c r="P3694" s="3" t="s">
        <v>12781</v>
      </c>
      <c r="Q3694" s="3" t="s">
        <v>27</v>
      </c>
      <c r="R3694" s="3" t="s">
        <v>28</v>
      </c>
      <c r="S3694" s="3">
        <v>2544000</v>
      </c>
      <c r="T3694" s="3">
        <v>1138581456</v>
      </c>
      <c r="U3694" s="3" t="s">
        <v>29</v>
      </c>
    </row>
    <row r="3695" spans="1:21" ht="13.2" x14ac:dyDescent="0.25">
      <c r="A3695" s="14">
        <v>6295846000182</v>
      </c>
      <c r="B3695" s="15" t="str">
        <f t="shared" si="57"/>
        <v>06.295.846/0001-82</v>
      </c>
      <c r="C3695" s="12"/>
      <c r="D3695" s="3" t="s">
        <v>12782</v>
      </c>
      <c r="E3695" s="3" t="s">
        <v>12782</v>
      </c>
      <c r="F3695" s="3" t="s">
        <v>20</v>
      </c>
      <c r="G3695" s="4">
        <v>38133</v>
      </c>
      <c r="H3695" s="3" t="s">
        <v>21</v>
      </c>
      <c r="I3695" s="3" t="s">
        <v>33</v>
      </c>
      <c r="J3695" s="5">
        <v>44948164</v>
      </c>
      <c r="K3695" s="3">
        <v>3250705</v>
      </c>
      <c r="L3695" s="3" t="s">
        <v>2420</v>
      </c>
      <c r="M3695" s="3" t="s">
        <v>12783</v>
      </c>
      <c r="N3695" s="3">
        <v>2121</v>
      </c>
      <c r="P3695" s="3" t="s">
        <v>12784</v>
      </c>
      <c r="Q3695" s="3" t="s">
        <v>1235</v>
      </c>
      <c r="R3695" s="3" t="s">
        <v>28</v>
      </c>
      <c r="S3695" s="3">
        <v>13340350</v>
      </c>
      <c r="T3695" s="3">
        <v>1938947007</v>
      </c>
      <c r="U3695" s="3" t="s">
        <v>29</v>
      </c>
    </row>
    <row r="3696" spans="1:21" ht="13.2" x14ac:dyDescent="0.25">
      <c r="A3696" s="14">
        <v>7555491000186</v>
      </c>
      <c r="B3696" s="15" t="str">
        <f t="shared" si="57"/>
        <v>07.555.491/0001-86</v>
      </c>
      <c r="C3696" s="12"/>
      <c r="D3696" s="3" t="s">
        <v>12785</v>
      </c>
      <c r="E3696" s="3" t="s">
        <v>12786</v>
      </c>
      <c r="F3696" s="3" t="s">
        <v>20</v>
      </c>
      <c r="G3696" s="4">
        <v>38590</v>
      </c>
      <c r="H3696" s="3" t="s">
        <v>21</v>
      </c>
      <c r="I3696" s="3" t="s">
        <v>47</v>
      </c>
      <c r="J3696" s="5">
        <v>500000</v>
      </c>
      <c r="K3696" s="3">
        <v>4771701</v>
      </c>
      <c r="L3696" s="3" t="s">
        <v>4415</v>
      </c>
      <c r="M3696" s="3" t="s">
        <v>3524</v>
      </c>
      <c r="N3696" s="3">
        <v>61</v>
      </c>
      <c r="O3696" s="3" t="s">
        <v>496</v>
      </c>
      <c r="P3696" s="3" t="s">
        <v>12787</v>
      </c>
      <c r="Q3696" s="3" t="s">
        <v>448</v>
      </c>
      <c r="R3696" s="3" t="s">
        <v>449</v>
      </c>
      <c r="S3696" s="3">
        <v>69077000</v>
      </c>
      <c r="T3696" s="3">
        <v>9236131580</v>
      </c>
      <c r="U3696" s="3" t="s">
        <v>29</v>
      </c>
    </row>
    <row r="3697" spans="1:21" ht="13.2" x14ac:dyDescent="0.25">
      <c r="A3697" s="14">
        <v>2543945000185</v>
      </c>
      <c r="B3697" s="15" t="str">
        <f t="shared" si="57"/>
        <v>02.543.945/0001-85</v>
      </c>
      <c r="C3697" s="12"/>
      <c r="D3697" s="3" t="s">
        <v>12788</v>
      </c>
      <c r="E3697" s="3" t="s">
        <v>12788</v>
      </c>
      <c r="F3697" s="3" t="s">
        <v>20</v>
      </c>
      <c r="G3697" s="4">
        <v>35942</v>
      </c>
      <c r="H3697" s="3" t="s">
        <v>21</v>
      </c>
      <c r="I3697" s="3" t="s">
        <v>33</v>
      </c>
      <c r="J3697" s="5">
        <v>4000000</v>
      </c>
      <c r="K3697" s="3">
        <v>4771701</v>
      </c>
      <c r="L3697" s="3" t="s">
        <v>4415</v>
      </c>
      <c r="M3697" s="3" t="s">
        <v>901</v>
      </c>
      <c r="N3697" s="3">
        <v>1546</v>
      </c>
      <c r="P3697" s="3" t="s">
        <v>903</v>
      </c>
      <c r="Q3697" s="3" t="s">
        <v>27</v>
      </c>
      <c r="R3697" s="3" t="s">
        <v>28</v>
      </c>
      <c r="S3697" s="3">
        <v>4046300</v>
      </c>
      <c r="U3697" s="3" t="s">
        <v>29</v>
      </c>
    </row>
    <row r="3698" spans="1:21" ht="13.2" x14ac:dyDescent="0.25">
      <c r="A3698" s="14">
        <v>7484373000124</v>
      </c>
      <c r="B3698" s="15" t="str">
        <f t="shared" si="57"/>
        <v>07.484.373/0001-24</v>
      </c>
      <c r="C3698" s="12"/>
      <c r="D3698" s="3" t="s">
        <v>12789</v>
      </c>
      <c r="E3698" s="3" t="s">
        <v>12790</v>
      </c>
      <c r="F3698" s="3" t="s">
        <v>20</v>
      </c>
      <c r="G3698" s="4">
        <v>38544</v>
      </c>
      <c r="H3698" s="3" t="s">
        <v>21</v>
      </c>
      <c r="I3698" s="3" t="s">
        <v>33</v>
      </c>
      <c r="J3698" s="5">
        <v>12000000</v>
      </c>
      <c r="K3698" s="3">
        <v>4644301</v>
      </c>
      <c r="L3698" s="3" t="s">
        <v>326</v>
      </c>
      <c r="M3698" s="3" t="s">
        <v>12791</v>
      </c>
      <c r="N3698" s="3">
        <v>253</v>
      </c>
      <c r="O3698" s="3" t="s">
        <v>12792</v>
      </c>
      <c r="P3698" s="3" t="s">
        <v>4225</v>
      </c>
      <c r="Q3698" s="3" t="s">
        <v>1339</v>
      </c>
      <c r="R3698" s="3" t="s">
        <v>456</v>
      </c>
      <c r="S3698" s="3">
        <v>51350560</v>
      </c>
      <c r="T3698" s="3">
        <v>8134727207</v>
      </c>
      <c r="U3698" s="3" t="s">
        <v>29</v>
      </c>
    </row>
    <row r="3699" spans="1:21" ht="13.2" x14ac:dyDescent="0.25">
      <c r="A3699" s="14">
        <v>32754233000176</v>
      </c>
      <c r="B3699" s="15" t="str">
        <f t="shared" si="57"/>
        <v>32.754.233/0001-76</v>
      </c>
      <c r="C3699" s="12"/>
      <c r="D3699" s="3" t="s">
        <v>12793</v>
      </c>
      <c r="E3699" s="3" t="s">
        <v>12793</v>
      </c>
      <c r="F3699" s="3" t="s">
        <v>20</v>
      </c>
      <c r="G3699" s="4">
        <v>43509</v>
      </c>
      <c r="H3699" s="3" t="s">
        <v>94</v>
      </c>
      <c r="I3699" s="3" t="s">
        <v>33</v>
      </c>
      <c r="J3699" s="5">
        <v>2000000</v>
      </c>
      <c r="K3699" s="3">
        <v>8532500</v>
      </c>
      <c r="L3699" s="3" t="s">
        <v>1785</v>
      </c>
      <c r="M3699" s="3" t="s">
        <v>12794</v>
      </c>
      <c r="N3699" s="3">
        <v>1789</v>
      </c>
      <c r="P3699" s="3" t="s">
        <v>10492</v>
      </c>
      <c r="Q3699" s="3" t="s">
        <v>27</v>
      </c>
      <c r="R3699" s="3" t="s">
        <v>28</v>
      </c>
      <c r="S3699" s="3">
        <v>2071013</v>
      </c>
      <c r="T3699" s="3">
        <v>1148585600</v>
      </c>
      <c r="U3699" s="3" t="s">
        <v>29</v>
      </c>
    </row>
    <row r="3700" spans="1:21" ht="13.2" x14ac:dyDescent="0.25">
      <c r="A3700" s="14">
        <v>59069914000585</v>
      </c>
      <c r="B3700" s="15" t="str">
        <f t="shared" si="57"/>
        <v>59.069.914/0005-85</v>
      </c>
      <c r="C3700" s="12"/>
      <c r="D3700" s="3" t="s">
        <v>12795</v>
      </c>
      <c r="E3700" s="3" t="s">
        <v>12796</v>
      </c>
      <c r="F3700" s="3" t="s">
        <v>20</v>
      </c>
      <c r="G3700" s="4">
        <v>40256</v>
      </c>
      <c r="H3700" s="3" t="s">
        <v>244</v>
      </c>
      <c r="I3700" s="3" t="s">
        <v>33</v>
      </c>
      <c r="J3700" s="5">
        <v>120000</v>
      </c>
      <c r="K3700" s="3">
        <v>8533300</v>
      </c>
      <c r="L3700" s="3" t="s">
        <v>1781</v>
      </c>
      <c r="M3700" s="3" t="s">
        <v>246</v>
      </c>
      <c r="N3700" s="3">
        <v>1009</v>
      </c>
      <c r="O3700" s="3" t="s">
        <v>12797</v>
      </c>
      <c r="P3700" s="3" t="s">
        <v>248</v>
      </c>
      <c r="Q3700" s="3" t="s">
        <v>27</v>
      </c>
      <c r="R3700" s="3" t="s">
        <v>28</v>
      </c>
      <c r="S3700" s="3">
        <v>1311100</v>
      </c>
      <c r="T3700" s="3">
        <v>1138250510</v>
      </c>
      <c r="U3700" s="3" t="s">
        <v>29</v>
      </c>
    </row>
    <row r="3701" spans="1:21" ht="13.2" x14ac:dyDescent="0.25">
      <c r="A3701" s="14">
        <v>60665981000118</v>
      </c>
      <c r="B3701" s="15" t="str">
        <f t="shared" si="57"/>
        <v>60.665.981/0001-18</v>
      </c>
      <c r="C3701" s="12" t="str">
        <f>VLOOKUP(B3701,[1]Planilha1!$A:$B,2,0)</f>
        <v>Mariane Nascimento</v>
      </c>
      <c r="D3701" s="3" t="s">
        <v>12798</v>
      </c>
      <c r="E3701" s="3" t="s">
        <v>12799</v>
      </c>
      <c r="F3701" s="3" t="s">
        <v>20</v>
      </c>
      <c r="G3701" s="4">
        <v>24342</v>
      </c>
      <c r="H3701" s="3" t="s">
        <v>94</v>
      </c>
      <c r="I3701" s="3" t="s">
        <v>33</v>
      </c>
      <c r="J3701" s="5">
        <v>1470743000</v>
      </c>
      <c r="K3701" s="3">
        <v>2121101</v>
      </c>
      <c r="L3701" s="3" t="s">
        <v>233</v>
      </c>
      <c r="M3701" s="3" t="s">
        <v>12800</v>
      </c>
      <c r="N3701" s="3">
        <v>90</v>
      </c>
      <c r="P3701" s="3" t="s">
        <v>70</v>
      </c>
      <c r="Q3701" s="3" t="s">
        <v>12801</v>
      </c>
      <c r="R3701" s="3" t="s">
        <v>28</v>
      </c>
      <c r="S3701" s="3">
        <v>6900095</v>
      </c>
      <c r="T3701" s="3">
        <v>1155860000</v>
      </c>
      <c r="U3701" s="3" t="s">
        <v>29</v>
      </c>
    </row>
    <row r="3702" spans="1:21" ht="13.2" x14ac:dyDescent="0.25">
      <c r="A3702" s="14">
        <v>7564924000160</v>
      </c>
      <c r="B3702" s="15" t="str">
        <f t="shared" si="57"/>
        <v>07.564.924/0001-60</v>
      </c>
      <c r="C3702" s="12"/>
      <c r="D3702" s="3" t="s">
        <v>12802</v>
      </c>
      <c r="E3702" s="3" t="s">
        <v>12803</v>
      </c>
      <c r="F3702" s="3" t="s">
        <v>20</v>
      </c>
      <c r="G3702" s="4">
        <v>38595</v>
      </c>
      <c r="H3702" s="3" t="s">
        <v>21</v>
      </c>
      <c r="I3702" s="3" t="s">
        <v>47</v>
      </c>
      <c r="J3702" s="5">
        <v>4000000</v>
      </c>
      <c r="K3702" s="3">
        <v>4120400</v>
      </c>
      <c r="L3702" s="3" t="s">
        <v>87</v>
      </c>
      <c r="M3702" s="3" t="s">
        <v>12185</v>
      </c>
      <c r="N3702" s="3">
        <v>1</v>
      </c>
      <c r="O3702" s="3" t="s">
        <v>12804</v>
      </c>
      <c r="P3702" s="3" t="s">
        <v>3930</v>
      </c>
      <c r="Q3702" s="3" t="s">
        <v>631</v>
      </c>
      <c r="R3702" s="3" t="s">
        <v>632</v>
      </c>
      <c r="S3702" s="3">
        <v>71919900</v>
      </c>
      <c r="T3702" s="3">
        <v>7799441675</v>
      </c>
      <c r="U3702" s="3" t="s">
        <v>29</v>
      </c>
    </row>
    <row r="3703" spans="1:21" ht="13.2" x14ac:dyDescent="0.25">
      <c r="A3703" s="14">
        <v>45736131000170</v>
      </c>
      <c r="B3703" s="15" t="str">
        <f t="shared" si="57"/>
        <v>45.736.131/0001-70</v>
      </c>
      <c r="C3703" s="12"/>
      <c r="D3703" s="3" t="s">
        <v>12805</v>
      </c>
      <c r="E3703" s="3" t="s">
        <v>12805</v>
      </c>
      <c r="F3703" s="3" t="s">
        <v>20</v>
      </c>
      <c r="G3703" s="4">
        <v>44642</v>
      </c>
      <c r="H3703" s="3" t="s">
        <v>94</v>
      </c>
      <c r="I3703" s="3" t="s">
        <v>33</v>
      </c>
      <c r="J3703" s="5">
        <v>1789951400</v>
      </c>
      <c r="K3703" s="3">
        <v>7711000</v>
      </c>
      <c r="L3703" s="3" t="s">
        <v>2763</v>
      </c>
      <c r="M3703" s="3" t="s">
        <v>6145</v>
      </c>
      <c r="N3703" s="3">
        <v>3000</v>
      </c>
      <c r="O3703" s="3" t="s">
        <v>12806</v>
      </c>
      <c r="P3703" s="3" t="s">
        <v>3599</v>
      </c>
      <c r="Q3703" s="3" t="s">
        <v>476</v>
      </c>
      <c r="R3703" s="3" t="s">
        <v>100</v>
      </c>
      <c r="S3703" s="3">
        <v>30260070</v>
      </c>
      <c r="T3703" s="3">
        <v>3133191500</v>
      </c>
      <c r="U3703" s="3" t="s">
        <v>29</v>
      </c>
    </row>
    <row r="3704" spans="1:21" ht="13.2" x14ac:dyDescent="0.25">
      <c r="A3704" s="14">
        <v>9376531000158</v>
      </c>
      <c r="B3704" s="15" t="str">
        <f t="shared" si="57"/>
        <v>09.376.531/0001-58</v>
      </c>
      <c r="C3704" s="12"/>
      <c r="D3704" s="3" t="s">
        <v>12807</v>
      </c>
      <c r="E3704" s="3" t="s">
        <v>12808</v>
      </c>
      <c r="F3704" s="3" t="s">
        <v>20</v>
      </c>
      <c r="G3704" s="4">
        <v>39470</v>
      </c>
      <c r="H3704" s="3" t="s">
        <v>244</v>
      </c>
      <c r="I3704" s="3" t="s">
        <v>33</v>
      </c>
      <c r="J3704" s="5">
        <v>5000</v>
      </c>
      <c r="K3704" s="3">
        <v>8511200</v>
      </c>
      <c r="L3704" s="3" t="s">
        <v>12809</v>
      </c>
      <c r="M3704" s="3" t="s">
        <v>12810</v>
      </c>
      <c r="N3704" s="3">
        <v>227</v>
      </c>
      <c r="P3704" s="3" t="s">
        <v>2207</v>
      </c>
      <c r="Q3704" s="3" t="s">
        <v>27</v>
      </c>
      <c r="R3704" s="3" t="s">
        <v>28</v>
      </c>
      <c r="S3704" s="3">
        <v>2021020</v>
      </c>
      <c r="T3704" s="3">
        <v>1122834759</v>
      </c>
      <c r="U3704" s="3" t="s">
        <v>29</v>
      </c>
    </row>
    <row r="3705" spans="1:21" ht="13.2" x14ac:dyDescent="0.25">
      <c r="A3705" s="14">
        <v>13232255000121</v>
      </c>
      <c r="B3705" s="15" t="str">
        <f t="shared" si="57"/>
        <v>13.232.255/0001-21</v>
      </c>
      <c r="C3705" s="12"/>
      <c r="D3705" s="3" t="s">
        <v>12811</v>
      </c>
      <c r="E3705" s="3" t="s">
        <v>12811</v>
      </c>
      <c r="F3705" s="3" t="s">
        <v>20</v>
      </c>
      <c r="G3705" s="4">
        <v>40584</v>
      </c>
      <c r="H3705" s="3" t="s">
        <v>21</v>
      </c>
      <c r="I3705" s="3" t="s">
        <v>47</v>
      </c>
      <c r="J3705" s="5">
        <v>30000</v>
      </c>
      <c r="K3705" s="3">
        <v>1412601</v>
      </c>
      <c r="L3705" s="3" t="s">
        <v>1353</v>
      </c>
      <c r="M3705" s="3" t="s">
        <v>12812</v>
      </c>
      <c r="N3705" s="3">
        <v>100</v>
      </c>
      <c r="P3705" s="3" t="s">
        <v>12813</v>
      </c>
      <c r="Q3705" s="3" t="s">
        <v>8201</v>
      </c>
      <c r="R3705" s="3" t="s">
        <v>28</v>
      </c>
      <c r="S3705" s="3">
        <v>17230000</v>
      </c>
      <c r="T3705" s="3">
        <v>1436641273</v>
      </c>
      <c r="U3705" s="3" t="s">
        <v>29</v>
      </c>
    </row>
    <row r="3706" spans="1:21" ht="13.2" x14ac:dyDescent="0.25">
      <c r="A3706" s="14">
        <v>84885607000196</v>
      </c>
      <c r="B3706" s="15" t="str">
        <f t="shared" si="57"/>
        <v>84.885.607/0001-96</v>
      </c>
      <c r="C3706" s="12"/>
      <c r="D3706" s="3" t="s">
        <v>12814</v>
      </c>
      <c r="E3706" s="3" t="s">
        <v>12814</v>
      </c>
      <c r="F3706" s="3" t="s">
        <v>20</v>
      </c>
      <c r="G3706" s="4">
        <v>33548</v>
      </c>
      <c r="H3706" s="3" t="s">
        <v>21</v>
      </c>
      <c r="I3706" s="3" t="s">
        <v>22</v>
      </c>
      <c r="J3706" s="5">
        <v>590000</v>
      </c>
      <c r="K3706" s="3">
        <v>2592601</v>
      </c>
      <c r="L3706" s="3" t="s">
        <v>12815</v>
      </c>
      <c r="M3706" s="3" t="s">
        <v>4738</v>
      </c>
      <c r="N3706" s="3">
        <v>2776</v>
      </c>
      <c r="P3706" s="3" t="s">
        <v>4740</v>
      </c>
      <c r="Q3706" s="3" t="s">
        <v>186</v>
      </c>
      <c r="R3706" s="3" t="s">
        <v>187</v>
      </c>
      <c r="S3706" s="3">
        <v>83065180</v>
      </c>
      <c r="T3706" s="3">
        <v>4133852740</v>
      </c>
      <c r="U3706" s="3" t="s">
        <v>29</v>
      </c>
    </row>
    <row r="3707" spans="1:21" ht="13.2" x14ac:dyDescent="0.25">
      <c r="A3707" s="14">
        <v>1615814000101</v>
      </c>
      <c r="B3707" s="15" t="str">
        <f t="shared" si="57"/>
        <v>01.615.814/0001-01</v>
      </c>
      <c r="C3707" s="12" t="str">
        <f>VLOOKUP(B3707,[1]Planilha1!$A:$B,2,0)</f>
        <v>Malu Montesino</v>
      </c>
      <c r="D3707" s="3" t="s">
        <v>12816</v>
      </c>
      <c r="E3707" s="3" t="s">
        <v>12816</v>
      </c>
      <c r="F3707" s="3" t="s">
        <v>20</v>
      </c>
      <c r="G3707" s="4">
        <v>25345</v>
      </c>
      <c r="H3707" s="3" t="s">
        <v>21</v>
      </c>
      <c r="I3707" s="3" t="s">
        <v>33</v>
      </c>
      <c r="J3707" s="5">
        <v>648480800</v>
      </c>
      <c r="K3707" s="3">
        <v>2061400</v>
      </c>
      <c r="L3707" s="3" t="s">
        <v>2791</v>
      </c>
      <c r="M3707" s="3" t="s">
        <v>308</v>
      </c>
      <c r="N3707" s="3">
        <v>14261</v>
      </c>
      <c r="O3707" s="3" t="s">
        <v>12817</v>
      </c>
      <c r="P3707" s="3" t="s">
        <v>310</v>
      </c>
      <c r="Q3707" s="3" t="s">
        <v>27</v>
      </c>
      <c r="R3707" s="3" t="s">
        <v>28</v>
      </c>
      <c r="S3707" s="3">
        <v>4794000</v>
      </c>
      <c r="T3707" s="3">
        <v>1137037675</v>
      </c>
      <c r="U3707" s="3" t="s">
        <v>29</v>
      </c>
    </row>
    <row r="3708" spans="1:21" ht="13.2" x14ac:dyDescent="0.25">
      <c r="A3708" s="14">
        <v>44456036000150</v>
      </c>
      <c r="B3708" s="15" t="str">
        <f t="shared" si="57"/>
        <v>44.456.036/0001-50</v>
      </c>
      <c r="C3708" s="12" t="str">
        <f>VLOOKUP(B3708,[1]Planilha1!$A:$B,2,0)</f>
        <v>Malu Montesino</v>
      </c>
      <c r="D3708" s="3" t="s">
        <v>12818</v>
      </c>
      <c r="E3708" s="3" t="s">
        <v>12819</v>
      </c>
      <c r="F3708" s="3" t="s">
        <v>20</v>
      </c>
      <c r="G3708" s="4">
        <v>26351</v>
      </c>
      <c r="H3708" s="3" t="s">
        <v>3700</v>
      </c>
      <c r="I3708" s="3" t="s">
        <v>33</v>
      </c>
      <c r="J3708" s="5">
        <v>0</v>
      </c>
      <c r="K3708" s="3">
        <v>6550200</v>
      </c>
      <c r="L3708" s="3" t="s">
        <v>12820</v>
      </c>
      <c r="M3708" s="3" t="s">
        <v>12821</v>
      </c>
      <c r="N3708" s="3" t="s">
        <v>12822</v>
      </c>
      <c r="P3708" s="3" t="s">
        <v>70</v>
      </c>
      <c r="Q3708" s="3" t="s">
        <v>324</v>
      </c>
      <c r="R3708" s="3" t="s">
        <v>28</v>
      </c>
      <c r="S3708" s="3">
        <v>17015320</v>
      </c>
      <c r="T3708" s="3">
        <v>1432353327</v>
      </c>
      <c r="U3708" s="3" t="s">
        <v>29</v>
      </c>
    </row>
    <row r="3709" spans="1:21" ht="13.2" x14ac:dyDescent="0.25">
      <c r="A3709" s="14">
        <v>2812468000106</v>
      </c>
      <c r="B3709" s="15" t="str">
        <f t="shared" si="57"/>
        <v>02.812.468/0001-06</v>
      </c>
      <c r="C3709" s="12"/>
      <c r="D3709" s="3" t="s">
        <v>12823</v>
      </c>
      <c r="E3709" s="3" t="s">
        <v>12824</v>
      </c>
      <c r="F3709" s="3" t="s">
        <v>20</v>
      </c>
      <c r="G3709" s="4">
        <v>36046</v>
      </c>
      <c r="H3709" s="3" t="s">
        <v>3700</v>
      </c>
      <c r="I3709" s="3" t="s">
        <v>33</v>
      </c>
      <c r="J3709" s="5">
        <v>0</v>
      </c>
      <c r="K3709" s="3">
        <v>6550200</v>
      </c>
      <c r="L3709" s="3" t="s">
        <v>12820</v>
      </c>
      <c r="M3709" s="3" t="s">
        <v>459</v>
      </c>
      <c r="N3709" s="3">
        <v>1355</v>
      </c>
      <c r="O3709" s="3" t="s">
        <v>12825</v>
      </c>
      <c r="P3709" s="3" t="s">
        <v>461</v>
      </c>
      <c r="Q3709" s="3" t="s">
        <v>27</v>
      </c>
      <c r="R3709" s="3" t="s">
        <v>28</v>
      </c>
      <c r="S3709" s="3">
        <v>1307003</v>
      </c>
      <c r="T3709" s="3">
        <v>1132687884</v>
      </c>
      <c r="U3709" s="3" t="s">
        <v>29</v>
      </c>
    </row>
    <row r="3710" spans="1:21" ht="13.2" x14ac:dyDescent="0.25">
      <c r="A3710" s="14">
        <v>12501467000102</v>
      </c>
      <c r="B3710" s="15" t="str">
        <f t="shared" si="57"/>
        <v>12.501.467/0001-02</v>
      </c>
      <c r="C3710" s="12"/>
      <c r="D3710" s="3" t="s">
        <v>12826</v>
      </c>
      <c r="E3710" s="3" t="s">
        <v>12826</v>
      </c>
      <c r="F3710" s="3" t="s">
        <v>20</v>
      </c>
      <c r="G3710" s="4">
        <v>40430</v>
      </c>
      <c r="H3710" s="3" t="s">
        <v>94</v>
      </c>
      <c r="I3710" s="3" t="s">
        <v>33</v>
      </c>
      <c r="J3710" s="5">
        <v>788731460</v>
      </c>
      <c r="K3710" s="3">
        <v>6462000</v>
      </c>
      <c r="L3710" s="3" t="s">
        <v>250</v>
      </c>
      <c r="M3710" s="3" t="s">
        <v>12827</v>
      </c>
      <c r="N3710" s="3">
        <v>161</v>
      </c>
      <c r="O3710" s="3" t="s">
        <v>12828</v>
      </c>
      <c r="P3710" s="3" t="s">
        <v>70</v>
      </c>
      <c r="Q3710" s="3" t="s">
        <v>253</v>
      </c>
      <c r="R3710" s="3" t="s">
        <v>78</v>
      </c>
      <c r="S3710" s="3">
        <v>20040031</v>
      </c>
      <c r="T3710" s="3">
        <v>2188981248</v>
      </c>
      <c r="U3710" s="3" t="s">
        <v>29</v>
      </c>
    </row>
    <row r="3711" spans="1:21" ht="13.2" x14ac:dyDescent="0.25">
      <c r="A3711" s="14">
        <v>33958695000178</v>
      </c>
      <c r="B3711" s="15" t="str">
        <f t="shared" si="57"/>
        <v>33.958.695/0001-78</v>
      </c>
      <c r="C3711" s="12" t="str">
        <f>VLOOKUP(B3711,[1]Planilha1!$A:$B,2,0)</f>
        <v>Malu Montesino</v>
      </c>
      <c r="D3711" s="3" t="s">
        <v>12829</v>
      </c>
      <c r="E3711" s="3" t="s">
        <v>12829</v>
      </c>
      <c r="F3711" s="3" t="s">
        <v>20</v>
      </c>
      <c r="G3711" s="4">
        <v>26372</v>
      </c>
      <c r="H3711" s="3" t="s">
        <v>377</v>
      </c>
      <c r="I3711" s="3" t="s">
        <v>33</v>
      </c>
      <c r="J3711" s="5">
        <v>1170109700</v>
      </c>
      <c r="K3711" s="3">
        <v>8211300</v>
      </c>
      <c r="L3711" s="3" t="s">
        <v>166</v>
      </c>
      <c r="M3711" s="3" t="s">
        <v>5306</v>
      </c>
      <c r="N3711" s="3">
        <v>1327</v>
      </c>
      <c r="O3711" s="3" t="s">
        <v>12830</v>
      </c>
      <c r="P3711" s="3" t="s">
        <v>1049</v>
      </c>
      <c r="Q3711" s="3" t="s">
        <v>27</v>
      </c>
      <c r="R3711" s="3" t="s">
        <v>28</v>
      </c>
      <c r="S3711" s="3">
        <v>4543011</v>
      </c>
      <c r="T3711" s="3">
        <v>1137044200</v>
      </c>
      <c r="U3711" s="3" t="s">
        <v>29</v>
      </c>
    </row>
    <row r="3712" spans="1:21" ht="13.2" x14ac:dyDescent="0.25">
      <c r="A3712" s="14">
        <v>7622737000195</v>
      </c>
      <c r="B3712" s="15" t="str">
        <f t="shared" si="57"/>
        <v>07.622.737/0001-95</v>
      </c>
      <c r="C3712" s="12"/>
      <c r="D3712" s="3" t="s">
        <v>12831</v>
      </c>
      <c r="E3712" s="3" t="s">
        <v>12832</v>
      </c>
      <c r="F3712" s="3" t="s">
        <v>20</v>
      </c>
      <c r="G3712" s="4">
        <v>38595</v>
      </c>
      <c r="H3712" s="3" t="s">
        <v>21</v>
      </c>
      <c r="I3712" s="3" t="s">
        <v>47</v>
      </c>
      <c r="J3712" s="5">
        <v>500000</v>
      </c>
      <c r="K3712" s="3">
        <v>8219901</v>
      </c>
      <c r="L3712" s="3" t="s">
        <v>503</v>
      </c>
      <c r="M3712" s="3" t="s">
        <v>3968</v>
      </c>
      <c r="N3712" s="3">
        <v>75</v>
      </c>
      <c r="P3712" s="3" t="s">
        <v>4528</v>
      </c>
      <c r="Q3712" s="3" t="s">
        <v>476</v>
      </c>
      <c r="R3712" s="3" t="s">
        <v>100</v>
      </c>
      <c r="S3712" s="3">
        <v>30220090</v>
      </c>
      <c r="T3712" s="3">
        <v>3132283450</v>
      </c>
      <c r="U3712" s="3" t="s">
        <v>29</v>
      </c>
    </row>
    <row r="3713" spans="1:21" ht="13.2" x14ac:dyDescent="0.25">
      <c r="A3713" s="14">
        <v>59276858000126</v>
      </c>
      <c r="B3713" s="15" t="str">
        <f t="shared" si="57"/>
        <v>59.276.858/0001-26</v>
      </c>
      <c r="C3713" s="12" t="str">
        <f>VLOOKUP(B3713,[1]Planilha1!$A:$B,2,0)</f>
        <v>Malu Montesino</v>
      </c>
      <c r="D3713" s="3" t="s">
        <v>12833</v>
      </c>
      <c r="E3713" s="3" t="s">
        <v>12833</v>
      </c>
      <c r="F3713" s="3" t="s">
        <v>20</v>
      </c>
      <c r="G3713" s="4">
        <v>45692</v>
      </c>
      <c r="H3713" s="3" t="s">
        <v>21</v>
      </c>
      <c r="I3713" s="3" t="s">
        <v>33</v>
      </c>
      <c r="J3713" s="5">
        <v>8469791</v>
      </c>
      <c r="K3713" s="3">
        <v>7020400</v>
      </c>
      <c r="L3713" s="3" t="s">
        <v>170</v>
      </c>
      <c r="M3713" s="3" t="s">
        <v>246</v>
      </c>
      <c r="N3713" s="3">
        <v>2439</v>
      </c>
      <c r="O3713" s="3" t="s">
        <v>12834</v>
      </c>
      <c r="P3713" s="3" t="s">
        <v>248</v>
      </c>
      <c r="Q3713" s="3" t="s">
        <v>27</v>
      </c>
      <c r="R3713" s="3" t="s">
        <v>28</v>
      </c>
      <c r="S3713" s="3">
        <v>1311936</v>
      </c>
      <c r="T3713" s="3">
        <v>1132132245</v>
      </c>
      <c r="U3713" s="3" t="s">
        <v>29</v>
      </c>
    </row>
    <row r="3714" spans="1:21" ht="13.2" x14ac:dyDescent="0.25">
      <c r="A3714" s="14">
        <v>68949239000146</v>
      </c>
      <c r="B3714" s="15" t="str">
        <f t="shared" si="57"/>
        <v>68.949.239/0001-46</v>
      </c>
      <c r="C3714" s="12"/>
      <c r="D3714" s="3" t="s">
        <v>12835</v>
      </c>
      <c r="E3714" s="3" t="s">
        <v>12836</v>
      </c>
      <c r="F3714" s="3" t="s">
        <v>20</v>
      </c>
      <c r="G3714" s="4">
        <v>33892</v>
      </c>
      <c r="H3714" s="3" t="s">
        <v>21</v>
      </c>
      <c r="I3714" s="3" t="s">
        <v>33</v>
      </c>
      <c r="J3714" s="5">
        <v>113883990</v>
      </c>
      <c r="K3714" s="3">
        <v>4644301</v>
      </c>
      <c r="L3714" s="3" t="s">
        <v>326</v>
      </c>
      <c r="M3714" s="3" t="s">
        <v>11736</v>
      </c>
      <c r="N3714" s="3">
        <v>401</v>
      </c>
      <c r="P3714" s="3" t="s">
        <v>5260</v>
      </c>
      <c r="Q3714" s="3" t="s">
        <v>27</v>
      </c>
      <c r="R3714" s="3" t="s">
        <v>28</v>
      </c>
      <c r="S3714" s="3">
        <v>4085000</v>
      </c>
      <c r="T3714" s="3">
        <v>1150907233</v>
      </c>
      <c r="U3714" s="3" t="s">
        <v>29</v>
      </c>
    </row>
    <row r="3715" spans="1:21" ht="13.2" x14ac:dyDescent="0.25">
      <c r="A3715" s="14">
        <v>68949239000570</v>
      </c>
      <c r="B3715" s="15" t="str">
        <f t="shared" ref="B3715:B3778" si="58">TEXT(A3715,"00\.000\.000\/0000\-00")</f>
        <v>68.949.239/0005-70</v>
      </c>
      <c r="C3715" s="12"/>
      <c r="D3715" s="3" t="s">
        <v>12835</v>
      </c>
      <c r="E3715" s="3" t="s">
        <v>12835</v>
      </c>
      <c r="F3715" s="3" t="s">
        <v>20</v>
      </c>
      <c r="G3715" s="4">
        <v>39790</v>
      </c>
      <c r="H3715" s="3" t="s">
        <v>21</v>
      </c>
      <c r="I3715" s="3" t="s">
        <v>33</v>
      </c>
      <c r="J3715" s="5">
        <v>113883990</v>
      </c>
      <c r="K3715" s="3">
        <v>4644301</v>
      </c>
      <c r="L3715" s="3" t="s">
        <v>326</v>
      </c>
      <c r="M3715" s="3" t="s">
        <v>3975</v>
      </c>
      <c r="N3715" s="3" t="s">
        <v>111</v>
      </c>
      <c r="O3715" s="3" t="s">
        <v>12837</v>
      </c>
      <c r="P3715" s="3" t="s">
        <v>12838</v>
      </c>
      <c r="Q3715" s="3" t="s">
        <v>573</v>
      </c>
      <c r="R3715" s="3" t="s">
        <v>274</v>
      </c>
      <c r="S3715" s="3">
        <v>74971451</v>
      </c>
      <c r="T3715" s="3">
        <v>6239457707</v>
      </c>
      <c r="U3715" s="3" t="s">
        <v>29</v>
      </c>
    </row>
    <row r="3716" spans="1:21" ht="13.2" x14ac:dyDescent="0.25">
      <c r="A3716" s="14">
        <v>413437000157</v>
      </c>
      <c r="B3716" s="15" t="str">
        <f t="shared" si="58"/>
        <v>00.413.437/0001-57</v>
      </c>
      <c r="C3716" s="12"/>
      <c r="D3716" s="3" t="s">
        <v>12839</v>
      </c>
      <c r="E3716" s="3" t="s">
        <v>12840</v>
      </c>
      <c r="F3716" s="3" t="s">
        <v>31</v>
      </c>
      <c r="G3716" s="4">
        <v>34725</v>
      </c>
      <c r="H3716" s="3" t="s">
        <v>21</v>
      </c>
      <c r="I3716" s="3" t="s">
        <v>22</v>
      </c>
      <c r="J3716" s="5">
        <v>100000</v>
      </c>
      <c r="K3716" s="3">
        <v>4120400</v>
      </c>
      <c r="L3716" s="3" t="s">
        <v>87</v>
      </c>
      <c r="M3716" s="3" t="s">
        <v>12841</v>
      </c>
      <c r="N3716" s="3">
        <v>194</v>
      </c>
      <c r="P3716" s="3" t="s">
        <v>4550</v>
      </c>
      <c r="Q3716" s="3" t="s">
        <v>27</v>
      </c>
      <c r="R3716" s="3" t="s">
        <v>28</v>
      </c>
      <c r="S3716" s="3">
        <v>5627000</v>
      </c>
      <c r="T3716" s="3">
        <v>1137432241</v>
      </c>
      <c r="U3716" s="3" t="s">
        <v>29</v>
      </c>
    </row>
    <row r="3717" spans="1:21" ht="13.2" x14ac:dyDescent="0.25">
      <c r="A3717" s="14">
        <v>8830513000131</v>
      </c>
      <c r="B3717" s="15" t="str">
        <f t="shared" si="58"/>
        <v>08.830.513/0001-31</v>
      </c>
      <c r="C3717" s="12"/>
      <c r="D3717" s="3" t="s">
        <v>12842</v>
      </c>
      <c r="E3717" s="3" t="s">
        <v>12843</v>
      </c>
      <c r="F3717" s="3" t="s">
        <v>20</v>
      </c>
      <c r="G3717" s="4">
        <v>39216</v>
      </c>
      <c r="H3717" s="3" t="s">
        <v>21</v>
      </c>
      <c r="I3717" s="3" t="s">
        <v>33</v>
      </c>
      <c r="J3717" s="5">
        <v>600000</v>
      </c>
      <c r="K3717" s="3">
        <v>8011101</v>
      </c>
      <c r="L3717" s="3" t="s">
        <v>943</v>
      </c>
      <c r="M3717" s="3" t="s">
        <v>2217</v>
      </c>
      <c r="N3717" s="3">
        <v>22</v>
      </c>
      <c r="O3717" s="3" t="s">
        <v>12844</v>
      </c>
      <c r="P3717" s="3" t="s">
        <v>12845</v>
      </c>
      <c r="Q3717" s="3" t="s">
        <v>224</v>
      </c>
      <c r="R3717" s="3" t="s">
        <v>225</v>
      </c>
      <c r="S3717" s="3">
        <v>78065145</v>
      </c>
      <c r="T3717" s="3">
        <v>6536370000</v>
      </c>
      <c r="U3717" s="3" t="s">
        <v>29</v>
      </c>
    </row>
    <row r="3718" spans="1:21" ht="13.2" x14ac:dyDescent="0.25">
      <c r="A3718" s="14">
        <v>63025530000104</v>
      </c>
      <c r="B3718" s="15" t="str">
        <f t="shared" si="58"/>
        <v>63.025.530/0001-04</v>
      </c>
      <c r="C3718" s="12" t="str">
        <f>VLOOKUP(B3718,[1]Planilha1!$A:$B,2,0)</f>
        <v>Malu Montesino</v>
      </c>
      <c r="D3718" s="3" t="s">
        <v>12846</v>
      </c>
      <c r="E3718" s="3" t="s">
        <v>12847</v>
      </c>
      <c r="F3718" s="3" t="s">
        <v>20</v>
      </c>
      <c r="G3718" s="4">
        <v>25995</v>
      </c>
      <c r="H3718" s="3" t="s">
        <v>620</v>
      </c>
      <c r="I3718" s="3" t="s">
        <v>33</v>
      </c>
      <c r="J3718" s="5">
        <v>0</v>
      </c>
      <c r="K3718" s="3">
        <v>8532500</v>
      </c>
      <c r="L3718" s="3" t="s">
        <v>1785</v>
      </c>
      <c r="M3718" s="3" t="s">
        <v>12848</v>
      </c>
      <c r="N3718" s="3">
        <v>374</v>
      </c>
      <c r="P3718" s="3" t="s">
        <v>3402</v>
      </c>
      <c r="Q3718" s="3" t="s">
        <v>27</v>
      </c>
      <c r="R3718" s="3" t="s">
        <v>28</v>
      </c>
      <c r="S3718" s="3">
        <v>5508220</v>
      </c>
      <c r="T3718" s="3">
        <v>1130913251</v>
      </c>
      <c r="U3718" s="3" t="s">
        <v>29</v>
      </c>
    </row>
    <row r="3719" spans="1:21" ht="13.2" x14ac:dyDescent="0.25">
      <c r="A3719" s="14">
        <v>63025530002581</v>
      </c>
      <c r="B3719" s="15" t="str">
        <f t="shared" si="58"/>
        <v>63.025.530/0025-81</v>
      </c>
      <c r="C3719" s="12"/>
      <c r="D3719" s="3" t="s">
        <v>12846</v>
      </c>
      <c r="E3719" s="3" t="s">
        <v>12849</v>
      </c>
      <c r="F3719" s="3" t="s">
        <v>20</v>
      </c>
      <c r="G3719" s="4">
        <v>25995</v>
      </c>
      <c r="H3719" s="3" t="s">
        <v>620</v>
      </c>
      <c r="I3719" s="3" t="s">
        <v>33</v>
      </c>
      <c r="J3719" s="5">
        <v>0</v>
      </c>
      <c r="K3719" s="3">
        <v>8532500</v>
      </c>
      <c r="L3719" s="3" t="s">
        <v>1785</v>
      </c>
      <c r="M3719" s="3" t="s">
        <v>12850</v>
      </c>
      <c r="N3719" s="3">
        <v>11</v>
      </c>
      <c r="P3719" s="3" t="s">
        <v>12851</v>
      </c>
      <c r="Q3719" s="3" t="s">
        <v>367</v>
      </c>
      <c r="R3719" s="3" t="s">
        <v>28</v>
      </c>
      <c r="S3719" s="3">
        <v>13418900</v>
      </c>
      <c r="T3719" s="3">
        <v>1934294360</v>
      </c>
      <c r="U3719" s="3" t="s">
        <v>29</v>
      </c>
    </row>
    <row r="3720" spans="1:21" ht="13.2" x14ac:dyDescent="0.25">
      <c r="A3720" s="14">
        <v>63025530002905</v>
      </c>
      <c r="B3720" s="15" t="str">
        <f t="shared" si="58"/>
        <v>63.025.530/0029-05</v>
      </c>
      <c r="C3720" s="12"/>
      <c r="D3720" s="3" t="s">
        <v>12846</v>
      </c>
      <c r="E3720" s="3" t="s">
        <v>12852</v>
      </c>
      <c r="F3720" s="3" t="s">
        <v>20</v>
      </c>
      <c r="G3720" s="4">
        <v>25995</v>
      </c>
      <c r="H3720" s="3" t="s">
        <v>620</v>
      </c>
      <c r="I3720" s="3" t="s">
        <v>33</v>
      </c>
      <c r="J3720" s="5">
        <v>0</v>
      </c>
      <c r="K3720" s="3">
        <v>8532500</v>
      </c>
      <c r="L3720" s="3" t="s">
        <v>1785</v>
      </c>
      <c r="M3720" s="3" t="s">
        <v>12853</v>
      </c>
      <c r="N3720" s="3" t="s">
        <v>12854</v>
      </c>
      <c r="P3720" s="3" t="s">
        <v>12855</v>
      </c>
      <c r="Q3720" s="3" t="s">
        <v>324</v>
      </c>
      <c r="R3720" s="3" t="s">
        <v>28</v>
      </c>
      <c r="S3720" s="3">
        <v>17012901</v>
      </c>
      <c r="T3720" s="3">
        <v>1432358000</v>
      </c>
      <c r="U3720" s="3" t="s">
        <v>29</v>
      </c>
    </row>
    <row r="3721" spans="1:21" ht="13.2" x14ac:dyDescent="0.25">
      <c r="A3721" s="14">
        <v>46068425000133</v>
      </c>
      <c r="B3721" s="15" t="str">
        <f t="shared" si="58"/>
        <v>46.068.425/0001-33</v>
      </c>
      <c r="C3721" s="12"/>
      <c r="D3721" s="3" t="s">
        <v>12856</v>
      </c>
      <c r="E3721" s="3" t="s">
        <v>12856</v>
      </c>
      <c r="F3721" s="3" t="s">
        <v>20</v>
      </c>
      <c r="G3721" s="4">
        <v>24849</v>
      </c>
      <c r="H3721" s="3" t="s">
        <v>620</v>
      </c>
      <c r="I3721" s="3" t="s">
        <v>33</v>
      </c>
      <c r="J3721" s="5">
        <v>0</v>
      </c>
      <c r="K3721" s="3">
        <v>8532500</v>
      </c>
      <c r="L3721" s="3" t="s">
        <v>1785</v>
      </c>
      <c r="M3721" s="3" t="s">
        <v>12848</v>
      </c>
      <c r="N3721" s="3" t="s">
        <v>82</v>
      </c>
      <c r="P3721" s="3" t="s">
        <v>10003</v>
      </c>
      <c r="Q3721" s="3" t="s">
        <v>65</v>
      </c>
      <c r="R3721" s="3" t="s">
        <v>28</v>
      </c>
      <c r="S3721" s="3">
        <v>13083872</v>
      </c>
      <c r="T3721" s="3">
        <v>1935214424</v>
      </c>
      <c r="U3721" s="3" t="s">
        <v>29</v>
      </c>
    </row>
    <row r="3722" spans="1:21" ht="13.2" x14ac:dyDescent="0.25">
      <c r="A3722" s="14">
        <v>5342580000119</v>
      </c>
      <c r="B3722" s="15" t="str">
        <f t="shared" si="58"/>
        <v>05.342.580/0001-19</v>
      </c>
      <c r="C3722" s="12"/>
      <c r="D3722" s="3" t="s">
        <v>12857</v>
      </c>
      <c r="E3722" s="3" t="s">
        <v>12858</v>
      </c>
      <c r="F3722" s="3" t="s">
        <v>20</v>
      </c>
      <c r="G3722" s="4">
        <v>37530</v>
      </c>
      <c r="H3722" s="3" t="s">
        <v>244</v>
      </c>
      <c r="I3722" s="3" t="s">
        <v>33</v>
      </c>
      <c r="J3722" s="5">
        <v>0</v>
      </c>
      <c r="K3722" s="3">
        <v>9499500</v>
      </c>
      <c r="L3722" s="3" t="s">
        <v>245</v>
      </c>
      <c r="M3722" s="3" t="s">
        <v>12859</v>
      </c>
      <c r="N3722" s="3">
        <v>175</v>
      </c>
      <c r="O3722" s="3" t="s">
        <v>12860</v>
      </c>
      <c r="P3722" s="3" t="s">
        <v>12671</v>
      </c>
      <c r="Q3722" s="3" t="s">
        <v>371</v>
      </c>
      <c r="R3722" s="3" t="s">
        <v>301</v>
      </c>
      <c r="S3722" s="3">
        <v>63041162</v>
      </c>
      <c r="T3722" s="3">
        <v>8835122450</v>
      </c>
      <c r="U3722" s="3" t="s">
        <v>29</v>
      </c>
    </row>
    <row r="3723" spans="1:21" ht="13.2" x14ac:dyDescent="0.25">
      <c r="A3723" s="14">
        <v>1109184000438</v>
      </c>
      <c r="B3723" s="15" t="str">
        <f t="shared" si="58"/>
        <v>01.109.184/0004-38</v>
      </c>
      <c r="C3723" s="12"/>
      <c r="D3723" s="3" t="s">
        <v>12861</v>
      </c>
      <c r="E3723" s="3" t="s">
        <v>12862</v>
      </c>
      <c r="F3723" s="3" t="s">
        <v>20</v>
      </c>
      <c r="G3723" s="4">
        <v>37701</v>
      </c>
      <c r="H3723" s="3" t="s">
        <v>94</v>
      </c>
      <c r="I3723" s="3" t="s">
        <v>33</v>
      </c>
      <c r="J3723" s="5">
        <v>11625382</v>
      </c>
      <c r="K3723" s="3">
        <v>6319400</v>
      </c>
      <c r="L3723" s="3" t="s">
        <v>1953</v>
      </c>
      <c r="M3723" s="3" t="s">
        <v>2340</v>
      </c>
      <c r="N3723" s="3">
        <v>1485</v>
      </c>
      <c r="O3723" s="3" t="s">
        <v>12863</v>
      </c>
      <c r="P3723" s="3" t="s">
        <v>545</v>
      </c>
      <c r="Q3723" s="3" t="s">
        <v>27</v>
      </c>
      <c r="R3723" s="3" t="s">
        <v>28</v>
      </c>
      <c r="S3723" s="3">
        <v>1452002</v>
      </c>
      <c r="T3723" s="3">
        <v>1140043535</v>
      </c>
      <c r="U3723" s="3" t="s">
        <v>29</v>
      </c>
    </row>
    <row r="3724" spans="1:21" ht="13.2" x14ac:dyDescent="0.25">
      <c r="A3724" s="14">
        <v>17077866000101</v>
      </c>
      <c r="B3724" s="15" t="str">
        <f t="shared" si="58"/>
        <v>17.077.866/0001-01</v>
      </c>
      <c r="C3724" s="12"/>
      <c r="D3724" s="3" t="s">
        <v>12864</v>
      </c>
      <c r="E3724" s="3" t="s">
        <v>12865</v>
      </c>
      <c r="F3724" s="3" t="s">
        <v>45</v>
      </c>
      <c r="G3724" s="4">
        <v>41180</v>
      </c>
      <c r="H3724" s="3" t="s">
        <v>21</v>
      </c>
      <c r="I3724" s="3" t="s">
        <v>33</v>
      </c>
      <c r="J3724" s="5">
        <v>2200000</v>
      </c>
      <c r="K3724" s="3">
        <v>6550200</v>
      </c>
      <c r="L3724" s="3" t="s">
        <v>12820</v>
      </c>
      <c r="M3724" s="3" t="s">
        <v>2524</v>
      </c>
      <c r="N3724" s="3">
        <v>613</v>
      </c>
      <c r="O3724" s="3" t="s">
        <v>12866</v>
      </c>
      <c r="P3724" s="3" t="s">
        <v>248</v>
      </c>
      <c r="Q3724" s="3" t="s">
        <v>27</v>
      </c>
      <c r="R3724" s="3" t="s">
        <v>28</v>
      </c>
      <c r="S3724" s="3">
        <v>1317000</v>
      </c>
      <c r="T3724" s="3">
        <v>1132926121</v>
      </c>
      <c r="U3724" s="3" t="s">
        <v>29</v>
      </c>
    </row>
    <row r="3725" spans="1:21" ht="13.2" x14ac:dyDescent="0.25">
      <c r="A3725" s="14">
        <v>904951000942</v>
      </c>
      <c r="B3725" s="15" t="str">
        <f t="shared" si="58"/>
        <v>00.904.951/0009-42</v>
      </c>
      <c r="C3725" s="12"/>
      <c r="D3725" s="3" t="s">
        <v>12867</v>
      </c>
      <c r="E3725" s="3" t="s">
        <v>12867</v>
      </c>
      <c r="F3725" s="3" t="s">
        <v>45</v>
      </c>
      <c r="G3725" s="4">
        <v>40640</v>
      </c>
      <c r="H3725" s="3" t="s">
        <v>94</v>
      </c>
      <c r="I3725" s="3" t="s">
        <v>33</v>
      </c>
      <c r="J3725" s="5">
        <v>229336080</v>
      </c>
      <c r="K3725" s="3">
        <v>6613400</v>
      </c>
      <c r="L3725" s="3" t="s">
        <v>2962</v>
      </c>
      <c r="M3725" s="3" t="s">
        <v>11926</v>
      </c>
      <c r="N3725" s="3">
        <v>1154</v>
      </c>
      <c r="O3725" s="3" t="s">
        <v>12868</v>
      </c>
      <c r="P3725" s="3" t="s">
        <v>70</v>
      </c>
      <c r="Q3725" s="3" t="s">
        <v>987</v>
      </c>
      <c r="R3725" s="3" t="s">
        <v>100</v>
      </c>
      <c r="S3725" s="3">
        <v>38400124</v>
      </c>
      <c r="T3725" s="3">
        <v>3432103100</v>
      </c>
      <c r="U3725" s="3" t="s">
        <v>29</v>
      </c>
    </row>
    <row r="3726" spans="1:21" ht="13.2" x14ac:dyDescent="0.25">
      <c r="A3726" s="14">
        <v>3899690000150</v>
      </c>
      <c r="B3726" s="15" t="str">
        <f t="shared" si="58"/>
        <v>03.899.690/0001-50</v>
      </c>
      <c r="C3726" s="12"/>
      <c r="D3726" s="3" t="s">
        <v>12869</v>
      </c>
      <c r="E3726" s="3" t="s">
        <v>12870</v>
      </c>
      <c r="F3726" s="3" t="s">
        <v>20</v>
      </c>
      <c r="G3726" s="4">
        <v>36704</v>
      </c>
      <c r="H3726" s="3" t="s">
        <v>21</v>
      </c>
      <c r="I3726" s="3" t="s">
        <v>22</v>
      </c>
      <c r="J3726" s="5">
        <v>350000</v>
      </c>
      <c r="K3726" s="3">
        <v>8211300</v>
      </c>
      <c r="L3726" s="3" t="s">
        <v>166</v>
      </c>
      <c r="M3726" s="3" t="s">
        <v>12871</v>
      </c>
      <c r="N3726" s="3">
        <v>612</v>
      </c>
      <c r="O3726" s="3" t="s">
        <v>12872</v>
      </c>
      <c r="P3726" s="3" t="s">
        <v>1397</v>
      </c>
      <c r="Q3726" s="3" t="s">
        <v>27</v>
      </c>
      <c r="R3726" s="3" t="s">
        <v>28</v>
      </c>
      <c r="S3726" s="3">
        <v>4602002</v>
      </c>
      <c r="T3726" s="3">
        <v>1130161530</v>
      </c>
      <c r="U3726" s="3" t="s">
        <v>29</v>
      </c>
    </row>
    <row r="3727" spans="1:21" ht="13.2" x14ac:dyDescent="0.25">
      <c r="A3727" s="14">
        <v>18131889000101</v>
      </c>
      <c r="B3727" s="15" t="str">
        <f t="shared" si="58"/>
        <v>18.131.889/0001-01</v>
      </c>
      <c r="C3727" s="12"/>
      <c r="D3727" s="3" t="s">
        <v>12873</v>
      </c>
      <c r="E3727" s="3" t="s">
        <v>12874</v>
      </c>
      <c r="F3727" s="3" t="s">
        <v>20</v>
      </c>
      <c r="G3727" s="4">
        <v>41410</v>
      </c>
      <c r="H3727" s="3" t="s">
        <v>21</v>
      </c>
      <c r="I3727" s="3" t="s">
        <v>33</v>
      </c>
      <c r="J3727" s="5">
        <v>6000000</v>
      </c>
      <c r="K3727" s="3">
        <v>8130300</v>
      </c>
      <c r="L3727" s="3" t="s">
        <v>8521</v>
      </c>
      <c r="M3727" s="3" t="s">
        <v>2102</v>
      </c>
      <c r="N3727" s="3">
        <v>268</v>
      </c>
      <c r="O3727" s="3" t="s">
        <v>12875</v>
      </c>
      <c r="P3727" s="3" t="s">
        <v>2104</v>
      </c>
      <c r="Q3727" s="3" t="s">
        <v>617</v>
      </c>
      <c r="R3727" s="3" t="s">
        <v>28</v>
      </c>
      <c r="S3727" s="3">
        <v>6472001</v>
      </c>
      <c r="T3727" s="3">
        <v>1151806666</v>
      </c>
      <c r="U3727" s="3" t="s">
        <v>29</v>
      </c>
    </row>
    <row r="3728" spans="1:21" ht="13.2" x14ac:dyDescent="0.25">
      <c r="A3728" s="14">
        <v>45693777000117</v>
      </c>
      <c r="B3728" s="15" t="str">
        <f t="shared" si="58"/>
        <v>45.693.777/0001-17</v>
      </c>
      <c r="C3728" s="12"/>
      <c r="D3728" s="3" t="s">
        <v>12876</v>
      </c>
      <c r="E3728" s="3" t="s">
        <v>12876</v>
      </c>
      <c r="F3728" s="3" t="s">
        <v>20</v>
      </c>
      <c r="G3728" s="4">
        <v>27036</v>
      </c>
      <c r="H3728" s="3" t="s">
        <v>3881</v>
      </c>
      <c r="I3728" s="3" t="s">
        <v>33</v>
      </c>
      <c r="J3728" s="5">
        <v>58139104</v>
      </c>
      <c r="K3728" s="3">
        <v>8129000</v>
      </c>
      <c r="L3728" s="3" t="s">
        <v>3626</v>
      </c>
      <c r="M3728" s="3" t="s">
        <v>12877</v>
      </c>
      <c r="N3728" s="3">
        <v>100</v>
      </c>
      <c r="P3728" s="3" t="s">
        <v>12878</v>
      </c>
      <c r="Q3728" s="3" t="s">
        <v>2822</v>
      </c>
      <c r="R3728" s="3" t="s">
        <v>28</v>
      </c>
      <c r="S3728" s="3">
        <v>12220290</v>
      </c>
      <c r="U3728" s="3" t="s">
        <v>29</v>
      </c>
    </row>
    <row r="3729" spans="1:21" ht="13.2" x14ac:dyDescent="0.25">
      <c r="A3729" s="14">
        <v>21802567000151</v>
      </c>
      <c r="B3729" s="15" t="str">
        <f t="shared" si="58"/>
        <v>21.802.567/0001-51</v>
      </c>
      <c r="C3729" s="12"/>
      <c r="D3729" s="3" t="s">
        <v>12879</v>
      </c>
      <c r="E3729" s="3" t="s">
        <v>12879</v>
      </c>
      <c r="F3729" s="3" t="s">
        <v>20</v>
      </c>
      <c r="G3729" s="4">
        <v>42038</v>
      </c>
      <c r="H3729" s="3" t="s">
        <v>21</v>
      </c>
      <c r="I3729" s="3" t="s">
        <v>33</v>
      </c>
      <c r="J3729" s="5">
        <v>1200000</v>
      </c>
      <c r="K3729" s="3">
        <v>4682600</v>
      </c>
      <c r="L3729" s="3" t="s">
        <v>1219</v>
      </c>
      <c r="M3729" s="3" t="s">
        <v>12880</v>
      </c>
      <c r="N3729" s="3">
        <v>240</v>
      </c>
      <c r="P3729" s="3" t="s">
        <v>12881</v>
      </c>
      <c r="Q3729" s="3" t="s">
        <v>2005</v>
      </c>
      <c r="R3729" s="3" t="s">
        <v>187</v>
      </c>
      <c r="S3729" s="3">
        <v>83701990</v>
      </c>
      <c r="T3729" s="3">
        <v>4199894824</v>
      </c>
      <c r="U3729" s="3" t="s">
        <v>29</v>
      </c>
    </row>
    <row r="3730" spans="1:21" ht="13.2" x14ac:dyDescent="0.25">
      <c r="A3730" s="14">
        <v>653680000142</v>
      </c>
      <c r="B3730" s="15" t="str">
        <f t="shared" si="58"/>
        <v>00.653.680/0001-42</v>
      </c>
      <c r="C3730" s="12"/>
      <c r="D3730" s="3" t="s">
        <v>12882</v>
      </c>
      <c r="E3730" s="3" t="s">
        <v>12882</v>
      </c>
      <c r="F3730" s="3" t="s">
        <v>20</v>
      </c>
      <c r="G3730" s="4">
        <v>34869</v>
      </c>
      <c r="H3730" s="3" t="s">
        <v>21</v>
      </c>
      <c r="I3730" s="3" t="s">
        <v>22</v>
      </c>
      <c r="J3730" s="5">
        <v>30000</v>
      </c>
      <c r="K3730" s="3">
        <v>2599399</v>
      </c>
      <c r="L3730" s="3" t="s">
        <v>1144</v>
      </c>
      <c r="M3730" s="3" t="s">
        <v>12883</v>
      </c>
      <c r="N3730" s="7">
        <v>2010</v>
      </c>
      <c r="P3730" s="3" t="s">
        <v>12884</v>
      </c>
      <c r="Q3730" s="3" t="s">
        <v>12885</v>
      </c>
      <c r="R3730" s="3" t="s">
        <v>100</v>
      </c>
      <c r="S3730" s="3">
        <v>38740001</v>
      </c>
      <c r="T3730" s="3">
        <v>3438313922</v>
      </c>
      <c r="U3730" s="3" t="s">
        <v>29</v>
      </c>
    </row>
    <row r="3731" spans="1:21" ht="13.2" x14ac:dyDescent="0.25">
      <c r="A3731" s="14">
        <v>10728901000158</v>
      </c>
      <c r="B3731" s="15" t="str">
        <f t="shared" si="58"/>
        <v>10.728.901/0001-58</v>
      </c>
      <c r="C3731" s="12"/>
      <c r="D3731" s="3" t="s">
        <v>12886</v>
      </c>
      <c r="E3731" s="3" t="s">
        <v>12887</v>
      </c>
      <c r="F3731" s="3" t="s">
        <v>20</v>
      </c>
      <c r="G3731" s="4">
        <v>39899</v>
      </c>
      <c r="H3731" s="3" t="s">
        <v>21</v>
      </c>
      <c r="I3731" s="3" t="s">
        <v>33</v>
      </c>
      <c r="J3731" s="5">
        <v>1000000</v>
      </c>
      <c r="K3731" s="3">
        <v>4213800</v>
      </c>
      <c r="L3731" s="3" t="s">
        <v>4261</v>
      </c>
      <c r="M3731" s="3" t="s">
        <v>9242</v>
      </c>
      <c r="N3731" s="3">
        <v>1817</v>
      </c>
      <c r="P3731" s="3" t="s">
        <v>12888</v>
      </c>
      <c r="Q3731" s="3" t="s">
        <v>27</v>
      </c>
      <c r="R3731" s="3" t="s">
        <v>28</v>
      </c>
      <c r="S3731" s="3">
        <v>2995000</v>
      </c>
      <c r="T3731" s="3">
        <v>1136199100</v>
      </c>
      <c r="U3731" s="3" t="s">
        <v>29</v>
      </c>
    </row>
    <row r="3732" spans="1:21" ht="13.2" x14ac:dyDescent="0.25">
      <c r="A3732" s="14">
        <v>8972254000183</v>
      </c>
      <c r="B3732" s="15" t="str">
        <f t="shared" si="58"/>
        <v>08.972.254/0001-83</v>
      </c>
      <c r="C3732" s="12"/>
      <c r="D3732" s="3" t="s">
        <v>12889</v>
      </c>
      <c r="E3732" s="3" t="s">
        <v>12890</v>
      </c>
      <c r="F3732" s="3" t="s">
        <v>20</v>
      </c>
      <c r="G3732" s="4">
        <v>39254</v>
      </c>
      <c r="H3732" s="3" t="s">
        <v>94</v>
      </c>
      <c r="I3732" s="3" t="s">
        <v>33</v>
      </c>
      <c r="J3732" s="5">
        <v>15475906</v>
      </c>
      <c r="K3732" s="3">
        <v>2930101</v>
      </c>
      <c r="L3732" s="3" t="s">
        <v>856</v>
      </c>
      <c r="M3732" s="3" t="s">
        <v>12891</v>
      </c>
      <c r="N3732" s="3" t="s">
        <v>82</v>
      </c>
      <c r="P3732" s="3" t="s">
        <v>12892</v>
      </c>
      <c r="Q3732" s="3" t="s">
        <v>77</v>
      </c>
      <c r="R3732" s="3" t="s">
        <v>78</v>
      </c>
      <c r="S3732" s="3">
        <v>26020005</v>
      </c>
      <c r="T3732" s="3">
        <v>2121074000</v>
      </c>
      <c r="U3732" s="3" t="s">
        <v>29</v>
      </c>
    </row>
    <row r="3733" spans="1:21" ht="13.2" x14ac:dyDescent="0.25">
      <c r="A3733" s="14">
        <v>1711278000130</v>
      </c>
      <c r="B3733" s="15" t="str">
        <f t="shared" si="58"/>
        <v>01.711.278/0001-30</v>
      </c>
      <c r="C3733" s="12"/>
      <c r="D3733" s="3" t="s">
        <v>12893</v>
      </c>
      <c r="E3733" s="3" t="s">
        <v>12894</v>
      </c>
      <c r="F3733" s="3" t="s">
        <v>20</v>
      </c>
      <c r="G3733" s="4">
        <v>35507</v>
      </c>
      <c r="H3733" s="3" t="s">
        <v>21</v>
      </c>
      <c r="I3733" s="3" t="s">
        <v>47</v>
      </c>
      <c r="J3733" s="5">
        <v>20000</v>
      </c>
      <c r="K3733" s="3">
        <v>8599604</v>
      </c>
      <c r="L3733" s="3" t="s">
        <v>55</v>
      </c>
      <c r="M3733" s="3" t="s">
        <v>12895</v>
      </c>
      <c r="N3733" s="3">
        <v>866</v>
      </c>
      <c r="O3733" s="3" t="s">
        <v>12896</v>
      </c>
      <c r="P3733" s="3" t="s">
        <v>12897</v>
      </c>
      <c r="Q3733" s="3" t="s">
        <v>65</v>
      </c>
      <c r="R3733" s="3" t="s">
        <v>28</v>
      </c>
      <c r="S3733" s="3">
        <v>13023011</v>
      </c>
      <c r="T3733" s="3">
        <v>1938542233</v>
      </c>
      <c r="U3733" s="3" t="s">
        <v>29</v>
      </c>
    </row>
    <row r="3734" spans="1:21" ht="13.2" x14ac:dyDescent="0.25">
      <c r="A3734" s="14">
        <v>14669644000181</v>
      </c>
      <c r="B3734" s="15" t="str">
        <f t="shared" si="58"/>
        <v>14.669.644/0001-81</v>
      </c>
      <c r="C3734" s="12"/>
      <c r="D3734" s="3" t="s">
        <v>12898</v>
      </c>
      <c r="E3734" s="3" t="s">
        <v>12899</v>
      </c>
      <c r="F3734" s="3" t="s">
        <v>20</v>
      </c>
      <c r="G3734" s="4">
        <v>40868</v>
      </c>
      <c r="H3734" s="3" t="s">
        <v>21</v>
      </c>
      <c r="I3734" s="3" t="s">
        <v>33</v>
      </c>
      <c r="J3734" s="5">
        <v>1000000</v>
      </c>
      <c r="K3734" s="3">
        <v>7112000</v>
      </c>
      <c r="L3734" s="3" t="s">
        <v>276</v>
      </c>
      <c r="M3734" s="3" t="s">
        <v>124</v>
      </c>
      <c r="N3734" s="3">
        <v>1133</v>
      </c>
      <c r="O3734" s="3" t="s">
        <v>496</v>
      </c>
      <c r="P3734" s="3" t="s">
        <v>950</v>
      </c>
      <c r="Q3734" s="3" t="s">
        <v>12900</v>
      </c>
      <c r="R3734" s="3" t="s">
        <v>187</v>
      </c>
      <c r="S3734" s="3">
        <v>85722040</v>
      </c>
      <c r="T3734" s="3">
        <v>4532645359</v>
      </c>
      <c r="U3734" s="3" t="s">
        <v>29</v>
      </c>
    </row>
    <row r="3735" spans="1:21" ht="13.2" x14ac:dyDescent="0.25">
      <c r="A3735" s="14">
        <v>5244792000163</v>
      </c>
      <c r="B3735" s="15" t="str">
        <f t="shared" si="58"/>
        <v>05.244.792/0001-63</v>
      </c>
      <c r="C3735" s="12"/>
      <c r="D3735" s="3" t="s">
        <v>12901</v>
      </c>
      <c r="E3735" s="3" t="s">
        <v>12902</v>
      </c>
      <c r="F3735" s="3" t="s">
        <v>20</v>
      </c>
      <c r="G3735" s="4">
        <v>37487</v>
      </c>
      <c r="H3735" s="3" t="s">
        <v>21</v>
      </c>
      <c r="I3735" s="3" t="s">
        <v>22</v>
      </c>
      <c r="J3735" s="5">
        <v>57000</v>
      </c>
      <c r="K3735" s="3">
        <v>3292202</v>
      </c>
      <c r="L3735" s="3" t="s">
        <v>1654</v>
      </c>
      <c r="M3735" s="3" t="s">
        <v>12903</v>
      </c>
      <c r="N3735" s="3">
        <v>276</v>
      </c>
      <c r="P3735" s="3" t="s">
        <v>12904</v>
      </c>
      <c r="Q3735" s="3" t="s">
        <v>8201</v>
      </c>
      <c r="R3735" s="3" t="s">
        <v>28</v>
      </c>
      <c r="S3735" s="3">
        <v>17230000</v>
      </c>
      <c r="T3735" s="3">
        <v>1436644332</v>
      </c>
      <c r="U3735" s="3" t="s">
        <v>29</v>
      </c>
    </row>
    <row r="3736" spans="1:21" ht="13.2" x14ac:dyDescent="0.25">
      <c r="A3736" s="14">
        <v>6018744000110</v>
      </c>
      <c r="B3736" s="15" t="str">
        <f t="shared" si="58"/>
        <v>06.018.744/0001-10</v>
      </c>
      <c r="C3736" s="12"/>
      <c r="D3736" s="3" t="s">
        <v>12905</v>
      </c>
      <c r="E3736" s="3" t="s">
        <v>12905</v>
      </c>
      <c r="F3736" s="3" t="s">
        <v>3087</v>
      </c>
      <c r="G3736" s="4">
        <v>37946</v>
      </c>
      <c r="H3736" s="3" t="s">
        <v>21</v>
      </c>
      <c r="I3736" s="3" t="s">
        <v>47</v>
      </c>
      <c r="J3736" s="5">
        <v>30000</v>
      </c>
      <c r="K3736" s="3">
        <v>4663000</v>
      </c>
      <c r="L3736" s="3" t="s">
        <v>128</v>
      </c>
      <c r="M3736" s="3" t="s">
        <v>12906</v>
      </c>
      <c r="N3736" s="3">
        <v>714</v>
      </c>
      <c r="P3736" s="3" t="s">
        <v>12907</v>
      </c>
      <c r="Q3736" s="3" t="s">
        <v>231</v>
      </c>
      <c r="R3736" s="3" t="s">
        <v>28</v>
      </c>
      <c r="S3736" s="3">
        <v>18085470</v>
      </c>
      <c r="T3736" s="3">
        <v>1532244098</v>
      </c>
      <c r="U3736" s="3" t="s">
        <v>29</v>
      </c>
    </row>
    <row r="3737" spans="1:21" ht="13.2" x14ac:dyDescent="0.25">
      <c r="A3737" s="14">
        <v>7083200000102</v>
      </c>
      <c r="B3737" s="15" t="str">
        <f t="shared" si="58"/>
        <v>07.083.200/0001-02</v>
      </c>
      <c r="C3737" s="12"/>
      <c r="D3737" s="3" t="s">
        <v>12908</v>
      </c>
      <c r="E3737" s="3" t="s">
        <v>12909</v>
      </c>
      <c r="F3737" s="3" t="s">
        <v>20</v>
      </c>
      <c r="G3737" s="4">
        <v>38303</v>
      </c>
      <c r="H3737" s="3" t="s">
        <v>21</v>
      </c>
      <c r="I3737" s="3" t="s">
        <v>33</v>
      </c>
      <c r="J3737" s="5">
        <v>100000</v>
      </c>
      <c r="K3737" s="3">
        <v>3292202</v>
      </c>
      <c r="L3737" s="3" t="s">
        <v>1654</v>
      </c>
      <c r="M3737" s="3" t="s">
        <v>12910</v>
      </c>
      <c r="N3737" s="3">
        <v>6</v>
      </c>
      <c r="P3737" s="3" t="s">
        <v>70</v>
      </c>
      <c r="Q3737" s="3" t="s">
        <v>11235</v>
      </c>
      <c r="R3737" s="3" t="s">
        <v>100</v>
      </c>
      <c r="S3737" s="3">
        <v>37476000</v>
      </c>
      <c r="T3737" s="3">
        <v>3532811959</v>
      </c>
      <c r="U3737" s="3" t="s">
        <v>29</v>
      </c>
    </row>
    <row r="3738" spans="1:21" ht="13.2" x14ac:dyDescent="0.25">
      <c r="A3738" s="14">
        <v>12939753000146</v>
      </c>
      <c r="B3738" s="15" t="str">
        <f t="shared" si="58"/>
        <v>12.939.753/0001-46</v>
      </c>
      <c r="C3738" s="12"/>
      <c r="D3738" s="3" t="s">
        <v>12911</v>
      </c>
      <c r="E3738" s="3" t="s">
        <v>12912</v>
      </c>
      <c r="F3738" s="3" t="s">
        <v>20</v>
      </c>
      <c r="G3738" s="4">
        <v>40512</v>
      </c>
      <c r="H3738" s="3" t="s">
        <v>21</v>
      </c>
      <c r="I3738" s="3" t="s">
        <v>33</v>
      </c>
      <c r="J3738" s="5">
        <v>400000</v>
      </c>
      <c r="K3738" s="3">
        <v>4541203</v>
      </c>
      <c r="L3738" s="3" t="s">
        <v>12913</v>
      </c>
      <c r="M3738" s="3" t="s">
        <v>12914</v>
      </c>
      <c r="N3738" s="3" t="s">
        <v>12915</v>
      </c>
      <c r="O3738" s="3" t="s">
        <v>12916</v>
      </c>
      <c r="P3738" s="3" t="s">
        <v>12917</v>
      </c>
      <c r="Q3738" s="3" t="s">
        <v>9937</v>
      </c>
      <c r="R3738" s="3" t="s">
        <v>225</v>
      </c>
      <c r="S3738" s="3">
        <v>78320000</v>
      </c>
      <c r="T3738" s="3">
        <v>6635662020</v>
      </c>
      <c r="U3738" s="3" t="s">
        <v>29</v>
      </c>
    </row>
    <row r="3739" spans="1:21" ht="13.2" x14ac:dyDescent="0.25">
      <c r="A3739" s="14">
        <v>19443985000158</v>
      </c>
      <c r="B3739" s="15" t="str">
        <f t="shared" si="58"/>
        <v>19.443.985/0001-58</v>
      </c>
      <c r="C3739" s="12"/>
      <c r="D3739" s="3" t="s">
        <v>12918</v>
      </c>
      <c r="E3739" s="3" t="s">
        <v>12919</v>
      </c>
      <c r="F3739" s="3" t="s">
        <v>45</v>
      </c>
      <c r="G3739" s="4">
        <v>28219</v>
      </c>
      <c r="H3739" s="3" t="s">
        <v>94</v>
      </c>
      <c r="I3739" s="3" t="s">
        <v>33</v>
      </c>
      <c r="J3739" s="5">
        <v>3519439600</v>
      </c>
      <c r="K3739" s="3">
        <v>2013402</v>
      </c>
      <c r="L3739" s="3" t="s">
        <v>732</v>
      </c>
      <c r="M3739" s="3" t="s">
        <v>12920</v>
      </c>
      <c r="N3739" s="3" t="s">
        <v>82</v>
      </c>
      <c r="O3739" s="3" t="s">
        <v>4378</v>
      </c>
      <c r="P3739" s="3" t="s">
        <v>12921</v>
      </c>
      <c r="Q3739" s="3" t="s">
        <v>1112</v>
      </c>
      <c r="R3739" s="3" t="s">
        <v>100</v>
      </c>
      <c r="S3739" s="3">
        <v>38001970</v>
      </c>
      <c r="U3739" s="3" t="s">
        <v>29</v>
      </c>
    </row>
    <row r="3740" spans="1:21" ht="13.2" x14ac:dyDescent="0.25">
      <c r="A3740" s="14">
        <v>33592510000154</v>
      </c>
      <c r="B3740" s="15" t="str">
        <f t="shared" si="58"/>
        <v>33.592.510/0001-54</v>
      </c>
      <c r="C3740" s="12"/>
      <c r="D3740" s="3" t="s">
        <v>12922</v>
      </c>
      <c r="E3740" s="3" t="s">
        <v>12922</v>
      </c>
      <c r="F3740" s="3" t="s">
        <v>20</v>
      </c>
      <c r="G3740" s="4">
        <v>25245</v>
      </c>
      <c r="H3740" s="3" t="s">
        <v>377</v>
      </c>
      <c r="I3740" s="3" t="s">
        <v>33</v>
      </c>
      <c r="J3740" s="5">
        <v>77300000000</v>
      </c>
      <c r="K3740" s="3">
        <v>710301</v>
      </c>
      <c r="L3740" s="3" t="s">
        <v>12923</v>
      </c>
      <c r="M3740" s="3" t="s">
        <v>3697</v>
      </c>
      <c r="N3740" s="3">
        <v>186</v>
      </c>
      <c r="O3740" s="3" t="s">
        <v>12924</v>
      </c>
      <c r="P3740" s="3" t="s">
        <v>3697</v>
      </c>
      <c r="Q3740" s="3" t="s">
        <v>253</v>
      </c>
      <c r="R3740" s="3" t="s">
        <v>78</v>
      </c>
      <c r="S3740" s="3">
        <v>22250145</v>
      </c>
      <c r="T3740" s="3">
        <v>2134855000</v>
      </c>
      <c r="U3740" s="3" t="s">
        <v>29</v>
      </c>
    </row>
    <row r="3741" spans="1:21" ht="13.2" x14ac:dyDescent="0.25">
      <c r="A3741" s="14">
        <v>57010662000160</v>
      </c>
      <c r="B3741" s="15" t="str">
        <f t="shared" si="58"/>
        <v>57.010.662/0001-60</v>
      </c>
      <c r="C3741" s="12"/>
      <c r="D3741" s="3" t="s">
        <v>12925</v>
      </c>
      <c r="E3741" s="3" t="s">
        <v>12926</v>
      </c>
      <c r="F3741" s="3" t="s">
        <v>20</v>
      </c>
      <c r="G3741" s="4">
        <v>24341</v>
      </c>
      <c r="H3741" s="3" t="s">
        <v>21</v>
      </c>
      <c r="I3741" s="3" t="s">
        <v>33</v>
      </c>
      <c r="J3741" s="5">
        <v>782874560</v>
      </c>
      <c r="K3741" s="3">
        <v>2949299</v>
      </c>
      <c r="L3741" s="3" t="s">
        <v>1083</v>
      </c>
      <c r="M3741" s="3" t="s">
        <v>12927</v>
      </c>
      <c r="N3741" s="3">
        <v>97</v>
      </c>
      <c r="O3741" s="3" t="s">
        <v>12928</v>
      </c>
      <c r="P3741" s="3" t="s">
        <v>12929</v>
      </c>
      <c r="Q3741" s="3" t="s">
        <v>2614</v>
      </c>
      <c r="R3741" s="3" t="s">
        <v>28</v>
      </c>
      <c r="S3741" s="3">
        <v>13254140</v>
      </c>
      <c r="T3741" s="3">
        <v>1145348389</v>
      </c>
      <c r="U3741" s="3" t="s">
        <v>29</v>
      </c>
    </row>
    <row r="3742" spans="1:21" ht="13.2" x14ac:dyDescent="0.25">
      <c r="A3742" s="14">
        <v>14121957000109</v>
      </c>
      <c r="B3742" s="15" t="str">
        <f t="shared" si="58"/>
        <v>14.121.957/0001-09</v>
      </c>
      <c r="C3742" s="12"/>
      <c r="D3742" s="3" t="s">
        <v>12930</v>
      </c>
      <c r="E3742" s="3" t="s">
        <v>12931</v>
      </c>
      <c r="F3742" s="3" t="s">
        <v>20</v>
      </c>
      <c r="G3742" s="4">
        <v>40745</v>
      </c>
      <c r="H3742" s="3" t="s">
        <v>21</v>
      </c>
      <c r="I3742" s="3" t="s">
        <v>33</v>
      </c>
      <c r="J3742" s="5">
        <v>20000000</v>
      </c>
      <c r="K3742" s="3">
        <v>6311900</v>
      </c>
      <c r="L3742" s="3" t="s">
        <v>3132</v>
      </c>
      <c r="M3742" s="3" t="s">
        <v>246</v>
      </c>
      <c r="N3742" s="3">
        <v>1374</v>
      </c>
      <c r="O3742" s="3" t="s">
        <v>12932</v>
      </c>
      <c r="P3742" s="3" t="s">
        <v>248</v>
      </c>
      <c r="Q3742" s="3" t="s">
        <v>27</v>
      </c>
      <c r="R3742" s="3" t="s">
        <v>28</v>
      </c>
      <c r="S3742" s="3">
        <v>1310916</v>
      </c>
      <c r="T3742" s="3">
        <v>1125756933</v>
      </c>
      <c r="U3742" s="3" t="s">
        <v>29</v>
      </c>
    </row>
    <row r="3743" spans="1:21" ht="13.2" x14ac:dyDescent="0.25">
      <c r="A3743" s="14">
        <v>33113309000147</v>
      </c>
      <c r="B3743" s="15" t="str">
        <f t="shared" si="58"/>
        <v>33.113.309/0001-47</v>
      </c>
      <c r="C3743" s="12"/>
      <c r="D3743" s="3" t="s">
        <v>12933</v>
      </c>
      <c r="E3743" s="3" t="s">
        <v>12934</v>
      </c>
      <c r="F3743" s="3" t="s">
        <v>20</v>
      </c>
      <c r="G3743" s="4">
        <v>25233</v>
      </c>
      <c r="H3743" s="3" t="s">
        <v>377</v>
      </c>
      <c r="I3743" s="3" t="s">
        <v>33</v>
      </c>
      <c r="J3743" s="5">
        <v>1037549500</v>
      </c>
      <c r="K3743" s="3">
        <v>1812100</v>
      </c>
      <c r="L3743" s="3" t="s">
        <v>3207</v>
      </c>
      <c r="M3743" s="3" t="s">
        <v>12935</v>
      </c>
      <c r="N3743" s="3">
        <v>511</v>
      </c>
      <c r="P3743" s="3" t="s">
        <v>12936</v>
      </c>
      <c r="Q3743" s="3" t="s">
        <v>231</v>
      </c>
      <c r="R3743" s="3" t="s">
        <v>28</v>
      </c>
      <c r="S3743" s="3">
        <v>18052445</v>
      </c>
      <c r="T3743" s="3">
        <v>1125756933</v>
      </c>
      <c r="U3743" s="3" t="s">
        <v>29</v>
      </c>
    </row>
    <row r="3744" spans="1:21" ht="13.2" x14ac:dyDescent="0.25">
      <c r="A3744" s="14">
        <v>4392076000160</v>
      </c>
      <c r="B3744" s="15" t="str">
        <f t="shared" si="58"/>
        <v>04.392.076/0001-60</v>
      </c>
      <c r="C3744" s="12" t="str">
        <f>VLOOKUP(B3744,[1]Planilha1!$A:$B,2,0)</f>
        <v>Malu Montesino</v>
      </c>
      <c r="D3744" s="3" t="s">
        <v>12937</v>
      </c>
      <c r="E3744" s="3" t="s">
        <v>12937</v>
      </c>
      <c r="F3744" s="3" t="s">
        <v>20</v>
      </c>
      <c r="G3744" s="4">
        <v>36999</v>
      </c>
      <c r="H3744" s="3" t="s">
        <v>21</v>
      </c>
      <c r="I3744" s="3" t="s">
        <v>22</v>
      </c>
      <c r="J3744" s="5">
        <v>50000</v>
      </c>
      <c r="K3744" s="3">
        <v>2539001</v>
      </c>
      <c r="L3744" s="3" t="s">
        <v>1012</v>
      </c>
      <c r="M3744" s="3" t="s">
        <v>12938</v>
      </c>
      <c r="N3744" s="3" t="s">
        <v>12939</v>
      </c>
      <c r="O3744" s="3" t="s">
        <v>198</v>
      </c>
      <c r="P3744" s="3" t="s">
        <v>12940</v>
      </c>
      <c r="Q3744" s="3" t="s">
        <v>1317</v>
      </c>
      <c r="R3744" s="3" t="s">
        <v>187</v>
      </c>
      <c r="S3744" s="3">
        <v>83324150</v>
      </c>
      <c r="T3744" s="3">
        <v>4135575750</v>
      </c>
      <c r="U3744" s="3" t="s">
        <v>29</v>
      </c>
    </row>
    <row r="3745" spans="1:21" ht="13.2" x14ac:dyDescent="0.25">
      <c r="A3745" s="14">
        <v>8689024000101</v>
      </c>
      <c r="B3745" s="15" t="str">
        <f t="shared" si="58"/>
        <v>08.689.024/0001-01</v>
      </c>
      <c r="C3745" s="12"/>
      <c r="D3745" s="3" t="s">
        <v>12941</v>
      </c>
      <c r="E3745" s="3" t="s">
        <v>12941</v>
      </c>
      <c r="F3745" s="3" t="s">
        <v>20</v>
      </c>
      <c r="G3745" s="4">
        <v>39150</v>
      </c>
      <c r="H3745" s="3" t="s">
        <v>94</v>
      </c>
      <c r="I3745" s="3" t="s">
        <v>33</v>
      </c>
      <c r="J3745" s="5">
        <v>9331547000</v>
      </c>
      <c r="K3745" s="3">
        <v>2423701</v>
      </c>
      <c r="L3745" s="3" t="s">
        <v>9455</v>
      </c>
      <c r="M3745" s="3" t="s">
        <v>12942</v>
      </c>
      <c r="N3745" s="3">
        <v>65</v>
      </c>
      <c r="P3745" s="3" t="s">
        <v>12943</v>
      </c>
      <c r="Q3745" s="3" t="s">
        <v>476</v>
      </c>
      <c r="R3745" s="3" t="s">
        <v>100</v>
      </c>
      <c r="S3745" s="3">
        <v>30610822</v>
      </c>
      <c r="T3745" s="3">
        <v>3133282121</v>
      </c>
      <c r="U3745" s="3" t="s">
        <v>29</v>
      </c>
    </row>
    <row r="3746" spans="1:21" ht="13.2" x14ac:dyDescent="0.25">
      <c r="A3746" s="14">
        <v>43443043000405</v>
      </c>
      <c r="B3746" s="15" t="str">
        <f t="shared" si="58"/>
        <v>43.443.043/0004-05</v>
      </c>
      <c r="C3746" s="12"/>
      <c r="D3746" s="3" t="s">
        <v>12944</v>
      </c>
      <c r="E3746" s="3" t="s">
        <v>12945</v>
      </c>
      <c r="F3746" s="3" t="s">
        <v>20</v>
      </c>
      <c r="G3746" s="4">
        <v>39694</v>
      </c>
      <c r="H3746" s="3" t="s">
        <v>21</v>
      </c>
      <c r="I3746" s="3" t="s">
        <v>33</v>
      </c>
      <c r="J3746" s="5">
        <v>109431950</v>
      </c>
      <c r="K3746" s="3">
        <v>2865800</v>
      </c>
      <c r="L3746" s="3" t="s">
        <v>2353</v>
      </c>
      <c r="M3746" s="3" t="s">
        <v>1865</v>
      </c>
      <c r="N3746" s="3">
        <v>2500</v>
      </c>
      <c r="O3746" s="3" t="s">
        <v>12946</v>
      </c>
      <c r="P3746" s="3" t="s">
        <v>230</v>
      </c>
      <c r="Q3746" s="3" t="s">
        <v>231</v>
      </c>
      <c r="R3746" s="3" t="s">
        <v>28</v>
      </c>
      <c r="S3746" s="3">
        <v>18087101</v>
      </c>
      <c r="T3746" s="3">
        <v>4133414444</v>
      </c>
      <c r="U3746" s="3" t="s">
        <v>29</v>
      </c>
    </row>
    <row r="3747" spans="1:21" ht="13.2" x14ac:dyDescent="0.25">
      <c r="A3747" s="14">
        <v>4652892000166</v>
      </c>
      <c r="B3747" s="15" t="str">
        <f t="shared" si="58"/>
        <v>04.652.892/0001-66</v>
      </c>
      <c r="C3747" s="12"/>
      <c r="D3747" s="3" t="s">
        <v>12947</v>
      </c>
      <c r="E3747" s="3" t="s">
        <v>12948</v>
      </c>
      <c r="F3747" s="3" t="s">
        <v>20</v>
      </c>
      <c r="G3747" s="4">
        <v>37134</v>
      </c>
      <c r="H3747" s="3" t="s">
        <v>21</v>
      </c>
      <c r="I3747" s="3" t="s">
        <v>47</v>
      </c>
      <c r="J3747" s="5">
        <v>60000</v>
      </c>
      <c r="K3747" s="3">
        <v>4661300</v>
      </c>
      <c r="L3747" s="3" t="s">
        <v>595</v>
      </c>
      <c r="M3747" s="3" t="s">
        <v>12949</v>
      </c>
      <c r="N3747" s="3" t="s">
        <v>12950</v>
      </c>
      <c r="P3747" s="3" t="s">
        <v>70</v>
      </c>
      <c r="Q3747" s="3" t="s">
        <v>12951</v>
      </c>
      <c r="R3747" s="3" t="s">
        <v>225</v>
      </c>
      <c r="S3747" s="3">
        <v>78110601</v>
      </c>
      <c r="U3747" s="3" t="s">
        <v>29</v>
      </c>
    </row>
    <row r="3748" spans="1:21" ht="13.2" x14ac:dyDescent="0.25">
      <c r="A3748" s="14">
        <v>23373000000132</v>
      </c>
      <c r="B3748" s="15" t="str">
        <f t="shared" si="58"/>
        <v>23.373.000/0001-32</v>
      </c>
      <c r="C3748" s="12" t="str">
        <f>VLOOKUP(B3748,[1]Planilha1!$A:$B,2,0)</f>
        <v>Malu Montesino</v>
      </c>
      <c r="D3748" s="3" t="s">
        <v>12952</v>
      </c>
      <c r="E3748" s="3" t="s">
        <v>12952</v>
      </c>
      <c r="F3748" s="3" t="s">
        <v>20</v>
      </c>
      <c r="G3748" s="4">
        <v>42276</v>
      </c>
      <c r="H3748" s="3" t="s">
        <v>377</v>
      </c>
      <c r="I3748" s="3" t="s">
        <v>33</v>
      </c>
      <c r="J3748" s="5">
        <v>1012950100</v>
      </c>
      <c r="K3748" s="3">
        <v>7711000</v>
      </c>
      <c r="L3748" s="3" t="s">
        <v>2763</v>
      </c>
      <c r="M3748" s="3" t="s">
        <v>1228</v>
      </c>
      <c r="N3748" s="3">
        <v>1017</v>
      </c>
      <c r="O3748" s="3" t="s">
        <v>12953</v>
      </c>
      <c r="P3748" s="3" t="s">
        <v>1230</v>
      </c>
      <c r="Q3748" s="3" t="s">
        <v>27</v>
      </c>
      <c r="R3748" s="3" t="s">
        <v>28</v>
      </c>
      <c r="S3748" s="3">
        <v>4530001</v>
      </c>
      <c r="T3748" s="3">
        <v>1123777000</v>
      </c>
      <c r="U3748" s="3" t="s">
        <v>29</v>
      </c>
    </row>
    <row r="3749" spans="1:21" ht="13.2" x14ac:dyDescent="0.25">
      <c r="A3749" s="14">
        <v>186720000193</v>
      </c>
      <c r="B3749" s="15" t="str">
        <f t="shared" si="58"/>
        <v>00.186.720/0001-93</v>
      </c>
      <c r="C3749" s="12"/>
      <c r="D3749" s="3" t="s">
        <v>12954</v>
      </c>
      <c r="E3749" s="3" t="s">
        <v>12955</v>
      </c>
      <c r="F3749" s="3" t="s">
        <v>20</v>
      </c>
      <c r="G3749" s="4">
        <v>34578</v>
      </c>
      <c r="H3749" s="3" t="s">
        <v>94</v>
      </c>
      <c r="I3749" s="3" t="s">
        <v>33</v>
      </c>
      <c r="J3749" s="5">
        <v>6813510</v>
      </c>
      <c r="K3749" s="3">
        <v>1099699</v>
      </c>
      <c r="L3749" s="3" t="s">
        <v>3307</v>
      </c>
      <c r="M3749" s="3" t="s">
        <v>12956</v>
      </c>
      <c r="N3749" s="3">
        <v>268</v>
      </c>
      <c r="P3749" s="3" t="s">
        <v>12957</v>
      </c>
      <c r="Q3749" s="3" t="s">
        <v>204</v>
      </c>
      <c r="R3749" s="3" t="s">
        <v>187</v>
      </c>
      <c r="S3749" s="3">
        <v>82520620</v>
      </c>
      <c r="T3749" s="3">
        <v>413626466</v>
      </c>
      <c r="U3749" s="3" t="s">
        <v>29</v>
      </c>
    </row>
    <row r="3750" spans="1:21" ht="13.2" x14ac:dyDescent="0.25">
      <c r="A3750" s="14">
        <v>5155425000193</v>
      </c>
      <c r="B3750" s="15" t="str">
        <f t="shared" si="58"/>
        <v>05.155.425/0001-93</v>
      </c>
      <c r="C3750" s="12"/>
      <c r="D3750" s="3" t="s">
        <v>12958</v>
      </c>
      <c r="E3750" s="3" t="s">
        <v>12959</v>
      </c>
      <c r="F3750" s="3" t="s">
        <v>20</v>
      </c>
      <c r="G3750" s="4">
        <v>37447</v>
      </c>
      <c r="H3750" s="3" t="s">
        <v>21</v>
      </c>
      <c r="I3750" s="3" t="s">
        <v>33</v>
      </c>
      <c r="J3750" s="5">
        <v>1300000</v>
      </c>
      <c r="K3750" s="3">
        <v>2121101</v>
      </c>
      <c r="L3750" s="3" t="s">
        <v>233</v>
      </c>
      <c r="M3750" s="3" t="s">
        <v>12960</v>
      </c>
      <c r="N3750" s="3">
        <v>520</v>
      </c>
      <c r="P3750" s="3" t="s">
        <v>12961</v>
      </c>
      <c r="Q3750" s="3" t="s">
        <v>476</v>
      </c>
      <c r="R3750" s="3" t="s">
        <v>100</v>
      </c>
      <c r="S3750" s="3">
        <v>30620070</v>
      </c>
      <c r="T3750" s="3">
        <v>3131156120</v>
      </c>
      <c r="U3750" s="3" t="s">
        <v>29</v>
      </c>
    </row>
    <row r="3751" spans="1:21" ht="13.2" x14ac:dyDescent="0.25">
      <c r="A3751" s="14">
        <v>14429382000188</v>
      </c>
      <c r="B3751" s="15" t="str">
        <f t="shared" si="58"/>
        <v>14.429.382/0001-88</v>
      </c>
      <c r="C3751" s="12"/>
      <c r="D3751" s="3" t="s">
        <v>12962</v>
      </c>
      <c r="E3751" s="3" t="s">
        <v>12963</v>
      </c>
      <c r="F3751" s="3" t="s">
        <v>20</v>
      </c>
      <c r="G3751" s="4">
        <v>40798</v>
      </c>
      <c r="H3751" s="3" t="s">
        <v>21</v>
      </c>
      <c r="I3751" s="3" t="s">
        <v>33</v>
      </c>
      <c r="J3751" s="5">
        <v>30733600</v>
      </c>
      <c r="K3751" s="3">
        <v>4664800</v>
      </c>
      <c r="L3751" s="3" t="s">
        <v>691</v>
      </c>
      <c r="M3751" s="3" t="s">
        <v>12964</v>
      </c>
      <c r="N3751" s="3">
        <v>172</v>
      </c>
      <c r="O3751" s="3" t="s">
        <v>12965</v>
      </c>
      <c r="P3751" s="3" t="s">
        <v>5000</v>
      </c>
      <c r="Q3751" s="3" t="s">
        <v>27</v>
      </c>
      <c r="R3751" s="3" t="s">
        <v>28</v>
      </c>
      <c r="S3751" s="3">
        <v>5727160</v>
      </c>
      <c r="T3751" s="3">
        <v>1123657167</v>
      </c>
      <c r="U3751" s="3" t="s">
        <v>29</v>
      </c>
    </row>
    <row r="3752" spans="1:21" ht="13.2" x14ac:dyDescent="0.25">
      <c r="A3752" s="14">
        <v>288916000199</v>
      </c>
      <c r="B3752" s="15" t="str">
        <f t="shared" si="58"/>
        <v>00.288.916/0001-99</v>
      </c>
      <c r="C3752" s="12"/>
      <c r="D3752" s="3" t="s">
        <v>12966</v>
      </c>
      <c r="E3752" s="3" t="s">
        <v>12966</v>
      </c>
      <c r="F3752" s="3" t="s">
        <v>20</v>
      </c>
      <c r="G3752" s="4">
        <v>34645</v>
      </c>
      <c r="H3752" s="3" t="s">
        <v>21</v>
      </c>
      <c r="I3752" s="3" t="s">
        <v>33</v>
      </c>
      <c r="J3752" s="5">
        <v>233116820</v>
      </c>
      <c r="K3752" s="3">
        <v>8299702</v>
      </c>
      <c r="L3752" s="3" t="s">
        <v>937</v>
      </c>
      <c r="M3752" s="3" t="s">
        <v>2281</v>
      </c>
      <c r="N3752" s="3">
        <v>7221</v>
      </c>
      <c r="O3752" s="3" t="s">
        <v>12967</v>
      </c>
      <c r="P3752" s="3" t="s">
        <v>1740</v>
      </c>
      <c r="Q3752" s="3" t="s">
        <v>27</v>
      </c>
      <c r="R3752" s="3" t="s">
        <v>28</v>
      </c>
      <c r="S3752" s="3">
        <v>5425902</v>
      </c>
      <c r="T3752" s="3">
        <v>1138374236</v>
      </c>
      <c r="U3752" s="3" t="s">
        <v>29</v>
      </c>
    </row>
    <row r="3753" spans="1:21" ht="13.2" x14ac:dyDescent="0.25">
      <c r="A3753" s="14">
        <v>4088833000107</v>
      </c>
      <c r="B3753" s="15" t="str">
        <f t="shared" si="58"/>
        <v>04.088.833/0001-07</v>
      </c>
      <c r="C3753" s="12"/>
      <c r="D3753" s="3" t="s">
        <v>12968</v>
      </c>
      <c r="E3753" s="3" t="s">
        <v>12969</v>
      </c>
      <c r="F3753" s="3" t="s">
        <v>20</v>
      </c>
      <c r="G3753" s="4">
        <v>36789</v>
      </c>
      <c r="H3753" s="3" t="s">
        <v>21</v>
      </c>
      <c r="I3753" s="3" t="s">
        <v>22</v>
      </c>
      <c r="J3753" s="5">
        <v>1500000</v>
      </c>
      <c r="K3753" s="3">
        <v>8230001</v>
      </c>
      <c r="L3753" s="3" t="s">
        <v>2141</v>
      </c>
      <c r="M3753" s="3" t="s">
        <v>12970</v>
      </c>
      <c r="N3753" s="3">
        <v>212</v>
      </c>
      <c r="O3753" s="3" t="s">
        <v>12971</v>
      </c>
      <c r="P3753" s="3" t="s">
        <v>12972</v>
      </c>
      <c r="Q3753" s="3" t="s">
        <v>667</v>
      </c>
      <c r="R3753" s="3" t="s">
        <v>301</v>
      </c>
      <c r="S3753" s="3">
        <v>60813600</v>
      </c>
      <c r="T3753" s="3">
        <v>8532661323</v>
      </c>
      <c r="U3753" s="3" t="s">
        <v>29</v>
      </c>
    </row>
    <row r="3754" spans="1:21" ht="13.2" x14ac:dyDescent="0.25">
      <c r="A3754" s="14">
        <v>10702092000105</v>
      </c>
      <c r="B3754" s="15" t="str">
        <f t="shared" si="58"/>
        <v>10.702.092/0001-05</v>
      </c>
      <c r="C3754" s="12"/>
      <c r="D3754" s="3" t="s">
        <v>12973</v>
      </c>
      <c r="E3754" s="3" t="s">
        <v>12973</v>
      </c>
      <c r="F3754" s="3" t="s">
        <v>20</v>
      </c>
      <c r="G3754" s="4">
        <v>39881</v>
      </c>
      <c r="H3754" s="3" t="s">
        <v>21</v>
      </c>
      <c r="I3754" s="3" t="s">
        <v>33</v>
      </c>
      <c r="J3754" s="5">
        <v>334763600</v>
      </c>
      <c r="K3754" s="3">
        <v>4693100</v>
      </c>
      <c r="L3754" s="3" t="s">
        <v>238</v>
      </c>
      <c r="M3754" s="3" t="s">
        <v>8217</v>
      </c>
      <c r="N3754" s="3">
        <v>140</v>
      </c>
      <c r="O3754" s="3" t="s">
        <v>1461</v>
      </c>
      <c r="P3754" s="3" t="s">
        <v>70</v>
      </c>
      <c r="Q3754" s="3" t="s">
        <v>262</v>
      </c>
      <c r="R3754" s="3" t="s">
        <v>28</v>
      </c>
      <c r="S3754" s="3">
        <v>6018180</v>
      </c>
      <c r="T3754" s="3">
        <v>1136462800</v>
      </c>
      <c r="U3754" s="3" t="s">
        <v>29</v>
      </c>
    </row>
    <row r="3755" spans="1:21" ht="13.2" x14ac:dyDescent="0.25">
      <c r="A3755" s="14">
        <v>10493730000125</v>
      </c>
      <c r="B3755" s="15" t="str">
        <f t="shared" si="58"/>
        <v>10.493.730/0001-25</v>
      </c>
      <c r="C3755" s="12" t="str">
        <f>VLOOKUP(B3755,[1]Planilha1!$A:$B,2,0)</f>
        <v>Malu Montesino</v>
      </c>
      <c r="D3755" s="3" t="s">
        <v>12974</v>
      </c>
      <c r="E3755" s="3" t="s">
        <v>12975</v>
      </c>
      <c r="F3755" s="3" t="s">
        <v>45</v>
      </c>
      <c r="G3755" s="4">
        <v>39759</v>
      </c>
      <c r="H3755" s="3" t="s">
        <v>21</v>
      </c>
      <c r="I3755" s="3" t="s">
        <v>47</v>
      </c>
      <c r="J3755" s="5">
        <v>20000</v>
      </c>
      <c r="K3755" s="3">
        <v>4618499</v>
      </c>
      <c r="L3755" s="3" t="s">
        <v>2693</v>
      </c>
      <c r="M3755" s="3" t="s">
        <v>2450</v>
      </c>
      <c r="N3755" s="3">
        <v>287</v>
      </c>
      <c r="O3755" s="3" t="s">
        <v>12976</v>
      </c>
      <c r="P3755" s="3" t="s">
        <v>70</v>
      </c>
      <c r="Q3755" s="3" t="s">
        <v>27</v>
      </c>
      <c r="R3755" s="3" t="s">
        <v>28</v>
      </c>
      <c r="S3755" s="3">
        <v>1003000</v>
      </c>
      <c r="T3755" s="3">
        <v>1122916233</v>
      </c>
      <c r="U3755" s="3" t="s">
        <v>29</v>
      </c>
    </row>
    <row r="3756" spans="1:21" ht="13.2" x14ac:dyDescent="0.25">
      <c r="A3756" s="14">
        <v>8739643000163</v>
      </c>
      <c r="B3756" s="15" t="str">
        <f t="shared" si="58"/>
        <v>08.739.643/0001-63</v>
      </c>
      <c r="C3756" s="12"/>
      <c r="D3756" s="3" t="s">
        <v>12977</v>
      </c>
      <c r="E3756" s="3" t="s">
        <v>12978</v>
      </c>
      <c r="F3756" s="3" t="s">
        <v>45</v>
      </c>
      <c r="G3756" s="4">
        <v>39170</v>
      </c>
      <c r="H3756" s="3" t="s">
        <v>21</v>
      </c>
      <c r="I3756" s="3" t="s">
        <v>33</v>
      </c>
      <c r="J3756" s="5">
        <v>9178017</v>
      </c>
      <c r="K3756" s="3">
        <v>2813500</v>
      </c>
      <c r="L3756" s="3" t="s">
        <v>1383</v>
      </c>
      <c r="M3756" s="3" t="s">
        <v>1991</v>
      </c>
      <c r="N3756" s="3">
        <v>440</v>
      </c>
      <c r="P3756" s="3" t="s">
        <v>230</v>
      </c>
      <c r="Q3756" s="3" t="s">
        <v>231</v>
      </c>
      <c r="R3756" s="3" t="s">
        <v>28</v>
      </c>
      <c r="S3756" s="3">
        <v>18087156</v>
      </c>
      <c r="T3756" s="3">
        <v>1532292799</v>
      </c>
      <c r="U3756" s="3" t="s">
        <v>29</v>
      </c>
    </row>
    <row r="3757" spans="1:21" ht="13.2" x14ac:dyDescent="0.25">
      <c r="A3757" s="14">
        <v>19555252000105</v>
      </c>
      <c r="B3757" s="15" t="str">
        <f t="shared" si="58"/>
        <v>19.555.252/0001-05</v>
      </c>
      <c r="C3757" s="12"/>
      <c r="D3757" s="3" t="s">
        <v>12979</v>
      </c>
      <c r="E3757" s="3" t="s">
        <v>12980</v>
      </c>
      <c r="F3757" s="3" t="s">
        <v>20</v>
      </c>
      <c r="G3757" s="4">
        <v>41648</v>
      </c>
      <c r="H3757" s="3" t="s">
        <v>21</v>
      </c>
      <c r="I3757" s="3" t="s">
        <v>22</v>
      </c>
      <c r="J3757" s="5">
        <v>250000</v>
      </c>
      <c r="K3757" s="3">
        <v>4329103</v>
      </c>
      <c r="L3757" s="3" t="s">
        <v>4193</v>
      </c>
      <c r="M3757" s="3" t="s">
        <v>12981</v>
      </c>
      <c r="N3757" s="3">
        <v>13</v>
      </c>
      <c r="P3757" s="3" t="s">
        <v>10607</v>
      </c>
      <c r="Q3757" s="3" t="s">
        <v>262</v>
      </c>
      <c r="R3757" s="3" t="s">
        <v>28</v>
      </c>
      <c r="S3757" s="3">
        <v>6065130</v>
      </c>
      <c r="T3757" s="3">
        <v>1141546120</v>
      </c>
      <c r="U3757" s="3" t="s">
        <v>29</v>
      </c>
    </row>
    <row r="3758" spans="1:21" ht="13.2" x14ac:dyDescent="0.25">
      <c r="A3758" s="14">
        <v>14016443000185</v>
      </c>
      <c r="B3758" s="15" t="str">
        <f t="shared" si="58"/>
        <v>14.016.443/0001-85</v>
      </c>
      <c r="C3758" s="12" t="str">
        <f>VLOOKUP(B3758,[1]Planilha1!$A:$B,2,0)</f>
        <v>Malu Montesino</v>
      </c>
      <c r="D3758" s="3" t="s">
        <v>12982</v>
      </c>
      <c r="E3758" s="3" t="s">
        <v>12983</v>
      </c>
      <c r="F3758" s="3" t="s">
        <v>20</v>
      </c>
      <c r="G3758" s="4">
        <v>40574</v>
      </c>
      <c r="H3758" s="3" t="s">
        <v>21</v>
      </c>
      <c r="I3758" s="3" t="s">
        <v>33</v>
      </c>
      <c r="J3758" s="5">
        <v>2500000</v>
      </c>
      <c r="K3758" s="3">
        <v>2869100</v>
      </c>
      <c r="L3758" s="3" t="s">
        <v>1416</v>
      </c>
      <c r="M3758" s="3" t="s">
        <v>11193</v>
      </c>
      <c r="N3758" s="3">
        <v>625</v>
      </c>
      <c r="P3758" s="3" t="s">
        <v>12984</v>
      </c>
      <c r="Q3758" s="3" t="s">
        <v>1177</v>
      </c>
      <c r="R3758" s="3" t="s">
        <v>28</v>
      </c>
      <c r="S3758" s="3">
        <v>13457196</v>
      </c>
      <c r="T3758" s="3">
        <v>1922238888</v>
      </c>
      <c r="U3758" s="3" t="s">
        <v>29</v>
      </c>
    </row>
    <row r="3759" spans="1:21" ht="13.2" x14ac:dyDescent="0.25">
      <c r="A3759" s="14">
        <v>5866188000179</v>
      </c>
      <c r="B3759" s="15" t="str">
        <f t="shared" si="58"/>
        <v>05.866.188/0001-79</v>
      </c>
      <c r="C3759" s="12"/>
      <c r="D3759" s="3" t="s">
        <v>12985</v>
      </c>
      <c r="E3759" s="3" t="s">
        <v>12986</v>
      </c>
      <c r="F3759" s="3" t="s">
        <v>20</v>
      </c>
      <c r="G3759" s="4">
        <v>37853</v>
      </c>
      <c r="H3759" s="3" t="s">
        <v>21</v>
      </c>
      <c r="I3759" s="3" t="s">
        <v>33</v>
      </c>
      <c r="J3759" s="5">
        <v>100000</v>
      </c>
      <c r="K3759" s="3">
        <v>1413401</v>
      </c>
      <c r="L3759" s="3" t="s">
        <v>7283</v>
      </c>
      <c r="M3759" s="3" t="s">
        <v>12987</v>
      </c>
      <c r="N3759" s="3">
        <v>1155</v>
      </c>
      <c r="P3759" s="3" t="s">
        <v>12988</v>
      </c>
      <c r="Q3759" s="3" t="s">
        <v>7035</v>
      </c>
      <c r="R3759" s="3" t="s">
        <v>28</v>
      </c>
      <c r="S3759" s="3">
        <v>6653020</v>
      </c>
      <c r="T3759" s="3">
        <v>1141438500</v>
      </c>
      <c r="U3759" s="3" t="s">
        <v>29</v>
      </c>
    </row>
    <row r="3760" spans="1:21" ht="13.2" x14ac:dyDescent="0.25">
      <c r="A3760" s="14">
        <v>14680219000193</v>
      </c>
      <c r="B3760" s="15" t="str">
        <f t="shared" si="58"/>
        <v>14.680.219/0001-93</v>
      </c>
      <c r="C3760" s="12" t="str">
        <f>VLOOKUP(B3760,[1]Planilha1!$A:$B,2,0)</f>
        <v>Malu Montesino</v>
      </c>
      <c r="D3760" s="3" t="s">
        <v>12989</v>
      </c>
      <c r="E3760" s="3" t="s">
        <v>12989</v>
      </c>
      <c r="F3760" s="3" t="s">
        <v>20</v>
      </c>
      <c r="G3760" s="4">
        <v>28947</v>
      </c>
      <c r="H3760" s="3" t="s">
        <v>94</v>
      </c>
      <c r="I3760" s="3" t="s">
        <v>33</v>
      </c>
      <c r="J3760" s="5">
        <v>14000000</v>
      </c>
      <c r="K3760" s="3">
        <v>2071100</v>
      </c>
      <c r="L3760" s="3" t="s">
        <v>877</v>
      </c>
      <c r="M3760" s="3" t="s">
        <v>12990</v>
      </c>
      <c r="N3760" s="3">
        <v>385</v>
      </c>
      <c r="P3760" s="3" t="s">
        <v>12991</v>
      </c>
      <c r="Q3760" s="3" t="s">
        <v>280</v>
      </c>
      <c r="R3760" s="3" t="s">
        <v>281</v>
      </c>
      <c r="S3760" s="3">
        <v>41233010</v>
      </c>
      <c r="T3760" s="3">
        <v>1129025537</v>
      </c>
      <c r="U3760" s="3" t="s">
        <v>29</v>
      </c>
    </row>
    <row r="3761" spans="1:21" ht="13.2" x14ac:dyDescent="0.25">
      <c r="A3761" s="14">
        <v>2033695000133</v>
      </c>
      <c r="B3761" s="15" t="str">
        <f t="shared" si="58"/>
        <v>02.033.695/0001-33</v>
      </c>
      <c r="C3761" s="12" t="str">
        <f>VLOOKUP(B3761,[1]Planilha1!$A:$B,2,0)</f>
        <v>Malu Montesino</v>
      </c>
      <c r="D3761" s="3" t="s">
        <v>12992</v>
      </c>
      <c r="E3761" s="3" t="s">
        <v>12993</v>
      </c>
      <c r="F3761" s="3" t="s">
        <v>20</v>
      </c>
      <c r="G3761" s="4">
        <v>35642</v>
      </c>
      <c r="H3761" s="3" t="s">
        <v>21</v>
      </c>
      <c r="I3761" s="3" t="s">
        <v>33</v>
      </c>
      <c r="J3761" s="5">
        <v>1232000</v>
      </c>
      <c r="K3761" s="3">
        <v>2222600</v>
      </c>
      <c r="L3761" s="3" t="s">
        <v>183</v>
      </c>
      <c r="M3761" s="3" t="s">
        <v>12994</v>
      </c>
      <c r="N3761" s="3">
        <v>1100</v>
      </c>
      <c r="P3761" s="3" t="s">
        <v>12995</v>
      </c>
      <c r="Q3761" s="3" t="s">
        <v>7002</v>
      </c>
      <c r="R3761" s="3" t="s">
        <v>78</v>
      </c>
      <c r="S3761" s="3">
        <v>24715441</v>
      </c>
      <c r="T3761" s="3">
        <v>2127028900</v>
      </c>
      <c r="U3761" s="3" t="s">
        <v>29</v>
      </c>
    </row>
    <row r="3762" spans="1:21" ht="13.2" x14ac:dyDescent="0.25">
      <c r="A3762" s="14">
        <v>9253740000104</v>
      </c>
      <c r="B3762" s="15" t="str">
        <f t="shared" si="58"/>
        <v>09.253.740/0001-04</v>
      </c>
      <c r="C3762" s="12"/>
      <c r="D3762" s="3" t="s">
        <v>12996</v>
      </c>
      <c r="E3762" s="3" t="s">
        <v>12997</v>
      </c>
      <c r="F3762" s="3" t="s">
        <v>45</v>
      </c>
      <c r="G3762" s="4">
        <v>39407</v>
      </c>
      <c r="H3762" s="3" t="s">
        <v>21</v>
      </c>
      <c r="I3762" s="3" t="s">
        <v>47</v>
      </c>
      <c r="J3762" s="5">
        <v>10000</v>
      </c>
      <c r="K3762" s="3">
        <v>4744099</v>
      </c>
      <c r="L3762" s="3" t="s">
        <v>115</v>
      </c>
      <c r="M3762" s="3" t="s">
        <v>12998</v>
      </c>
      <c r="N3762" s="3">
        <v>891</v>
      </c>
      <c r="O3762" s="3" t="s">
        <v>12999</v>
      </c>
      <c r="P3762" s="3" t="s">
        <v>3203</v>
      </c>
      <c r="Q3762" s="3" t="s">
        <v>204</v>
      </c>
      <c r="R3762" s="3" t="s">
        <v>187</v>
      </c>
      <c r="S3762" s="3">
        <v>81650240</v>
      </c>
      <c r="T3762" s="3">
        <v>4132201544</v>
      </c>
      <c r="U3762" s="3" t="s">
        <v>29</v>
      </c>
    </row>
    <row r="3763" spans="1:21" ht="13.2" x14ac:dyDescent="0.25">
      <c r="A3763" s="14">
        <v>48300040000185</v>
      </c>
      <c r="B3763" s="15" t="str">
        <f t="shared" si="58"/>
        <v>48.300.040/0001-85</v>
      </c>
      <c r="C3763" s="12"/>
      <c r="D3763" s="3" t="s">
        <v>13000</v>
      </c>
      <c r="E3763" s="3" t="s">
        <v>13001</v>
      </c>
      <c r="F3763" s="3" t="s">
        <v>20</v>
      </c>
      <c r="G3763" s="4">
        <v>29955</v>
      </c>
      <c r="H3763" s="3" t="s">
        <v>21</v>
      </c>
      <c r="I3763" s="3" t="s">
        <v>22</v>
      </c>
      <c r="J3763" s="5">
        <v>2183000</v>
      </c>
      <c r="K3763" s="3">
        <v>2219600</v>
      </c>
      <c r="L3763" s="3" t="s">
        <v>613</v>
      </c>
      <c r="M3763" s="3" t="s">
        <v>13002</v>
      </c>
      <c r="N3763" s="3">
        <v>253</v>
      </c>
      <c r="P3763" s="3" t="s">
        <v>13003</v>
      </c>
      <c r="Q3763" s="3" t="s">
        <v>1943</v>
      </c>
      <c r="R3763" s="3" t="s">
        <v>28</v>
      </c>
      <c r="S3763" s="3">
        <v>9990070</v>
      </c>
      <c r="T3763" s="3">
        <v>1133633666</v>
      </c>
      <c r="U3763" s="3" t="s">
        <v>29</v>
      </c>
    </row>
    <row r="3764" spans="1:21" ht="13.2" x14ac:dyDescent="0.25">
      <c r="A3764" s="14">
        <v>13198385000195</v>
      </c>
      <c r="B3764" s="15" t="str">
        <f t="shared" si="58"/>
        <v>13.198.385/0001-95</v>
      </c>
      <c r="C3764" s="12" t="str">
        <f>VLOOKUP(B3764,[1]Planilha1!$A:$B,2,0)</f>
        <v>Malu Montesino</v>
      </c>
      <c r="D3764" s="3" t="s">
        <v>13004</v>
      </c>
      <c r="E3764" s="3" t="s">
        <v>13005</v>
      </c>
      <c r="F3764" s="3" t="s">
        <v>20</v>
      </c>
      <c r="G3764" s="4">
        <v>40568</v>
      </c>
      <c r="H3764" s="3" t="s">
        <v>21</v>
      </c>
      <c r="I3764" s="3" t="s">
        <v>47</v>
      </c>
      <c r="J3764" s="5">
        <v>500000</v>
      </c>
      <c r="K3764" s="3">
        <v>4744001</v>
      </c>
      <c r="L3764" s="3" t="s">
        <v>396</v>
      </c>
      <c r="M3764" s="3" t="s">
        <v>13006</v>
      </c>
      <c r="N3764" s="3">
        <v>544</v>
      </c>
      <c r="P3764" s="3" t="s">
        <v>10153</v>
      </c>
      <c r="Q3764" s="3" t="s">
        <v>524</v>
      </c>
      <c r="R3764" s="3" t="s">
        <v>28</v>
      </c>
      <c r="S3764" s="3">
        <v>14095040</v>
      </c>
      <c r="T3764" s="3">
        <v>1632893192</v>
      </c>
      <c r="U3764" s="3" t="s">
        <v>29</v>
      </c>
    </row>
    <row r="3765" spans="1:21" ht="13.2" x14ac:dyDescent="0.25">
      <c r="A3765" s="14">
        <v>4523508000125</v>
      </c>
      <c r="B3765" s="15" t="str">
        <f t="shared" si="58"/>
        <v>04.523.508/0001-25</v>
      </c>
      <c r="C3765" s="12" t="str">
        <f>VLOOKUP(B3765,[1]Planilha1!$A:$B,2,0)</f>
        <v>Malu Montesino</v>
      </c>
      <c r="D3765" s="3" t="s">
        <v>13007</v>
      </c>
      <c r="E3765" s="3" t="s">
        <v>13007</v>
      </c>
      <c r="F3765" s="3" t="s">
        <v>20</v>
      </c>
      <c r="G3765" s="4">
        <v>37069</v>
      </c>
      <c r="H3765" s="3" t="s">
        <v>21</v>
      </c>
      <c r="I3765" s="3" t="s">
        <v>33</v>
      </c>
      <c r="J3765" s="5">
        <v>6800002</v>
      </c>
      <c r="K3765" s="3">
        <v>4663000</v>
      </c>
      <c r="L3765" s="3" t="s">
        <v>128</v>
      </c>
      <c r="M3765" s="3" t="s">
        <v>2884</v>
      </c>
      <c r="N3765" s="3">
        <v>111</v>
      </c>
      <c r="O3765" s="3" t="s">
        <v>13008</v>
      </c>
      <c r="P3765" s="3" t="s">
        <v>1492</v>
      </c>
      <c r="Q3765" s="3" t="s">
        <v>27</v>
      </c>
      <c r="R3765" s="3" t="s">
        <v>28</v>
      </c>
      <c r="S3765" s="3">
        <v>5069900</v>
      </c>
      <c r="T3765" s="3">
        <v>1132061117</v>
      </c>
      <c r="U3765" s="3" t="s">
        <v>29</v>
      </c>
    </row>
    <row r="3766" spans="1:21" ht="13.2" x14ac:dyDescent="0.25">
      <c r="A3766" s="14">
        <v>13786929000130</v>
      </c>
      <c r="B3766" s="15" t="str">
        <f t="shared" si="58"/>
        <v>13.786.929/0001-30</v>
      </c>
      <c r="C3766" s="12"/>
      <c r="D3766" s="3" t="s">
        <v>13009</v>
      </c>
      <c r="E3766" s="3" t="s">
        <v>13010</v>
      </c>
      <c r="F3766" s="3" t="s">
        <v>20</v>
      </c>
      <c r="G3766" s="4">
        <v>40682</v>
      </c>
      <c r="H3766" s="3" t="s">
        <v>21</v>
      </c>
      <c r="I3766" s="3" t="s">
        <v>33</v>
      </c>
      <c r="J3766" s="5">
        <v>300000</v>
      </c>
      <c r="K3766" s="3">
        <v>3314799</v>
      </c>
      <c r="L3766" s="3" t="s">
        <v>1732</v>
      </c>
      <c r="M3766" s="3" t="s">
        <v>7726</v>
      </c>
      <c r="N3766" s="3">
        <v>194</v>
      </c>
      <c r="P3766" s="3" t="s">
        <v>13011</v>
      </c>
      <c r="Q3766" s="3" t="s">
        <v>1988</v>
      </c>
      <c r="R3766" s="3" t="s">
        <v>28</v>
      </c>
      <c r="S3766" s="3">
        <v>6730000</v>
      </c>
      <c r="T3766" s="3">
        <v>1147044106</v>
      </c>
      <c r="U3766" s="3" t="s">
        <v>29</v>
      </c>
    </row>
    <row r="3767" spans="1:21" ht="13.2" x14ac:dyDescent="0.25">
      <c r="A3767" s="14">
        <v>285753001243</v>
      </c>
      <c r="B3767" s="15" t="str">
        <f t="shared" si="58"/>
        <v>00.285.753/0012-43</v>
      </c>
      <c r="C3767" s="12"/>
      <c r="D3767" s="3" t="s">
        <v>13012</v>
      </c>
      <c r="E3767" s="3" t="s">
        <v>13013</v>
      </c>
      <c r="F3767" s="3" t="s">
        <v>20</v>
      </c>
      <c r="G3767" s="4">
        <v>39545</v>
      </c>
      <c r="H3767" s="3" t="s">
        <v>21</v>
      </c>
      <c r="I3767" s="3" t="s">
        <v>33</v>
      </c>
      <c r="J3767" s="5">
        <v>305970300</v>
      </c>
      <c r="K3767" s="3">
        <v>4771701</v>
      </c>
      <c r="L3767" s="3" t="s">
        <v>4415</v>
      </c>
      <c r="M3767" s="3" t="s">
        <v>13014</v>
      </c>
      <c r="N3767" s="3">
        <v>980</v>
      </c>
      <c r="O3767" s="3" t="s">
        <v>13015</v>
      </c>
      <c r="P3767" s="3" t="s">
        <v>2102</v>
      </c>
      <c r="Q3767" s="3" t="s">
        <v>253</v>
      </c>
      <c r="R3767" s="3" t="s">
        <v>78</v>
      </c>
      <c r="S3767" s="3">
        <v>22060002</v>
      </c>
      <c r="T3767" s="3">
        <v>2122885520</v>
      </c>
      <c r="U3767" s="3" t="s">
        <v>29</v>
      </c>
    </row>
    <row r="3768" spans="1:21" ht="13.2" x14ac:dyDescent="0.25">
      <c r="A3768" s="14">
        <v>27547771000150</v>
      </c>
      <c r="B3768" s="15" t="str">
        <f t="shared" si="58"/>
        <v>27.547.771/0001-50</v>
      </c>
      <c r="C3768" s="12"/>
      <c r="D3768" s="3" t="s">
        <v>13016</v>
      </c>
      <c r="E3768" s="3" t="s">
        <v>13017</v>
      </c>
      <c r="F3768" s="3" t="s">
        <v>20</v>
      </c>
      <c r="G3768" s="4">
        <v>42843</v>
      </c>
      <c r="H3768" s="3" t="s">
        <v>94</v>
      </c>
      <c r="I3768" s="3" t="s">
        <v>33</v>
      </c>
      <c r="J3768" s="5">
        <v>727000</v>
      </c>
      <c r="K3768" s="3">
        <v>6204000</v>
      </c>
      <c r="L3768" s="3" t="s">
        <v>2081</v>
      </c>
      <c r="M3768" s="3" t="s">
        <v>13018</v>
      </c>
      <c r="N3768" s="3">
        <v>2951</v>
      </c>
      <c r="O3768" s="3" t="s">
        <v>13019</v>
      </c>
      <c r="P3768" s="3" t="s">
        <v>13020</v>
      </c>
      <c r="Q3768" s="3" t="s">
        <v>2477</v>
      </c>
      <c r="R3768" s="3" t="s">
        <v>1725</v>
      </c>
      <c r="S3768" s="3">
        <v>59078300</v>
      </c>
      <c r="T3768" s="3">
        <v>1155555555</v>
      </c>
      <c r="U3768" s="3" t="s">
        <v>29</v>
      </c>
    </row>
    <row r="3769" spans="1:21" ht="13.2" x14ac:dyDescent="0.25">
      <c r="A3769" s="14">
        <v>15652882000147</v>
      </c>
      <c r="B3769" s="15" t="str">
        <f t="shared" si="58"/>
        <v>15.652.882/0001-47</v>
      </c>
      <c r="C3769" s="12" t="str">
        <f>VLOOKUP(B3769,[1]Planilha1!$A:$B,2,0)</f>
        <v>Malu Montesino</v>
      </c>
      <c r="D3769" s="3" t="s">
        <v>13021</v>
      </c>
      <c r="E3769" s="3" t="s">
        <v>13022</v>
      </c>
      <c r="F3769" s="3" t="s">
        <v>20</v>
      </c>
      <c r="G3769" s="4">
        <v>41061</v>
      </c>
      <c r="H3769" s="3" t="s">
        <v>94</v>
      </c>
      <c r="I3769" s="3" t="s">
        <v>33</v>
      </c>
      <c r="J3769" s="5">
        <v>105000000</v>
      </c>
      <c r="K3769" s="3">
        <v>4662100</v>
      </c>
      <c r="L3769" s="3" t="s">
        <v>2324</v>
      </c>
      <c r="M3769" s="3" t="s">
        <v>9591</v>
      </c>
      <c r="N3769" s="3">
        <v>2778</v>
      </c>
      <c r="O3769" s="3" t="s">
        <v>117</v>
      </c>
      <c r="P3769" s="3" t="s">
        <v>7763</v>
      </c>
      <c r="Q3769" s="3" t="s">
        <v>1339</v>
      </c>
      <c r="R3769" s="3" t="s">
        <v>456</v>
      </c>
      <c r="S3769" s="3">
        <v>51200000</v>
      </c>
      <c r="T3769" s="3">
        <v>8134711005</v>
      </c>
      <c r="U3769" s="3" t="s">
        <v>29</v>
      </c>
    </row>
    <row r="3770" spans="1:21" ht="13.2" x14ac:dyDescent="0.25">
      <c r="A3770" s="14">
        <v>1763720000171</v>
      </c>
      <c r="B3770" s="15" t="str">
        <f t="shared" si="58"/>
        <v>01.763.720/0001-71</v>
      </c>
      <c r="C3770" s="12" t="str">
        <f>VLOOKUP(B3770,[1]Planilha1!$A:$B,2,0)</f>
        <v>Malu Montesino</v>
      </c>
      <c r="D3770" s="3" t="s">
        <v>13023</v>
      </c>
      <c r="E3770" s="3" t="s">
        <v>13024</v>
      </c>
      <c r="F3770" s="3" t="s">
        <v>20</v>
      </c>
      <c r="G3770" s="4">
        <v>35506</v>
      </c>
      <c r="H3770" s="3" t="s">
        <v>94</v>
      </c>
      <c r="I3770" s="3" t="s">
        <v>33</v>
      </c>
      <c r="J3770" s="5">
        <v>68000000</v>
      </c>
      <c r="K3770" s="3">
        <v>2759799</v>
      </c>
      <c r="L3770" s="3" t="s">
        <v>2527</v>
      </c>
      <c r="M3770" s="3" t="s">
        <v>13025</v>
      </c>
      <c r="N3770" s="3">
        <v>7</v>
      </c>
      <c r="P3770" s="3" t="s">
        <v>13026</v>
      </c>
      <c r="Q3770" s="3" t="s">
        <v>1572</v>
      </c>
      <c r="R3770" s="3" t="s">
        <v>91</v>
      </c>
      <c r="S3770" s="3">
        <v>88135541</v>
      </c>
      <c r="T3770" s="3">
        <v>4821079500</v>
      </c>
      <c r="U3770" s="3" t="s">
        <v>29</v>
      </c>
    </row>
    <row r="3771" spans="1:21" ht="13.2" x14ac:dyDescent="0.25">
      <c r="A3771" s="14">
        <v>41132641000187</v>
      </c>
      <c r="B3771" s="15" t="str">
        <f t="shared" si="58"/>
        <v>41.132.641/0001-87</v>
      </c>
      <c r="C3771" s="12"/>
      <c r="D3771" s="3" t="s">
        <v>13027</v>
      </c>
      <c r="E3771" s="3" t="s">
        <v>13027</v>
      </c>
      <c r="F3771" s="3" t="s">
        <v>20</v>
      </c>
      <c r="G3771" s="4">
        <v>44263</v>
      </c>
      <c r="H3771" s="3" t="s">
        <v>21</v>
      </c>
      <c r="I3771" s="3" t="s">
        <v>33</v>
      </c>
      <c r="J3771" s="5" t="s">
        <v>13028</v>
      </c>
      <c r="K3771" s="3">
        <v>7020400</v>
      </c>
      <c r="L3771" s="3" t="s">
        <v>170</v>
      </c>
      <c r="M3771" s="3" t="s">
        <v>6795</v>
      </c>
      <c r="N3771" s="3">
        <v>1120</v>
      </c>
      <c r="O3771" s="3" t="s">
        <v>13029</v>
      </c>
      <c r="P3771" s="3" t="s">
        <v>1230</v>
      </c>
      <c r="Q3771" s="3" t="s">
        <v>27</v>
      </c>
      <c r="R3771" s="3" t="s">
        <v>28</v>
      </c>
      <c r="S3771" s="3">
        <v>4534004</v>
      </c>
      <c r="T3771" s="3">
        <v>1140405997</v>
      </c>
      <c r="U3771" s="3" t="s">
        <v>29</v>
      </c>
    </row>
    <row r="3772" spans="1:21" ht="13.2" x14ac:dyDescent="0.25">
      <c r="A3772" s="14">
        <v>47098918000189</v>
      </c>
      <c r="B3772" s="15" t="str">
        <f t="shared" si="58"/>
        <v>47.098.918/0001-89</v>
      </c>
      <c r="C3772" s="12" t="str">
        <f>VLOOKUP(B3772,[1]Planilha1!$A:$B,2,0)</f>
        <v>Malu Montesino</v>
      </c>
      <c r="D3772" s="3" t="s">
        <v>13030</v>
      </c>
      <c r="E3772" s="3" t="s">
        <v>13030</v>
      </c>
      <c r="F3772" s="3" t="s">
        <v>20</v>
      </c>
      <c r="G3772" s="4">
        <v>27568</v>
      </c>
      <c r="H3772" s="3" t="s">
        <v>21</v>
      </c>
      <c r="I3772" s="3" t="s">
        <v>33</v>
      </c>
      <c r="J3772" s="5">
        <v>355857400</v>
      </c>
      <c r="K3772" s="3">
        <v>2825900</v>
      </c>
      <c r="L3772" s="3" t="s">
        <v>345</v>
      </c>
      <c r="M3772" s="3" t="s">
        <v>6647</v>
      </c>
      <c r="N3772" s="3">
        <v>291</v>
      </c>
      <c r="O3772" s="3" t="s">
        <v>13031</v>
      </c>
      <c r="P3772" s="3" t="s">
        <v>753</v>
      </c>
      <c r="Q3772" s="3" t="s">
        <v>27</v>
      </c>
      <c r="R3772" s="3" t="s">
        <v>28</v>
      </c>
      <c r="S3772" s="3">
        <v>5317020</v>
      </c>
      <c r="T3772" s="3">
        <v>1121391000</v>
      </c>
      <c r="U3772" s="3" t="s">
        <v>29</v>
      </c>
    </row>
    <row r="3773" spans="1:21" ht="13.2" x14ac:dyDescent="0.25">
      <c r="A3773" s="14">
        <v>59661264000139</v>
      </c>
      <c r="B3773" s="15" t="str">
        <f t="shared" si="58"/>
        <v>59.661.264/0001-39</v>
      </c>
      <c r="C3773" s="12"/>
      <c r="D3773" s="3" t="s">
        <v>13032</v>
      </c>
      <c r="E3773" s="3" t="s">
        <v>13032</v>
      </c>
      <c r="F3773" s="3" t="s">
        <v>20</v>
      </c>
      <c r="G3773" s="4">
        <v>32451</v>
      </c>
      <c r="H3773" s="3" t="s">
        <v>21</v>
      </c>
      <c r="I3773" s="3" t="s">
        <v>33</v>
      </c>
      <c r="J3773" s="5">
        <v>1000000</v>
      </c>
      <c r="K3773" s="3">
        <v>2731700</v>
      </c>
      <c r="L3773" s="3" t="s">
        <v>440</v>
      </c>
      <c r="M3773" s="3" t="s">
        <v>13033</v>
      </c>
      <c r="N3773" s="3">
        <v>1000</v>
      </c>
      <c r="P3773" s="3" t="s">
        <v>13034</v>
      </c>
      <c r="Q3773" s="3" t="s">
        <v>4404</v>
      </c>
      <c r="R3773" s="3" t="s">
        <v>28</v>
      </c>
      <c r="S3773" s="3">
        <v>8597630</v>
      </c>
      <c r="U3773" s="3" t="s">
        <v>29</v>
      </c>
    </row>
    <row r="3774" spans="1:21" ht="13.2" x14ac:dyDescent="0.25">
      <c r="A3774" s="14">
        <v>1848003000142</v>
      </c>
      <c r="B3774" s="15" t="str">
        <f t="shared" si="58"/>
        <v>01.848.003/0001-42</v>
      </c>
      <c r="C3774" s="12" t="str">
        <f>VLOOKUP(B3774,[1]Planilha1!$A:$B,2,0)</f>
        <v>Malu Montesino</v>
      </c>
      <c r="D3774" s="3" t="s">
        <v>13035</v>
      </c>
      <c r="E3774" s="3" t="s">
        <v>13035</v>
      </c>
      <c r="F3774" s="3" t="s">
        <v>20</v>
      </c>
      <c r="G3774" s="4">
        <v>35540</v>
      </c>
      <c r="H3774" s="3" t="s">
        <v>21</v>
      </c>
      <c r="I3774" s="3" t="s">
        <v>33</v>
      </c>
      <c r="J3774" s="5">
        <v>9850000</v>
      </c>
      <c r="K3774" s="3">
        <v>8011101</v>
      </c>
      <c r="L3774" s="3" t="s">
        <v>943</v>
      </c>
      <c r="M3774" s="3" t="s">
        <v>6051</v>
      </c>
      <c r="N3774" s="3">
        <v>2677</v>
      </c>
      <c r="P3774" s="3" t="s">
        <v>6052</v>
      </c>
      <c r="Q3774" s="3" t="s">
        <v>204</v>
      </c>
      <c r="R3774" s="3" t="s">
        <v>187</v>
      </c>
      <c r="S3774" s="3">
        <v>81030001</v>
      </c>
      <c r="T3774" s="3">
        <v>4132478020</v>
      </c>
      <c r="U3774" s="3" t="s">
        <v>29</v>
      </c>
    </row>
    <row r="3775" spans="1:21" ht="13.2" x14ac:dyDescent="0.25">
      <c r="A3775" s="14">
        <v>1394860000110</v>
      </c>
      <c r="B3775" s="15" t="str">
        <f t="shared" si="58"/>
        <v>01.394.860/0001-10</v>
      </c>
      <c r="C3775" s="12"/>
      <c r="D3775" s="3" t="s">
        <v>13036</v>
      </c>
      <c r="E3775" s="3" t="s">
        <v>13036</v>
      </c>
      <c r="F3775" s="3" t="s">
        <v>20</v>
      </c>
      <c r="G3775" s="4">
        <v>35285</v>
      </c>
      <c r="H3775" s="3" t="s">
        <v>21</v>
      </c>
      <c r="I3775" s="3" t="s">
        <v>33</v>
      </c>
      <c r="J3775" s="5">
        <v>72045130</v>
      </c>
      <c r="K3775" s="3">
        <v>4689399</v>
      </c>
      <c r="L3775" s="3" t="s">
        <v>783</v>
      </c>
      <c r="M3775" s="3" t="s">
        <v>3121</v>
      </c>
      <c r="N3775" s="3">
        <v>1507</v>
      </c>
      <c r="O3775" s="3" t="s">
        <v>13037</v>
      </c>
      <c r="P3775" s="3" t="s">
        <v>316</v>
      </c>
      <c r="Q3775" s="3" t="s">
        <v>27</v>
      </c>
      <c r="R3775" s="3" t="s">
        <v>28</v>
      </c>
      <c r="S3775" s="3">
        <v>4547005</v>
      </c>
      <c r="T3775" s="3">
        <v>1147503436</v>
      </c>
      <c r="U3775" s="3" t="s">
        <v>29</v>
      </c>
    </row>
    <row r="3776" spans="1:21" ht="13.2" x14ac:dyDescent="0.25">
      <c r="A3776" s="14">
        <v>19121053000199</v>
      </c>
      <c r="B3776" s="15" t="str">
        <f t="shared" si="58"/>
        <v>19.121.053/0001-99</v>
      </c>
      <c r="C3776" s="12" t="str">
        <f>VLOOKUP(B3776,[1]Planilha1!$A:$B,2,0)</f>
        <v>Mariane Nascimento</v>
      </c>
      <c r="D3776" s="3" t="s">
        <v>13038</v>
      </c>
      <c r="E3776" s="3" t="s">
        <v>13039</v>
      </c>
      <c r="F3776" s="3" t="s">
        <v>20</v>
      </c>
      <c r="G3776" s="4">
        <v>41570</v>
      </c>
      <c r="H3776" s="3" t="s">
        <v>21</v>
      </c>
      <c r="I3776" s="3" t="s">
        <v>33</v>
      </c>
      <c r="J3776" s="5">
        <v>340000</v>
      </c>
      <c r="K3776" s="3">
        <v>8220200</v>
      </c>
      <c r="L3776" s="3" t="s">
        <v>2741</v>
      </c>
      <c r="M3776" s="3" t="s">
        <v>10962</v>
      </c>
      <c r="N3776" s="3">
        <v>5000</v>
      </c>
      <c r="O3776" s="3" t="s">
        <v>13040</v>
      </c>
      <c r="P3776" s="3" t="s">
        <v>5679</v>
      </c>
      <c r="Q3776" s="3" t="s">
        <v>148</v>
      </c>
      <c r="R3776" s="3" t="s">
        <v>28</v>
      </c>
      <c r="S3776" s="3">
        <v>15093340</v>
      </c>
      <c r="T3776" s="3">
        <v>1838800599</v>
      </c>
      <c r="U3776" s="3" t="s">
        <v>29</v>
      </c>
    </row>
    <row r="3777" spans="1:21" ht="13.2" x14ac:dyDescent="0.25">
      <c r="A3777" s="14">
        <v>11377665000135</v>
      </c>
      <c r="B3777" s="15" t="str">
        <f t="shared" si="58"/>
        <v>11.377.665/0001-35</v>
      </c>
      <c r="C3777" s="12" t="str">
        <f>VLOOKUP(B3777,[1]Planilha1!$A:$B,2,0)</f>
        <v>Malu Montesino</v>
      </c>
      <c r="D3777" s="3" t="s">
        <v>13041</v>
      </c>
      <c r="E3777" s="3" t="s">
        <v>13042</v>
      </c>
      <c r="F3777" s="3" t="s">
        <v>20</v>
      </c>
      <c r="G3777" s="4">
        <v>40007</v>
      </c>
      <c r="H3777" s="3" t="s">
        <v>21</v>
      </c>
      <c r="I3777" s="3" t="s">
        <v>33</v>
      </c>
      <c r="J3777" s="5">
        <v>43323600</v>
      </c>
      <c r="K3777" s="3">
        <v>4663000</v>
      </c>
      <c r="L3777" s="3" t="s">
        <v>128</v>
      </c>
      <c r="M3777" s="3" t="s">
        <v>13043</v>
      </c>
      <c r="N3777" s="3">
        <v>79</v>
      </c>
      <c r="P3777" s="3" t="s">
        <v>12716</v>
      </c>
      <c r="Q3777" s="3" t="s">
        <v>59</v>
      </c>
      <c r="R3777" s="3" t="s">
        <v>28</v>
      </c>
      <c r="S3777" s="3">
        <v>13279000</v>
      </c>
      <c r="T3777" s="3">
        <v>1935179400</v>
      </c>
      <c r="U3777" s="3" t="s">
        <v>29</v>
      </c>
    </row>
    <row r="3778" spans="1:21" ht="13.2" x14ac:dyDescent="0.25">
      <c r="A3778" s="14">
        <v>31748174000160</v>
      </c>
      <c r="B3778" s="15" t="str">
        <f t="shared" si="58"/>
        <v>31.748.174/0001-60</v>
      </c>
      <c r="C3778" s="12"/>
      <c r="D3778" s="3" t="s">
        <v>13044</v>
      </c>
      <c r="E3778" s="3" t="s">
        <v>13044</v>
      </c>
      <c r="F3778" s="3" t="s">
        <v>20</v>
      </c>
      <c r="G3778" s="4">
        <v>43384</v>
      </c>
      <c r="H3778" s="3" t="s">
        <v>377</v>
      </c>
      <c r="I3778" s="3" t="s">
        <v>33</v>
      </c>
      <c r="J3778" s="5">
        <v>1015926900</v>
      </c>
      <c r="K3778" s="3">
        <v>6110803</v>
      </c>
      <c r="L3778" s="3" t="s">
        <v>339</v>
      </c>
      <c r="M3778" s="3" t="s">
        <v>2281</v>
      </c>
      <c r="N3778" s="3">
        <v>7221</v>
      </c>
      <c r="O3778" s="3" t="s">
        <v>13045</v>
      </c>
      <c r="P3778" s="3" t="s">
        <v>1740</v>
      </c>
      <c r="Q3778" s="3" t="s">
        <v>27</v>
      </c>
      <c r="R3778" s="3" t="s">
        <v>28</v>
      </c>
      <c r="S3778" s="3">
        <v>5425902</v>
      </c>
      <c r="T3778" s="3">
        <v>1171140995</v>
      </c>
      <c r="U3778" s="3" t="s">
        <v>29</v>
      </c>
    </row>
    <row r="3779" spans="1:21" ht="13.2" x14ac:dyDescent="0.25">
      <c r="A3779" s="14">
        <v>3380810000109</v>
      </c>
      <c r="B3779" s="15" t="str">
        <f t="shared" ref="B3779:B3842" si="59">TEXT(A3779,"00\.000\.000\/0000\-00")</f>
        <v>03.380.810/0001-09</v>
      </c>
      <c r="C3779" s="12"/>
      <c r="D3779" s="3" t="s">
        <v>13046</v>
      </c>
      <c r="E3779" s="3" t="s">
        <v>13047</v>
      </c>
      <c r="F3779" s="3" t="s">
        <v>20</v>
      </c>
      <c r="G3779" s="4">
        <v>36412</v>
      </c>
      <c r="H3779" s="3" t="s">
        <v>21</v>
      </c>
      <c r="I3779" s="3" t="s">
        <v>22</v>
      </c>
      <c r="J3779" s="5">
        <v>100000</v>
      </c>
      <c r="K3779" s="3">
        <v>4530703</v>
      </c>
      <c r="L3779" s="3" t="s">
        <v>768</v>
      </c>
      <c r="M3779" s="3">
        <v>2</v>
      </c>
      <c r="N3779" s="3" t="s">
        <v>82</v>
      </c>
      <c r="O3779" s="3" t="s">
        <v>13048</v>
      </c>
      <c r="P3779" s="3" t="s">
        <v>13049</v>
      </c>
      <c r="Q3779" s="3" t="s">
        <v>10182</v>
      </c>
      <c r="R3779" s="3" t="s">
        <v>274</v>
      </c>
      <c r="S3779" s="3">
        <v>72870402</v>
      </c>
      <c r="T3779" s="3">
        <v>6132025151</v>
      </c>
      <c r="U3779" s="3" t="s">
        <v>29</v>
      </c>
    </row>
    <row r="3780" spans="1:21" ht="13.2" x14ac:dyDescent="0.25">
      <c r="A3780" s="14">
        <v>2277205000144</v>
      </c>
      <c r="B3780" s="15" t="str">
        <f t="shared" si="59"/>
        <v>02.277.205/0001-44</v>
      </c>
      <c r="C3780" s="12"/>
      <c r="D3780" s="3" t="s">
        <v>13050</v>
      </c>
      <c r="E3780" s="3" t="s">
        <v>13051</v>
      </c>
      <c r="F3780" s="3" t="s">
        <v>20</v>
      </c>
      <c r="G3780" s="4">
        <v>35775</v>
      </c>
      <c r="H3780" s="3" t="s">
        <v>21</v>
      </c>
      <c r="I3780" s="3" t="s">
        <v>33</v>
      </c>
      <c r="J3780" s="5">
        <v>6801000</v>
      </c>
      <c r="K3780" s="3">
        <v>6204000</v>
      </c>
      <c r="L3780" s="3" t="s">
        <v>2081</v>
      </c>
      <c r="M3780" s="3" t="s">
        <v>13052</v>
      </c>
      <c r="N3780" s="3" t="s">
        <v>111</v>
      </c>
      <c r="O3780" s="3" t="s">
        <v>13053</v>
      </c>
      <c r="P3780" s="3" t="s">
        <v>630</v>
      </c>
      <c r="Q3780" s="3" t="s">
        <v>631</v>
      </c>
      <c r="R3780" s="3" t="s">
        <v>632</v>
      </c>
      <c r="S3780" s="3">
        <v>70711070</v>
      </c>
      <c r="T3780" s="3">
        <v>6121031000</v>
      </c>
      <c r="U3780" s="3" t="s">
        <v>29</v>
      </c>
    </row>
    <row r="3781" spans="1:21" ht="13.2" x14ac:dyDescent="0.25">
      <c r="A3781" s="14">
        <v>26995487000183</v>
      </c>
      <c r="B3781" s="15" t="str">
        <f t="shared" si="59"/>
        <v>26.995.487/0001-83</v>
      </c>
      <c r="C3781" s="12"/>
      <c r="D3781" s="3" t="s">
        <v>13054</v>
      </c>
      <c r="E3781" s="3" t="s">
        <v>13054</v>
      </c>
      <c r="F3781" s="3" t="s">
        <v>20</v>
      </c>
      <c r="G3781" s="4">
        <v>42766</v>
      </c>
      <c r="H3781" s="3" t="s">
        <v>21</v>
      </c>
      <c r="I3781" s="3" t="s">
        <v>22</v>
      </c>
      <c r="J3781" s="5">
        <v>5743204</v>
      </c>
      <c r="K3781" s="3">
        <v>4211101</v>
      </c>
      <c r="L3781" s="3" t="s">
        <v>313</v>
      </c>
      <c r="M3781" s="3" t="s">
        <v>13055</v>
      </c>
      <c r="N3781" s="3">
        <v>110</v>
      </c>
      <c r="P3781" s="3" t="s">
        <v>1064</v>
      </c>
      <c r="Q3781" s="3" t="s">
        <v>27</v>
      </c>
      <c r="R3781" s="3" t="s">
        <v>28</v>
      </c>
      <c r="S3781" s="3">
        <v>4019040</v>
      </c>
      <c r="T3781" s="3">
        <v>1128727808</v>
      </c>
      <c r="U3781" s="3" t="s">
        <v>29</v>
      </c>
    </row>
    <row r="3782" spans="1:21" ht="13.2" x14ac:dyDescent="0.25">
      <c r="A3782" s="14">
        <v>57559387000138</v>
      </c>
      <c r="B3782" s="15" t="str">
        <f t="shared" si="59"/>
        <v>57.559.387/0001-38</v>
      </c>
      <c r="C3782" s="12" t="str">
        <f>VLOOKUP(B3782,[1]Planilha1!$A:$B,2,0)</f>
        <v>Malu Montesino</v>
      </c>
      <c r="D3782" s="3" t="s">
        <v>13056</v>
      </c>
      <c r="E3782" s="3" t="s">
        <v>13056</v>
      </c>
      <c r="F3782" s="3" t="s">
        <v>20</v>
      </c>
      <c r="G3782" s="4">
        <v>24719</v>
      </c>
      <c r="H3782" s="3" t="s">
        <v>94</v>
      </c>
      <c r="I3782" s="3" t="s">
        <v>33</v>
      </c>
      <c r="J3782" s="5">
        <v>279200900</v>
      </c>
      <c r="K3782" s="3">
        <v>8121400</v>
      </c>
      <c r="L3782" s="3" t="s">
        <v>494</v>
      </c>
      <c r="M3782" s="3" t="s">
        <v>13057</v>
      </c>
      <c r="N3782" s="3">
        <v>487</v>
      </c>
      <c r="P3782" s="3" t="s">
        <v>1503</v>
      </c>
      <c r="Q3782" s="3" t="s">
        <v>1410</v>
      </c>
      <c r="R3782" s="3" t="s">
        <v>28</v>
      </c>
      <c r="S3782" s="3">
        <v>9070510</v>
      </c>
      <c r="T3782" s="3">
        <v>1144283039</v>
      </c>
      <c r="U3782" s="3" t="s">
        <v>29</v>
      </c>
    </row>
    <row r="3783" spans="1:21" ht="13.2" x14ac:dyDescent="0.25">
      <c r="A3783" s="14">
        <v>873594000145</v>
      </c>
      <c r="B3783" s="15" t="str">
        <f t="shared" si="59"/>
        <v>00.873.594/0001-45</v>
      </c>
      <c r="C3783" s="12" t="str">
        <f>VLOOKUP(B3783,[1]Planilha1!$A:$B,2,0)</f>
        <v>Malu Montesino</v>
      </c>
      <c r="D3783" s="3" t="s">
        <v>13058</v>
      </c>
      <c r="E3783" s="3" t="s">
        <v>13058</v>
      </c>
      <c r="F3783" s="3" t="s">
        <v>20</v>
      </c>
      <c r="G3783" s="4">
        <v>34985</v>
      </c>
      <c r="H3783" s="3" t="s">
        <v>21</v>
      </c>
      <c r="I3783" s="3" t="s">
        <v>33</v>
      </c>
      <c r="J3783" s="5">
        <v>2000000</v>
      </c>
      <c r="K3783" s="3">
        <v>4929902</v>
      </c>
      <c r="L3783" s="3" t="s">
        <v>13059</v>
      </c>
      <c r="M3783" s="3" t="s">
        <v>13060</v>
      </c>
      <c r="N3783" s="3">
        <v>255</v>
      </c>
      <c r="P3783" s="3" t="s">
        <v>13061</v>
      </c>
      <c r="Q3783" s="3" t="s">
        <v>854</v>
      </c>
      <c r="R3783" s="3" t="s">
        <v>28</v>
      </c>
      <c r="S3783" s="3">
        <v>13486338</v>
      </c>
      <c r="T3783" s="3">
        <v>1937010857</v>
      </c>
      <c r="U3783" s="3" t="s">
        <v>29</v>
      </c>
    </row>
    <row r="3784" spans="1:21" ht="13.2" x14ac:dyDescent="0.25">
      <c r="A3784" s="14">
        <v>22090928000147</v>
      </c>
      <c r="B3784" s="15" t="str">
        <f t="shared" si="59"/>
        <v>22.090.928/0001-47</v>
      </c>
      <c r="C3784" s="12" t="str">
        <f>VLOOKUP(B3784,[1]Planilha1!$A:$B,2,0)</f>
        <v>Malu Montesino</v>
      </c>
      <c r="D3784" s="3" t="s">
        <v>13062</v>
      </c>
      <c r="E3784" s="3" t="s">
        <v>13063</v>
      </c>
      <c r="F3784" s="3" t="s">
        <v>20</v>
      </c>
      <c r="G3784" s="4">
        <v>42083</v>
      </c>
      <c r="H3784" s="3" t="s">
        <v>21</v>
      </c>
      <c r="I3784" s="3" t="s">
        <v>33</v>
      </c>
      <c r="J3784" s="5">
        <v>1010000</v>
      </c>
      <c r="K3784" s="3">
        <v>4321500</v>
      </c>
      <c r="L3784" s="3" t="s">
        <v>964</v>
      </c>
      <c r="M3784" s="3" t="s">
        <v>1648</v>
      </c>
      <c r="N3784" s="3">
        <v>336</v>
      </c>
      <c r="O3784" s="3" t="s">
        <v>13064</v>
      </c>
      <c r="P3784" s="3" t="s">
        <v>70</v>
      </c>
      <c r="Q3784" s="3" t="s">
        <v>294</v>
      </c>
      <c r="R3784" s="3" t="s">
        <v>28</v>
      </c>
      <c r="S3784" s="3">
        <v>11013202</v>
      </c>
      <c r="T3784" s="3">
        <v>1332244500</v>
      </c>
      <c r="U3784" s="3" t="s">
        <v>29</v>
      </c>
    </row>
    <row r="3785" spans="1:21" ht="13.2" x14ac:dyDescent="0.25">
      <c r="A3785" s="14">
        <v>24355680000124</v>
      </c>
      <c r="B3785" s="15" t="str">
        <f t="shared" si="59"/>
        <v>24.355.680/0001-24</v>
      </c>
      <c r="C3785" s="12"/>
      <c r="D3785" s="3" t="s">
        <v>13065</v>
      </c>
      <c r="E3785" s="3" t="s">
        <v>13065</v>
      </c>
      <c r="F3785" s="3" t="s">
        <v>20</v>
      </c>
      <c r="G3785" s="4">
        <v>42439</v>
      </c>
      <c r="H3785" s="3" t="s">
        <v>21</v>
      </c>
      <c r="I3785" s="3" t="s">
        <v>33</v>
      </c>
      <c r="J3785" s="5">
        <v>122000</v>
      </c>
      <c r="K3785" s="3">
        <v>4773300</v>
      </c>
      <c r="L3785" s="3" t="s">
        <v>706</v>
      </c>
      <c r="M3785" s="3" t="s">
        <v>13066</v>
      </c>
      <c r="N3785" s="3">
        <v>225</v>
      </c>
      <c r="O3785" s="3" t="s">
        <v>3014</v>
      </c>
      <c r="P3785" s="3" t="s">
        <v>6265</v>
      </c>
      <c r="Q3785" s="3" t="s">
        <v>524</v>
      </c>
      <c r="R3785" s="3" t="s">
        <v>28</v>
      </c>
      <c r="S3785" s="3">
        <v>14020310</v>
      </c>
      <c r="T3785" s="3">
        <v>1636202470</v>
      </c>
      <c r="U3785" s="3" t="s">
        <v>29</v>
      </c>
    </row>
    <row r="3786" spans="1:21" ht="13.2" x14ac:dyDescent="0.25">
      <c r="A3786" s="14">
        <v>2908361000166</v>
      </c>
      <c r="B3786" s="15" t="str">
        <f t="shared" si="59"/>
        <v>02.908.361/0001-66</v>
      </c>
      <c r="C3786" s="12" t="str">
        <f>VLOOKUP(B3786,[1]Planilha1!$A:$B,2,0)</f>
        <v>Malu Montesino</v>
      </c>
      <c r="D3786" s="3" t="s">
        <v>13067</v>
      </c>
      <c r="E3786" s="3" t="s">
        <v>13067</v>
      </c>
      <c r="F3786" s="3" t="s">
        <v>20</v>
      </c>
      <c r="G3786" s="4">
        <v>35376</v>
      </c>
      <c r="H3786" s="3" t="s">
        <v>21</v>
      </c>
      <c r="I3786" s="3" t="s">
        <v>33</v>
      </c>
      <c r="J3786" s="5">
        <v>270000</v>
      </c>
      <c r="K3786" s="3">
        <v>2229399</v>
      </c>
      <c r="L3786" s="3" t="s">
        <v>414</v>
      </c>
      <c r="M3786" s="3" t="s">
        <v>13068</v>
      </c>
      <c r="N3786" s="3">
        <v>360</v>
      </c>
      <c r="P3786" s="3" t="s">
        <v>13069</v>
      </c>
      <c r="Q3786" s="3" t="s">
        <v>13070</v>
      </c>
      <c r="R3786" s="3" t="s">
        <v>28</v>
      </c>
      <c r="S3786" s="3">
        <v>14818400</v>
      </c>
      <c r="T3786" s="3">
        <v>1699625625</v>
      </c>
      <c r="U3786" s="3" t="s">
        <v>29</v>
      </c>
    </row>
    <row r="3787" spans="1:21" ht="13.2" x14ac:dyDescent="0.25">
      <c r="A3787" s="14">
        <v>19913591000116</v>
      </c>
      <c r="B3787" s="15" t="str">
        <f t="shared" si="59"/>
        <v>19.913.591/0001-16</v>
      </c>
      <c r="C3787" s="12"/>
      <c r="D3787" s="3" t="s">
        <v>13071</v>
      </c>
      <c r="E3787" s="3" t="s">
        <v>13072</v>
      </c>
      <c r="F3787" s="3" t="s">
        <v>20</v>
      </c>
      <c r="G3787" s="4">
        <v>41716</v>
      </c>
      <c r="H3787" s="3" t="s">
        <v>21</v>
      </c>
      <c r="I3787" s="3" t="s">
        <v>22</v>
      </c>
      <c r="J3787" s="5">
        <v>250000</v>
      </c>
      <c r="K3787" s="3">
        <v>4647801</v>
      </c>
      <c r="L3787" s="3" t="s">
        <v>4947</v>
      </c>
      <c r="M3787" s="3" t="s">
        <v>13073</v>
      </c>
      <c r="N3787" s="3">
        <v>1511</v>
      </c>
      <c r="P3787" s="3" t="s">
        <v>13074</v>
      </c>
      <c r="Q3787" s="3" t="s">
        <v>4942</v>
      </c>
      <c r="R3787" s="3" t="s">
        <v>281</v>
      </c>
      <c r="S3787" s="3">
        <v>44020062</v>
      </c>
      <c r="T3787" s="3">
        <v>7530226449</v>
      </c>
      <c r="U3787" s="3" t="s">
        <v>29</v>
      </c>
    </row>
    <row r="3788" spans="1:21" ht="13.2" x14ac:dyDescent="0.25">
      <c r="A3788" s="14">
        <v>61084018000103</v>
      </c>
      <c r="B3788" s="15" t="str">
        <f t="shared" si="59"/>
        <v>61.084.018/0001-03</v>
      </c>
      <c r="C3788" s="12" t="str">
        <f>VLOOKUP(B3788,[1]Planilha1!$A:$B,2,0)</f>
        <v>Malu Montesino</v>
      </c>
      <c r="D3788" s="3" t="s">
        <v>13075</v>
      </c>
      <c r="E3788" s="3" t="s">
        <v>13075</v>
      </c>
      <c r="F3788" s="3" t="s">
        <v>20</v>
      </c>
      <c r="G3788" s="4">
        <v>17580</v>
      </c>
      <c r="H3788" s="3" t="s">
        <v>94</v>
      </c>
      <c r="I3788" s="3" t="s">
        <v>33</v>
      </c>
      <c r="J3788" s="5">
        <v>210707250</v>
      </c>
      <c r="K3788" s="3">
        <v>4922102</v>
      </c>
      <c r="L3788" s="3" t="s">
        <v>4461</v>
      </c>
      <c r="M3788" s="3" t="s">
        <v>13076</v>
      </c>
      <c r="N3788" s="3">
        <v>772</v>
      </c>
      <c r="P3788" s="3" t="s">
        <v>13077</v>
      </c>
      <c r="Q3788" s="3" t="s">
        <v>27</v>
      </c>
      <c r="R3788" s="3" t="s">
        <v>28</v>
      </c>
      <c r="S3788" s="3">
        <v>2167900</v>
      </c>
      <c r="T3788" s="3">
        <v>2121091001</v>
      </c>
      <c r="U3788" s="3" t="s">
        <v>29</v>
      </c>
    </row>
    <row r="3789" spans="1:21" ht="13.2" x14ac:dyDescent="0.25">
      <c r="A3789" s="14">
        <v>19421654000117</v>
      </c>
      <c r="B3789" s="15" t="str">
        <f t="shared" si="59"/>
        <v>19.421.654/0001-17</v>
      </c>
      <c r="C3789" s="12"/>
      <c r="D3789" s="3" t="s">
        <v>13078</v>
      </c>
      <c r="E3789" s="3" t="s">
        <v>13078</v>
      </c>
      <c r="F3789" s="3" t="s">
        <v>20</v>
      </c>
      <c r="G3789" s="4">
        <v>41620</v>
      </c>
      <c r="H3789" s="3" t="s">
        <v>21</v>
      </c>
      <c r="I3789" s="3" t="s">
        <v>22</v>
      </c>
      <c r="J3789" s="5">
        <v>3000000</v>
      </c>
      <c r="K3789" s="3">
        <v>4922101</v>
      </c>
      <c r="L3789" s="3" t="s">
        <v>5950</v>
      </c>
      <c r="M3789" s="3" t="s">
        <v>13079</v>
      </c>
      <c r="N3789" s="3">
        <v>251</v>
      </c>
      <c r="P3789" s="3" t="s">
        <v>13080</v>
      </c>
      <c r="Q3789" s="3" t="s">
        <v>110</v>
      </c>
      <c r="R3789" s="3" t="s">
        <v>765</v>
      </c>
      <c r="S3789" s="3">
        <v>29650000</v>
      </c>
      <c r="T3789" s="3">
        <v>2732278044</v>
      </c>
      <c r="U3789" s="3" t="s">
        <v>29</v>
      </c>
    </row>
    <row r="3790" spans="1:21" ht="13.2" x14ac:dyDescent="0.25">
      <c r="A3790" s="14">
        <v>13596559000178</v>
      </c>
      <c r="B3790" s="15" t="str">
        <f t="shared" si="59"/>
        <v>13.596.559/0001-78</v>
      </c>
      <c r="C3790" s="12"/>
      <c r="D3790" s="3" t="s">
        <v>13081</v>
      </c>
      <c r="E3790" s="3" t="s">
        <v>13082</v>
      </c>
      <c r="F3790" s="3" t="s">
        <v>20</v>
      </c>
      <c r="G3790" s="4">
        <v>40662</v>
      </c>
      <c r="H3790" s="3" t="s">
        <v>21</v>
      </c>
      <c r="I3790" s="3" t="s">
        <v>33</v>
      </c>
      <c r="J3790" s="5">
        <v>2000000</v>
      </c>
      <c r="K3790" s="3">
        <v>4313400</v>
      </c>
      <c r="L3790" s="3" t="s">
        <v>3808</v>
      </c>
      <c r="M3790" s="3" t="s">
        <v>13083</v>
      </c>
      <c r="N3790" s="3">
        <v>128</v>
      </c>
      <c r="O3790" s="3" t="s">
        <v>13084</v>
      </c>
      <c r="P3790" s="3" t="s">
        <v>5188</v>
      </c>
      <c r="Q3790" s="3" t="s">
        <v>1339</v>
      </c>
      <c r="R3790" s="3" t="s">
        <v>456</v>
      </c>
      <c r="S3790" s="3">
        <v>51020350</v>
      </c>
      <c r="T3790" s="3">
        <v>8134663636</v>
      </c>
      <c r="U3790" s="3" t="s">
        <v>29</v>
      </c>
    </row>
    <row r="3791" spans="1:21" ht="13.2" x14ac:dyDescent="0.25">
      <c r="A3791" s="14">
        <v>58681867000130</v>
      </c>
      <c r="B3791" s="15" t="str">
        <f t="shared" si="59"/>
        <v>58.681.867/0001-30</v>
      </c>
      <c r="C3791" s="12" t="str">
        <f>VLOOKUP(B3791,[1]Planilha1!$A:$B,2,0)</f>
        <v>Malu Montesino</v>
      </c>
      <c r="D3791" s="3" t="s">
        <v>13085</v>
      </c>
      <c r="E3791" s="3" t="s">
        <v>13085</v>
      </c>
      <c r="F3791" s="3" t="s">
        <v>20</v>
      </c>
      <c r="G3791" s="4">
        <v>32927</v>
      </c>
      <c r="H3791" s="3" t="s">
        <v>21</v>
      </c>
      <c r="I3791" s="3" t="s">
        <v>33</v>
      </c>
      <c r="J3791" s="5">
        <v>278351600</v>
      </c>
      <c r="K3791" s="3">
        <v>2073800</v>
      </c>
      <c r="L3791" s="3" t="s">
        <v>13086</v>
      </c>
      <c r="M3791" s="3" t="s">
        <v>13087</v>
      </c>
      <c r="N3791" s="3">
        <v>6401</v>
      </c>
      <c r="P3791" s="3" t="s">
        <v>13088</v>
      </c>
      <c r="Q3791" s="3" t="s">
        <v>13089</v>
      </c>
      <c r="R3791" s="3" t="s">
        <v>28</v>
      </c>
      <c r="S3791" s="3">
        <v>12282535</v>
      </c>
      <c r="T3791" s="3">
        <v>1232213000</v>
      </c>
      <c r="U3791" s="3" t="s">
        <v>29</v>
      </c>
    </row>
    <row r="3792" spans="1:21" ht="13.2" x14ac:dyDescent="0.25">
      <c r="A3792" s="14">
        <v>5656727000226</v>
      </c>
      <c r="B3792" s="15" t="str">
        <f t="shared" si="59"/>
        <v>05.656.727/0002-26</v>
      </c>
      <c r="C3792" s="12"/>
      <c r="D3792" s="3" t="s">
        <v>13090</v>
      </c>
      <c r="E3792" s="3" t="s">
        <v>13090</v>
      </c>
      <c r="F3792" s="3" t="s">
        <v>45</v>
      </c>
      <c r="G3792" s="4">
        <v>39650</v>
      </c>
      <c r="H3792" s="3" t="s">
        <v>21</v>
      </c>
      <c r="I3792" s="3" t="s">
        <v>33</v>
      </c>
      <c r="J3792" s="5">
        <v>169808260</v>
      </c>
      <c r="K3792" s="3">
        <v>4644301</v>
      </c>
      <c r="L3792" s="3" t="s">
        <v>326</v>
      </c>
      <c r="M3792" s="3" t="s">
        <v>6943</v>
      </c>
      <c r="N3792" s="3">
        <v>147</v>
      </c>
      <c r="O3792" s="3" t="s">
        <v>13091</v>
      </c>
      <c r="P3792" s="3" t="s">
        <v>6945</v>
      </c>
      <c r="Q3792" s="3" t="s">
        <v>4528</v>
      </c>
      <c r="R3792" s="3" t="s">
        <v>765</v>
      </c>
      <c r="S3792" s="3">
        <v>29173795</v>
      </c>
      <c r="T3792" s="3">
        <v>2730259292</v>
      </c>
      <c r="U3792" s="3" t="s">
        <v>29</v>
      </c>
    </row>
    <row r="3793" spans="1:21" ht="13.2" x14ac:dyDescent="0.25">
      <c r="A3793" s="14">
        <v>34274233000102</v>
      </c>
      <c r="B3793" s="15" t="str">
        <f t="shared" si="59"/>
        <v>34.274.233/0001-02</v>
      </c>
      <c r="C3793" s="12"/>
      <c r="D3793" s="3" t="s">
        <v>13092</v>
      </c>
      <c r="E3793" s="3" t="s">
        <v>13092</v>
      </c>
      <c r="F3793" s="3" t="s">
        <v>20</v>
      </c>
      <c r="G3793" s="4">
        <v>26431</v>
      </c>
      <c r="H3793" s="3" t="s">
        <v>377</v>
      </c>
      <c r="I3793" s="3" t="s">
        <v>33</v>
      </c>
      <c r="J3793" s="5">
        <v>7578709500</v>
      </c>
      <c r="K3793" s="3">
        <v>4681801</v>
      </c>
      <c r="L3793" s="3" t="s">
        <v>7660</v>
      </c>
      <c r="M3793" s="3" t="s">
        <v>13093</v>
      </c>
      <c r="N3793" s="3">
        <v>250</v>
      </c>
      <c r="P3793" s="3" t="s">
        <v>2994</v>
      </c>
      <c r="Q3793" s="3" t="s">
        <v>253</v>
      </c>
      <c r="R3793" s="3" t="s">
        <v>78</v>
      </c>
      <c r="S3793" s="3">
        <v>20211140</v>
      </c>
      <c r="T3793" s="3">
        <v>2123543151</v>
      </c>
      <c r="U3793" s="3" t="s">
        <v>29</v>
      </c>
    </row>
    <row r="3794" spans="1:21" ht="13.2" x14ac:dyDescent="0.25">
      <c r="A3794" s="14">
        <v>96228317000159</v>
      </c>
      <c r="B3794" s="15" t="str">
        <f t="shared" si="59"/>
        <v>96.228.317/0001-59</v>
      </c>
      <c r="C3794" s="12" t="str">
        <f>VLOOKUP(B3794,[1]Planilha1!$A:$B,2,0)</f>
        <v>Malu Montesino</v>
      </c>
      <c r="D3794" s="3" t="s">
        <v>13094</v>
      </c>
      <c r="E3794" s="3" t="s">
        <v>13094</v>
      </c>
      <c r="F3794" s="3" t="s">
        <v>20</v>
      </c>
      <c r="G3794" s="4">
        <v>34010</v>
      </c>
      <c r="H3794" s="3" t="s">
        <v>21</v>
      </c>
      <c r="I3794" s="3" t="s">
        <v>33</v>
      </c>
      <c r="J3794" s="5">
        <v>3066604</v>
      </c>
      <c r="K3794" s="3">
        <v>2869100</v>
      </c>
      <c r="L3794" s="3" t="s">
        <v>1416</v>
      </c>
      <c r="M3794" s="3" t="s">
        <v>13095</v>
      </c>
      <c r="N3794" s="3">
        <v>271</v>
      </c>
      <c r="O3794" s="3" t="s">
        <v>13096</v>
      </c>
      <c r="P3794" s="3" t="s">
        <v>11135</v>
      </c>
      <c r="Q3794" s="3" t="s">
        <v>688</v>
      </c>
      <c r="R3794" s="3" t="s">
        <v>28</v>
      </c>
      <c r="S3794" s="3">
        <v>6715860</v>
      </c>
      <c r="T3794" s="3">
        <v>1132240200</v>
      </c>
      <c r="U3794" s="3" t="s">
        <v>29</v>
      </c>
    </row>
    <row r="3795" spans="1:21" ht="13.2" x14ac:dyDescent="0.25">
      <c r="A3795" s="14">
        <v>39032974000192</v>
      </c>
      <c r="B3795" s="15" t="str">
        <f t="shared" si="59"/>
        <v>39.032.974/0001-92</v>
      </c>
      <c r="C3795" s="12" t="str">
        <f>VLOOKUP(B3795,[1]Planilha1!$A:$B,2,0)</f>
        <v>Mariane Nascimento</v>
      </c>
      <c r="D3795" s="3" t="s">
        <v>13097</v>
      </c>
      <c r="E3795" s="3" t="s">
        <v>13098</v>
      </c>
      <c r="F3795" s="3" t="s">
        <v>20</v>
      </c>
      <c r="G3795" s="4">
        <v>33058</v>
      </c>
      <c r="H3795" s="3" t="s">
        <v>21</v>
      </c>
      <c r="I3795" s="3" t="s">
        <v>33</v>
      </c>
      <c r="J3795" s="5">
        <v>100020000</v>
      </c>
      <c r="K3795" s="3">
        <v>2110600</v>
      </c>
      <c r="L3795" s="3" t="s">
        <v>1425</v>
      </c>
      <c r="M3795" s="3" t="s">
        <v>13099</v>
      </c>
      <c r="N3795" s="3">
        <v>62</v>
      </c>
      <c r="P3795" s="3" t="s">
        <v>13100</v>
      </c>
      <c r="Q3795" s="3" t="s">
        <v>8802</v>
      </c>
      <c r="R3795" s="3" t="s">
        <v>28</v>
      </c>
      <c r="S3795" s="3">
        <v>15901502</v>
      </c>
      <c r="T3795" s="3">
        <v>1632538100</v>
      </c>
      <c r="U3795" s="3" t="s">
        <v>29</v>
      </c>
    </row>
    <row r="3796" spans="1:21" ht="13.2" x14ac:dyDescent="0.25">
      <c r="A3796" s="14">
        <v>5391403000122</v>
      </c>
      <c r="B3796" s="15" t="str">
        <f t="shared" si="59"/>
        <v>05.391.403/0001-22</v>
      </c>
      <c r="C3796" s="12"/>
      <c r="D3796" s="3" t="s">
        <v>13101</v>
      </c>
      <c r="E3796" s="3" t="s">
        <v>13101</v>
      </c>
      <c r="F3796" s="3" t="s">
        <v>20</v>
      </c>
      <c r="G3796" s="4">
        <v>37578</v>
      </c>
      <c r="H3796" s="3" t="s">
        <v>21</v>
      </c>
      <c r="I3796" s="3" t="s">
        <v>33</v>
      </c>
      <c r="J3796" s="5">
        <v>50000</v>
      </c>
      <c r="K3796" s="3">
        <v>2229302</v>
      </c>
      <c r="L3796" s="3" t="s">
        <v>576</v>
      </c>
      <c r="M3796" s="3" t="s">
        <v>13102</v>
      </c>
      <c r="N3796" s="3">
        <v>172</v>
      </c>
      <c r="P3796" s="3" t="s">
        <v>897</v>
      </c>
      <c r="Q3796" s="3" t="s">
        <v>423</v>
      </c>
      <c r="R3796" s="3" t="s">
        <v>91</v>
      </c>
      <c r="S3796" s="3">
        <v>89239283</v>
      </c>
      <c r="T3796" s="3">
        <v>4734735347</v>
      </c>
      <c r="U3796" s="3" t="s">
        <v>29</v>
      </c>
    </row>
    <row r="3797" spans="1:21" ht="13.2" x14ac:dyDescent="0.25">
      <c r="A3797" s="14">
        <v>2811903000188</v>
      </c>
      <c r="B3797" s="15" t="str">
        <f t="shared" si="59"/>
        <v>02.811.903/0001-88</v>
      </c>
      <c r="C3797" s="12" t="str">
        <f>VLOOKUP(B3797,[1]Planilha1!$A:$B,2,0)</f>
        <v>Malu Montesino</v>
      </c>
      <c r="D3797" s="3" t="s">
        <v>13103</v>
      </c>
      <c r="E3797" s="3" t="s">
        <v>13103</v>
      </c>
      <c r="F3797" s="3" t="s">
        <v>20</v>
      </c>
      <c r="G3797" s="4">
        <v>36077</v>
      </c>
      <c r="H3797" s="3" t="s">
        <v>21</v>
      </c>
      <c r="I3797" s="3" t="s">
        <v>33</v>
      </c>
      <c r="J3797" s="5">
        <v>10210000</v>
      </c>
      <c r="K3797" s="3">
        <v>2229399</v>
      </c>
      <c r="L3797" s="3" t="s">
        <v>414</v>
      </c>
      <c r="M3797" s="3" t="s">
        <v>8839</v>
      </c>
      <c r="N3797" s="3" t="s">
        <v>13104</v>
      </c>
      <c r="P3797" s="3" t="s">
        <v>1529</v>
      </c>
      <c r="Q3797" s="3" t="s">
        <v>8393</v>
      </c>
      <c r="R3797" s="3" t="s">
        <v>187</v>
      </c>
      <c r="S3797" s="3">
        <v>86990000</v>
      </c>
      <c r="T3797" s="3">
        <v>4430254006</v>
      </c>
      <c r="U3797" s="3" t="s">
        <v>29</v>
      </c>
    </row>
    <row r="3798" spans="1:21" ht="13.2" x14ac:dyDescent="0.25">
      <c r="A3798" s="14">
        <v>13196901000223</v>
      </c>
      <c r="B3798" s="15" t="str">
        <f t="shared" si="59"/>
        <v>13.196.901/0002-23</v>
      </c>
      <c r="C3798" s="12"/>
      <c r="D3798" s="3" t="s">
        <v>13105</v>
      </c>
      <c r="E3798" s="3" t="s">
        <v>13106</v>
      </c>
      <c r="F3798" s="3" t="s">
        <v>20</v>
      </c>
      <c r="G3798" s="4">
        <v>40633</v>
      </c>
      <c r="H3798" s="3" t="s">
        <v>21</v>
      </c>
      <c r="I3798" s="3" t="s">
        <v>33</v>
      </c>
      <c r="J3798" s="5">
        <v>3675400</v>
      </c>
      <c r="K3798" s="3">
        <v>4682600</v>
      </c>
      <c r="L3798" s="3" t="s">
        <v>1219</v>
      </c>
      <c r="M3798" s="3" t="s">
        <v>13107</v>
      </c>
      <c r="N3798" s="3">
        <v>767</v>
      </c>
      <c r="P3798" s="3" t="s">
        <v>261</v>
      </c>
      <c r="Q3798" s="3" t="s">
        <v>2128</v>
      </c>
      <c r="R3798" s="3" t="s">
        <v>28</v>
      </c>
      <c r="S3798" s="3">
        <v>13147073</v>
      </c>
      <c r="T3798" s="3">
        <v>1938445910</v>
      </c>
      <c r="U3798" s="3" t="s">
        <v>29</v>
      </c>
    </row>
    <row r="3799" spans="1:21" ht="13.2" x14ac:dyDescent="0.25">
      <c r="A3799" s="14">
        <v>17044239000166</v>
      </c>
      <c r="B3799" s="15" t="str">
        <f t="shared" si="59"/>
        <v>17.044.239/0001-66</v>
      </c>
      <c r="C3799" s="12"/>
      <c r="D3799" s="3" t="s">
        <v>13108</v>
      </c>
      <c r="E3799" s="3" t="s">
        <v>13109</v>
      </c>
      <c r="F3799" s="3" t="s">
        <v>20</v>
      </c>
      <c r="G3799" s="4">
        <v>41204</v>
      </c>
      <c r="H3799" s="3" t="s">
        <v>21</v>
      </c>
      <c r="I3799" s="3" t="s">
        <v>22</v>
      </c>
      <c r="J3799" s="5">
        <v>40000</v>
      </c>
      <c r="K3799" s="3">
        <v>4773300</v>
      </c>
      <c r="L3799" s="3" t="s">
        <v>706</v>
      </c>
      <c r="M3799" s="3" t="s">
        <v>13110</v>
      </c>
      <c r="N3799" s="3">
        <v>308</v>
      </c>
      <c r="P3799" s="3" t="s">
        <v>5690</v>
      </c>
      <c r="Q3799" s="3" t="s">
        <v>231</v>
      </c>
      <c r="R3799" s="3" t="s">
        <v>28</v>
      </c>
      <c r="S3799" s="3">
        <v>18090520</v>
      </c>
      <c r="T3799" s="3">
        <v>1598499809</v>
      </c>
      <c r="U3799" s="3" t="s">
        <v>29</v>
      </c>
    </row>
    <row r="3800" spans="1:21" ht="13.2" x14ac:dyDescent="0.25">
      <c r="A3800" s="14">
        <v>15403734000199</v>
      </c>
      <c r="B3800" s="15" t="str">
        <f t="shared" si="59"/>
        <v>15.403.734/0001-99</v>
      </c>
      <c r="C3800" s="12"/>
      <c r="D3800" s="3" t="s">
        <v>13111</v>
      </c>
      <c r="E3800" s="3" t="s">
        <v>13112</v>
      </c>
      <c r="F3800" s="3" t="s">
        <v>20</v>
      </c>
      <c r="G3800" s="4">
        <v>40990</v>
      </c>
      <c r="H3800" s="3" t="s">
        <v>21</v>
      </c>
      <c r="I3800" s="3" t="s">
        <v>33</v>
      </c>
      <c r="J3800" s="5">
        <v>100000</v>
      </c>
      <c r="K3800" s="3">
        <v>1020101</v>
      </c>
      <c r="L3800" s="3" t="s">
        <v>3856</v>
      </c>
      <c r="M3800" s="3" t="s">
        <v>13113</v>
      </c>
      <c r="N3800" s="3">
        <v>590</v>
      </c>
      <c r="P3800" s="3" t="s">
        <v>12192</v>
      </c>
      <c r="Q3800" s="3" t="s">
        <v>4978</v>
      </c>
      <c r="R3800" s="3" t="s">
        <v>28</v>
      </c>
      <c r="S3800" s="3">
        <v>13601200</v>
      </c>
      <c r="T3800" s="3">
        <v>1998045973</v>
      </c>
      <c r="U3800" s="3" t="s">
        <v>29</v>
      </c>
    </row>
    <row r="3801" spans="1:21" ht="13.2" x14ac:dyDescent="0.25">
      <c r="A3801" s="14">
        <v>3735193000117</v>
      </c>
      <c r="B3801" s="15" t="str">
        <f t="shared" si="59"/>
        <v>03.735.193/0001-17</v>
      </c>
      <c r="C3801" s="12" t="str">
        <f>VLOOKUP(B3801,[1]Planilha1!$A:$B,2,0)</f>
        <v>Mariane Nascimento</v>
      </c>
      <c r="D3801" s="3" t="s">
        <v>13114</v>
      </c>
      <c r="E3801" s="3" t="s">
        <v>13114</v>
      </c>
      <c r="F3801" s="3" t="s">
        <v>20</v>
      </c>
      <c r="G3801" s="4">
        <v>36619</v>
      </c>
      <c r="H3801" s="3" t="s">
        <v>94</v>
      </c>
      <c r="I3801" s="3" t="s">
        <v>33</v>
      </c>
      <c r="J3801" s="5">
        <v>24047894</v>
      </c>
      <c r="K3801" s="3">
        <v>6209100</v>
      </c>
      <c r="L3801" s="3" t="s">
        <v>303</v>
      </c>
      <c r="M3801" s="3" t="s">
        <v>470</v>
      </c>
      <c r="N3801" s="3">
        <v>439</v>
      </c>
      <c r="O3801" s="3" t="s">
        <v>13115</v>
      </c>
      <c r="P3801" s="3" t="s">
        <v>70</v>
      </c>
      <c r="Q3801" s="3" t="s">
        <v>471</v>
      </c>
      <c r="R3801" s="3" t="s">
        <v>28</v>
      </c>
      <c r="S3801" s="3">
        <v>9520070</v>
      </c>
      <c r="T3801" s="3">
        <v>1142259050</v>
      </c>
      <c r="U3801" s="3" t="s">
        <v>29</v>
      </c>
    </row>
    <row r="3802" spans="1:21" ht="13.2" x14ac:dyDescent="0.25">
      <c r="A3802" s="14">
        <v>8176258000155</v>
      </c>
      <c r="B3802" s="15" t="str">
        <f t="shared" si="59"/>
        <v>08.176.258/0001-55</v>
      </c>
      <c r="C3802" s="12" t="str">
        <f>VLOOKUP(B3802,[1]Planilha1!$A:$B,2,0)</f>
        <v>Malu Montesino</v>
      </c>
      <c r="D3802" s="3" t="s">
        <v>13116</v>
      </c>
      <c r="E3802" s="3" t="s">
        <v>13117</v>
      </c>
      <c r="F3802" s="3" t="s">
        <v>20</v>
      </c>
      <c r="G3802" s="4">
        <v>38924</v>
      </c>
      <c r="H3802" s="3" t="s">
        <v>21</v>
      </c>
      <c r="I3802" s="3" t="s">
        <v>33</v>
      </c>
      <c r="J3802" s="5">
        <v>1000000</v>
      </c>
      <c r="K3802" s="3">
        <v>4662100</v>
      </c>
      <c r="L3802" s="3" t="s">
        <v>2324</v>
      </c>
      <c r="M3802" s="3" t="s">
        <v>6309</v>
      </c>
      <c r="N3802" s="3" t="s">
        <v>111</v>
      </c>
      <c r="O3802" s="3" t="s">
        <v>13118</v>
      </c>
      <c r="P3802" s="3" t="s">
        <v>422</v>
      </c>
      <c r="Q3802" s="3" t="s">
        <v>13119</v>
      </c>
      <c r="R3802" s="3" t="s">
        <v>91</v>
      </c>
      <c r="S3802" s="3">
        <v>88780000</v>
      </c>
      <c r="T3802" s="3">
        <v>4833565300</v>
      </c>
      <c r="U3802" s="3" t="s">
        <v>29</v>
      </c>
    </row>
    <row r="3803" spans="1:21" ht="13.2" x14ac:dyDescent="0.25">
      <c r="A3803" s="14">
        <v>15320722000109</v>
      </c>
      <c r="B3803" s="15" t="str">
        <f t="shared" si="59"/>
        <v>15.320.722/0001-09</v>
      </c>
      <c r="C3803" s="12"/>
      <c r="D3803" s="3" t="s">
        <v>13120</v>
      </c>
      <c r="E3803" s="3" t="s">
        <v>13121</v>
      </c>
      <c r="F3803" s="3" t="s">
        <v>20</v>
      </c>
      <c r="G3803" s="4">
        <v>40994</v>
      </c>
      <c r="H3803" s="3" t="s">
        <v>21</v>
      </c>
      <c r="I3803" s="3" t="s">
        <v>33</v>
      </c>
      <c r="J3803" s="5">
        <v>10000000</v>
      </c>
      <c r="K3803" s="3">
        <v>4120400</v>
      </c>
      <c r="L3803" s="3" t="s">
        <v>87</v>
      </c>
      <c r="M3803" s="3" t="s">
        <v>3314</v>
      </c>
      <c r="N3803" s="3">
        <v>586</v>
      </c>
      <c r="O3803" s="3" t="s">
        <v>3547</v>
      </c>
      <c r="P3803" s="3" t="s">
        <v>13122</v>
      </c>
      <c r="Q3803" s="3" t="s">
        <v>617</v>
      </c>
      <c r="R3803" s="3" t="s">
        <v>28</v>
      </c>
      <c r="S3803" s="3">
        <v>6419220</v>
      </c>
      <c r="T3803" s="3">
        <v>1141989336</v>
      </c>
      <c r="U3803" s="3" t="s">
        <v>29</v>
      </c>
    </row>
    <row r="3804" spans="1:21" ht="13.2" x14ac:dyDescent="0.25">
      <c r="A3804" s="14">
        <v>7308989000144</v>
      </c>
      <c r="B3804" s="15" t="str">
        <f t="shared" si="59"/>
        <v>07.308.989/0001-44</v>
      </c>
      <c r="C3804" s="12"/>
      <c r="D3804" s="3" t="s">
        <v>13123</v>
      </c>
      <c r="E3804" s="3" t="s">
        <v>13124</v>
      </c>
      <c r="F3804" s="3" t="s">
        <v>45</v>
      </c>
      <c r="G3804" s="4">
        <v>38441</v>
      </c>
      <c r="H3804" s="3" t="s">
        <v>21</v>
      </c>
      <c r="I3804" s="3" t="s">
        <v>47</v>
      </c>
      <c r="J3804" s="5">
        <v>531000</v>
      </c>
      <c r="K3804" s="3">
        <v>4645101</v>
      </c>
      <c r="L3804" s="3" t="s">
        <v>135</v>
      </c>
      <c r="M3804" s="3" t="s">
        <v>9056</v>
      </c>
      <c r="N3804" s="3" t="s">
        <v>82</v>
      </c>
      <c r="O3804" s="3" t="s">
        <v>13125</v>
      </c>
      <c r="P3804" s="3" t="s">
        <v>6376</v>
      </c>
      <c r="Q3804" s="3" t="s">
        <v>4528</v>
      </c>
      <c r="R3804" s="3" t="s">
        <v>765</v>
      </c>
      <c r="S3804" s="3">
        <v>29168030</v>
      </c>
      <c r="T3804" s="3">
        <v>2741011904</v>
      </c>
      <c r="U3804" s="3" t="s">
        <v>29</v>
      </c>
    </row>
    <row r="3805" spans="1:21" ht="13.2" x14ac:dyDescent="0.25">
      <c r="A3805" s="14">
        <v>13324184000197</v>
      </c>
      <c r="B3805" s="15" t="str">
        <f t="shared" si="59"/>
        <v>13.324.184/0001-97</v>
      </c>
      <c r="C3805" s="12"/>
      <c r="D3805" s="3" t="s">
        <v>13126</v>
      </c>
      <c r="E3805" s="3" t="s">
        <v>13126</v>
      </c>
      <c r="F3805" s="3" t="s">
        <v>20</v>
      </c>
      <c r="G3805" s="4">
        <v>40588</v>
      </c>
      <c r="H3805" s="3" t="s">
        <v>94</v>
      </c>
      <c r="I3805" s="3" t="s">
        <v>33</v>
      </c>
      <c r="J3805" s="5">
        <v>4611315000</v>
      </c>
      <c r="K3805" s="3">
        <v>4631100</v>
      </c>
      <c r="L3805" s="3" t="s">
        <v>13127</v>
      </c>
      <c r="M3805" s="3" t="s">
        <v>13128</v>
      </c>
      <c r="N3805" s="3">
        <v>396</v>
      </c>
      <c r="O3805" s="3" t="s">
        <v>222</v>
      </c>
      <c r="P3805" s="3" t="s">
        <v>142</v>
      </c>
      <c r="Q3805" s="3" t="s">
        <v>27</v>
      </c>
      <c r="R3805" s="3" t="s">
        <v>28</v>
      </c>
      <c r="S3805" s="3">
        <v>3019900</v>
      </c>
      <c r="T3805" s="3">
        <v>1127995763</v>
      </c>
      <c r="U3805" s="3" t="s">
        <v>29</v>
      </c>
    </row>
    <row r="3806" spans="1:21" ht="13.2" x14ac:dyDescent="0.25">
      <c r="A3806" s="14">
        <v>42566752000164</v>
      </c>
      <c r="B3806" s="15" t="str">
        <f t="shared" si="59"/>
        <v>42.566.752/0001-64</v>
      </c>
      <c r="C3806" s="12" t="str">
        <f>VLOOKUP(B3806,[1]Planilha1!$A:$B,2,0)</f>
        <v>Malu Montesino</v>
      </c>
      <c r="D3806" s="3" t="s">
        <v>13129</v>
      </c>
      <c r="E3806" s="3" t="s">
        <v>13129</v>
      </c>
      <c r="F3806" s="3" t="s">
        <v>20</v>
      </c>
      <c r="G3806" s="4">
        <v>27940</v>
      </c>
      <c r="H3806" s="3" t="s">
        <v>94</v>
      </c>
      <c r="I3806" s="3" t="s">
        <v>33</v>
      </c>
      <c r="J3806" s="5">
        <v>0</v>
      </c>
      <c r="K3806" s="3">
        <v>2423702</v>
      </c>
      <c r="L3806" s="3" t="s">
        <v>1587</v>
      </c>
      <c r="M3806" s="3" t="s">
        <v>13130</v>
      </c>
      <c r="N3806" s="3">
        <v>155</v>
      </c>
      <c r="O3806" s="3" t="s">
        <v>13131</v>
      </c>
      <c r="P3806" s="3" t="s">
        <v>13132</v>
      </c>
      <c r="Q3806" s="3" t="s">
        <v>85</v>
      </c>
      <c r="R3806" s="3" t="s">
        <v>28</v>
      </c>
      <c r="S3806" s="3">
        <v>13177900</v>
      </c>
      <c r="T3806" s="3">
        <v>1938648000</v>
      </c>
      <c r="U3806" s="3" t="s">
        <v>29</v>
      </c>
    </row>
    <row r="3807" spans="1:21" ht="13.2" x14ac:dyDescent="0.25">
      <c r="A3807" s="14">
        <v>5305148000158</v>
      </c>
      <c r="B3807" s="15" t="str">
        <f t="shared" si="59"/>
        <v>05.305.148/0001-58</v>
      </c>
      <c r="C3807" s="12" t="str">
        <f>VLOOKUP(B3807,[1]Planilha1!$A:$B,2,0)</f>
        <v>Malu Montesino</v>
      </c>
      <c r="D3807" s="3" t="s">
        <v>13133</v>
      </c>
      <c r="E3807" s="3" t="s">
        <v>13133</v>
      </c>
      <c r="F3807" s="3" t="s">
        <v>20</v>
      </c>
      <c r="G3807" s="4">
        <v>37477</v>
      </c>
      <c r="H3807" s="3" t="s">
        <v>21</v>
      </c>
      <c r="I3807" s="3" t="s">
        <v>33</v>
      </c>
      <c r="J3807" s="5">
        <v>375000</v>
      </c>
      <c r="K3807" s="3">
        <v>2319200</v>
      </c>
      <c r="L3807" s="3" t="s">
        <v>4506</v>
      </c>
      <c r="M3807" s="3" t="s">
        <v>9240</v>
      </c>
      <c r="N3807" s="3" t="s">
        <v>82</v>
      </c>
      <c r="O3807" s="3" t="s">
        <v>13134</v>
      </c>
      <c r="P3807" s="3" t="s">
        <v>1708</v>
      </c>
      <c r="Q3807" s="3" t="s">
        <v>1709</v>
      </c>
      <c r="R3807" s="3" t="s">
        <v>28</v>
      </c>
      <c r="S3807" s="3">
        <v>13317204</v>
      </c>
      <c r="T3807" s="3">
        <v>1140572200</v>
      </c>
      <c r="U3807" s="3" t="s">
        <v>29</v>
      </c>
    </row>
    <row r="3808" spans="1:21" ht="13.2" x14ac:dyDescent="0.25">
      <c r="A3808" s="14">
        <v>26970847000192</v>
      </c>
      <c r="B3808" s="15" t="str">
        <f t="shared" si="59"/>
        <v>26.970.847/0001-92</v>
      </c>
      <c r="C3808" s="12"/>
      <c r="D3808" s="3" t="s">
        <v>13135</v>
      </c>
      <c r="E3808" s="3" t="s">
        <v>13136</v>
      </c>
      <c r="F3808" s="3" t="s">
        <v>20</v>
      </c>
      <c r="G3808" s="4">
        <v>42762</v>
      </c>
      <c r="H3808" s="3" t="s">
        <v>21</v>
      </c>
      <c r="I3808" s="3" t="s">
        <v>47</v>
      </c>
      <c r="J3808" s="5">
        <v>60000</v>
      </c>
      <c r="K3808" s="3">
        <v>4930202</v>
      </c>
      <c r="L3808" s="3" t="s">
        <v>2603</v>
      </c>
      <c r="M3808" s="3" t="s">
        <v>13137</v>
      </c>
      <c r="N3808" s="3">
        <v>291</v>
      </c>
      <c r="O3808" s="3" t="s">
        <v>13138</v>
      </c>
      <c r="P3808" s="3" t="s">
        <v>2540</v>
      </c>
      <c r="Q3808" s="3" t="s">
        <v>688</v>
      </c>
      <c r="R3808" s="3" t="s">
        <v>28</v>
      </c>
      <c r="S3808" s="3">
        <v>6716020</v>
      </c>
      <c r="T3808" s="3">
        <v>1141866604</v>
      </c>
      <c r="U3808" s="3" t="s">
        <v>29</v>
      </c>
    </row>
    <row r="3809" spans="1:21" ht="13.2" x14ac:dyDescent="0.25">
      <c r="A3809" s="14">
        <v>17951775000145</v>
      </c>
      <c r="B3809" s="15" t="str">
        <f t="shared" si="59"/>
        <v>17.951.775/0001-45</v>
      </c>
      <c r="C3809" s="12"/>
      <c r="D3809" s="3" t="s">
        <v>13139</v>
      </c>
      <c r="E3809" s="3" t="s">
        <v>13140</v>
      </c>
      <c r="F3809" s="3" t="s">
        <v>20</v>
      </c>
      <c r="G3809" s="4">
        <v>41381</v>
      </c>
      <c r="H3809" s="3" t="s">
        <v>46</v>
      </c>
      <c r="I3809" s="3" t="s">
        <v>47</v>
      </c>
      <c r="J3809" s="5">
        <v>120000</v>
      </c>
      <c r="K3809" s="3">
        <v>4322302</v>
      </c>
      <c r="L3809" s="3" t="s">
        <v>5651</v>
      </c>
      <c r="M3809" s="3" t="s">
        <v>7583</v>
      </c>
      <c r="N3809" s="3">
        <v>887</v>
      </c>
      <c r="P3809" s="3" t="s">
        <v>13141</v>
      </c>
      <c r="Q3809" s="3" t="s">
        <v>27</v>
      </c>
      <c r="R3809" s="3" t="s">
        <v>28</v>
      </c>
      <c r="S3809" s="3">
        <v>4247000</v>
      </c>
      <c r="T3809" s="3">
        <v>1180150763</v>
      </c>
      <c r="U3809" s="3" t="s">
        <v>29</v>
      </c>
    </row>
    <row r="3810" spans="1:21" ht="13.2" x14ac:dyDescent="0.25">
      <c r="A3810" s="14">
        <v>16586637000141</v>
      </c>
      <c r="B3810" s="15" t="str">
        <f t="shared" si="59"/>
        <v>16.586.637/0001-41</v>
      </c>
      <c r="C3810" s="12"/>
      <c r="D3810" s="3" t="s">
        <v>13142</v>
      </c>
      <c r="E3810" s="3" t="s">
        <v>13142</v>
      </c>
      <c r="F3810" s="3" t="s">
        <v>20</v>
      </c>
      <c r="G3810" s="4">
        <v>41105</v>
      </c>
      <c r="H3810" s="3" t="s">
        <v>21</v>
      </c>
      <c r="I3810" s="3" t="s">
        <v>47</v>
      </c>
      <c r="J3810" s="5">
        <v>30000</v>
      </c>
      <c r="K3810" s="3">
        <v>4520007</v>
      </c>
      <c r="L3810" s="3" t="s">
        <v>13143</v>
      </c>
      <c r="M3810" s="3" t="s">
        <v>13144</v>
      </c>
      <c r="N3810" s="3">
        <v>143</v>
      </c>
      <c r="P3810" s="3" t="s">
        <v>606</v>
      </c>
      <c r="Q3810" s="3" t="s">
        <v>27</v>
      </c>
      <c r="R3810" s="3" t="s">
        <v>28</v>
      </c>
      <c r="S3810" s="3">
        <v>3377020</v>
      </c>
      <c r="T3810" s="3">
        <v>1131974308</v>
      </c>
      <c r="U3810" s="3" t="s">
        <v>29</v>
      </c>
    </row>
    <row r="3811" spans="1:21" ht="13.2" x14ac:dyDescent="0.25">
      <c r="A3811" s="14">
        <v>17900942000129</v>
      </c>
      <c r="B3811" s="15" t="str">
        <f t="shared" si="59"/>
        <v>17.900.942/0001-29</v>
      </c>
      <c r="C3811" s="12"/>
      <c r="D3811" s="3" t="s">
        <v>13145</v>
      </c>
      <c r="E3811" s="3" t="s">
        <v>13146</v>
      </c>
      <c r="F3811" s="3" t="s">
        <v>20</v>
      </c>
      <c r="G3811" s="4">
        <v>41372</v>
      </c>
      <c r="H3811" s="3" t="s">
        <v>21</v>
      </c>
      <c r="I3811" s="3" t="s">
        <v>22</v>
      </c>
      <c r="J3811" s="5">
        <v>100000</v>
      </c>
      <c r="K3811" s="3">
        <v>2229303</v>
      </c>
      <c r="L3811" s="3" t="s">
        <v>2107</v>
      </c>
      <c r="M3811" s="3" t="s">
        <v>13147</v>
      </c>
      <c r="N3811" s="3" t="s">
        <v>82</v>
      </c>
      <c r="O3811" s="3" t="s">
        <v>13148</v>
      </c>
      <c r="P3811" s="3" t="s">
        <v>13149</v>
      </c>
      <c r="Q3811" s="3" t="s">
        <v>631</v>
      </c>
      <c r="R3811" s="3" t="s">
        <v>632</v>
      </c>
      <c r="S3811" s="3">
        <v>71540075</v>
      </c>
      <c r="T3811" s="3">
        <v>6191358918</v>
      </c>
      <c r="U3811" s="3" t="s">
        <v>29</v>
      </c>
    </row>
    <row r="3812" spans="1:21" ht="13.2" x14ac:dyDescent="0.25">
      <c r="A3812" s="14">
        <v>83054437000135</v>
      </c>
      <c r="B3812" s="15" t="str">
        <f t="shared" si="59"/>
        <v>83.054.437/0001-35</v>
      </c>
      <c r="C3812" s="12"/>
      <c r="D3812" s="3" t="s">
        <v>13150</v>
      </c>
      <c r="E3812" s="3" t="s">
        <v>13151</v>
      </c>
      <c r="F3812" s="3" t="s">
        <v>20</v>
      </c>
      <c r="G3812" s="4">
        <v>24355</v>
      </c>
      <c r="H3812" s="3" t="s">
        <v>94</v>
      </c>
      <c r="I3812" s="3" t="s">
        <v>33</v>
      </c>
      <c r="J3812" s="5">
        <v>35000000</v>
      </c>
      <c r="K3812" s="3">
        <v>1510600</v>
      </c>
      <c r="L3812" s="3" t="s">
        <v>6392</v>
      </c>
      <c r="M3812" s="3" t="s">
        <v>13152</v>
      </c>
      <c r="N3812" s="3">
        <v>532</v>
      </c>
      <c r="P3812" s="3" t="s">
        <v>13153</v>
      </c>
      <c r="Q3812" s="3" t="s">
        <v>7894</v>
      </c>
      <c r="R3812" s="3" t="s">
        <v>91</v>
      </c>
      <c r="S3812" s="3">
        <v>89500253</v>
      </c>
      <c r="T3812" s="3">
        <v>4935611000</v>
      </c>
      <c r="U3812" s="3" t="s">
        <v>29</v>
      </c>
    </row>
    <row r="3813" spans="1:21" ht="13.2" x14ac:dyDescent="0.25">
      <c r="A3813" s="14">
        <v>477761000139</v>
      </c>
      <c r="B3813" s="15" t="str">
        <f t="shared" si="59"/>
        <v>00.477.761/0001-39</v>
      </c>
      <c r="C3813" s="12"/>
      <c r="D3813" s="3" t="s">
        <v>13154</v>
      </c>
      <c r="E3813" s="3" t="s">
        <v>13154</v>
      </c>
      <c r="F3813" s="3" t="s">
        <v>20</v>
      </c>
      <c r="G3813" s="4">
        <v>34771</v>
      </c>
      <c r="H3813" s="3" t="s">
        <v>21</v>
      </c>
      <c r="I3813" s="3" t="s">
        <v>33</v>
      </c>
      <c r="J3813" s="5">
        <v>20194480</v>
      </c>
      <c r="K3813" s="3">
        <v>2229303</v>
      </c>
      <c r="L3813" s="3" t="s">
        <v>2107</v>
      </c>
      <c r="M3813" s="3" t="s">
        <v>420</v>
      </c>
      <c r="N3813" s="3">
        <v>16</v>
      </c>
      <c r="P3813" s="3" t="s">
        <v>422</v>
      </c>
      <c r="Q3813" s="3" t="s">
        <v>423</v>
      </c>
      <c r="R3813" s="3" t="s">
        <v>91</v>
      </c>
      <c r="S3813" s="3">
        <v>89213200</v>
      </c>
      <c r="T3813" s="3">
        <v>4730259999</v>
      </c>
      <c r="U3813" s="3" t="s">
        <v>29</v>
      </c>
    </row>
    <row r="3814" spans="1:21" ht="13.2" x14ac:dyDescent="0.25">
      <c r="A3814" s="14">
        <v>35799641000132</v>
      </c>
      <c r="B3814" s="15" t="str">
        <f t="shared" si="59"/>
        <v>35.799.641/0001-32</v>
      </c>
      <c r="C3814" s="12" t="str">
        <f>VLOOKUP(B3814,[1]Planilha1!$A:$B,2,0)</f>
        <v>Malu Montesino</v>
      </c>
      <c r="D3814" s="3" t="s">
        <v>13155</v>
      </c>
      <c r="E3814" s="3" t="s">
        <v>13155</v>
      </c>
      <c r="F3814" s="3" t="s">
        <v>20</v>
      </c>
      <c r="G3814" s="4">
        <v>43815</v>
      </c>
      <c r="H3814" s="3" t="s">
        <v>21</v>
      </c>
      <c r="I3814" s="3" t="s">
        <v>33</v>
      </c>
      <c r="J3814" s="5">
        <v>91906430</v>
      </c>
      <c r="K3814" s="3">
        <v>6462000</v>
      </c>
      <c r="L3814" s="3" t="s">
        <v>250</v>
      </c>
      <c r="M3814" s="3" t="s">
        <v>5425</v>
      </c>
      <c r="N3814" s="3">
        <v>293</v>
      </c>
      <c r="O3814" s="3" t="s">
        <v>13156</v>
      </c>
      <c r="P3814" s="3" t="s">
        <v>70</v>
      </c>
      <c r="Q3814" s="3" t="s">
        <v>27</v>
      </c>
      <c r="R3814" s="3" t="s">
        <v>28</v>
      </c>
      <c r="S3814" s="3">
        <v>1009907</v>
      </c>
      <c r="T3814" s="3">
        <v>1131063020</v>
      </c>
      <c r="U3814" s="3" t="s">
        <v>29</v>
      </c>
    </row>
    <row r="3815" spans="1:21" ht="13.2" x14ac:dyDescent="0.25">
      <c r="A3815" s="14">
        <v>9267406000100</v>
      </c>
      <c r="B3815" s="15" t="str">
        <f t="shared" si="59"/>
        <v>09.267.406/0001-00</v>
      </c>
      <c r="C3815" s="12"/>
      <c r="D3815" s="3" t="s">
        <v>13157</v>
      </c>
      <c r="E3815" s="3" t="s">
        <v>13158</v>
      </c>
      <c r="F3815" s="3" t="s">
        <v>20</v>
      </c>
      <c r="G3815" s="4">
        <v>39433</v>
      </c>
      <c r="H3815" s="3" t="s">
        <v>21</v>
      </c>
      <c r="I3815" s="3" t="s">
        <v>33</v>
      </c>
      <c r="J3815" s="5">
        <v>1500000</v>
      </c>
      <c r="K3815" s="3">
        <v>8011101</v>
      </c>
      <c r="L3815" s="3" t="s">
        <v>943</v>
      </c>
      <c r="M3815" s="3" t="s">
        <v>2742</v>
      </c>
      <c r="N3815" s="3" t="s">
        <v>82</v>
      </c>
      <c r="O3815" s="3" t="s">
        <v>13159</v>
      </c>
      <c r="P3815" s="3" t="s">
        <v>2699</v>
      </c>
      <c r="Q3815" s="3" t="s">
        <v>631</v>
      </c>
      <c r="R3815" s="3" t="s">
        <v>632</v>
      </c>
      <c r="S3815" s="3">
        <v>70632100</v>
      </c>
      <c r="T3815" s="3">
        <v>6132345250</v>
      </c>
      <c r="U3815" s="3" t="s">
        <v>29</v>
      </c>
    </row>
    <row r="3816" spans="1:21" ht="13.2" x14ac:dyDescent="0.25">
      <c r="A3816" s="14">
        <v>16598015000133</v>
      </c>
      <c r="B3816" s="15" t="str">
        <f t="shared" si="59"/>
        <v>16.598.015/0001-33</v>
      </c>
      <c r="C3816" s="12"/>
      <c r="D3816" s="3" t="s">
        <v>13160</v>
      </c>
      <c r="E3816" s="3" t="s">
        <v>13160</v>
      </c>
      <c r="F3816" s="3" t="s">
        <v>20</v>
      </c>
      <c r="G3816" s="4">
        <v>41120</v>
      </c>
      <c r="H3816" s="3" t="s">
        <v>21</v>
      </c>
      <c r="I3816" s="3" t="s">
        <v>47</v>
      </c>
      <c r="J3816" s="5">
        <v>500000</v>
      </c>
      <c r="K3816" s="3">
        <v>7739099</v>
      </c>
      <c r="L3816" s="3" t="s">
        <v>669</v>
      </c>
      <c r="M3816" s="3" t="s">
        <v>6473</v>
      </c>
      <c r="N3816" s="3">
        <v>268</v>
      </c>
      <c r="O3816" s="3" t="s">
        <v>13161</v>
      </c>
      <c r="P3816" s="3" t="s">
        <v>950</v>
      </c>
      <c r="Q3816" s="3" t="s">
        <v>253</v>
      </c>
      <c r="R3816" s="3" t="s">
        <v>78</v>
      </c>
      <c r="S3816" s="3">
        <v>20941120</v>
      </c>
      <c r="T3816" s="3">
        <v>2199852200</v>
      </c>
      <c r="U3816" s="3" t="s">
        <v>29</v>
      </c>
    </row>
    <row r="3817" spans="1:21" ht="13.2" x14ac:dyDescent="0.25">
      <c r="A3817" s="14">
        <v>5798965000195</v>
      </c>
      <c r="B3817" s="15" t="str">
        <f t="shared" si="59"/>
        <v>05.798.965/0001-95</v>
      </c>
      <c r="C3817" s="12"/>
      <c r="D3817" s="3" t="s">
        <v>13162</v>
      </c>
      <c r="E3817" s="3" t="s">
        <v>13163</v>
      </c>
      <c r="F3817" s="3" t="s">
        <v>20</v>
      </c>
      <c r="G3817" s="4">
        <v>37838</v>
      </c>
      <c r="H3817" s="3" t="s">
        <v>21</v>
      </c>
      <c r="I3817" s="3" t="s">
        <v>33</v>
      </c>
      <c r="J3817" s="5">
        <v>638990</v>
      </c>
      <c r="K3817" s="3">
        <v>2229301</v>
      </c>
      <c r="L3817" s="3" t="s">
        <v>1793</v>
      </c>
      <c r="M3817" s="3" t="s">
        <v>13164</v>
      </c>
      <c r="N3817" s="3">
        <v>89</v>
      </c>
      <c r="P3817" s="3" t="s">
        <v>13165</v>
      </c>
      <c r="Q3817" s="3" t="s">
        <v>4440</v>
      </c>
      <c r="R3817" s="3" t="s">
        <v>187</v>
      </c>
      <c r="S3817" s="3">
        <v>87309240</v>
      </c>
      <c r="T3817" s="3">
        <v>4435237884</v>
      </c>
      <c r="U3817" s="3" t="s">
        <v>29</v>
      </c>
    </row>
    <row r="3818" spans="1:21" ht="13.2" x14ac:dyDescent="0.25">
      <c r="A3818" s="14">
        <v>1615080000152</v>
      </c>
      <c r="B3818" s="15" t="str">
        <f t="shared" si="59"/>
        <v>01.615.080/0001-52</v>
      </c>
      <c r="C3818" s="12"/>
      <c r="D3818" s="3" t="s">
        <v>13166</v>
      </c>
      <c r="E3818" s="3" t="s">
        <v>13166</v>
      </c>
      <c r="F3818" s="3" t="s">
        <v>20</v>
      </c>
      <c r="G3818" s="4">
        <v>35443</v>
      </c>
      <c r="H3818" s="3" t="s">
        <v>21</v>
      </c>
      <c r="I3818" s="3" t="s">
        <v>47</v>
      </c>
      <c r="J3818" s="5">
        <v>3000</v>
      </c>
      <c r="K3818" s="3">
        <v>2029100</v>
      </c>
      <c r="L3818" s="3" t="s">
        <v>3615</v>
      </c>
      <c r="M3818" s="3" t="s">
        <v>13167</v>
      </c>
      <c r="N3818" s="3">
        <v>1676</v>
      </c>
      <c r="P3818" s="3" t="s">
        <v>2507</v>
      </c>
      <c r="Q3818" s="3" t="s">
        <v>730</v>
      </c>
      <c r="R3818" s="3" t="s">
        <v>53</v>
      </c>
      <c r="S3818" s="3">
        <v>95074020</v>
      </c>
      <c r="T3818" s="3">
        <v>5432123532</v>
      </c>
      <c r="U3818" s="3" t="s">
        <v>29</v>
      </c>
    </row>
    <row r="3819" spans="1:21" ht="13.2" x14ac:dyDescent="0.25">
      <c r="A3819" s="14">
        <v>92981752000107</v>
      </c>
      <c r="B3819" s="15" t="str">
        <f t="shared" si="59"/>
        <v>92.981.752/0001-07</v>
      </c>
      <c r="C3819" s="12"/>
      <c r="D3819" s="3" t="s">
        <v>13168</v>
      </c>
      <c r="E3819" s="3" t="s">
        <v>13168</v>
      </c>
      <c r="F3819" s="3" t="s">
        <v>20</v>
      </c>
      <c r="G3819" s="4">
        <v>32722</v>
      </c>
      <c r="H3819" s="3" t="s">
        <v>21</v>
      </c>
      <c r="I3819" s="3" t="s">
        <v>33</v>
      </c>
      <c r="J3819" s="5">
        <v>1000000</v>
      </c>
      <c r="K3819" s="3">
        <v>4664800</v>
      </c>
      <c r="L3819" s="3" t="s">
        <v>691</v>
      </c>
      <c r="M3819" s="3" t="s">
        <v>8839</v>
      </c>
      <c r="N3819" s="3">
        <v>1577</v>
      </c>
      <c r="O3819" s="3" t="s">
        <v>13169</v>
      </c>
      <c r="P3819" s="3" t="s">
        <v>2757</v>
      </c>
      <c r="Q3819" s="3" t="s">
        <v>437</v>
      </c>
      <c r="R3819" s="3" t="s">
        <v>53</v>
      </c>
      <c r="S3819" s="3">
        <v>90560004</v>
      </c>
      <c r="T3819" s="3">
        <v>5121081900</v>
      </c>
      <c r="U3819" s="3" t="s">
        <v>29</v>
      </c>
    </row>
    <row r="3820" spans="1:21" ht="13.2" x14ac:dyDescent="0.25">
      <c r="A3820" s="14">
        <v>3881635000133</v>
      </c>
      <c r="B3820" s="15" t="str">
        <f t="shared" si="59"/>
        <v>03.881.635/0001-33</v>
      </c>
      <c r="C3820" s="12"/>
      <c r="D3820" s="3" t="s">
        <v>13170</v>
      </c>
      <c r="E3820" s="3" t="s">
        <v>13171</v>
      </c>
      <c r="F3820" s="3" t="s">
        <v>20</v>
      </c>
      <c r="G3820" s="4">
        <v>36696</v>
      </c>
      <c r="H3820" s="3" t="s">
        <v>21</v>
      </c>
      <c r="I3820" s="3" t="s">
        <v>33</v>
      </c>
      <c r="J3820" s="5">
        <v>150000</v>
      </c>
      <c r="K3820" s="3">
        <v>5611201</v>
      </c>
      <c r="L3820" s="3" t="s">
        <v>3834</v>
      </c>
      <c r="M3820" s="3" t="s">
        <v>13172</v>
      </c>
      <c r="N3820" s="3">
        <v>450</v>
      </c>
      <c r="P3820" s="3" t="s">
        <v>8001</v>
      </c>
      <c r="Q3820" s="3" t="s">
        <v>27</v>
      </c>
      <c r="R3820" s="3" t="s">
        <v>28</v>
      </c>
      <c r="S3820" s="3">
        <v>4745060</v>
      </c>
      <c r="T3820" s="3">
        <v>1137557000</v>
      </c>
      <c r="U3820" s="3" t="s">
        <v>29</v>
      </c>
    </row>
    <row r="3821" spans="1:21" ht="13.2" x14ac:dyDescent="0.25">
      <c r="A3821" s="14">
        <v>13440815000133</v>
      </c>
      <c r="B3821" s="15" t="str">
        <f t="shared" si="59"/>
        <v>13.440.815/0001-33</v>
      </c>
      <c r="C3821" s="12"/>
      <c r="D3821" s="3" t="s">
        <v>13173</v>
      </c>
      <c r="E3821" s="3" t="s">
        <v>13173</v>
      </c>
      <c r="F3821" s="3" t="s">
        <v>20</v>
      </c>
      <c r="G3821" s="4">
        <v>40619</v>
      </c>
      <c r="H3821" s="3" t="s">
        <v>21</v>
      </c>
      <c r="I3821" s="3" t="s">
        <v>22</v>
      </c>
      <c r="J3821" s="5">
        <v>100000</v>
      </c>
      <c r="K3821" s="3">
        <v>4773300</v>
      </c>
      <c r="L3821" s="3" t="s">
        <v>706</v>
      </c>
      <c r="M3821" s="3" t="s">
        <v>3387</v>
      </c>
      <c r="N3821" s="3">
        <v>71</v>
      </c>
      <c r="O3821" s="3" t="s">
        <v>13174</v>
      </c>
      <c r="P3821" s="3" t="s">
        <v>8431</v>
      </c>
      <c r="Q3821" s="3" t="s">
        <v>204</v>
      </c>
      <c r="R3821" s="3" t="s">
        <v>187</v>
      </c>
      <c r="S3821" s="3">
        <v>80250070</v>
      </c>
      <c r="T3821" s="3">
        <v>4130730440</v>
      </c>
      <c r="U3821" s="3" t="s">
        <v>29</v>
      </c>
    </row>
    <row r="3822" spans="1:21" ht="13.2" x14ac:dyDescent="0.25">
      <c r="A3822" s="14">
        <v>24809084000177</v>
      </c>
      <c r="B3822" s="15" t="str">
        <f t="shared" si="59"/>
        <v>24.809.084/0001-77</v>
      </c>
      <c r="C3822" s="12"/>
      <c r="D3822" s="3" t="s">
        <v>13175</v>
      </c>
      <c r="E3822" s="3" t="s">
        <v>13176</v>
      </c>
      <c r="F3822" s="3" t="s">
        <v>20</v>
      </c>
      <c r="G3822" s="4">
        <v>42503</v>
      </c>
      <c r="H3822" s="3" t="s">
        <v>94</v>
      </c>
      <c r="I3822" s="3" t="s">
        <v>33</v>
      </c>
      <c r="J3822" s="5">
        <v>23774916</v>
      </c>
      <c r="K3822" s="3">
        <v>6319400</v>
      </c>
      <c r="L3822" s="3" t="s">
        <v>1953</v>
      </c>
      <c r="M3822" s="3" t="s">
        <v>246</v>
      </c>
      <c r="N3822" s="3">
        <v>1842</v>
      </c>
      <c r="O3822" s="3" t="s">
        <v>13177</v>
      </c>
      <c r="P3822" s="3" t="s">
        <v>248</v>
      </c>
      <c r="Q3822" s="3" t="s">
        <v>27</v>
      </c>
      <c r="R3822" s="3" t="s">
        <v>28</v>
      </c>
      <c r="S3822" s="3">
        <v>1310923</v>
      </c>
      <c r="T3822" s="3">
        <v>1143071330</v>
      </c>
      <c r="U3822" s="3" t="s">
        <v>29</v>
      </c>
    </row>
    <row r="3823" spans="1:21" ht="13.2" x14ac:dyDescent="0.25">
      <c r="A3823" s="14">
        <v>2545716000108</v>
      </c>
      <c r="B3823" s="15" t="str">
        <f t="shared" si="59"/>
        <v>02.545.716/0001-08</v>
      </c>
      <c r="C3823" s="12"/>
      <c r="D3823" s="3" t="s">
        <v>13178</v>
      </c>
      <c r="E3823" s="3" t="s">
        <v>13179</v>
      </c>
      <c r="F3823" s="3" t="s">
        <v>20</v>
      </c>
      <c r="G3823" s="4">
        <v>35873</v>
      </c>
      <c r="H3823" s="3" t="s">
        <v>32</v>
      </c>
      <c r="I3823" s="3" t="s">
        <v>22</v>
      </c>
      <c r="J3823" s="5">
        <v>900000</v>
      </c>
      <c r="K3823" s="3">
        <v>4930202</v>
      </c>
      <c r="L3823" s="3" t="s">
        <v>2603</v>
      </c>
      <c r="M3823" s="3" t="s">
        <v>13180</v>
      </c>
      <c r="N3823" s="3">
        <v>693</v>
      </c>
      <c r="P3823" s="3" t="s">
        <v>336</v>
      </c>
      <c r="Q3823" s="3" t="s">
        <v>27</v>
      </c>
      <c r="R3823" s="3" t="s">
        <v>28</v>
      </c>
      <c r="S3823" s="3">
        <v>3113010</v>
      </c>
      <c r="T3823" s="3">
        <v>1126930619</v>
      </c>
      <c r="U3823" s="3" t="s">
        <v>29</v>
      </c>
    </row>
    <row r="3824" spans="1:21" ht="13.2" x14ac:dyDescent="0.25">
      <c r="A3824" s="14">
        <v>7173013000101</v>
      </c>
      <c r="B3824" s="15" t="str">
        <f t="shared" si="59"/>
        <v>07.173.013/0001-01</v>
      </c>
      <c r="C3824" s="12"/>
      <c r="D3824" s="3" t="s">
        <v>13181</v>
      </c>
      <c r="E3824" s="3" t="s">
        <v>13182</v>
      </c>
      <c r="F3824" s="3" t="s">
        <v>20</v>
      </c>
      <c r="G3824" s="4">
        <v>38369</v>
      </c>
      <c r="H3824" s="3" t="s">
        <v>21</v>
      </c>
      <c r="I3824" s="3" t="s">
        <v>33</v>
      </c>
      <c r="J3824" s="5">
        <v>3800000</v>
      </c>
      <c r="K3824" s="3">
        <v>4644301</v>
      </c>
      <c r="L3824" s="3" t="s">
        <v>326</v>
      </c>
      <c r="M3824" s="3" t="s">
        <v>3765</v>
      </c>
      <c r="N3824" s="3">
        <v>25</v>
      </c>
      <c r="O3824" s="3" t="s">
        <v>13183</v>
      </c>
      <c r="P3824" s="3" t="s">
        <v>13184</v>
      </c>
      <c r="Q3824" s="3" t="s">
        <v>273</v>
      </c>
      <c r="R3824" s="3" t="s">
        <v>274</v>
      </c>
      <c r="S3824" s="3">
        <v>74853030</v>
      </c>
      <c r="T3824" s="3">
        <v>6239450072</v>
      </c>
      <c r="U3824" s="3" t="s">
        <v>29</v>
      </c>
    </row>
    <row r="3825" spans="1:21" ht="13.2" x14ac:dyDescent="0.25">
      <c r="A3825" s="14">
        <v>31639937000135</v>
      </c>
      <c r="B3825" s="15" t="str">
        <f t="shared" si="59"/>
        <v>31.639.937/0001-35</v>
      </c>
      <c r="C3825" s="12" t="str">
        <f>VLOOKUP(B3825,[1]Planilha1!$A:$B,2,0)</f>
        <v>Mariane Nascimento</v>
      </c>
      <c r="D3825" s="3" t="s">
        <v>13185</v>
      </c>
      <c r="E3825" s="3" t="s">
        <v>13186</v>
      </c>
      <c r="F3825" s="3" t="s">
        <v>20</v>
      </c>
      <c r="G3825" s="4">
        <v>43371</v>
      </c>
      <c r="H3825" s="3" t="s">
        <v>21</v>
      </c>
      <c r="I3825" s="3" t="s">
        <v>47</v>
      </c>
      <c r="J3825" s="5">
        <v>10000</v>
      </c>
      <c r="K3825" s="3">
        <v>5099899</v>
      </c>
      <c r="L3825" s="3" t="s">
        <v>13187</v>
      </c>
      <c r="M3825" s="3" t="s">
        <v>2872</v>
      </c>
      <c r="N3825" s="3">
        <v>2001</v>
      </c>
      <c r="O3825" s="3" t="s">
        <v>13188</v>
      </c>
      <c r="P3825" s="3" t="s">
        <v>306</v>
      </c>
      <c r="Q3825" s="3" t="s">
        <v>27</v>
      </c>
      <c r="R3825" s="3" t="s">
        <v>28</v>
      </c>
      <c r="S3825" s="3">
        <v>4719002</v>
      </c>
      <c r="T3825" s="3">
        <v>1121932675</v>
      </c>
      <c r="U3825" s="3" t="s">
        <v>29</v>
      </c>
    </row>
    <row r="3826" spans="1:21" ht="13.2" x14ac:dyDescent="0.25">
      <c r="A3826" s="14">
        <v>20513627000153</v>
      </c>
      <c r="B3826" s="15" t="str">
        <f t="shared" si="59"/>
        <v>20.513.627/0001-53</v>
      </c>
      <c r="C3826" s="12" t="str">
        <f>VLOOKUP(B3826,[1]Planilha1!$A:$B,2,0)</f>
        <v>Malu Montesino</v>
      </c>
      <c r="D3826" s="3" t="s">
        <v>13189</v>
      </c>
      <c r="E3826" s="3" t="s">
        <v>13190</v>
      </c>
      <c r="F3826" s="3" t="s">
        <v>20</v>
      </c>
      <c r="G3826" s="4">
        <v>41816</v>
      </c>
      <c r="H3826" s="3" t="s">
        <v>21</v>
      </c>
      <c r="I3826" s="3" t="s">
        <v>33</v>
      </c>
      <c r="J3826" s="5">
        <v>18159000</v>
      </c>
      <c r="K3826" s="3">
        <v>7739002</v>
      </c>
      <c r="L3826" s="3" t="s">
        <v>3639</v>
      </c>
      <c r="M3826" s="3" t="s">
        <v>13191</v>
      </c>
      <c r="N3826" s="3">
        <v>327</v>
      </c>
      <c r="P3826" s="3" t="s">
        <v>248</v>
      </c>
      <c r="Q3826" s="3" t="s">
        <v>27</v>
      </c>
      <c r="R3826" s="3" t="s">
        <v>28</v>
      </c>
      <c r="S3826" s="3">
        <v>1320010</v>
      </c>
      <c r="T3826" s="3">
        <v>1132370051</v>
      </c>
      <c r="U3826" s="3" t="s">
        <v>29</v>
      </c>
    </row>
    <row r="3827" spans="1:21" ht="13.2" x14ac:dyDescent="0.25">
      <c r="A3827" s="14">
        <v>42276907000128</v>
      </c>
      <c r="B3827" s="15" t="str">
        <f t="shared" si="59"/>
        <v>42.276.907/0001-28</v>
      </c>
      <c r="C3827" s="12"/>
      <c r="D3827" s="3" t="s">
        <v>13192</v>
      </c>
      <c r="E3827" s="3" t="s">
        <v>13192</v>
      </c>
      <c r="F3827" s="3" t="s">
        <v>20</v>
      </c>
      <c r="G3827" s="4">
        <v>26928</v>
      </c>
      <c r="H3827" s="3" t="s">
        <v>94</v>
      </c>
      <c r="I3827" s="3" t="s">
        <v>33</v>
      </c>
      <c r="J3827" s="5">
        <v>6109562400</v>
      </c>
      <c r="K3827" s="3">
        <v>4911600</v>
      </c>
      <c r="L3827" s="3" t="s">
        <v>9469</v>
      </c>
      <c r="M3827" s="3" t="s">
        <v>10743</v>
      </c>
      <c r="N3827" s="3">
        <v>383</v>
      </c>
      <c r="O3827" s="3" t="s">
        <v>13193</v>
      </c>
      <c r="P3827" s="3" t="s">
        <v>2757</v>
      </c>
      <c r="Q3827" s="3" t="s">
        <v>476</v>
      </c>
      <c r="R3827" s="3" t="s">
        <v>100</v>
      </c>
      <c r="S3827" s="3">
        <v>30150904</v>
      </c>
      <c r="T3827" s="3">
        <v>3132795562</v>
      </c>
      <c r="U3827" s="3" t="s">
        <v>29</v>
      </c>
    </row>
    <row r="3828" spans="1:21" ht="13.2" x14ac:dyDescent="0.25">
      <c r="A3828" s="14">
        <v>5293074000187</v>
      </c>
      <c r="B3828" s="15" t="str">
        <f t="shared" si="59"/>
        <v>05.293.074/0001-87</v>
      </c>
      <c r="C3828" s="12" t="str">
        <f>VLOOKUP(B3828,[1]Planilha1!$A:$B,2,0)</f>
        <v>Malu Montesino</v>
      </c>
      <c r="D3828" s="3" t="s">
        <v>13194</v>
      </c>
      <c r="E3828" s="3" t="s">
        <v>13195</v>
      </c>
      <c r="F3828" s="3" t="s">
        <v>20</v>
      </c>
      <c r="G3828" s="4">
        <v>37508</v>
      </c>
      <c r="H3828" s="3" t="s">
        <v>21</v>
      </c>
      <c r="I3828" s="3" t="s">
        <v>33</v>
      </c>
      <c r="J3828" s="5">
        <v>2182500</v>
      </c>
      <c r="K3828" s="3">
        <v>2869100</v>
      </c>
      <c r="L3828" s="3" t="s">
        <v>1416</v>
      </c>
      <c r="M3828" s="3" t="s">
        <v>954</v>
      </c>
      <c r="N3828" s="3">
        <v>55</v>
      </c>
      <c r="O3828" s="3" t="s">
        <v>13196</v>
      </c>
      <c r="P3828" s="3" t="s">
        <v>956</v>
      </c>
      <c r="Q3828" s="3" t="s">
        <v>957</v>
      </c>
      <c r="R3828" s="3" t="s">
        <v>100</v>
      </c>
      <c r="S3828" s="3">
        <v>33240094</v>
      </c>
      <c r="T3828" s="3">
        <v>3136220470</v>
      </c>
      <c r="U3828" s="3" t="s">
        <v>29</v>
      </c>
    </row>
    <row r="3829" spans="1:21" ht="13.2" x14ac:dyDescent="0.25">
      <c r="A3829" s="14">
        <v>2659246000367</v>
      </c>
      <c r="B3829" s="15" t="str">
        <f t="shared" si="59"/>
        <v>02.659.246/0003-67</v>
      </c>
      <c r="C3829" s="12" t="str">
        <f>VLOOKUP(B3829,[1]Planilha1!$A:$B,2,0)</f>
        <v>Mariane Nascimento</v>
      </c>
      <c r="D3829" s="3" t="s">
        <v>13197</v>
      </c>
      <c r="E3829" s="3" t="s">
        <v>13198</v>
      </c>
      <c r="F3829" s="3" t="s">
        <v>20</v>
      </c>
      <c r="G3829" s="4">
        <v>45323</v>
      </c>
      <c r="H3829" s="3" t="s">
        <v>21</v>
      </c>
      <c r="I3829" s="3" t="s">
        <v>33</v>
      </c>
      <c r="J3829" s="5">
        <v>12500000</v>
      </c>
      <c r="K3829" s="3">
        <v>2660400</v>
      </c>
      <c r="L3829" s="3" t="s">
        <v>953</v>
      </c>
      <c r="M3829" s="3" t="s">
        <v>13199</v>
      </c>
      <c r="N3829" s="3">
        <v>153</v>
      </c>
      <c r="O3829" s="3" t="s">
        <v>3685</v>
      </c>
      <c r="P3829" s="3" t="s">
        <v>70</v>
      </c>
      <c r="Q3829" s="3" t="s">
        <v>5089</v>
      </c>
      <c r="R3829" s="3" t="s">
        <v>281</v>
      </c>
      <c r="S3829" s="3">
        <v>42703100</v>
      </c>
      <c r="T3829" s="3">
        <v>3133703750</v>
      </c>
      <c r="U3829" s="3" t="s">
        <v>29</v>
      </c>
    </row>
    <row r="3830" spans="1:21" ht="13.2" x14ac:dyDescent="0.25">
      <c r="A3830" s="14">
        <v>3800477000140</v>
      </c>
      <c r="B3830" s="15" t="str">
        <f t="shared" si="59"/>
        <v>03.800.477/0001-40</v>
      </c>
      <c r="C3830" s="12"/>
      <c r="D3830" s="3" t="s">
        <v>13200</v>
      </c>
      <c r="E3830" s="3" t="s">
        <v>13201</v>
      </c>
      <c r="F3830" s="3" t="s">
        <v>20</v>
      </c>
      <c r="G3830" s="4">
        <v>36651</v>
      </c>
      <c r="H3830" s="3" t="s">
        <v>21</v>
      </c>
      <c r="I3830" s="3" t="s">
        <v>22</v>
      </c>
      <c r="J3830" s="5">
        <v>220000</v>
      </c>
      <c r="K3830" s="3">
        <v>4753900</v>
      </c>
      <c r="L3830" s="3" t="s">
        <v>214</v>
      </c>
      <c r="M3830" s="3" t="s">
        <v>13202</v>
      </c>
      <c r="N3830" s="3">
        <v>1659</v>
      </c>
      <c r="O3830" s="3" t="s">
        <v>3014</v>
      </c>
      <c r="P3830" s="3" t="s">
        <v>13203</v>
      </c>
      <c r="Q3830" s="3" t="s">
        <v>13204</v>
      </c>
      <c r="R3830" s="3" t="s">
        <v>91</v>
      </c>
      <c r="S3830" s="3">
        <v>88930000</v>
      </c>
      <c r="T3830" s="3">
        <v>4835250526</v>
      </c>
      <c r="U3830" s="3" t="s">
        <v>29</v>
      </c>
    </row>
    <row r="3831" spans="1:21" ht="13.2" x14ac:dyDescent="0.25">
      <c r="A3831" s="14">
        <v>1017250000105</v>
      </c>
      <c r="B3831" s="15" t="str">
        <f t="shared" si="59"/>
        <v>01.017.250/0001-05</v>
      </c>
      <c r="C3831" s="12"/>
      <c r="D3831" s="3" t="s">
        <v>13205</v>
      </c>
      <c r="E3831" s="3" t="s">
        <v>13206</v>
      </c>
      <c r="F3831" s="3" t="s">
        <v>20</v>
      </c>
      <c r="G3831" s="4">
        <v>30986</v>
      </c>
      <c r="H3831" s="3" t="s">
        <v>21</v>
      </c>
      <c r="I3831" s="3" t="s">
        <v>33</v>
      </c>
      <c r="J3831" s="5">
        <v>2600000</v>
      </c>
      <c r="K3831" s="3">
        <v>7911200</v>
      </c>
      <c r="L3831" s="3" t="s">
        <v>269</v>
      </c>
      <c r="M3831" s="3" t="s">
        <v>13207</v>
      </c>
      <c r="N3831" s="3" t="s">
        <v>82</v>
      </c>
      <c r="O3831" s="3" t="s">
        <v>13208</v>
      </c>
      <c r="P3831" s="3" t="s">
        <v>630</v>
      </c>
      <c r="Q3831" s="3" t="s">
        <v>631</v>
      </c>
      <c r="R3831" s="3" t="s">
        <v>632</v>
      </c>
      <c r="S3831" s="3">
        <v>70715900</v>
      </c>
      <c r="T3831" s="3">
        <v>6121066400</v>
      </c>
      <c r="U3831" s="3" t="s">
        <v>29</v>
      </c>
    </row>
    <row r="3832" spans="1:21" ht="13.2" x14ac:dyDescent="0.25">
      <c r="A3832" s="14">
        <v>93072122000174</v>
      </c>
      <c r="B3832" s="15" t="str">
        <f t="shared" si="59"/>
        <v>93.072.122/0001-74</v>
      </c>
      <c r="C3832" s="12"/>
      <c r="D3832" s="3" t="s">
        <v>13209</v>
      </c>
      <c r="E3832" s="3" t="s">
        <v>13209</v>
      </c>
      <c r="F3832" s="3" t="s">
        <v>20</v>
      </c>
      <c r="G3832" s="4">
        <v>32724</v>
      </c>
      <c r="H3832" s="3" t="s">
        <v>21</v>
      </c>
      <c r="I3832" s="3" t="s">
        <v>33</v>
      </c>
      <c r="J3832" s="5">
        <v>19757000</v>
      </c>
      <c r="K3832" s="3">
        <v>2812700</v>
      </c>
      <c r="L3832" s="3" t="s">
        <v>1534</v>
      </c>
      <c r="M3832" s="3" t="s">
        <v>1148</v>
      </c>
      <c r="N3832" s="3">
        <v>3397</v>
      </c>
      <c r="O3832" s="3" t="s">
        <v>13210</v>
      </c>
      <c r="P3832" s="3" t="s">
        <v>597</v>
      </c>
      <c r="Q3832" s="3" t="s">
        <v>875</v>
      </c>
      <c r="R3832" s="3" t="s">
        <v>53</v>
      </c>
      <c r="S3832" s="3">
        <v>93022715</v>
      </c>
      <c r="T3832" s="3">
        <v>5135623388</v>
      </c>
      <c r="U3832" s="3" t="s">
        <v>29</v>
      </c>
    </row>
    <row r="3833" spans="1:21" ht="13.2" x14ac:dyDescent="0.25">
      <c r="A3833" s="14">
        <v>3400080000160</v>
      </c>
      <c r="B3833" s="15" t="str">
        <f t="shared" si="59"/>
        <v>03.400.080/0001-60</v>
      </c>
      <c r="C3833" s="12"/>
      <c r="D3833" s="3" t="s">
        <v>13211</v>
      </c>
      <c r="E3833" s="3" t="s">
        <v>13211</v>
      </c>
      <c r="F3833" s="3" t="s">
        <v>20</v>
      </c>
      <c r="G3833" s="4">
        <v>36412</v>
      </c>
      <c r="H3833" s="3" t="s">
        <v>21</v>
      </c>
      <c r="I3833" s="3" t="s">
        <v>33</v>
      </c>
      <c r="J3833" s="5">
        <v>1662338400</v>
      </c>
      <c r="K3833" s="3">
        <v>2811900</v>
      </c>
      <c r="L3833" s="3" t="s">
        <v>1362</v>
      </c>
      <c r="M3833" s="3" t="s">
        <v>9242</v>
      </c>
      <c r="N3833" s="3">
        <v>825</v>
      </c>
      <c r="P3833" s="3" t="s">
        <v>13212</v>
      </c>
      <c r="Q3833" s="3" t="s">
        <v>27</v>
      </c>
      <c r="R3833" s="3" t="s">
        <v>28</v>
      </c>
      <c r="S3833" s="3">
        <v>2995900</v>
      </c>
      <c r="T3833" s="3">
        <v>1139444000</v>
      </c>
      <c r="U3833" s="3" t="s">
        <v>29</v>
      </c>
    </row>
    <row r="3834" spans="1:21" ht="13.2" x14ac:dyDescent="0.25">
      <c r="A3834" s="14">
        <v>61243119000180</v>
      </c>
      <c r="B3834" s="15" t="str">
        <f t="shared" si="59"/>
        <v>61.243.119/0001-80</v>
      </c>
      <c r="C3834" s="12" t="str">
        <f>VLOOKUP(B3834,[1]Planilha1!$A:$B,2,0)</f>
        <v>Malu Montesino</v>
      </c>
      <c r="D3834" s="3" t="s">
        <v>13213</v>
      </c>
      <c r="E3834" s="3" t="s">
        <v>13213</v>
      </c>
      <c r="F3834" s="3" t="s">
        <v>20</v>
      </c>
      <c r="G3834" s="4">
        <v>24310</v>
      </c>
      <c r="H3834" s="3" t="s">
        <v>21</v>
      </c>
      <c r="I3834" s="3" t="s">
        <v>33</v>
      </c>
      <c r="J3834" s="5">
        <v>474573400</v>
      </c>
      <c r="K3834" s="3">
        <v>2865800</v>
      </c>
      <c r="L3834" s="3" t="s">
        <v>2353</v>
      </c>
      <c r="M3834" s="3" t="s">
        <v>9242</v>
      </c>
      <c r="N3834" s="3">
        <v>825</v>
      </c>
      <c r="P3834" s="3" t="s">
        <v>7685</v>
      </c>
      <c r="Q3834" s="3" t="s">
        <v>27</v>
      </c>
      <c r="R3834" s="3" t="s">
        <v>28</v>
      </c>
      <c r="S3834" s="3">
        <v>2995000</v>
      </c>
      <c r="T3834" s="3">
        <v>1139444000</v>
      </c>
      <c r="U3834" s="3" t="s">
        <v>29</v>
      </c>
    </row>
    <row r="3835" spans="1:21" ht="13.2" x14ac:dyDescent="0.25">
      <c r="A3835" s="14">
        <v>16859466000187</v>
      </c>
      <c r="B3835" s="15" t="str">
        <f t="shared" si="59"/>
        <v>16.859.466/0001-87</v>
      </c>
      <c r="C3835" s="12" t="str">
        <f>VLOOKUP(B3835,[1]Planilha1!$A:$B,2,0)</f>
        <v>Malu Montesino</v>
      </c>
      <c r="D3835" s="3" t="s">
        <v>13214</v>
      </c>
      <c r="E3835" s="3" t="s">
        <v>13215</v>
      </c>
      <c r="F3835" s="3" t="s">
        <v>20</v>
      </c>
      <c r="G3835" s="4">
        <v>41135</v>
      </c>
      <c r="H3835" s="3" t="s">
        <v>21</v>
      </c>
      <c r="I3835" s="3" t="s">
        <v>33</v>
      </c>
      <c r="J3835" s="5">
        <v>11000000</v>
      </c>
      <c r="K3835" s="3">
        <v>4511106</v>
      </c>
      <c r="L3835" s="3" t="s">
        <v>2983</v>
      </c>
      <c r="M3835" s="3" t="s">
        <v>13216</v>
      </c>
      <c r="N3835" s="3">
        <v>228</v>
      </c>
      <c r="O3835" s="3" t="s">
        <v>8117</v>
      </c>
      <c r="P3835" s="3" t="s">
        <v>13217</v>
      </c>
      <c r="Q3835" s="3" t="s">
        <v>27</v>
      </c>
      <c r="R3835" s="3" t="s">
        <v>28</v>
      </c>
      <c r="S3835" s="3">
        <v>4287010</v>
      </c>
      <c r="T3835" s="3">
        <v>1129170971</v>
      </c>
      <c r="U3835" s="3" t="s">
        <v>29</v>
      </c>
    </row>
    <row r="3836" spans="1:21" ht="13.2" x14ac:dyDescent="0.25">
      <c r="A3836" s="14">
        <v>24601189000136</v>
      </c>
      <c r="B3836" s="15" t="str">
        <f t="shared" si="59"/>
        <v>24.601.189/0001-36</v>
      </c>
      <c r="C3836" s="12" t="str">
        <f>VLOOKUP(B3836,[1]Planilha1!$A:$B,2,0)</f>
        <v>Malu Montesino</v>
      </c>
      <c r="D3836" s="3" t="s">
        <v>13218</v>
      </c>
      <c r="E3836" s="3" t="s">
        <v>13218</v>
      </c>
      <c r="F3836" s="3" t="s">
        <v>45</v>
      </c>
      <c r="G3836" s="4">
        <v>32303</v>
      </c>
      <c r="H3836" s="3" t="s">
        <v>21</v>
      </c>
      <c r="I3836" s="3" t="s">
        <v>33</v>
      </c>
      <c r="J3836" s="5">
        <v>0</v>
      </c>
      <c r="K3836" s="3">
        <v>2732500</v>
      </c>
      <c r="L3836" s="3" t="s">
        <v>1162</v>
      </c>
      <c r="M3836" s="3" t="s">
        <v>3391</v>
      </c>
      <c r="N3836" s="3">
        <v>1285</v>
      </c>
      <c r="P3836" s="3" t="s">
        <v>70</v>
      </c>
      <c r="Q3836" s="3" t="s">
        <v>13219</v>
      </c>
      <c r="R3836" s="3" t="s">
        <v>1142</v>
      </c>
      <c r="S3836" s="3">
        <v>79825090</v>
      </c>
      <c r="U3836" s="3" t="s">
        <v>29</v>
      </c>
    </row>
    <row r="3837" spans="1:21" ht="13.2" x14ac:dyDescent="0.25">
      <c r="A3837" s="14">
        <v>14200450000132</v>
      </c>
      <c r="B3837" s="15" t="str">
        <f t="shared" si="59"/>
        <v>14.200.450/0001-32</v>
      </c>
      <c r="C3837" s="12"/>
      <c r="D3837" s="3" t="s">
        <v>13220</v>
      </c>
      <c r="E3837" s="3" t="s">
        <v>13221</v>
      </c>
      <c r="F3837" s="3" t="s">
        <v>45</v>
      </c>
      <c r="G3837" s="4">
        <v>40780</v>
      </c>
      <c r="H3837" s="3" t="s">
        <v>21</v>
      </c>
      <c r="I3837" s="3" t="s">
        <v>33</v>
      </c>
      <c r="J3837" s="5">
        <v>400000</v>
      </c>
      <c r="K3837" s="3">
        <v>2731700</v>
      </c>
      <c r="L3837" s="3" t="s">
        <v>440</v>
      </c>
      <c r="M3837" s="3" t="s">
        <v>13222</v>
      </c>
      <c r="N3837" s="3">
        <v>22</v>
      </c>
      <c r="O3837" s="3" t="s">
        <v>13223</v>
      </c>
      <c r="P3837" s="3" t="s">
        <v>5188</v>
      </c>
      <c r="Q3837" s="3" t="s">
        <v>1339</v>
      </c>
      <c r="R3837" s="3" t="s">
        <v>456</v>
      </c>
      <c r="S3837" s="3">
        <v>51020390</v>
      </c>
      <c r="T3837" s="3">
        <v>8132247771</v>
      </c>
      <c r="U3837" s="3" t="s">
        <v>29</v>
      </c>
    </row>
    <row r="3838" spans="1:21" ht="13.2" x14ac:dyDescent="0.25">
      <c r="A3838" s="14">
        <v>59104422000150</v>
      </c>
      <c r="B3838" s="15" t="str">
        <f t="shared" si="59"/>
        <v>59.104.422/0001-50</v>
      </c>
      <c r="C3838" s="12" t="str">
        <f>VLOOKUP(B3838,[1]Planilha1!$A:$B,2,0)</f>
        <v>Malu Montesino</v>
      </c>
      <c r="D3838" s="3" t="s">
        <v>13224</v>
      </c>
      <c r="E3838" s="3" t="s">
        <v>13224</v>
      </c>
      <c r="F3838" s="3" t="s">
        <v>20</v>
      </c>
      <c r="G3838" s="4">
        <v>24698</v>
      </c>
      <c r="H3838" s="3" t="s">
        <v>21</v>
      </c>
      <c r="I3838" s="3" t="s">
        <v>33</v>
      </c>
      <c r="J3838" s="5">
        <v>19678941000</v>
      </c>
      <c r="K3838" s="3">
        <v>2910701</v>
      </c>
      <c r="L3838" s="3" t="s">
        <v>2241</v>
      </c>
      <c r="M3838" s="3" t="s">
        <v>4992</v>
      </c>
      <c r="N3838" s="3" t="s">
        <v>82</v>
      </c>
      <c r="O3838" s="3" t="s">
        <v>13225</v>
      </c>
      <c r="P3838" s="3" t="s">
        <v>12032</v>
      </c>
      <c r="Q3838" s="3" t="s">
        <v>217</v>
      </c>
      <c r="R3838" s="3" t="s">
        <v>28</v>
      </c>
      <c r="S3838" s="3">
        <v>9823901</v>
      </c>
      <c r="T3838" s="3">
        <v>1143475212</v>
      </c>
      <c r="U3838" s="3" t="s">
        <v>29</v>
      </c>
    </row>
    <row r="3839" spans="1:21" ht="13.2" x14ac:dyDescent="0.25">
      <c r="A3839" s="14">
        <v>6020318000110</v>
      </c>
      <c r="B3839" s="15" t="str">
        <f t="shared" si="59"/>
        <v>06.020.318/0001-10</v>
      </c>
      <c r="C3839" s="12" t="str">
        <f>VLOOKUP(B3839,[1]Planilha1!$A:$B,2,0)</f>
        <v>Malu Montesino</v>
      </c>
      <c r="D3839" s="3" t="s">
        <v>13226</v>
      </c>
      <c r="E3839" s="3" t="s">
        <v>13227</v>
      </c>
      <c r="F3839" s="3" t="s">
        <v>20</v>
      </c>
      <c r="G3839" s="4">
        <v>37364</v>
      </c>
      <c r="H3839" s="3" t="s">
        <v>21</v>
      </c>
      <c r="I3839" s="3" t="s">
        <v>33</v>
      </c>
      <c r="J3839" s="5">
        <v>2626625300</v>
      </c>
      <c r="K3839" s="3">
        <v>2920401</v>
      </c>
      <c r="L3839" s="3" t="s">
        <v>4553</v>
      </c>
      <c r="M3839" s="3" t="s">
        <v>13228</v>
      </c>
      <c r="N3839" s="3">
        <v>291</v>
      </c>
      <c r="O3839" s="3" t="s">
        <v>13229</v>
      </c>
      <c r="P3839" s="3" t="s">
        <v>901</v>
      </c>
      <c r="Q3839" s="3" t="s">
        <v>27</v>
      </c>
      <c r="R3839" s="3" t="s">
        <v>28</v>
      </c>
      <c r="S3839" s="3">
        <v>4344901</v>
      </c>
      <c r="T3839" s="3">
        <v>1150133230</v>
      </c>
      <c r="U3839" s="3" t="s">
        <v>29</v>
      </c>
    </row>
    <row r="3840" spans="1:21" ht="13.2" x14ac:dyDescent="0.25">
      <c r="A3840" s="14">
        <v>31596407000157</v>
      </c>
      <c r="B3840" s="15" t="str">
        <f t="shared" si="59"/>
        <v>31.596.407/0001-57</v>
      </c>
      <c r="C3840" s="12"/>
      <c r="D3840" s="3" t="s">
        <v>13230</v>
      </c>
      <c r="E3840" s="3" t="s">
        <v>13231</v>
      </c>
      <c r="F3840" s="3" t="s">
        <v>20</v>
      </c>
      <c r="G3840" s="4">
        <v>43368</v>
      </c>
      <c r="H3840" s="3" t="s">
        <v>21</v>
      </c>
      <c r="I3840" s="3" t="s">
        <v>22</v>
      </c>
      <c r="J3840" s="5">
        <v>50000</v>
      </c>
      <c r="K3840" s="3">
        <v>9521500</v>
      </c>
      <c r="L3840" s="3" t="s">
        <v>1223</v>
      </c>
      <c r="M3840" s="3" t="s">
        <v>13232</v>
      </c>
      <c r="N3840" s="3">
        <v>453</v>
      </c>
      <c r="O3840" s="3" t="s">
        <v>496</v>
      </c>
      <c r="P3840" s="3" t="s">
        <v>13233</v>
      </c>
      <c r="Q3840" s="3" t="s">
        <v>13234</v>
      </c>
      <c r="R3840" s="3" t="s">
        <v>53</v>
      </c>
      <c r="S3840" s="3">
        <v>99500000</v>
      </c>
      <c r="T3840" s="3">
        <v>5496847128</v>
      </c>
      <c r="U3840" s="3" t="s">
        <v>29</v>
      </c>
    </row>
    <row r="3841" spans="1:21" ht="13.2" x14ac:dyDescent="0.25">
      <c r="A3841" s="14">
        <v>8351042000189</v>
      </c>
      <c r="B3841" s="15" t="str">
        <f t="shared" si="59"/>
        <v>08.351.042/0001-89</v>
      </c>
      <c r="C3841" s="12"/>
      <c r="D3841" s="3" t="s">
        <v>13235</v>
      </c>
      <c r="E3841" s="3" t="s">
        <v>13235</v>
      </c>
      <c r="F3841" s="3" t="s">
        <v>20</v>
      </c>
      <c r="G3841" s="4">
        <v>38981</v>
      </c>
      <c r="H3841" s="3" t="s">
        <v>21</v>
      </c>
      <c r="I3841" s="3" t="s">
        <v>33</v>
      </c>
      <c r="J3841" s="5">
        <v>339735000</v>
      </c>
      <c r="K3841" s="3">
        <v>6462000</v>
      </c>
      <c r="L3841" s="3" t="s">
        <v>250</v>
      </c>
      <c r="M3841" s="3" t="s">
        <v>10808</v>
      </c>
      <c r="N3841" s="3">
        <v>78</v>
      </c>
      <c r="O3841" s="3" t="s">
        <v>13236</v>
      </c>
      <c r="P3841" s="3" t="s">
        <v>70</v>
      </c>
      <c r="Q3841" s="3" t="s">
        <v>253</v>
      </c>
      <c r="R3841" s="3" t="s">
        <v>78</v>
      </c>
      <c r="S3841" s="3">
        <v>20021290</v>
      </c>
      <c r="T3841" s="3">
        <v>2122217190</v>
      </c>
      <c r="U3841" s="3" t="s">
        <v>29</v>
      </c>
    </row>
    <row r="3842" spans="1:21" ht="13.2" x14ac:dyDescent="0.25">
      <c r="A3842" s="14">
        <v>3817702000150</v>
      </c>
      <c r="B3842" s="15" t="str">
        <f t="shared" si="59"/>
        <v>03.817.702/0001-50</v>
      </c>
      <c r="C3842" s="12"/>
      <c r="D3842" s="3" t="s">
        <v>13237</v>
      </c>
      <c r="E3842" s="3" t="s">
        <v>13238</v>
      </c>
      <c r="F3842" s="3" t="s">
        <v>20</v>
      </c>
      <c r="G3842" s="4">
        <v>36657</v>
      </c>
      <c r="H3842" s="3" t="s">
        <v>21</v>
      </c>
      <c r="I3842" s="3" t="s">
        <v>33</v>
      </c>
      <c r="J3842" s="5">
        <v>13258198</v>
      </c>
      <c r="K3842" s="3">
        <v>8299702</v>
      </c>
      <c r="L3842" s="3" t="s">
        <v>937</v>
      </c>
      <c r="M3842" s="3" t="s">
        <v>13239</v>
      </c>
      <c r="N3842" s="3">
        <v>839</v>
      </c>
      <c r="P3842" s="3" t="s">
        <v>4118</v>
      </c>
      <c r="Q3842" s="3" t="s">
        <v>3394</v>
      </c>
      <c r="R3842" s="3" t="s">
        <v>274</v>
      </c>
      <c r="S3842" s="3">
        <v>75901260</v>
      </c>
      <c r="T3842" s="3">
        <v>6421015500</v>
      </c>
      <c r="U3842" s="3" t="s">
        <v>29</v>
      </c>
    </row>
    <row r="3843" spans="1:21" ht="13.2" x14ac:dyDescent="0.25">
      <c r="A3843" s="14">
        <v>43999424000114</v>
      </c>
      <c r="B3843" s="15" t="str">
        <f t="shared" ref="B3843:B3906" si="60">TEXT(A3843,"00\.000\.000\/0000\-00")</f>
        <v>43.999.424/0001-14</v>
      </c>
      <c r="C3843" s="12" t="str">
        <f>VLOOKUP(B3843,[1]Planilha1!$A:$B,2,0)</f>
        <v>Malu Montesino</v>
      </c>
      <c r="D3843" s="3" t="s">
        <v>13240</v>
      </c>
      <c r="E3843" s="3" t="s">
        <v>13240</v>
      </c>
      <c r="F3843" s="3" t="s">
        <v>20</v>
      </c>
      <c r="G3843" s="4">
        <v>27051</v>
      </c>
      <c r="H3843" s="3" t="s">
        <v>21</v>
      </c>
      <c r="I3843" s="3" t="s">
        <v>33</v>
      </c>
      <c r="J3843" s="5">
        <v>586460000</v>
      </c>
      <c r="K3843" s="3">
        <v>2920401</v>
      </c>
      <c r="L3843" s="3" t="s">
        <v>4553</v>
      </c>
      <c r="M3843" s="3" t="s">
        <v>13241</v>
      </c>
      <c r="N3843" s="3">
        <v>2600</v>
      </c>
      <c r="O3843" s="3" t="s">
        <v>13242</v>
      </c>
      <c r="P3843" s="3" t="s">
        <v>6750</v>
      </c>
      <c r="Q3843" s="3" t="s">
        <v>204</v>
      </c>
      <c r="R3843" s="3" t="s">
        <v>187</v>
      </c>
      <c r="S3843" s="3">
        <v>81260900</v>
      </c>
      <c r="T3843" s="3">
        <v>4133178111</v>
      </c>
      <c r="U3843" s="3" t="s">
        <v>29</v>
      </c>
    </row>
    <row r="3844" spans="1:21" ht="13.2" x14ac:dyDescent="0.25">
      <c r="A3844" s="14">
        <v>1637895000132</v>
      </c>
      <c r="B3844" s="15" t="str">
        <f t="shared" si="60"/>
        <v>01.637.895/0001-32</v>
      </c>
      <c r="C3844" s="12"/>
      <c r="D3844" s="3" t="s">
        <v>13243</v>
      </c>
      <c r="E3844" s="3" t="s">
        <v>13244</v>
      </c>
      <c r="F3844" s="3" t="s">
        <v>20</v>
      </c>
      <c r="G3844" s="4">
        <v>35460</v>
      </c>
      <c r="H3844" s="3" t="s">
        <v>377</v>
      </c>
      <c r="I3844" s="3" t="s">
        <v>33</v>
      </c>
      <c r="J3844" s="5">
        <v>7708353000</v>
      </c>
      <c r="K3844" s="3">
        <v>2320600</v>
      </c>
      <c r="L3844" s="3" t="s">
        <v>13245</v>
      </c>
      <c r="M3844" s="3" t="s">
        <v>3121</v>
      </c>
      <c r="N3844" s="3">
        <v>1996</v>
      </c>
      <c r="O3844" s="3" t="s">
        <v>13246</v>
      </c>
      <c r="P3844" s="3" t="s">
        <v>316</v>
      </c>
      <c r="Q3844" s="3" t="s">
        <v>27</v>
      </c>
      <c r="R3844" s="3" t="s">
        <v>28</v>
      </c>
      <c r="S3844" s="3">
        <v>4547905</v>
      </c>
      <c r="T3844" s="3">
        <v>4133885292</v>
      </c>
      <c r="U3844" s="3" t="s">
        <v>29</v>
      </c>
    </row>
    <row r="3845" spans="1:21" ht="13.2" x14ac:dyDescent="0.25">
      <c r="A3845" s="14">
        <v>8579382000161</v>
      </c>
      <c r="B3845" s="15" t="str">
        <f t="shared" si="60"/>
        <v>08.579.382/0001-61</v>
      </c>
      <c r="C3845" s="12" t="str">
        <f>VLOOKUP(B3845,[1]Planilha1!$A:$B,2,0)</f>
        <v>Malu Montesino</v>
      </c>
      <c r="D3845" s="3" t="s">
        <v>13247</v>
      </c>
      <c r="E3845" s="3" t="s">
        <v>13248</v>
      </c>
      <c r="F3845" s="3" t="s">
        <v>20</v>
      </c>
      <c r="G3845" s="4">
        <v>39078</v>
      </c>
      <c r="H3845" s="3" t="s">
        <v>21</v>
      </c>
      <c r="I3845" s="3" t="s">
        <v>33</v>
      </c>
      <c r="J3845" s="5">
        <v>2100000</v>
      </c>
      <c r="K3845" s="3">
        <v>6311900</v>
      </c>
      <c r="L3845" s="3" t="s">
        <v>3132</v>
      </c>
      <c r="M3845" s="3" t="s">
        <v>6419</v>
      </c>
      <c r="N3845" s="3">
        <v>77</v>
      </c>
      <c r="O3845" s="3" t="s">
        <v>13249</v>
      </c>
      <c r="P3845" s="3" t="s">
        <v>6420</v>
      </c>
      <c r="Q3845" s="3" t="s">
        <v>1640</v>
      </c>
      <c r="R3845" s="3" t="s">
        <v>78</v>
      </c>
      <c r="S3845" s="3">
        <v>24220008</v>
      </c>
      <c r="T3845" s="3">
        <v>2123914611</v>
      </c>
      <c r="U3845" s="3" t="s">
        <v>29</v>
      </c>
    </row>
    <row r="3846" spans="1:21" ht="13.2" x14ac:dyDescent="0.25">
      <c r="A3846" s="14">
        <v>2535864000133</v>
      </c>
      <c r="B3846" s="15" t="str">
        <f t="shared" si="60"/>
        <v>02.535.864/0001-33</v>
      </c>
      <c r="C3846" s="12" t="str">
        <f>VLOOKUP(B3846,[1]Planilha1!$A:$B,2,0)</f>
        <v>Vanessa</v>
      </c>
      <c r="D3846" s="3" t="s">
        <v>13250</v>
      </c>
      <c r="E3846" s="3" t="s">
        <v>13250</v>
      </c>
      <c r="F3846" s="3" t="s">
        <v>20</v>
      </c>
      <c r="G3846" s="4">
        <v>35858</v>
      </c>
      <c r="H3846" s="3" t="s">
        <v>94</v>
      </c>
      <c r="I3846" s="3" t="s">
        <v>33</v>
      </c>
      <c r="J3846" s="5">
        <v>449185860</v>
      </c>
      <c r="K3846" s="3">
        <v>8299702</v>
      </c>
      <c r="L3846" s="3" t="s">
        <v>937</v>
      </c>
      <c r="M3846" s="3" t="s">
        <v>13251</v>
      </c>
      <c r="N3846" s="3">
        <v>460</v>
      </c>
      <c r="P3846" s="3" t="s">
        <v>1397</v>
      </c>
      <c r="Q3846" s="3" t="s">
        <v>27</v>
      </c>
      <c r="R3846" s="3" t="s">
        <v>28</v>
      </c>
      <c r="S3846" s="3">
        <v>4553900</v>
      </c>
      <c r="T3846" s="3">
        <v>1141344100</v>
      </c>
      <c r="U3846" s="3" t="s">
        <v>29</v>
      </c>
    </row>
    <row r="3847" spans="1:21" ht="13.2" x14ac:dyDescent="0.25">
      <c r="A3847" s="14">
        <v>11987727000120</v>
      </c>
      <c r="B3847" s="15" t="str">
        <f t="shared" si="60"/>
        <v>11.987.727/0001-20</v>
      </c>
      <c r="C3847" s="12"/>
      <c r="D3847" s="3" t="s">
        <v>13252</v>
      </c>
      <c r="E3847" s="3" t="s">
        <v>13253</v>
      </c>
      <c r="F3847" s="3" t="s">
        <v>20</v>
      </c>
      <c r="G3847" s="4">
        <v>40322</v>
      </c>
      <c r="H3847" s="3" t="s">
        <v>21</v>
      </c>
      <c r="I3847" s="3" t="s">
        <v>22</v>
      </c>
      <c r="J3847" s="5">
        <v>300000</v>
      </c>
      <c r="K3847" s="3">
        <v>2813500</v>
      </c>
      <c r="L3847" s="3" t="s">
        <v>1383</v>
      </c>
      <c r="M3847" s="3" t="s">
        <v>6355</v>
      </c>
      <c r="N3847" s="3">
        <v>58</v>
      </c>
      <c r="P3847" s="3" t="s">
        <v>12228</v>
      </c>
      <c r="Q3847" s="3" t="s">
        <v>13254</v>
      </c>
      <c r="R3847" s="3" t="s">
        <v>91</v>
      </c>
      <c r="S3847" s="3">
        <v>88339030</v>
      </c>
      <c r="T3847" s="3">
        <v>4730562501</v>
      </c>
      <c r="U3847" s="3" t="s">
        <v>29</v>
      </c>
    </row>
    <row r="3848" spans="1:21" ht="13.2" x14ac:dyDescent="0.25">
      <c r="A3848" s="14">
        <v>34958955000178</v>
      </c>
      <c r="B3848" s="15" t="str">
        <f t="shared" si="60"/>
        <v>34.958.955/0001-78</v>
      </c>
      <c r="C3848" s="12" t="str">
        <f>VLOOKUP(B3848,[1]Planilha1!$A:$B,2,0)</f>
        <v>Malu Montesino</v>
      </c>
      <c r="D3848" s="3" t="s">
        <v>13255</v>
      </c>
      <c r="E3848" s="3" t="s">
        <v>13256</v>
      </c>
      <c r="F3848" s="3" t="s">
        <v>20</v>
      </c>
      <c r="G3848" s="4">
        <v>43731</v>
      </c>
      <c r="H3848" s="3" t="s">
        <v>21</v>
      </c>
      <c r="I3848" s="3" t="s">
        <v>22</v>
      </c>
      <c r="J3848" s="5">
        <v>100000</v>
      </c>
      <c r="K3848" s="3">
        <v>4663000</v>
      </c>
      <c r="L3848" s="3" t="s">
        <v>128</v>
      </c>
      <c r="M3848" s="3" t="s">
        <v>13257</v>
      </c>
      <c r="N3848" s="3">
        <v>980</v>
      </c>
      <c r="O3848" s="3" t="s">
        <v>13258</v>
      </c>
      <c r="P3848" s="3" t="s">
        <v>13259</v>
      </c>
      <c r="Q3848" s="3" t="s">
        <v>27</v>
      </c>
      <c r="R3848" s="3" t="s">
        <v>28</v>
      </c>
      <c r="S3848" s="3">
        <v>8090000</v>
      </c>
      <c r="T3848" s="3">
        <v>1129569694</v>
      </c>
      <c r="U3848" s="3" t="s">
        <v>29</v>
      </c>
    </row>
    <row r="3849" spans="1:21" ht="13.2" x14ac:dyDescent="0.25">
      <c r="A3849" s="14">
        <v>24893687001171</v>
      </c>
      <c r="B3849" s="15" t="str">
        <f t="shared" si="60"/>
        <v>24.893.687/0011-71</v>
      </c>
      <c r="C3849" s="12" t="str">
        <f>VLOOKUP(B3849,[1]Planilha1!$A:$B,2,0)</f>
        <v>Malu Montesino</v>
      </c>
      <c r="D3849" s="3" t="s">
        <v>13260</v>
      </c>
      <c r="E3849" s="3" t="s">
        <v>13261</v>
      </c>
      <c r="F3849" s="3" t="s">
        <v>20</v>
      </c>
      <c r="G3849" s="4">
        <v>43223</v>
      </c>
      <c r="H3849" s="3" t="s">
        <v>21</v>
      </c>
      <c r="I3849" s="3" t="s">
        <v>33</v>
      </c>
      <c r="J3849" s="5">
        <v>15000000</v>
      </c>
      <c r="K3849" s="3">
        <v>5250803</v>
      </c>
      <c r="L3849" s="3" t="s">
        <v>6320</v>
      </c>
      <c r="M3849" s="3" t="s">
        <v>13262</v>
      </c>
      <c r="N3849" s="3">
        <v>684</v>
      </c>
      <c r="O3849" s="3" t="s">
        <v>13263</v>
      </c>
      <c r="P3849" s="3" t="s">
        <v>13264</v>
      </c>
      <c r="Q3849" s="3" t="s">
        <v>357</v>
      </c>
      <c r="R3849" s="3" t="s">
        <v>28</v>
      </c>
      <c r="S3849" s="3">
        <v>7143000</v>
      </c>
      <c r="T3849" s="3">
        <v>6121066400</v>
      </c>
      <c r="U3849" s="3" t="s">
        <v>29</v>
      </c>
    </row>
    <row r="3850" spans="1:21" ht="13.2" x14ac:dyDescent="0.25">
      <c r="A3850" s="14">
        <v>24893687000108</v>
      </c>
      <c r="B3850" s="15" t="str">
        <f t="shared" si="60"/>
        <v>24.893.687/0001-08</v>
      </c>
      <c r="C3850" s="12"/>
      <c r="D3850" s="3" t="s">
        <v>13260</v>
      </c>
      <c r="E3850" s="3" t="s">
        <v>13261</v>
      </c>
      <c r="F3850" s="3" t="s">
        <v>20</v>
      </c>
      <c r="G3850" s="4">
        <v>32203</v>
      </c>
      <c r="H3850" s="3" t="s">
        <v>21</v>
      </c>
      <c r="I3850" s="3" t="s">
        <v>33</v>
      </c>
      <c r="J3850" s="5">
        <v>15000000</v>
      </c>
      <c r="K3850" s="3">
        <v>5250803</v>
      </c>
      <c r="L3850" s="3" t="s">
        <v>6320</v>
      </c>
      <c r="M3850" s="3" t="s">
        <v>13265</v>
      </c>
      <c r="N3850" s="3" t="s">
        <v>111</v>
      </c>
      <c r="O3850" s="3" t="s">
        <v>13266</v>
      </c>
      <c r="P3850" s="3" t="s">
        <v>9964</v>
      </c>
      <c r="Q3850" s="3" t="s">
        <v>631</v>
      </c>
      <c r="R3850" s="3" t="s">
        <v>632</v>
      </c>
      <c r="S3850" s="3">
        <v>71608900</v>
      </c>
      <c r="T3850" s="3">
        <v>6121066400</v>
      </c>
      <c r="U3850" s="3" t="s">
        <v>29</v>
      </c>
    </row>
    <row r="3851" spans="1:21" ht="13.2" x14ac:dyDescent="0.25">
      <c r="A3851" s="14">
        <v>2870908000181</v>
      </c>
      <c r="B3851" s="15" t="str">
        <f t="shared" si="60"/>
        <v>02.870.908/0001-81</v>
      </c>
      <c r="C3851" s="12"/>
      <c r="D3851" s="3" t="s">
        <v>13267</v>
      </c>
      <c r="E3851" s="3" t="s">
        <v>13267</v>
      </c>
      <c r="F3851" s="3" t="s">
        <v>20</v>
      </c>
      <c r="G3851" s="4">
        <v>35891</v>
      </c>
      <c r="H3851" s="3" t="s">
        <v>21</v>
      </c>
      <c r="I3851" s="3" t="s">
        <v>33</v>
      </c>
      <c r="J3851" s="5">
        <v>60000</v>
      </c>
      <c r="K3851" s="3">
        <v>4614100</v>
      </c>
      <c r="L3851" s="3" t="s">
        <v>6077</v>
      </c>
      <c r="M3851" s="3" t="s">
        <v>13268</v>
      </c>
      <c r="N3851" s="3">
        <v>838</v>
      </c>
      <c r="O3851" s="3" t="s">
        <v>13269</v>
      </c>
      <c r="P3851" s="3" t="s">
        <v>7069</v>
      </c>
      <c r="Q3851" s="3" t="s">
        <v>27</v>
      </c>
      <c r="R3851" s="3" t="s">
        <v>28</v>
      </c>
      <c r="S3851" s="3">
        <v>3170050</v>
      </c>
      <c r="T3851" s="3">
        <v>1129369457</v>
      </c>
      <c r="U3851" s="3" t="s">
        <v>29</v>
      </c>
    </row>
    <row r="3852" spans="1:21" ht="13.2" x14ac:dyDescent="0.25">
      <c r="A3852" s="14">
        <v>50926955000142</v>
      </c>
      <c r="B3852" s="15" t="str">
        <f t="shared" si="60"/>
        <v>50.926.955/0001-42</v>
      </c>
      <c r="C3852" s="12"/>
      <c r="D3852" s="3" t="s">
        <v>13270</v>
      </c>
      <c r="E3852" s="3" t="s">
        <v>13270</v>
      </c>
      <c r="F3852" s="3" t="s">
        <v>20</v>
      </c>
      <c r="G3852" s="4">
        <v>24289</v>
      </c>
      <c r="H3852" s="3" t="s">
        <v>377</v>
      </c>
      <c r="I3852" s="3" t="s">
        <v>33</v>
      </c>
      <c r="J3852" s="5">
        <v>1333747200</v>
      </c>
      <c r="K3852" s="3">
        <v>4616800</v>
      </c>
      <c r="L3852" s="3" t="s">
        <v>13271</v>
      </c>
      <c r="M3852" s="3" t="s">
        <v>13272</v>
      </c>
      <c r="N3852" s="3">
        <v>1440</v>
      </c>
      <c r="P3852" s="3" t="s">
        <v>13273</v>
      </c>
      <c r="Q3852" s="3" t="s">
        <v>567</v>
      </c>
      <c r="R3852" s="3" t="s">
        <v>28</v>
      </c>
      <c r="S3852" s="3">
        <v>13219001</v>
      </c>
      <c r="U3852" s="3" t="s">
        <v>29</v>
      </c>
    </row>
    <row r="3853" spans="1:21" ht="13.2" x14ac:dyDescent="0.25">
      <c r="A3853" s="14">
        <v>25262303000103</v>
      </c>
      <c r="B3853" s="15" t="str">
        <f t="shared" si="60"/>
        <v>25.262.303/0001-03</v>
      </c>
      <c r="C3853" s="12"/>
      <c r="D3853" s="3" t="s">
        <v>13274</v>
      </c>
      <c r="E3853" s="3" t="s">
        <v>13275</v>
      </c>
      <c r="F3853" s="3" t="s">
        <v>20</v>
      </c>
      <c r="G3853" s="4">
        <v>42572</v>
      </c>
      <c r="H3853" s="3" t="s">
        <v>2634</v>
      </c>
      <c r="I3853" s="3" t="s">
        <v>33</v>
      </c>
      <c r="J3853" s="5">
        <v>0</v>
      </c>
      <c r="K3853" s="3">
        <v>6462000</v>
      </c>
      <c r="L3853" s="3" t="s">
        <v>250</v>
      </c>
      <c r="M3853" s="3" t="s">
        <v>13276</v>
      </c>
      <c r="N3853" s="3" t="s">
        <v>82</v>
      </c>
      <c r="O3853" s="3" t="s">
        <v>13277</v>
      </c>
      <c r="P3853" s="3" t="s">
        <v>5674</v>
      </c>
      <c r="R3853" s="3" t="s">
        <v>2637</v>
      </c>
      <c r="U3853" s="3" t="s">
        <v>29</v>
      </c>
    </row>
    <row r="3854" spans="1:21" ht="13.2" x14ac:dyDescent="0.25">
      <c r="A3854" s="14">
        <v>904728000148</v>
      </c>
      <c r="B3854" s="15" t="str">
        <f t="shared" si="60"/>
        <v>00.904.728/0001-48</v>
      </c>
      <c r="C3854" s="12" t="str">
        <f>VLOOKUP(B3854,[1]Planilha1!$A:$B,2,0)</f>
        <v>Malu Montesino</v>
      </c>
      <c r="D3854" s="3" t="s">
        <v>13278</v>
      </c>
      <c r="E3854" s="3" t="s">
        <v>13279</v>
      </c>
      <c r="F3854" s="3" t="s">
        <v>20</v>
      </c>
      <c r="G3854" s="4">
        <v>35016</v>
      </c>
      <c r="H3854" s="3" t="s">
        <v>94</v>
      </c>
      <c r="I3854" s="3" t="s">
        <v>33</v>
      </c>
      <c r="J3854" s="5" t="s">
        <v>13280</v>
      </c>
      <c r="K3854" s="3">
        <v>4645101</v>
      </c>
      <c r="L3854" s="3" t="s">
        <v>135</v>
      </c>
      <c r="M3854" s="3" t="s">
        <v>701</v>
      </c>
      <c r="N3854" s="3">
        <v>1560</v>
      </c>
      <c r="O3854" s="3" t="s">
        <v>13281</v>
      </c>
      <c r="P3854" s="3" t="s">
        <v>703</v>
      </c>
      <c r="Q3854" s="3" t="s">
        <v>27</v>
      </c>
      <c r="R3854" s="3" t="s">
        <v>28</v>
      </c>
      <c r="S3854" s="3">
        <v>5319000</v>
      </c>
      <c r="T3854" s="3">
        <v>1142807531</v>
      </c>
      <c r="U3854" s="3" t="s">
        <v>29</v>
      </c>
    </row>
    <row r="3855" spans="1:21" ht="13.2" x14ac:dyDescent="0.25">
      <c r="A3855" s="14">
        <v>12440498000192</v>
      </c>
      <c r="B3855" s="15" t="str">
        <f t="shared" si="60"/>
        <v>12.440.498/0001-92</v>
      </c>
      <c r="C3855" s="12" t="str">
        <f>VLOOKUP(B3855,[1]Planilha1!$A:$B,2,0)</f>
        <v>Malu Montesino</v>
      </c>
      <c r="D3855" s="3" t="s">
        <v>13282</v>
      </c>
      <c r="E3855" s="3" t="s">
        <v>13283</v>
      </c>
      <c r="F3855" s="3" t="s">
        <v>20</v>
      </c>
      <c r="G3855" s="4">
        <v>40409</v>
      </c>
      <c r="H3855" s="3" t="s">
        <v>46</v>
      </c>
      <c r="I3855" s="3" t="s">
        <v>47</v>
      </c>
      <c r="J3855" s="5">
        <v>130000</v>
      </c>
      <c r="K3855" s="3">
        <v>3314710</v>
      </c>
      <c r="L3855" s="3" t="s">
        <v>7345</v>
      </c>
      <c r="M3855" s="3" t="s">
        <v>13284</v>
      </c>
      <c r="N3855" s="3">
        <v>211</v>
      </c>
      <c r="P3855" s="3" t="s">
        <v>13285</v>
      </c>
      <c r="Q3855" s="3" t="s">
        <v>1709</v>
      </c>
      <c r="R3855" s="3" t="s">
        <v>28</v>
      </c>
      <c r="S3855" s="3">
        <v>13318000</v>
      </c>
      <c r="T3855" s="3">
        <v>1171265806</v>
      </c>
      <c r="U3855" s="3" t="s">
        <v>29</v>
      </c>
    </row>
    <row r="3856" spans="1:21" ht="13.2" x14ac:dyDescent="0.25">
      <c r="A3856" s="14">
        <v>9238496000100</v>
      </c>
      <c r="B3856" s="15" t="str">
        <f t="shared" si="60"/>
        <v>09.238.496/0001-00</v>
      </c>
      <c r="C3856" s="12"/>
      <c r="D3856" s="3" t="s">
        <v>13286</v>
      </c>
      <c r="E3856" s="3" t="s">
        <v>13287</v>
      </c>
      <c r="F3856" s="3" t="s">
        <v>20</v>
      </c>
      <c r="G3856" s="4">
        <v>39421</v>
      </c>
      <c r="H3856" s="3" t="s">
        <v>21</v>
      </c>
      <c r="I3856" s="3" t="s">
        <v>33</v>
      </c>
      <c r="J3856" s="5">
        <v>2995000</v>
      </c>
      <c r="K3856" s="3">
        <v>7733100</v>
      </c>
      <c r="L3856" s="3" t="s">
        <v>2690</v>
      </c>
      <c r="M3856" s="3" t="s">
        <v>13288</v>
      </c>
      <c r="N3856" s="3">
        <v>1656</v>
      </c>
      <c r="O3856" s="3" t="s">
        <v>7936</v>
      </c>
      <c r="P3856" s="3" t="s">
        <v>12217</v>
      </c>
      <c r="Q3856" s="3" t="s">
        <v>1141</v>
      </c>
      <c r="R3856" s="3" t="s">
        <v>1142</v>
      </c>
      <c r="S3856" s="3">
        <v>79010500</v>
      </c>
      <c r="T3856" s="3">
        <v>6730475300</v>
      </c>
      <c r="U3856" s="3" t="s">
        <v>29</v>
      </c>
    </row>
    <row r="3857" spans="1:21" ht="13.2" x14ac:dyDescent="0.25">
      <c r="A3857" s="14">
        <v>32555260000110</v>
      </c>
      <c r="B3857" s="15" t="str">
        <f t="shared" si="60"/>
        <v>32.555.260/0001-10</v>
      </c>
      <c r="C3857" s="12"/>
      <c r="D3857" s="3" t="s">
        <v>13289</v>
      </c>
      <c r="E3857" s="3" t="s">
        <v>13289</v>
      </c>
      <c r="F3857" s="3" t="s">
        <v>20</v>
      </c>
      <c r="G3857" s="4">
        <v>33226</v>
      </c>
      <c r="H3857" s="3" t="s">
        <v>21</v>
      </c>
      <c r="I3857" s="3" t="s">
        <v>22</v>
      </c>
      <c r="J3857" s="5">
        <v>0</v>
      </c>
      <c r="K3857" s="3">
        <v>4669999</v>
      </c>
      <c r="L3857" s="3" t="s">
        <v>558</v>
      </c>
      <c r="M3857" s="3" t="s">
        <v>261</v>
      </c>
      <c r="N3857" s="3">
        <v>382</v>
      </c>
      <c r="P3857" s="3" t="s">
        <v>1403</v>
      </c>
      <c r="Q3857" s="3" t="s">
        <v>253</v>
      </c>
      <c r="R3857" s="3" t="s">
        <v>78</v>
      </c>
      <c r="S3857" s="3">
        <v>20930450</v>
      </c>
      <c r="U3857" s="3" t="s">
        <v>29</v>
      </c>
    </row>
    <row r="3858" spans="1:21" ht="13.2" x14ac:dyDescent="0.25">
      <c r="A3858" s="14">
        <v>8525794000119</v>
      </c>
      <c r="B3858" s="15" t="str">
        <f t="shared" si="60"/>
        <v>08.525.794/0001-19</v>
      </c>
      <c r="C3858" s="12"/>
      <c r="D3858" s="3" t="s">
        <v>13290</v>
      </c>
      <c r="E3858" s="3" t="s">
        <v>13290</v>
      </c>
      <c r="F3858" s="3" t="s">
        <v>20</v>
      </c>
      <c r="G3858" s="4">
        <v>38691</v>
      </c>
      <c r="H3858" s="3" t="s">
        <v>21</v>
      </c>
      <c r="I3858" s="3" t="s">
        <v>47</v>
      </c>
      <c r="J3858" s="5">
        <v>10000</v>
      </c>
      <c r="K3858" s="3">
        <v>3292202</v>
      </c>
      <c r="L3858" s="3" t="s">
        <v>1654</v>
      </c>
      <c r="M3858" s="3" t="s">
        <v>13291</v>
      </c>
      <c r="N3858" s="3">
        <v>36</v>
      </c>
      <c r="P3858" s="3" t="s">
        <v>13292</v>
      </c>
      <c r="Q3858" s="3" t="s">
        <v>27</v>
      </c>
      <c r="R3858" s="3" t="s">
        <v>28</v>
      </c>
      <c r="S3858" s="3">
        <v>3386040</v>
      </c>
      <c r="T3858" s="3">
        <v>1127170519</v>
      </c>
      <c r="U3858" s="3" t="s">
        <v>29</v>
      </c>
    </row>
    <row r="3859" spans="1:21" ht="13.2" x14ac:dyDescent="0.25">
      <c r="A3859" s="14">
        <v>10763773000183</v>
      </c>
      <c r="B3859" s="15" t="str">
        <f t="shared" si="60"/>
        <v>10.763.773/0001-83</v>
      </c>
      <c r="C3859" s="12" t="str">
        <f>VLOOKUP(B3859,[1]Planilha1!$A:$B,2,0)</f>
        <v>Malu Montesino</v>
      </c>
      <c r="D3859" s="3" t="s">
        <v>13293</v>
      </c>
      <c r="E3859" s="3" t="s">
        <v>13293</v>
      </c>
      <c r="F3859" s="3" t="s">
        <v>20</v>
      </c>
      <c r="G3859" s="4">
        <v>39917</v>
      </c>
      <c r="H3859" s="3" t="s">
        <v>21</v>
      </c>
      <c r="I3859" s="3" t="s">
        <v>33</v>
      </c>
      <c r="J3859" s="5">
        <v>930215360</v>
      </c>
      <c r="K3859" s="3">
        <v>3031800</v>
      </c>
      <c r="L3859" s="3" t="s">
        <v>3045</v>
      </c>
      <c r="M3859" s="3" t="s">
        <v>2252</v>
      </c>
      <c r="N3859" s="3">
        <v>4600</v>
      </c>
      <c r="P3859" s="3" t="s">
        <v>2254</v>
      </c>
      <c r="Q3859" s="3" t="s">
        <v>1701</v>
      </c>
      <c r="R3859" s="3" t="s">
        <v>100</v>
      </c>
      <c r="S3859" s="3">
        <v>32210110</v>
      </c>
      <c r="T3859" s="3">
        <v>3121035321</v>
      </c>
      <c r="U3859" s="3" t="s">
        <v>29</v>
      </c>
    </row>
    <row r="3860" spans="1:21" ht="13.2" x14ac:dyDescent="0.25">
      <c r="A3860" s="14">
        <v>19591179000127</v>
      </c>
      <c r="B3860" s="15" t="str">
        <f t="shared" si="60"/>
        <v>19.591.179/0001-27</v>
      </c>
      <c r="C3860" s="12"/>
      <c r="D3860" s="3" t="s">
        <v>13294</v>
      </c>
      <c r="E3860" s="3" t="s">
        <v>13295</v>
      </c>
      <c r="F3860" s="3" t="s">
        <v>20</v>
      </c>
      <c r="G3860" s="4">
        <v>41071</v>
      </c>
      <c r="H3860" s="3" t="s">
        <v>21</v>
      </c>
      <c r="I3860" s="3" t="s">
        <v>22</v>
      </c>
      <c r="J3860" s="5">
        <v>1450000</v>
      </c>
      <c r="K3860" s="3">
        <v>4222701</v>
      </c>
      <c r="L3860" s="3" t="s">
        <v>1909</v>
      </c>
      <c r="M3860" s="3" t="s">
        <v>4536</v>
      </c>
      <c r="N3860" s="3">
        <v>723</v>
      </c>
      <c r="O3860" s="3" t="s">
        <v>13296</v>
      </c>
      <c r="P3860" s="3" t="s">
        <v>4538</v>
      </c>
      <c r="Q3860" s="3" t="s">
        <v>617</v>
      </c>
      <c r="R3860" s="3" t="s">
        <v>28</v>
      </c>
      <c r="S3860" s="3">
        <v>6473000</v>
      </c>
      <c r="T3860" s="3">
        <v>1633250554</v>
      </c>
      <c r="U3860" s="3" t="s">
        <v>29</v>
      </c>
    </row>
    <row r="3861" spans="1:21" ht="13.2" x14ac:dyDescent="0.25">
      <c r="A3861" s="14">
        <v>8418961000122</v>
      </c>
      <c r="B3861" s="15" t="str">
        <f t="shared" si="60"/>
        <v>08.418.961/0001-22</v>
      </c>
      <c r="C3861" s="12"/>
      <c r="D3861" s="3" t="s">
        <v>13297</v>
      </c>
      <c r="E3861" s="3" t="s">
        <v>13297</v>
      </c>
      <c r="F3861" s="3" t="s">
        <v>45</v>
      </c>
      <c r="G3861" s="4">
        <v>39029</v>
      </c>
      <c r="H3861" s="3" t="s">
        <v>8644</v>
      </c>
      <c r="I3861" s="3" t="s">
        <v>33</v>
      </c>
      <c r="J3861" s="5">
        <v>0</v>
      </c>
      <c r="K3861" s="3">
        <v>151201</v>
      </c>
      <c r="L3861" s="3" t="s">
        <v>9251</v>
      </c>
      <c r="M3861" s="3" t="s">
        <v>3111</v>
      </c>
      <c r="N3861" s="3" t="s">
        <v>82</v>
      </c>
      <c r="O3861" s="3" t="s">
        <v>6862</v>
      </c>
      <c r="P3861" s="3" t="s">
        <v>911</v>
      </c>
      <c r="Q3861" s="3" t="s">
        <v>3990</v>
      </c>
      <c r="R3861" s="3" t="s">
        <v>28</v>
      </c>
      <c r="S3861" s="3">
        <v>18700970</v>
      </c>
      <c r="T3861" s="3">
        <v>1437320002</v>
      </c>
      <c r="U3861" s="3" t="s">
        <v>29</v>
      </c>
    </row>
    <row r="3862" spans="1:21" ht="13.2" x14ac:dyDescent="0.25">
      <c r="A3862" s="14">
        <v>30131843000198</v>
      </c>
      <c r="B3862" s="15" t="str">
        <f t="shared" si="60"/>
        <v>30.131.843/0001-98</v>
      </c>
      <c r="C3862" s="12"/>
      <c r="D3862" s="3" t="s">
        <v>13298</v>
      </c>
      <c r="E3862" s="3" t="s">
        <v>13299</v>
      </c>
      <c r="F3862" s="3" t="s">
        <v>45</v>
      </c>
      <c r="G3862" s="4">
        <v>43196</v>
      </c>
      <c r="H3862" s="3" t="s">
        <v>46</v>
      </c>
      <c r="I3862" s="3" t="s">
        <v>47</v>
      </c>
      <c r="J3862" s="5">
        <v>20000</v>
      </c>
      <c r="K3862" s="3">
        <v>4789099</v>
      </c>
      <c r="L3862" s="3" t="s">
        <v>774</v>
      </c>
      <c r="M3862" s="3" t="s">
        <v>13300</v>
      </c>
      <c r="N3862" s="3">
        <v>244</v>
      </c>
      <c r="P3862" s="3" t="s">
        <v>13301</v>
      </c>
      <c r="Q3862" s="3" t="s">
        <v>27</v>
      </c>
      <c r="R3862" s="3" t="s">
        <v>28</v>
      </c>
      <c r="S3862" s="3">
        <v>8223100</v>
      </c>
      <c r="T3862" s="3">
        <v>1171958877</v>
      </c>
      <c r="U3862" s="3" t="s">
        <v>29</v>
      </c>
    </row>
    <row r="3863" spans="1:21" ht="13.2" x14ac:dyDescent="0.25">
      <c r="A3863" s="14">
        <v>78364767000197</v>
      </c>
      <c r="B3863" s="15" t="str">
        <f t="shared" si="60"/>
        <v>78.364.767/0001-97</v>
      </c>
      <c r="C3863" s="12" t="str">
        <f>VLOOKUP(B3863,[1]Planilha1!$A:$B,2,0)</f>
        <v>Malu Montesino</v>
      </c>
      <c r="D3863" s="3" t="s">
        <v>13302</v>
      </c>
      <c r="E3863" s="3" t="s">
        <v>13302</v>
      </c>
      <c r="F3863" s="3" t="s">
        <v>20</v>
      </c>
      <c r="G3863" s="4">
        <v>30813</v>
      </c>
      <c r="H3863" s="3" t="s">
        <v>21</v>
      </c>
      <c r="I3863" s="3" t="s">
        <v>33</v>
      </c>
      <c r="J3863" s="5">
        <v>262000</v>
      </c>
      <c r="K3863" s="3">
        <v>2833000</v>
      </c>
      <c r="L3863" s="3" t="s">
        <v>151</v>
      </c>
      <c r="M3863" s="3" t="s">
        <v>13303</v>
      </c>
      <c r="N3863" s="3" t="s">
        <v>82</v>
      </c>
      <c r="O3863" s="3" t="s">
        <v>13304</v>
      </c>
      <c r="P3863" s="3" t="s">
        <v>153</v>
      </c>
      <c r="Q3863" s="3" t="s">
        <v>2506</v>
      </c>
      <c r="R3863" s="3" t="s">
        <v>187</v>
      </c>
      <c r="S3863" s="3">
        <v>84165700</v>
      </c>
      <c r="T3863" s="3">
        <v>4232328600</v>
      </c>
      <c r="U3863" s="3" t="s">
        <v>29</v>
      </c>
    </row>
    <row r="3864" spans="1:21" ht="13.2" x14ac:dyDescent="0.25">
      <c r="A3864" s="14">
        <v>38399883000127</v>
      </c>
      <c r="B3864" s="15" t="str">
        <f t="shared" si="60"/>
        <v>38.399.883/0001-27</v>
      </c>
      <c r="C3864" s="12"/>
      <c r="D3864" s="3" t="s">
        <v>13305</v>
      </c>
      <c r="E3864" s="3" t="s">
        <v>13306</v>
      </c>
      <c r="F3864" s="3" t="s">
        <v>20</v>
      </c>
      <c r="G3864" s="4">
        <v>44084</v>
      </c>
      <c r="H3864" s="3" t="s">
        <v>21</v>
      </c>
      <c r="I3864" s="3" t="s">
        <v>22</v>
      </c>
      <c r="J3864" s="5">
        <v>10000</v>
      </c>
      <c r="K3864" s="3">
        <v>7120100</v>
      </c>
      <c r="L3864" s="3" t="s">
        <v>2807</v>
      </c>
      <c r="M3864" s="3" t="s">
        <v>13307</v>
      </c>
      <c r="N3864" s="3">
        <v>896</v>
      </c>
      <c r="P3864" s="3" t="s">
        <v>11168</v>
      </c>
      <c r="Q3864" s="3" t="s">
        <v>1235</v>
      </c>
      <c r="R3864" s="3" t="s">
        <v>28</v>
      </c>
      <c r="S3864" s="3">
        <v>13347404</v>
      </c>
      <c r="T3864" s="3">
        <v>1155428884</v>
      </c>
      <c r="U3864" s="3" t="s">
        <v>29</v>
      </c>
    </row>
    <row r="3865" spans="1:21" ht="13.2" x14ac:dyDescent="0.25">
      <c r="A3865" s="14">
        <v>7910191000178</v>
      </c>
      <c r="B3865" s="15" t="str">
        <f t="shared" si="60"/>
        <v>07.910.191/0001-78</v>
      </c>
      <c r="C3865" s="12" t="str">
        <f>VLOOKUP(B3865,[1]Planilha1!$A:$B,2,0)</f>
        <v>Malu Montesino</v>
      </c>
      <c r="D3865" s="3" t="s">
        <v>13308</v>
      </c>
      <c r="E3865" s="3" t="s">
        <v>13309</v>
      </c>
      <c r="F3865" s="3" t="s">
        <v>20</v>
      </c>
      <c r="G3865" s="4">
        <v>38588</v>
      </c>
      <c r="H3865" s="3" t="s">
        <v>21</v>
      </c>
      <c r="I3865" s="3" t="s">
        <v>33</v>
      </c>
      <c r="J3865" s="5">
        <v>1000000</v>
      </c>
      <c r="K3865" s="3">
        <v>2812700</v>
      </c>
      <c r="L3865" s="3" t="s">
        <v>1534</v>
      </c>
      <c r="M3865" s="3" t="s">
        <v>13310</v>
      </c>
      <c r="N3865" s="3">
        <v>63</v>
      </c>
      <c r="P3865" s="3" t="s">
        <v>616</v>
      </c>
      <c r="Q3865" s="3" t="s">
        <v>929</v>
      </c>
      <c r="R3865" s="3" t="s">
        <v>28</v>
      </c>
      <c r="S3865" s="3">
        <v>6543308</v>
      </c>
      <c r="T3865" s="3">
        <v>1121554013</v>
      </c>
      <c r="U3865" s="3" t="s">
        <v>29</v>
      </c>
    </row>
    <row r="3866" spans="1:21" ht="13.2" x14ac:dyDescent="0.25">
      <c r="A3866" s="14">
        <v>63229553000130</v>
      </c>
      <c r="B3866" s="15" t="str">
        <f t="shared" si="60"/>
        <v>63.229.553/0001-30</v>
      </c>
      <c r="C3866" s="12"/>
      <c r="D3866" s="3" t="s">
        <v>13311</v>
      </c>
      <c r="E3866" s="3" t="s">
        <v>13312</v>
      </c>
      <c r="F3866" s="3" t="s">
        <v>20</v>
      </c>
      <c r="G3866" s="4">
        <v>33655</v>
      </c>
      <c r="H3866" s="3" t="s">
        <v>21</v>
      </c>
      <c r="I3866" s="3" t="s">
        <v>22</v>
      </c>
      <c r="J3866" s="5">
        <v>5500000</v>
      </c>
      <c r="K3866" s="3">
        <v>6110803</v>
      </c>
      <c r="L3866" s="3" t="s">
        <v>339</v>
      </c>
      <c r="M3866" s="3" t="s">
        <v>13313</v>
      </c>
      <c r="N3866" s="3">
        <v>290</v>
      </c>
      <c r="O3866" s="3" t="s">
        <v>13314</v>
      </c>
      <c r="P3866" s="3" t="s">
        <v>279</v>
      </c>
      <c r="Q3866" s="3" t="s">
        <v>280</v>
      </c>
      <c r="R3866" s="3" t="s">
        <v>281</v>
      </c>
      <c r="S3866" s="3">
        <v>41820022</v>
      </c>
      <c r="T3866" s="3">
        <v>7130233664</v>
      </c>
      <c r="U3866" s="3" t="s">
        <v>29</v>
      </c>
    </row>
    <row r="3867" spans="1:21" ht="13.2" x14ac:dyDescent="0.25">
      <c r="A3867" s="14">
        <v>5731550000102</v>
      </c>
      <c r="B3867" s="15" t="str">
        <f t="shared" si="60"/>
        <v>05.731.550/0001-02</v>
      </c>
      <c r="C3867" s="12"/>
      <c r="D3867" s="3" t="s">
        <v>13315</v>
      </c>
      <c r="E3867" s="3" t="s">
        <v>13315</v>
      </c>
      <c r="F3867" s="3" t="s">
        <v>20</v>
      </c>
      <c r="G3867" s="4">
        <v>37789</v>
      </c>
      <c r="H3867" s="3" t="s">
        <v>21</v>
      </c>
      <c r="I3867" s="3" t="s">
        <v>33</v>
      </c>
      <c r="J3867" s="5">
        <v>3160000</v>
      </c>
      <c r="K3867" s="3">
        <v>4645101</v>
      </c>
      <c r="L3867" s="3" t="s">
        <v>135</v>
      </c>
      <c r="M3867" s="3" t="s">
        <v>13316</v>
      </c>
      <c r="N3867" s="3">
        <v>300</v>
      </c>
      <c r="P3867" s="3" t="s">
        <v>9007</v>
      </c>
      <c r="Q3867" s="3" t="s">
        <v>9066</v>
      </c>
      <c r="R3867" s="3" t="s">
        <v>100</v>
      </c>
      <c r="S3867" s="3">
        <v>36046040</v>
      </c>
      <c r="T3867" s="3">
        <v>3232415979</v>
      </c>
      <c r="U3867" s="3" t="s">
        <v>29</v>
      </c>
    </row>
    <row r="3868" spans="1:21" ht="13.2" x14ac:dyDescent="0.25">
      <c r="A3868" s="14">
        <v>14309992000148</v>
      </c>
      <c r="B3868" s="15" t="str">
        <f t="shared" si="60"/>
        <v>14.309.992/0001-48</v>
      </c>
      <c r="C3868" s="12" t="str">
        <f>VLOOKUP(B3868,[1]Planilha1!$A:$B,2,0)</f>
        <v>Malu Montesino</v>
      </c>
      <c r="D3868" s="3" t="s">
        <v>13317</v>
      </c>
      <c r="E3868" s="3" t="s">
        <v>13317</v>
      </c>
      <c r="F3868" s="3" t="s">
        <v>20</v>
      </c>
      <c r="G3868" s="4">
        <v>40800</v>
      </c>
      <c r="H3868" s="3" t="s">
        <v>21</v>
      </c>
      <c r="I3868" s="3" t="s">
        <v>33</v>
      </c>
      <c r="J3868" s="5">
        <v>1080000000</v>
      </c>
      <c r="K3868" s="3">
        <v>2710402</v>
      </c>
      <c r="L3868" s="3" t="s">
        <v>5194</v>
      </c>
      <c r="M3868" s="3" t="s">
        <v>13318</v>
      </c>
      <c r="N3868" s="3">
        <v>3000</v>
      </c>
      <c r="O3868" s="3" t="s">
        <v>13319</v>
      </c>
      <c r="P3868" s="3" t="s">
        <v>13320</v>
      </c>
      <c r="Q3868" s="3" t="s">
        <v>90</v>
      </c>
      <c r="R3868" s="3" t="s">
        <v>91</v>
      </c>
      <c r="S3868" s="3">
        <v>89256900</v>
      </c>
      <c r="T3868" s="3">
        <v>4732764000</v>
      </c>
      <c r="U3868" s="3" t="s">
        <v>29</v>
      </c>
    </row>
    <row r="3869" spans="1:21" ht="13.2" x14ac:dyDescent="0.25">
      <c r="A3869" s="14">
        <v>84429695000111</v>
      </c>
      <c r="B3869" s="15" t="str">
        <f t="shared" si="60"/>
        <v>84.429.695/0001-11</v>
      </c>
      <c r="C3869" s="12" t="str">
        <f>VLOOKUP(B3869,[1]Planilha1!$A:$B,2,0)</f>
        <v>Malu Montesino</v>
      </c>
      <c r="D3869" s="3" t="s">
        <v>13321</v>
      </c>
      <c r="E3869" s="3" t="s">
        <v>13322</v>
      </c>
      <c r="F3869" s="3" t="s">
        <v>20</v>
      </c>
      <c r="G3869" s="4">
        <v>25352</v>
      </c>
      <c r="H3869" s="3" t="s">
        <v>377</v>
      </c>
      <c r="I3869" s="3" t="s">
        <v>33</v>
      </c>
      <c r="J3869" s="5">
        <v>12504517000</v>
      </c>
      <c r="K3869" s="3">
        <v>6462000</v>
      </c>
      <c r="L3869" s="3" t="s">
        <v>250</v>
      </c>
      <c r="M3869" s="3" t="s">
        <v>13318</v>
      </c>
      <c r="N3869" s="3">
        <v>3300</v>
      </c>
      <c r="P3869" s="3" t="s">
        <v>13320</v>
      </c>
      <c r="Q3869" s="3" t="s">
        <v>90</v>
      </c>
      <c r="R3869" s="3" t="s">
        <v>91</v>
      </c>
      <c r="S3869" s="3">
        <v>89256900</v>
      </c>
      <c r="T3869" s="3">
        <v>4732764000</v>
      </c>
      <c r="U3869" s="3" t="s">
        <v>29</v>
      </c>
    </row>
    <row r="3870" spans="1:21" ht="13.2" x14ac:dyDescent="0.25">
      <c r="A3870" s="14">
        <v>212562000107</v>
      </c>
      <c r="B3870" s="15" t="str">
        <f t="shared" si="60"/>
        <v>00.212.562/0001-07</v>
      </c>
      <c r="C3870" s="12"/>
      <c r="D3870" s="3" t="s">
        <v>13323</v>
      </c>
      <c r="E3870" s="3" t="s">
        <v>13323</v>
      </c>
      <c r="F3870" s="3" t="s">
        <v>20</v>
      </c>
      <c r="G3870" s="4">
        <v>34604</v>
      </c>
      <c r="H3870" s="3" t="s">
        <v>21</v>
      </c>
      <c r="I3870" s="3" t="s">
        <v>33</v>
      </c>
      <c r="J3870" s="5">
        <v>7720644</v>
      </c>
      <c r="K3870" s="3">
        <v>2812700</v>
      </c>
      <c r="L3870" s="3" t="s">
        <v>1534</v>
      </c>
      <c r="M3870" s="3" t="s">
        <v>13324</v>
      </c>
      <c r="N3870" s="3">
        <v>2151</v>
      </c>
      <c r="O3870" s="3" t="s">
        <v>2029</v>
      </c>
      <c r="P3870" s="3" t="s">
        <v>1529</v>
      </c>
      <c r="Q3870" s="3" t="s">
        <v>567</v>
      </c>
      <c r="R3870" s="3" t="s">
        <v>28</v>
      </c>
      <c r="S3870" s="3">
        <v>13213085</v>
      </c>
      <c r="T3870" s="3">
        <v>1124489200</v>
      </c>
      <c r="U3870" s="3" t="s">
        <v>29</v>
      </c>
    </row>
    <row r="3871" spans="1:21" ht="13.2" x14ac:dyDescent="0.25">
      <c r="A3871" s="14">
        <v>67760678000143</v>
      </c>
      <c r="B3871" s="15" t="str">
        <f t="shared" si="60"/>
        <v>67.760.678/0001-43</v>
      </c>
      <c r="C3871" s="12" t="str">
        <f>VLOOKUP(B3871,[1]Planilha1!$A:$B,2,0)</f>
        <v>Mariane Nascimento</v>
      </c>
      <c r="D3871" s="3" t="s">
        <v>13325</v>
      </c>
      <c r="E3871" s="3" t="s">
        <v>13326</v>
      </c>
      <c r="F3871" s="3" t="s">
        <v>20</v>
      </c>
      <c r="G3871" s="4">
        <v>33747</v>
      </c>
      <c r="H3871" s="3" t="s">
        <v>21</v>
      </c>
      <c r="I3871" s="3" t="s">
        <v>47</v>
      </c>
      <c r="J3871" s="5">
        <v>10000</v>
      </c>
      <c r="K3871" s="3">
        <v>8230001</v>
      </c>
      <c r="L3871" s="3" t="s">
        <v>2141</v>
      </c>
      <c r="M3871" s="3" t="s">
        <v>9804</v>
      </c>
      <c r="N3871" s="3">
        <v>1395</v>
      </c>
      <c r="O3871" s="3" t="s">
        <v>9225</v>
      </c>
      <c r="P3871" s="3" t="s">
        <v>3565</v>
      </c>
      <c r="Q3871" s="3" t="s">
        <v>1410</v>
      </c>
      <c r="R3871" s="3" t="s">
        <v>28</v>
      </c>
      <c r="S3871" s="3">
        <v>9190610</v>
      </c>
      <c r="T3871" s="3">
        <v>1141255355</v>
      </c>
      <c r="U3871" s="3" t="s">
        <v>29</v>
      </c>
    </row>
    <row r="3872" spans="1:21" ht="13.2" x14ac:dyDescent="0.25">
      <c r="A3872" s="14">
        <v>2004662000246</v>
      </c>
      <c r="B3872" s="15" t="str">
        <f t="shared" si="60"/>
        <v>02.004.662/0002-46</v>
      </c>
      <c r="C3872" s="12"/>
      <c r="D3872" s="3" t="s">
        <v>13327</v>
      </c>
      <c r="E3872" s="3" t="s">
        <v>13327</v>
      </c>
      <c r="F3872" s="3" t="s">
        <v>20</v>
      </c>
      <c r="G3872" s="4">
        <v>42478</v>
      </c>
      <c r="H3872" s="3" t="s">
        <v>21</v>
      </c>
      <c r="I3872" s="3" t="s">
        <v>33</v>
      </c>
      <c r="J3872" s="5">
        <v>355960200</v>
      </c>
      <c r="K3872" s="3">
        <v>4645101</v>
      </c>
      <c r="L3872" s="3" t="s">
        <v>135</v>
      </c>
      <c r="M3872" s="3" t="s">
        <v>1611</v>
      </c>
      <c r="N3872" s="3">
        <v>355</v>
      </c>
      <c r="P3872" s="3" t="s">
        <v>1613</v>
      </c>
      <c r="Q3872" s="3" t="s">
        <v>617</v>
      </c>
      <c r="R3872" s="3" t="s">
        <v>28</v>
      </c>
      <c r="S3872" s="3">
        <v>6460121</v>
      </c>
      <c r="T3872" s="3">
        <v>1192526450</v>
      </c>
      <c r="U3872" s="3" t="s">
        <v>29</v>
      </c>
    </row>
    <row r="3873" spans="1:21" ht="13.2" x14ac:dyDescent="0.25">
      <c r="A3873" s="14">
        <v>40126936000188</v>
      </c>
      <c r="B3873" s="15" t="str">
        <f t="shared" si="60"/>
        <v>40.126.936/0001-88</v>
      </c>
      <c r="C3873" s="12"/>
      <c r="D3873" s="3" t="s">
        <v>13328</v>
      </c>
      <c r="E3873" s="3" t="s">
        <v>13329</v>
      </c>
      <c r="F3873" s="3" t="s">
        <v>20</v>
      </c>
      <c r="G3873" s="4">
        <v>44181</v>
      </c>
      <c r="H3873" s="3" t="s">
        <v>21</v>
      </c>
      <c r="I3873" s="3" t="s">
        <v>47</v>
      </c>
      <c r="J3873" s="5">
        <v>110000</v>
      </c>
      <c r="K3873" s="3">
        <v>4649499</v>
      </c>
      <c r="L3873" s="3" t="s">
        <v>5842</v>
      </c>
      <c r="M3873" s="3" t="s">
        <v>13330</v>
      </c>
      <c r="N3873" s="3">
        <v>273</v>
      </c>
      <c r="P3873" s="3" t="s">
        <v>13331</v>
      </c>
      <c r="Q3873" s="3" t="s">
        <v>253</v>
      </c>
      <c r="R3873" s="3" t="s">
        <v>78</v>
      </c>
      <c r="S3873" s="3">
        <v>21540300</v>
      </c>
      <c r="T3873" s="3">
        <v>2167536499</v>
      </c>
      <c r="U3873" s="3" t="s">
        <v>29</v>
      </c>
    </row>
    <row r="3874" spans="1:21" ht="13.2" x14ac:dyDescent="0.25">
      <c r="A3874" s="14">
        <v>45989050000181</v>
      </c>
      <c r="B3874" s="15" t="str">
        <f t="shared" si="60"/>
        <v>45.989.050/0001-81</v>
      </c>
      <c r="C3874" s="12"/>
      <c r="D3874" s="3" t="s">
        <v>13332</v>
      </c>
      <c r="E3874" s="3" t="s">
        <v>13333</v>
      </c>
      <c r="F3874" s="3" t="s">
        <v>20</v>
      </c>
      <c r="G3874" s="4">
        <v>24301</v>
      </c>
      <c r="H3874" s="3" t="s">
        <v>21</v>
      </c>
      <c r="I3874" s="3" t="s">
        <v>33</v>
      </c>
      <c r="J3874" s="5">
        <v>1853908200</v>
      </c>
      <c r="K3874" s="3">
        <v>1733800</v>
      </c>
      <c r="L3874" s="3" t="s">
        <v>5445</v>
      </c>
      <c r="M3874" s="3" t="s">
        <v>308</v>
      </c>
      <c r="N3874" s="3">
        <v>14171</v>
      </c>
      <c r="O3874" s="3" t="s">
        <v>13334</v>
      </c>
      <c r="P3874" s="3" t="s">
        <v>310</v>
      </c>
      <c r="Q3874" s="3" t="s">
        <v>27</v>
      </c>
      <c r="R3874" s="3" t="s">
        <v>28</v>
      </c>
      <c r="S3874" s="3">
        <v>4794000</v>
      </c>
      <c r="T3874" s="3">
        <v>1937074000</v>
      </c>
      <c r="U3874" s="3" t="s">
        <v>29</v>
      </c>
    </row>
    <row r="3875" spans="1:21" ht="13.2" x14ac:dyDescent="0.25">
      <c r="A3875" s="14">
        <v>36189370000166</v>
      </c>
      <c r="B3875" s="15" t="str">
        <f t="shared" si="60"/>
        <v>36.189.370/0001-66</v>
      </c>
      <c r="C3875" s="12" t="str">
        <f>VLOOKUP(B3875,[1]Planilha1!$A:$B,2,0)</f>
        <v>Malu Montesino</v>
      </c>
      <c r="D3875" s="3" t="s">
        <v>13335</v>
      </c>
      <c r="E3875" s="3" t="s">
        <v>13336</v>
      </c>
      <c r="F3875" s="3" t="s">
        <v>20</v>
      </c>
      <c r="G3875" s="4">
        <v>43860</v>
      </c>
      <c r="H3875" s="3" t="s">
        <v>21</v>
      </c>
      <c r="I3875" s="3" t="s">
        <v>47</v>
      </c>
      <c r="J3875" s="5">
        <v>300000</v>
      </c>
      <c r="K3875" s="3">
        <v>7319002</v>
      </c>
      <c r="L3875" s="3" t="s">
        <v>48</v>
      </c>
      <c r="M3875" s="3" t="s">
        <v>13337</v>
      </c>
      <c r="N3875" s="3">
        <v>108</v>
      </c>
      <c r="P3875" s="3" t="s">
        <v>709</v>
      </c>
      <c r="Q3875" s="3" t="s">
        <v>710</v>
      </c>
      <c r="R3875" s="3" t="s">
        <v>711</v>
      </c>
      <c r="S3875" s="3">
        <v>49055230</v>
      </c>
      <c r="T3875" s="3">
        <v>7188840599</v>
      </c>
      <c r="U3875" s="3" t="s">
        <v>29</v>
      </c>
    </row>
    <row r="3876" spans="1:21" ht="13.2" x14ac:dyDescent="0.25">
      <c r="A3876" s="14">
        <v>17746646000115</v>
      </c>
      <c r="B3876" s="15" t="str">
        <f t="shared" si="60"/>
        <v>17.746.646/0001-15</v>
      </c>
      <c r="C3876" s="12"/>
      <c r="D3876" s="3" t="s">
        <v>13338</v>
      </c>
      <c r="E3876" s="3" t="s">
        <v>13339</v>
      </c>
      <c r="F3876" s="3" t="s">
        <v>20</v>
      </c>
      <c r="G3876" s="4">
        <v>41347</v>
      </c>
      <c r="H3876" s="3" t="s">
        <v>21</v>
      </c>
      <c r="I3876" s="3" t="s">
        <v>47</v>
      </c>
      <c r="J3876" s="5">
        <v>2500000</v>
      </c>
      <c r="K3876" s="3">
        <v>7820500</v>
      </c>
      <c r="L3876" s="3" t="s">
        <v>481</v>
      </c>
      <c r="M3876" s="3" t="s">
        <v>4011</v>
      </c>
      <c r="N3876" s="3">
        <v>268</v>
      </c>
      <c r="O3876" s="3" t="s">
        <v>6066</v>
      </c>
      <c r="P3876" s="3" t="s">
        <v>70</v>
      </c>
      <c r="Q3876" s="3" t="s">
        <v>1846</v>
      </c>
      <c r="R3876" s="3" t="s">
        <v>1847</v>
      </c>
      <c r="S3876" s="3">
        <v>57020510</v>
      </c>
      <c r="T3876" s="3">
        <v>8230211702</v>
      </c>
      <c r="U3876" s="3" t="s">
        <v>29</v>
      </c>
    </row>
    <row r="3877" spans="1:21" ht="13.2" x14ac:dyDescent="0.25">
      <c r="A3877" s="14">
        <v>11063844000106</v>
      </c>
      <c r="B3877" s="15" t="str">
        <f t="shared" si="60"/>
        <v>11.063.844/0001-06</v>
      </c>
      <c r="C3877" s="12"/>
      <c r="D3877" s="3" t="s">
        <v>13340</v>
      </c>
      <c r="E3877" s="3" t="s">
        <v>13341</v>
      </c>
      <c r="F3877" s="3" t="s">
        <v>20</v>
      </c>
      <c r="G3877" s="4">
        <v>40029</v>
      </c>
      <c r="H3877" s="3" t="s">
        <v>21</v>
      </c>
      <c r="I3877" s="3" t="s">
        <v>33</v>
      </c>
      <c r="J3877" s="5">
        <v>1200000</v>
      </c>
      <c r="K3877" s="3">
        <v>7739099</v>
      </c>
      <c r="L3877" s="3" t="s">
        <v>669</v>
      </c>
      <c r="M3877" s="3" t="s">
        <v>13342</v>
      </c>
      <c r="N3877" s="3">
        <v>136</v>
      </c>
      <c r="P3877" s="3" t="s">
        <v>8001</v>
      </c>
      <c r="Q3877" s="3" t="s">
        <v>27</v>
      </c>
      <c r="R3877" s="3" t="s">
        <v>28</v>
      </c>
      <c r="S3877" s="3">
        <v>4690050</v>
      </c>
      <c r="T3877" s="3">
        <v>1135525300</v>
      </c>
      <c r="U3877" s="3" t="s">
        <v>29</v>
      </c>
    </row>
    <row r="3878" spans="1:21" ht="13.2" x14ac:dyDescent="0.25">
      <c r="A3878" s="14">
        <v>60750056000195</v>
      </c>
      <c r="B3878" s="15" t="str">
        <f t="shared" si="60"/>
        <v>60.750.056/0001-95</v>
      </c>
      <c r="C3878" s="12"/>
      <c r="D3878" s="3" t="s">
        <v>13343</v>
      </c>
      <c r="E3878" s="3" t="s">
        <v>13343</v>
      </c>
      <c r="F3878" s="3" t="s">
        <v>20</v>
      </c>
      <c r="G3878" s="4">
        <v>24588</v>
      </c>
      <c r="H3878" s="3" t="s">
        <v>21</v>
      </c>
      <c r="I3878" s="3" t="s">
        <v>33</v>
      </c>
      <c r="J3878" s="5">
        <v>406089660</v>
      </c>
      <c r="K3878" s="3">
        <v>2312500</v>
      </c>
      <c r="L3878" s="3" t="s">
        <v>13344</v>
      </c>
      <c r="M3878" s="3" t="s">
        <v>13345</v>
      </c>
      <c r="N3878" s="3">
        <v>2502</v>
      </c>
      <c r="O3878" s="3" t="s">
        <v>13346</v>
      </c>
      <c r="P3878" s="3" t="s">
        <v>13347</v>
      </c>
      <c r="Q3878" s="3" t="s">
        <v>217</v>
      </c>
      <c r="R3878" s="3" t="s">
        <v>28</v>
      </c>
      <c r="S3878" s="3">
        <v>9810010</v>
      </c>
      <c r="T3878" s="3">
        <v>1143551800</v>
      </c>
      <c r="U3878" s="3" t="s">
        <v>29</v>
      </c>
    </row>
    <row r="3879" spans="1:21" ht="13.2" x14ac:dyDescent="0.25">
      <c r="A3879" s="14">
        <v>35820448008110</v>
      </c>
      <c r="B3879" s="15" t="str">
        <f t="shared" si="60"/>
        <v>35.820.448/0081-10</v>
      </c>
      <c r="C3879" s="12"/>
      <c r="D3879" s="3" t="s">
        <v>13348</v>
      </c>
      <c r="E3879" s="3" t="s">
        <v>13348</v>
      </c>
      <c r="F3879" s="3" t="s">
        <v>20</v>
      </c>
      <c r="G3879" s="4">
        <v>32785</v>
      </c>
      <c r="H3879" s="3" t="s">
        <v>21</v>
      </c>
      <c r="I3879" s="3" t="s">
        <v>33</v>
      </c>
      <c r="J3879" s="5">
        <v>1132743800</v>
      </c>
      <c r="K3879" s="3">
        <v>2014200</v>
      </c>
      <c r="L3879" s="3" t="s">
        <v>833</v>
      </c>
      <c r="M3879" s="3" t="s">
        <v>4104</v>
      </c>
      <c r="N3879" s="3">
        <v>2422</v>
      </c>
      <c r="P3879" s="3" t="s">
        <v>1942</v>
      </c>
      <c r="Q3879" s="3" t="s">
        <v>1943</v>
      </c>
      <c r="R3879" s="3" t="s">
        <v>28</v>
      </c>
      <c r="S3879" s="3">
        <v>9961350</v>
      </c>
      <c r="U3879" s="3" t="s">
        <v>29</v>
      </c>
    </row>
    <row r="3880" spans="1:21" ht="13.2" x14ac:dyDescent="0.25">
      <c r="A3880" s="14">
        <v>35820448010360</v>
      </c>
      <c r="B3880" s="15" t="str">
        <f t="shared" si="60"/>
        <v>35.820.448/0103-60</v>
      </c>
      <c r="C3880" s="12"/>
      <c r="D3880" s="3" t="s">
        <v>13348</v>
      </c>
      <c r="E3880" s="3" t="s">
        <v>13348</v>
      </c>
      <c r="F3880" s="3" t="s">
        <v>20</v>
      </c>
      <c r="G3880" s="4">
        <v>32785</v>
      </c>
      <c r="H3880" s="3" t="s">
        <v>21</v>
      </c>
      <c r="I3880" s="3" t="s">
        <v>33</v>
      </c>
      <c r="J3880" s="5">
        <v>1132743800</v>
      </c>
      <c r="K3880" s="3">
        <v>2014200</v>
      </c>
      <c r="L3880" s="3" t="s">
        <v>833</v>
      </c>
      <c r="M3880" s="3" t="s">
        <v>13349</v>
      </c>
      <c r="N3880" s="3">
        <v>500</v>
      </c>
      <c r="P3880" s="3" t="s">
        <v>11018</v>
      </c>
      <c r="Q3880" s="3" t="s">
        <v>567</v>
      </c>
      <c r="R3880" s="3" t="s">
        <v>28</v>
      </c>
      <c r="S3880" s="3">
        <v>13212240</v>
      </c>
      <c r="U3880" s="3" t="s">
        <v>29</v>
      </c>
    </row>
    <row r="3881" spans="1:21" ht="13.2" x14ac:dyDescent="0.25">
      <c r="A3881" s="14">
        <v>35820448021303</v>
      </c>
      <c r="B3881" s="15" t="str">
        <f t="shared" si="60"/>
        <v>35.820.448/0213-03</v>
      </c>
      <c r="C3881" s="12" t="str">
        <f>VLOOKUP(B3881,[1]Planilha1!$A:$B,2,0)</f>
        <v>Malu Montesino</v>
      </c>
      <c r="D3881" s="3" t="s">
        <v>13348</v>
      </c>
      <c r="E3881" s="3" t="s">
        <v>13348</v>
      </c>
      <c r="F3881" s="3" t="s">
        <v>20</v>
      </c>
      <c r="G3881" s="4">
        <v>43312</v>
      </c>
      <c r="H3881" s="3" t="s">
        <v>21</v>
      </c>
      <c r="I3881" s="3" t="s">
        <v>33</v>
      </c>
      <c r="J3881" s="5">
        <v>1132743800</v>
      </c>
      <c r="K3881" s="3">
        <v>2014200</v>
      </c>
      <c r="L3881" s="3" t="s">
        <v>833</v>
      </c>
      <c r="M3881" s="3" t="s">
        <v>2285</v>
      </c>
      <c r="N3881" s="3">
        <v>255</v>
      </c>
      <c r="P3881" s="3" t="s">
        <v>487</v>
      </c>
      <c r="Q3881" s="3" t="s">
        <v>488</v>
      </c>
      <c r="R3881" s="3" t="s">
        <v>28</v>
      </c>
      <c r="S3881" s="3">
        <v>13288172</v>
      </c>
      <c r="T3881" s="3">
        <v>2132799000</v>
      </c>
      <c r="U3881" s="3" t="s">
        <v>29</v>
      </c>
    </row>
    <row r="3882" spans="1:21" ht="13.2" x14ac:dyDescent="0.25">
      <c r="A3882" s="14">
        <v>17891872000190</v>
      </c>
      <c r="B3882" s="15" t="str">
        <f t="shared" si="60"/>
        <v>17.891.872/0001-90</v>
      </c>
      <c r="C3882" s="12" t="str">
        <f>VLOOKUP(B3882,[1]Planilha1!$A:$B,2,0)</f>
        <v>Malu Montesino</v>
      </c>
      <c r="D3882" s="3" t="s">
        <v>13350</v>
      </c>
      <c r="E3882" s="3" t="s">
        <v>13350</v>
      </c>
      <c r="F3882" s="3" t="s">
        <v>20</v>
      </c>
      <c r="G3882" s="4">
        <v>41372</v>
      </c>
      <c r="H3882" s="3" t="s">
        <v>21</v>
      </c>
      <c r="I3882" s="3" t="s">
        <v>33</v>
      </c>
      <c r="J3882" s="5">
        <v>379886340</v>
      </c>
      <c r="K3882" s="3">
        <v>2014200</v>
      </c>
      <c r="L3882" s="3" t="s">
        <v>833</v>
      </c>
      <c r="M3882" s="3" t="s">
        <v>553</v>
      </c>
      <c r="N3882" s="3" t="s">
        <v>82</v>
      </c>
      <c r="O3882" s="3" t="s">
        <v>13351</v>
      </c>
      <c r="P3882" s="3" t="s">
        <v>13352</v>
      </c>
      <c r="Q3882" s="3" t="s">
        <v>13353</v>
      </c>
      <c r="R3882" s="3" t="s">
        <v>301</v>
      </c>
      <c r="S3882" s="3">
        <v>62674000</v>
      </c>
      <c r="T3882" s="3">
        <v>8521816217</v>
      </c>
      <c r="U3882" s="3" t="s">
        <v>29</v>
      </c>
    </row>
    <row r="3883" spans="1:21" ht="13.2" x14ac:dyDescent="0.25">
      <c r="A3883" s="14">
        <v>8763149000134</v>
      </c>
      <c r="B3883" s="15" t="str">
        <f t="shared" si="60"/>
        <v>08.763.149/0001-34</v>
      </c>
      <c r="C3883" s="12"/>
      <c r="D3883" s="3" t="s">
        <v>13354</v>
      </c>
      <c r="E3883" s="3" t="s">
        <v>13354</v>
      </c>
      <c r="F3883" s="3" t="s">
        <v>20</v>
      </c>
      <c r="G3883" s="4">
        <v>39107</v>
      </c>
      <c r="H3883" s="3" t="s">
        <v>21</v>
      </c>
      <c r="I3883" s="3" t="s">
        <v>33</v>
      </c>
      <c r="J3883" s="5">
        <v>100000</v>
      </c>
      <c r="K3883" s="3">
        <v>2014200</v>
      </c>
      <c r="L3883" s="3" t="s">
        <v>833</v>
      </c>
      <c r="M3883" s="3" t="s">
        <v>12449</v>
      </c>
      <c r="N3883" s="3" t="s">
        <v>82</v>
      </c>
      <c r="O3883" s="3" t="s">
        <v>721</v>
      </c>
      <c r="P3883" s="3" t="s">
        <v>1639</v>
      </c>
      <c r="Q3883" s="3" t="s">
        <v>253</v>
      </c>
      <c r="R3883" s="3" t="s">
        <v>78</v>
      </c>
      <c r="S3883" s="3">
        <v>23570000</v>
      </c>
      <c r="T3883" s="3">
        <v>2134312099</v>
      </c>
      <c r="U3883" s="3" t="s">
        <v>29</v>
      </c>
    </row>
    <row r="3884" spans="1:21" ht="13.2" x14ac:dyDescent="0.25">
      <c r="A3884" s="14">
        <v>30102251000148</v>
      </c>
      <c r="B3884" s="15" t="str">
        <f t="shared" si="60"/>
        <v>30.102.251/0001-48</v>
      </c>
      <c r="C3884" s="12"/>
      <c r="D3884" s="3" t="s">
        <v>13355</v>
      </c>
      <c r="E3884" s="3" t="s">
        <v>13356</v>
      </c>
      <c r="F3884" s="3" t="s">
        <v>20</v>
      </c>
      <c r="G3884" s="4">
        <v>43194</v>
      </c>
      <c r="H3884" s="3" t="s">
        <v>21</v>
      </c>
      <c r="I3884" s="3" t="s">
        <v>47</v>
      </c>
      <c r="J3884" s="5">
        <v>100000</v>
      </c>
      <c r="K3884" s="3">
        <v>4757100</v>
      </c>
      <c r="L3884" s="3" t="s">
        <v>1833</v>
      </c>
      <c r="M3884" s="3" t="s">
        <v>13357</v>
      </c>
      <c r="N3884" s="3">
        <v>144</v>
      </c>
      <c r="P3884" s="3" t="s">
        <v>13358</v>
      </c>
      <c r="Q3884" s="3" t="s">
        <v>2005</v>
      </c>
      <c r="R3884" s="3" t="s">
        <v>187</v>
      </c>
      <c r="S3884" s="3">
        <v>83707620</v>
      </c>
      <c r="T3884" s="3">
        <v>4131534644</v>
      </c>
      <c r="U3884" s="3" t="s">
        <v>29</v>
      </c>
    </row>
    <row r="3885" spans="1:21" ht="13.2" x14ac:dyDescent="0.25">
      <c r="A3885" s="14">
        <v>4539316000107</v>
      </c>
      <c r="B3885" s="15" t="str">
        <f t="shared" si="60"/>
        <v>04.539.316/0001-07</v>
      </c>
      <c r="C3885" s="12"/>
      <c r="D3885" s="3" t="s">
        <v>13359</v>
      </c>
      <c r="E3885" s="3" t="s">
        <v>13359</v>
      </c>
      <c r="F3885" s="3" t="s">
        <v>20</v>
      </c>
      <c r="G3885" s="4">
        <v>37048</v>
      </c>
      <c r="H3885" s="3" t="s">
        <v>21</v>
      </c>
      <c r="I3885" s="3" t="s">
        <v>33</v>
      </c>
      <c r="J3885" s="5">
        <v>200000</v>
      </c>
      <c r="K3885" s="3">
        <v>4759801</v>
      </c>
      <c r="L3885" s="3" t="s">
        <v>13360</v>
      </c>
      <c r="M3885" s="3" t="s">
        <v>4079</v>
      </c>
      <c r="N3885" s="3">
        <v>1580</v>
      </c>
      <c r="O3885" s="3">
        <v>1590</v>
      </c>
      <c r="P3885" s="3" t="s">
        <v>142</v>
      </c>
      <c r="Q3885" s="3" t="s">
        <v>27</v>
      </c>
      <c r="R3885" s="3" t="s">
        <v>28</v>
      </c>
      <c r="S3885" s="3">
        <v>3002000</v>
      </c>
      <c r="T3885" s="3">
        <v>1133853310</v>
      </c>
      <c r="U3885" s="3" t="s">
        <v>29</v>
      </c>
    </row>
    <row r="3886" spans="1:21" ht="13.2" x14ac:dyDescent="0.25">
      <c r="A3886" s="14">
        <v>2932973000194</v>
      </c>
      <c r="B3886" s="15" t="str">
        <f t="shared" si="60"/>
        <v>02.932.973/0001-94</v>
      </c>
      <c r="C3886" s="12"/>
      <c r="D3886" s="3" t="s">
        <v>13361</v>
      </c>
      <c r="E3886" s="3" t="s">
        <v>13362</v>
      </c>
      <c r="F3886" s="3" t="s">
        <v>20</v>
      </c>
      <c r="G3886" s="4">
        <v>36171</v>
      </c>
      <c r="H3886" s="3" t="s">
        <v>46</v>
      </c>
      <c r="I3886" s="3" t="s">
        <v>33</v>
      </c>
      <c r="J3886" s="5">
        <v>0</v>
      </c>
      <c r="K3886" s="3">
        <v>4520001</v>
      </c>
      <c r="L3886" s="3" t="s">
        <v>993</v>
      </c>
      <c r="M3886" s="3" t="s">
        <v>13363</v>
      </c>
      <c r="N3886" s="3">
        <v>1156</v>
      </c>
      <c r="P3886" s="3" t="s">
        <v>13364</v>
      </c>
      <c r="Q3886" s="3" t="s">
        <v>262</v>
      </c>
      <c r="R3886" s="3" t="s">
        <v>28</v>
      </c>
      <c r="S3886" s="3">
        <v>6160002</v>
      </c>
      <c r="T3886" s="3">
        <v>1147666940</v>
      </c>
      <c r="U3886" s="3" t="s">
        <v>29</v>
      </c>
    </row>
    <row r="3887" spans="1:21" ht="13.2" x14ac:dyDescent="0.25">
      <c r="A3887" s="14">
        <v>31751095000109</v>
      </c>
      <c r="B3887" s="15" t="str">
        <f t="shared" si="60"/>
        <v>31.751.095/0001-09</v>
      </c>
      <c r="C3887" s="12"/>
      <c r="D3887" s="3" t="s">
        <v>13365</v>
      </c>
      <c r="E3887" s="3" t="s">
        <v>13366</v>
      </c>
      <c r="F3887" s="3" t="s">
        <v>20</v>
      </c>
      <c r="G3887" s="4">
        <v>43384</v>
      </c>
      <c r="H3887" s="3" t="s">
        <v>21</v>
      </c>
      <c r="I3887" s="3" t="s">
        <v>47</v>
      </c>
      <c r="J3887" s="5">
        <v>96000</v>
      </c>
      <c r="K3887" s="3">
        <v>7112000</v>
      </c>
      <c r="L3887" s="3" t="s">
        <v>276</v>
      </c>
      <c r="M3887" s="3" t="s">
        <v>591</v>
      </c>
      <c r="N3887" s="3">
        <v>100</v>
      </c>
      <c r="P3887" s="3" t="s">
        <v>593</v>
      </c>
      <c r="Q3887" s="3" t="s">
        <v>27</v>
      </c>
      <c r="R3887" s="3" t="s">
        <v>28</v>
      </c>
      <c r="S3887" s="3">
        <v>4726170</v>
      </c>
      <c r="T3887" s="3">
        <v>1148105390</v>
      </c>
      <c r="U3887" s="3" t="s">
        <v>29</v>
      </c>
    </row>
    <row r="3888" spans="1:21" ht="13.2" x14ac:dyDescent="0.25">
      <c r="A3888" s="14">
        <v>9636419000109</v>
      </c>
      <c r="B3888" s="15" t="str">
        <f t="shared" si="60"/>
        <v>09.636.419/0001-09</v>
      </c>
      <c r="C3888" s="12"/>
      <c r="D3888" s="3" t="s">
        <v>13367</v>
      </c>
      <c r="E3888" s="3" t="s">
        <v>13368</v>
      </c>
      <c r="F3888" s="3" t="s">
        <v>20</v>
      </c>
      <c r="G3888" s="4">
        <v>39603</v>
      </c>
      <c r="H3888" s="3" t="s">
        <v>21</v>
      </c>
      <c r="I3888" s="3" t="s">
        <v>33</v>
      </c>
      <c r="J3888" s="5">
        <v>25710204</v>
      </c>
      <c r="K3888" s="3">
        <v>2812700</v>
      </c>
      <c r="L3888" s="3" t="s">
        <v>1534</v>
      </c>
      <c r="M3888" s="3" t="s">
        <v>9766</v>
      </c>
      <c r="N3888" s="3">
        <v>4350</v>
      </c>
      <c r="P3888" s="3" t="s">
        <v>11077</v>
      </c>
      <c r="Q3888" s="3" t="s">
        <v>567</v>
      </c>
      <c r="R3888" s="3" t="s">
        <v>28</v>
      </c>
      <c r="S3888" s="3">
        <v>13213105</v>
      </c>
      <c r="T3888" s="3">
        <v>1129239411</v>
      </c>
      <c r="U3888" s="3" t="s">
        <v>29</v>
      </c>
    </row>
    <row r="3889" spans="1:21" ht="13.2" x14ac:dyDescent="0.25">
      <c r="A3889" s="14">
        <v>33130691000105</v>
      </c>
      <c r="B3889" s="15" t="str">
        <f t="shared" si="60"/>
        <v>33.130.691/0001-05</v>
      </c>
      <c r="C3889" s="12" t="str">
        <f>VLOOKUP(B3889,[1]Planilha1!$A:$B,2,0)</f>
        <v>Malu Montesino</v>
      </c>
      <c r="D3889" s="3" t="s">
        <v>13369</v>
      </c>
      <c r="E3889" s="3" t="s">
        <v>13369</v>
      </c>
      <c r="F3889" s="3" t="s">
        <v>20</v>
      </c>
      <c r="G3889" s="4">
        <v>24335</v>
      </c>
      <c r="H3889" s="3" t="s">
        <v>377</v>
      </c>
      <c r="I3889" s="3" t="s">
        <v>33</v>
      </c>
      <c r="J3889" s="5">
        <v>1374292400</v>
      </c>
      <c r="K3889" s="3">
        <v>6462000</v>
      </c>
      <c r="L3889" s="3" t="s">
        <v>250</v>
      </c>
      <c r="M3889" s="3" t="s">
        <v>3697</v>
      </c>
      <c r="N3889" s="3">
        <v>186</v>
      </c>
      <c r="O3889" s="3" t="s">
        <v>13370</v>
      </c>
      <c r="P3889" s="3" t="s">
        <v>3697</v>
      </c>
      <c r="Q3889" s="3" t="s">
        <v>253</v>
      </c>
      <c r="R3889" s="3" t="s">
        <v>78</v>
      </c>
      <c r="S3889" s="3">
        <v>22250145</v>
      </c>
      <c r="T3889" s="3">
        <v>2135044222</v>
      </c>
      <c r="U3889" s="3" t="s">
        <v>29</v>
      </c>
    </row>
    <row r="3890" spans="1:21" ht="13.2" x14ac:dyDescent="0.25">
      <c r="A3890" s="14">
        <v>13859914000154</v>
      </c>
      <c r="B3890" s="15" t="str">
        <f t="shared" si="60"/>
        <v>13.859.914/0001-54</v>
      </c>
      <c r="C3890" s="12"/>
      <c r="D3890" s="3" t="s">
        <v>13371</v>
      </c>
      <c r="E3890" s="3" t="s">
        <v>13372</v>
      </c>
      <c r="F3890" s="3" t="s">
        <v>20</v>
      </c>
      <c r="G3890" s="4">
        <v>40694</v>
      </c>
      <c r="H3890" s="3" t="s">
        <v>21</v>
      </c>
      <c r="I3890" s="3" t="s">
        <v>33</v>
      </c>
      <c r="J3890" s="5">
        <v>500000</v>
      </c>
      <c r="K3890" s="3">
        <v>6110801</v>
      </c>
      <c r="L3890" s="3" t="s">
        <v>990</v>
      </c>
      <c r="M3890" s="3" t="s">
        <v>13373</v>
      </c>
      <c r="N3890" s="3">
        <v>215</v>
      </c>
      <c r="O3890" s="3" t="s">
        <v>13374</v>
      </c>
      <c r="P3890" s="3" t="s">
        <v>1740</v>
      </c>
      <c r="Q3890" s="3" t="s">
        <v>27</v>
      </c>
      <c r="R3890" s="3" t="s">
        <v>28</v>
      </c>
      <c r="S3890" s="3">
        <v>5424150</v>
      </c>
      <c r="T3890" s="3">
        <v>1135400000</v>
      </c>
      <c r="U3890" s="3" t="s">
        <v>29</v>
      </c>
    </row>
    <row r="3891" spans="1:21" ht="13.2" x14ac:dyDescent="0.25">
      <c r="A3891" s="14">
        <v>5421585000137</v>
      </c>
      <c r="B3891" s="15" t="str">
        <f t="shared" si="60"/>
        <v>05.421.585/0001-37</v>
      </c>
      <c r="C3891" s="12"/>
      <c r="D3891" s="3" t="s">
        <v>13375</v>
      </c>
      <c r="E3891" s="3" t="s">
        <v>13376</v>
      </c>
      <c r="F3891" s="3" t="s">
        <v>20</v>
      </c>
      <c r="G3891" s="4">
        <v>37580</v>
      </c>
      <c r="H3891" s="3" t="s">
        <v>21</v>
      </c>
      <c r="I3891" s="3" t="s">
        <v>33</v>
      </c>
      <c r="J3891" s="5">
        <v>4000000</v>
      </c>
      <c r="K3891" s="3">
        <v>3250705</v>
      </c>
      <c r="L3891" s="3" t="s">
        <v>2420</v>
      </c>
      <c r="M3891" s="3" t="s">
        <v>13377</v>
      </c>
      <c r="N3891" s="3" t="s">
        <v>6407</v>
      </c>
      <c r="O3891" s="3" t="s">
        <v>1149</v>
      </c>
      <c r="P3891" s="3" t="s">
        <v>8442</v>
      </c>
      <c r="Q3891" s="3" t="s">
        <v>631</v>
      </c>
      <c r="R3891" s="3" t="s">
        <v>632</v>
      </c>
      <c r="S3891" s="3">
        <v>71928180</v>
      </c>
      <c r="T3891" s="3">
        <v>6199835868</v>
      </c>
      <c r="U3891" s="3" t="s">
        <v>29</v>
      </c>
    </row>
    <row r="3892" spans="1:21" ht="13.2" x14ac:dyDescent="0.25">
      <c r="A3892" s="14">
        <v>3055200000130</v>
      </c>
      <c r="B3892" s="15" t="str">
        <f t="shared" si="60"/>
        <v>03.055.200/0001-30</v>
      </c>
      <c r="C3892" s="12" t="str">
        <f>VLOOKUP(B3892,[1]Planilha1!$A:$B,2,0)</f>
        <v>Malu Montesino</v>
      </c>
      <c r="D3892" s="3" t="s">
        <v>13378</v>
      </c>
      <c r="E3892" s="3" t="s">
        <v>13379</v>
      </c>
      <c r="F3892" s="3" t="s">
        <v>20</v>
      </c>
      <c r="G3892" s="4">
        <v>36133</v>
      </c>
      <c r="H3892" s="3" t="s">
        <v>21</v>
      </c>
      <c r="I3892" s="3" t="s">
        <v>33</v>
      </c>
      <c r="J3892" s="5">
        <v>20000</v>
      </c>
      <c r="K3892" s="3">
        <v>6190601</v>
      </c>
      <c r="L3892" s="3" t="s">
        <v>3405</v>
      </c>
      <c r="M3892" s="3" t="s">
        <v>85</v>
      </c>
      <c r="N3892" s="3">
        <v>1411</v>
      </c>
      <c r="P3892" s="3" t="s">
        <v>27</v>
      </c>
      <c r="Q3892" s="3" t="s">
        <v>27</v>
      </c>
      <c r="R3892" s="3" t="s">
        <v>28</v>
      </c>
      <c r="S3892" s="3">
        <v>5016110</v>
      </c>
      <c r="T3892" s="3">
        <v>1148004800</v>
      </c>
      <c r="U3892" s="3" t="s">
        <v>29</v>
      </c>
    </row>
    <row r="3893" spans="1:21" ht="13.2" x14ac:dyDescent="0.25">
      <c r="A3893" s="14">
        <v>3179994000143</v>
      </c>
      <c r="B3893" s="15" t="str">
        <f t="shared" si="60"/>
        <v>03.179.994/0001-43</v>
      </c>
      <c r="C3893" s="12"/>
      <c r="D3893" s="3" t="s">
        <v>13380</v>
      </c>
      <c r="E3893" s="3" t="s">
        <v>13380</v>
      </c>
      <c r="F3893" s="3" t="s">
        <v>20</v>
      </c>
      <c r="G3893" s="4">
        <v>36307</v>
      </c>
      <c r="H3893" s="3" t="s">
        <v>21</v>
      </c>
      <c r="I3893" s="3" t="s">
        <v>33</v>
      </c>
      <c r="J3893" s="5">
        <v>164773570</v>
      </c>
      <c r="K3893" s="3">
        <v>4645101</v>
      </c>
      <c r="L3893" s="3" t="s">
        <v>135</v>
      </c>
      <c r="M3893" s="3" t="s">
        <v>13381</v>
      </c>
      <c r="N3893" s="3">
        <v>189</v>
      </c>
      <c r="P3893" s="3" t="s">
        <v>70</v>
      </c>
      <c r="Q3893" s="3" t="s">
        <v>253</v>
      </c>
      <c r="R3893" s="3" t="s">
        <v>78</v>
      </c>
      <c r="S3893" s="3">
        <v>20231091</v>
      </c>
      <c r="T3893" s="3">
        <v>2122102620</v>
      </c>
      <c r="U3893" s="3" t="s">
        <v>29</v>
      </c>
    </row>
    <row r="3894" spans="1:21" ht="13.2" x14ac:dyDescent="0.25">
      <c r="A3894" s="14">
        <v>56298532000101</v>
      </c>
      <c r="B3894" s="15" t="str">
        <f t="shared" si="60"/>
        <v>56.298.532/0001-01</v>
      </c>
      <c r="C3894" s="12"/>
      <c r="D3894" s="3" t="s">
        <v>13382</v>
      </c>
      <c r="E3894" s="3" t="s">
        <v>13382</v>
      </c>
      <c r="F3894" s="3" t="s">
        <v>20</v>
      </c>
      <c r="G3894" s="4">
        <v>31659</v>
      </c>
      <c r="H3894" s="3" t="s">
        <v>21</v>
      </c>
      <c r="I3894" s="3" t="s">
        <v>33</v>
      </c>
      <c r="J3894" s="5">
        <v>65000</v>
      </c>
      <c r="K3894" s="3">
        <v>7020400</v>
      </c>
      <c r="L3894" s="3" t="s">
        <v>170</v>
      </c>
      <c r="M3894" s="3" t="s">
        <v>13383</v>
      </c>
      <c r="N3894" s="3">
        <v>182</v>
      </c>
      <c r="O3894" s="3" t="s">
        <v>6066</v>
      </c>
      <c r="P3894" s="3" t="s">
        <v>7232</v>
      </c>
      <c r="Q3894" s="3" t="s">
        <v>65</v>
      </c>
      <c r="R3894" s="3" t="s">
        <v>28</v>
      </c>
      <c r="S3894" s="3">
        <v>13024570</v>
      </c>
      <c r="T3894" s="3">
        <v>1932530889</v>
      </c>
      <c r="U3894" s="3" t="s">
        <v>29</v>
      </c>
    </row>
    <row r="3895" spans="1:21" ht="13.2" x14ac:dyDescent="0.25">
      <c r="A3895" s="14">
        <v>60618642000180</v>
      </c>
      <c r="B3895" s="15" t="str">
        <f t="shared" si="60"/>
        <v>60.618.642/0001-80</v>
      </c>
      <c r="C3895" s="12" t="str">
        <f>VLOOKUP(B3895,[1]Planilha1!$A:$B,2,0)</f>
        <v>Malu Montesino</v>
      </c>
      <c r="D3895" s="3" t="s">
        <v>13384</v>
      </c>
      <c r="E3895" s="3" t="s">
        <v>13384</v>
      </c>
      <c r="F3895" s="3" t="s">
        <v>45</v>
      </c>
      <c r="G3895" s="4">
        <v>24051</v>
      </c>
      <c r="H3895" s="3" t="s">
        <v>21</v>
      </c>
      <c r="I3895" s="3" t="s">
        <v>33</v>
      </c>
      <c r="J3895" s="5">
        <v>10423011</v>
      </c>
      <c r="K3895" s="3">
        <v>2949299</v>
      </c>
      <c r="L3895" s="3" t="s">
        <v>1083</v>
      </c>
      <c r="M3895" s="3" t="s">
        <v>13385</v>
      </c>
      <c r="N3895" s="3">
        <v>554</v>
      </c>
      <c r="P3895" s="3" t="s">
        <v>13386</v>
      </c>
      <c r="Q3895" s="3" t="s">
        <v>1132</v>
      </c>
      <c r="R3895" s="3" t="s">
        <v>28</v>
      </c>
      <c r="S3895" s="3">
        <v>8500010</v>
      </c>
      <c r="T3895" s="3">
        <v>1150313584</v>
      </c>
      <c r="U3895" s="3" t="s">
        <v>29</v>
      </c>
    </row>
    <row r="3896" spans="1:21" ht="13.2" x14ac:dyDescent="0.25">
      <c r="A3896" s="14">
        <v>2690085000102</v>
      </c>
      <c r="B3896" s="15" t="str">
        <f t="shared" si="60"/>
        <v>02.690.085/0001-02</v>
      </c>
      <c r="C3896" s="12"/>
      <c r="D3896" s="3" t="s">
        <v>13387</v>
      </c>
      <c r="E3896" s="3" t="s">
        <v>13387</v>
      </c>
      <c r="F3896" s="3" t="s">
        <v>20</v>
      </c>
      <c r="G3896" s="4">
        <v>36028</v>
      </c>
      <c r="H3896" s="3" t="s">
        <v>21</v>
      </c>
      <c r="I3896" s="3" t="s">
        <v>22</v>
      </c>
      <c r="J3896" s="5">
        <v>100000</v>
      </c>
      <c r="K3896" s="3">
        <v>4664800</v>
      </c>
      <c r="L3896" s="3" t="s">
        <v>691</v>
      </c>
      <c r="M3896" s="3" t="s">
        <v>3498</v>
      </c>
      <c r="N3896" s="7">
        <v>2491</v>
      </c>
      <c r="P3896" s="3" t="s">
        <v>748</v>
      </c>
      <c r="Q3896" s="3" t="s">
        <v>471</v>
      </c>
      <c r="R3896" s="3" t="s">
        <v>28</v>
      </c>
      <c r="S3896" s="3">
        <v>9561200</v>
      </c>
      <c r="T3896" s="3">
        <v>1142206060</v>
      </c>
      <c r="U3896" s="3" t="s">
        <v>29</v>
      </c>
    </row>
    <row r="3897" spans="1:21" ht="13.2" x14ac:dyDescent="0.25">
      <c r="A3897" s="14">
        <v>30951999000115</v>
      </c>
      <c r="B3897" s="15" t="str">
        <f t="shared" si="60"/>
        <v>30.951.999/0001-15</v>
      </c>
      <c r="C3897" s="12" t="str">
        <f>VLOOKUP(B3897,[1]Planilha1!$A:$B,2,0)</f>
        <v>Malu Montesino</v>
      </c>
      <c r="D3897" s="3" t="s">
        <v>13388</v>
      </c>
      <c r="E3897" s="3" t="s">
        <v>13389</v>
      </c>
      <c r="F3897" s="3" t="s">
        <v>45</v>
      </c>
      <c r="G3897" s="4">
        <v>43298</v>
      </c>
      <c r="H3897" s="3" t="s">
        <v>21</v>
      </c>
      <c r="I3897" s="3" t="s">
        <v>33</v>
      </c>
      <c r="J3897" s="5">
        <v>60000</v>
      </c>
      <c r="K3897" s="3">
        <v>4672900</v>
      </c>
      <c r="L3897" s="3" t="s">
        <v>1389</v>
      </c>
      <c r="M3897" s="3" t="s">
        <v>1655</v>
      </c>
      <c r="N3897" s="3">
        <v>6226</v>
      </c>
      <c r="O3897" s="3" t="s">
        <v>2029</v>
      </c>
      <c r="P3897" s="3" t="s">
        <v>8245</v>
      </c>
      <c r="Q3897" s="3" t="s">
        <v>186</v>
      </c>
      <c r="R3897" s="3" t="s">
        <v>187</v>
      </c>
      <c r="S3897" s="3">
        <v>83045350</v>
      </c>
      <c r="T3897" s="3">
        <v>4121098182</v>
      </c>
      <c r="U3897" s="3" t="s">
        <v>29</v>
      </c>
    </row>
    <row r="3898" spans="1:21" ht="13.2" x14ac:dyDescent="0.25">
      <c r="A3898" s="14">
        <v>41037849000117</v>
      </c>
      <c r="B3898" s="15" t="str">
        <f t="shared" si="60"/>
        <v>41.037.849/0001-17</v>
      </c>
      <c r="C3898" s="12" t="str">
        <f>VLOOKUP(B3898,[1]Planilha1!$A:$B,2,0)</f>
        <v>Mariane Nascimento</v>
      </c>
      <c r="D3898" s="3" t="s">
        <v>13390</v>
      </c>
      <c r="E3898" s="3" t="s">
        <v>13390</v>
      </c>
      <c r="F3898" s="3" t="s">
        <v>45</v>
      </c>
      <c r="G3898" s="4">
        <v>44256</v>
      </c>
      <c r="H3898" s="3" t="s">
        <v>21</v>
      </c>
      <c r="I3898" s="3" t="s">
        <v>33</v>
      </c>
      <c r="J3898" s="5">
        <v>10000</v>
      </c>
      <c r="K3898" s="3">
        <v>4669999</v>
      </c>
      <c r="L3898" s="3" t="s">
        <v>558</v>
      </c>
      <c r="M3898" s="3" t="s">
        <v>13391</v>
      </c>
      <c r="N3898" s="3">
        <v>65</v>
      </c>
      <c r="P3898" s="3" t="s">
        <v>2680</v>
      </c>
      <c r="Q3898" s="3" t="s">
        <v>471</v>
      </c>
      <c r="R3898" s="3" t="s">
        <v>28</v>
      </c>
      <c r="S3898" s="3">
        <v>9570510</v>
      </c>
      <c r="T3898" s="3">
        <v>1142334505</v>
      </c>
      <c r="U3898" s="3" t="s">
        <v>29</v>
      </c>
    </row>
    <row r="3899" spans="1:21" ht="13.2" x14ac:dyDescent="0.25">
      <c r="A3899" s="14">
        <v>8344903000100</v>
      </c>
      <c r="B3899" s="15" t="str">
        <f t="shared" si="60"/>
        <v>08.344.903/0001-00</v>
      </c>
      <c r="C3899" s="12"/>
      <c r="D3899" s="3" t="s">
        <v>13392</v>
      </c>
      <c r="E3899" s="3" t="s">
        <v>13393</v>
      </c>
      <c r="F3899" s="3" t="s">
        <v>20</v>
      </c>
      <c r="G3899" s="4">
        <v>38985</v>
      </c>
      <c r="H3899" s="3" t="s">
        <v>21</v>
      </c>
      <c r="I3899" s="3" t="s">
        <v>33</v>
      </c>
      <c r="J3899" s="5">
        <v>100000</v>
      </c>
      <c r="K3899" s="3">
        <v>4773300</v>
      </c>
      <c r="L3899" s="3" t="s">
        <v>706</v>
      </c>
      <c r="M3899" s="3" t="s">
        <v>13394</v>
      </c>
      <c r="N3899" s="3">
        <v>635</v>
      </c>
      <c r="P3899" s="3" t="s">
        <v>9524</v>
      </c>
      <c r="Q3899" s="3" t="s">
        <v>204</v>
      </c>
      <c r="R3899" s="3" t="s">
        <v>187</v>
      </c>
      <c r="S3899" s="3">
        <v>82970000</v>
      </c>
      <c r="T3899" s="3">
        <v>4132667250</v>
      </c>
      <c r="U3899" s="3" t="s">
        <v>29</v>
      </c>
    </row>
    <row r="3900" spans="1:21" ht="13.2" x14ac:dyDescent="0.25">
      <c r="A3900" s="14">
        <v>5773360000140</v>
      </c>
      <c r="B3900" s="15" t="str">
        <f t="shared" si="60"/>
        <v>05.773.360/0001-40</v>
      </c>
      <c r="C3900" s="12" t="str">
        <f>VLOOKUP(B3900,[1]Planilha1!$A:$B,2,0)</f>
        <v>Mariane Nascimento</v>
      </c>
      <c r="D3900" s="3" t="s">
        <v>13395</v>
      </c>
      <c r="E3900" s="3" t="s">
        <v>13396</v>
      </c>
      <c r="F3900" s="3" t="s">
        <v>20</v>
      </c>
      <c r="G3900" s="4">
        <v>37823</v>
      </c>
      <c r="H3900" s="3" t="s">
        <v>21</v>
      </c>
      <c r="I3900" s="3" t="s">
        <v>33</v>
      </c>
      <c r="J3900" s="5">
        <v>1050576</v>
      </c>
      <c r="K3900" s="3">
        <v>6110803</v>
      </c>
      <c r="L3900" s="3" t="s">
        <v>339</v>
      </c>
      <c r="M3900" s="3" t="s">
        <v>13397</v>
      </c>
      <c r="N3900" s="3">
        <v>152</v>
      </c>
      <c r="P3900" s="3" t="s">
        <v>5188</v>
      </c>
      <c r="Q3900" s="3" t="s">
        <v>1339</v>
      </c>
      <c r="R3900" s="3" t="s">
        <v>456</v>
      </c>
      <c r="S3900" s="3">
        <v>51021550</v>
      </c>
      <c r="T3900" s="3">
        <v>8133234401</v>
      </c>
      <c r="U3900" s="3" t="s">
        <v>29</v>
      </c>
    </row>
    <row r="3901" spans="1:21" ht="13.2" x14ac:dyDescent="0.25">
      <c r="A3901" s="14">
        <v>27288744000100</v>
      </c>
      <c r="B3901" s="15" t="str">
        <f t="shared" si="60"/>
        <v>27.288.744/0001-00</v>
      </c>
      <c r="C3901" s="12"/>
      <c r="D3901" s="3" t="s">
        <v>13398</v>
      </c>
      <c r="E3901" s="3" t="s">
        <v>13398</v>
      </c>
      <c r="F3901" s="3" t="s">
        <v>20</v>
      </c>
      <c r="G3901" s="4">
        <v>42807</v>
      </c>
      <c r="H3901" s="3" t="s">
        <v>21</v>
      </c>
      <c r="I3901" s="3" t="s">
        <v>22</v>
      </c>
      <c r="J3901" s="5">
        <v>150000</v>
      </c>
      <c r="K3901" s="3">
        <v>2660400</v>
      </c>
      <c r="L3901" s="3" t="s">
        <v>953</v>
      </c>
      <c r="M3901" s="3" t="s">
        <v>13399</v>
      </c>
      <c r="N3901" s="3">
        <v>1885</v>
      </c>
      <c r="P3901" s="3" t="s">
        <v>10153</v>
      </c>
      <c r="Q3901" s="3" t="s">
        <v>524</v>
      </c>
      <c r="R3901" s="3" t="s">
        <v>28</v>
      </c>
      <c r="S3901" s="3">
        <v>14095260</v>
      </c>
      <c r="T3901" s="3">
        <v>1633253315</v>
      </c>
      <c r="U3901" s="3" t="s">
        <v>29</v>
      </c>
    </row>
    <row r="3902" spans="1:21" ht="13.2" x14ac:dyDescent="0.25">
      <c r="A3902" s="14">
        <v>22743984000133</v>
      </c>
      <c r="B3902" s="15" t="str">
        <f t="shared" si="60"/>
        <v>22.743.984/0001-33</v>
      </c>
      <c r="C3902" s="12" t="str">
        <f>VLOOKUP(B3902,[1]Planilha1!$A:$B,2,0)</f>
        <v>Mariane Nascimento</v>
      </c>
      <c r="D3902" s="3" t="s">
        <v>13400</v>
      </c>
      <c r="E3902" s="3" t="s">
        <v>13400</v>
      </c>
      <c r="F3902" s="3" t="s">
        <v>20</v>
      </c>
      <c r="G3902" s="4">
        <v>42184</v>
      </c>
      <c r="H3902" s="3" t="s">
        <v>21</v>
      </c>
      <c r="I3902" s="3" t="s">
        <v>47</v>
      </c>
      <c r="J3902" s="5">
        <v>500000</v>
      </c>
      <c r="K3902" s="3">
        <v>4756300</v>
      </c>
      <c r="L3902" s="3" t="s">
        <v>13401</v>
      </c>
      <c r="M3902" s="3" t="s">
        <v>6032</v>
      </c>
      <c r="N3902" s="3">
        <v>1000</v>
      </c>
      <c r="P3902" s="3" t="s">
        <v>230</v>
      </c>
      <c r="Q3902" s="3" t="s">
        <v>231</v>
      </c>
      <c r="R3902" s="3" t="s">
        <v>28</v>
      </c>
      <c r="S3902" s="3">
        <v>18087149</v>
      </c>
      <c r="T3902" s="3">
        <v>1597039894</v>
      </c>
      <c r="U3902" s="3" t="s">
        <v>29</v>
      </c>
    </row>
    <row r="3903" spans="1:21" ht="13.2" x14ac:dyDescent="0.25">
      <c r="A3903" s="14">
        <v>10581285000236</v>
      </c>
      <c r="B3903" s="15" t="str">
        <f t="shared" si="60"/>
        <v>10.581.285/0002-36</v>
      </c>
      <c r="C3903" s="12"/>
      <c r="D3903" s="3" t="s">
        <v>13402</v>
      </c>
      <c r="E3903" s="3" t="s">
        <v>13402</v>
      </c>
      <c r="F3903" s="3" t="s">
        <v>20</v>
      </c>
      <c r="G3903" s="4">
        <v>42205</v>
      </c>
      <c r="H3903" s="3" t="s">
        <v>21</v>
      </c>
      <c r="I3903" s="3" t="s">
        <v>33</v>
      </c>
      <c r="J3903" s="5">
        <v>900000</v>
      </c>
      <c r="K3903" s="3">
        <v>8121400</v>
      </c>
      <c r="L3903" s="3" t="s">
        <v>494</v>
      </c>
      <c r="M3903" s="3" t="s">
        <v>13403</v>
      </c>
      <c r="N3903" s="3">
        <v>836</v>
      </c>
      <c r="P3903" s="3" t="s">
        <v>2207</v>
      </c>
      <c r="Q3903" s="3" t="s">
        <v>27</v>
      </c>
      <c r="R3903" s="3" t="s">
        <v>28</v>
      </c>
      <c r="S3903" s="3">
        <v>2037021</v>
      </c>
      <c r="T3903" s="3">
        <v>4837333205</v>
      </c>
      <c r="U3903" s="3" t="s">
        <v>29</v>
      </c>
    </row>
    <row r="3904" spans="1:21" ht="13.2" x14ac:dyDescent="0.25">
      <c r="A3904" s="14">
        <v>7533597000189</v>
      </c>
      <c r="B3904" s="15" t="str">
        <f t="shared" si="60"/>
        <v>07.533.597/0001-89</v>
      </c>
      <c r="C3904" s="12"/>
      <c r="D3904" s="3" t="s">
        <v>13404</v>
      </c>
      <c r="E3904" s="3" t="s">
        <v>13405</v>
      </c>
      <c r="F3904" s="3" t="s">
        <v>20</v>
      </c>
      <c r="G3904" s="4">
        <v>38544</v>
      </c>
      <c r="H3904" s="3" t="s">
        <v>21</v>
      </c>
      <c r="I3904" s="3" t="s">
        <v>47</v>
      </c>
      <c r="J3904" s="5">
        <v>250000</v>
      </c>
      <c r="K3904" s="3">
        <v>6110803</v>
      </c>
      <c r="L3904" s="3" t="s">
        <v>339</v>
      </c>
      <c r="M3904" s="3" t="s">
        <v>13406</v>
      </c>
      <c r="N3904" s="3">
        <v>856</v>
      </c>
      <c r="O3904" s="3" t="s">
        <v>13407</v>
      </c>
      <c r="P3904" s="3" t="s">
        <v>70</v>
      </c>
      <c r="Q3904" s="3" t="s">
        <v>13408</v>
      </c>
      <c r="R3904" s="3" t="s">
        <v>28</v>
      </c>
      <c r="S3904" s="3">
        <v>11740050</v>
      </c>
      <c r="T3904" s="3">
        <v>1123915757</v>
      </c>
      <c r="U3904" s="3" t="s">
        <v>29</v>
      </c>
    </row>
    <row r="3905" spans="1:21" ht="13.2" x14ac:dyDescent="0.25">
      <c r="A3905" s="14">
        <v>35291038000145</v>
      </c>
      <c r="B3905" s="15" t="str">
        <f t="shared" si="60"/>
        <v>35.291.038/0001-45</v>
      </c>
      <c r="C3905" s="12"/>
      <c r="D3905" s="3" t="s">
        <v>13409</v>
      </c>
      <c r="E3905" s="3" t="s">
        <v>13410</v>
      </c>
      <c r="F3905" s="3" t="s">
        <v>20</v>
      </c>
      <c r="G3905" s="4">
        <v>33205</v>
      </c>
      <c r="H3905" s="3" t="s">
        <v>21</v>
      </c>
      <c r="I3905" s="3" t="s">
        <v>33</v>
      </c>
      <c r="J3905" s="5">
        <v>1005000</v>
      </c>
      <c r="K3905" s="3">
        <v>4649408</v>
      </c>
      <c r="L3905" s="3" t="s">
        <v>464</v>
      </c>
      <c r="M3905" s="3" t="s">
        <v>13411</v>
      </c>
      <c r="N3905" s="3">
        <v>2874</v>
      </c>
      <c r="P3905" s="3" t="s">
        <v>13412</v>
      </c>
      <c r="Q3905" s="3" t="s">
        <v>2477</v>
      </c>
      <c r="R3905" s="3" t="s">
        <v>1725</v>
      </c>
      <c r="S3905" s="3">
        <v>59066220</v>
      </c>
      <c r="T3905" s="3">
        <v>8440089999</v>
      </c>
      <c r="U3905" s="3" t="s">
        <v>29</v>
      </c>
    </row>
    <row r="3906" spans="1:21" ht="13.2" x14ac:dyDescent="0.25">
      <c r="A3906" s="14">
        <v>55411819000133</v>
      </c>
      <c r="B3906" s="15" t="str">
        <f t="shared" si="60"/>
        <v>55.411.819/0001-33</v>
      </c>
      <c r="C3906" s="12" t="str">
        <f>VLOOKUP(B3906,[1]Planilha1!$A:$B,2,0)</f>
        <v>Malu Montesino</v>
      </c>
      <c r="D3906" s="3" t="s">
        <v>13413</v>
      </c>
      <c r="E3906" s="3" t="s">
        <v>13414</v>
      </c>
      <c r="F3906" s="3" t="s">
        <v>20</v>
      </c>
      <c r="G3906" s="4">
        <v>45448</v>
      </c>
      <c r="H3906" s="3" t="s">
        <v>21</v>
      </c>
      <c r="I3906" s="3" t="s">
        <v>33</v>
      </c>
      <c r="J3906" s="5">
        <v>100000</v>
      </c>
      <c r="K3906" s="3">
        <v>4663000</v>
      </c>
      <c r="L3906" s="3" t="s">
        <v>128</v>
      </c>
      <c r="M3906" s="3" t="s">
        <v>13415</v>
      </c>
      <c r="N3906" s="3">
        <v>3340</v>
      </c>
      <c r="O3906" s="3" t="s">
        <v>4739</v>
      </c>
      <c r="P3906" s="3" t="s">
        <v>1058</v>
      </c>
      <c r="Q3906" s="3" t="s">
        <v>423</v>
      </c>
      <c r="R3906" s="3" t="s">
        <v>91</v>
      </c>
      <c r="S3906" s="3">
        <v>89233192</v>
      </c>
      <c r="T3906" s="3">
        <v>4199571833</v>
      </c>
      <c r="U3906" s="3" t="s">
        <v>29</v>
      </c>
    </row>
    <row r="3907" spans="1:21" ht="13.2" x14ac:dyDescent="0.25">
      <c r="A3907" s="14">
        <v>14707364000110</v>
      </c>
      <c r="B3907" s="15" t="str">
        <f t="shared" ref="B3907:B3937" si="61">TEXT(A3907,"00\.000\.000\/0000\-00")</f>
        <v>14.707.364/0001-10</v>
      </c>
      <c r="C3907" s="12" t="str">
        <f>VLOOKUP(B3907,[1]Planilha1!$A:$B,2,0)</f>
        <v>Malu Montesino</v>
      </c>
      <c r="D3907" s="3" t="s">
        <v>13416</v>
      </c>
      <c r="E3907" s="3" t="s">
        <v>13417</v>
      </c>
      <c r="F3907" s="3" t="s">
        <v>20</v>
      </c>
      <c r="G3907" s="4">
        <v>40878</v>
      </c>
      <c r="H3907" s="3" t="s">
        <v>21</v>
      </c>
      <c r="I3907" s="3" t="s">
        <v>33</v>
      </c>
      <c r="J3907" s="5">
        <v>531651620</v>
      </c>
      <c r="K3907" s="3">
        <v>2854200</v>
      </c>
      <c r="L3907" s="3" t="s">
        <v>5124</v>
      </c>
      <c r="M3907" s="3" t="s">
        <v>13418</v>
      </c>
      <c r="N3907" s="3" t="s">
        <v>82</v>
      </c>
      <c r="O3907" s="3" t="s">
        <v>13419</v>
      </c>
      <c r="P3907" s="3" t="s">
        <v>13420</v>
      </c>
      <c r="Q3907" s="3" t="s">
        <v>4923</v>
      </c>
      <c r="R3907" s="3" t="s">
        <v>100</v>
      </c>
      <c r="S3907" s="3">
        <v>37556830</v>
      </c>
      <c r="T3907" s="3">
        <v>3521020500</v>
      </c>
      <c r="U3907" s="3" t="s">
        <v>29</v>
      </c>
    </row>
    <row r="3908" spans="1:21" ht="13.2" x14ac:dyDescent="0.25">
      <c r="A3908" s="14">
        <v>4911191000102</v>
      </c>
      <c r="B3908" s="15" t="str">
        <f t="shared" si="61"/>
        <v>04.911.191/0001-02</v>
      </c>
      <c r="C3908" s="12"/>
      <c r="D3908" s="3" t="s">
        <v>13421</v>
      </c>
      <c r="E3908" s="3" t="s">
        <v>13422</v>
      </c>
      <c r="F3908" s="3" t="s">
        <v>20</v>
      </c>
      <c r="G3908" s="4">
        <v>37312</v>
      </c>
      <c r="H3908" s="3" t="s">
        <v>21</v>
      </c>
      <c r="I3908" s="3" t="s">
        <v>33</v>
      </c>
      <c r="J3908" s="5">
        <v>2700000</v>
      </c>
      <c r="K3908" s="3">
        <v>7733100</v>
      </c>
      <c r="L3908" s="3" t="s">
        <v>2690</v>
      </c>
      <c r="M3908" s="3" t="s">
        <v>124</v>
      </c>
      <c r="N3908" s="3">
        <v>298</v>
      </c>
      <c r="P3908" s="3" t="s">
        <v>1749</v>
      </c>
      <c r="Q3908" s="3" t="s">
        <v>59</v>
      </c>
      <c r="R3908" s="3" t="s">
        <v>28</v>
      </c>
      <c r="S3908" s="3">
        <v>13274090</v>
      </c>
      <c r="T3908" s="3">
        <v>1938697047</v>
      </c>
      <c r="U3908" s="3" t="s">
        <v>29</v>
      </c>
    </row>
    <row r="3909" spans="1:21" ht="13.2" x14ac:dyDescent="0.25">
      <c r="A3909" s="14">
        <v>60723061000109</v>
      </c>
      <c r="B3909" s="15" t="str">
        <f t="shared" si="61"/>
        <v>60.723.061/0001-09</v>
      </c>
      <c r="C3909" s="12"/>
      <c r="D3909" s="3" t="s">
        <v>13423</v>
      </c>
      <c r="E3909" s="3" t="s">
        <v>13423</v>
      </c>
      <c r="F3909" s="3" t="s">
        <v>20</v>
      </c>
      <c r="G3909" s="4">
        <v>24343</v>
      </c>
      <c r="H3909" s="3" t="s">
        <v>94</v>
      </c>
      <c r="I3909" s="3" t="s">
        <v>33</v>
      </c>
      <c r="J3909" s="5">
        <v>253350000</v>
      </c>
      <c r="K3909" s="3">
        <v>1052000</v>
      </c>
      <c r="L3909" s="3" t="s">
        <v>4589</v>
      </c>
      <c r="M3909" s="3" t="s">
        <v>294</v>
      </c>
      <c r="N3909" s="3">
        <v>771</v>
      </c>
      <c r="O3909" s="3" t="s">
        <v>247</v>
      </c>
      <c r="P3909" s="3" t="s">
        <v>296</v>
      </c>
      <c r="Q3909" s="3" t="s">
        <v>27</v>
      </c>
      <c r="R3909" s="3" t="s">
        <v>28</v>
      </c>
      <c r="S3909" s="3">
        <v>1419001</v>
      </c>
      <c r="T3909" s="3">
        <v>1132819900</v>
      </c>
      <c r="U3909" s="3" t="s">
        <v>29</v>
      </c>
    </row>
    <row r="3910" spans="1:21" ht="13.2" x14ac:dyDescent="0.25">
      <c r="A3910" s="14">
        <v>26278985000105</v>
      </c>
      <c r="B3910" s="15" t="str">
        <f t="shared" si="61"/>
        <v>26.278.985/0001-05</v>
      </c>
      <c r="C3910" s="12" t="str">
        <f>VLOOKUP(B3910,[1]Planilha1!$A:$B,2,0)</f>
        <v>Malu Montesino</v>
      </c>
      <c r="D3910" s="3" t="s">
        <v>13424</v>
      </c>
      <c r="E3910" s="3" t="s">
        <v>13425</v>
      </c>
      <c r="F3910" s="3" t="s">
        <v>20</v>
      </c>
      <c r="G3910" s="4">
        <v>42646</v>
      </c>
      <c r="H3910" s="3" t="s">
        <v>21</v>
      </c>
      <c r="I3910" s="3" t="s">
        <v>33</v>
      </c>
      <c r="J3910" s="5">
        <v>2700000</v>
      </c>
      <c r="K3910" s="3">
        <v>4930202</v>
      </c>
      <c r="L3910" s="3" t="s">
        <v>2603</v>
      </c>
      <c r="M3910" s="3" t="s">
        <v>13426</v>
      </c>
      <c r="N3910" s="3">
        <v>1842</v>
      </c>
      <c r="O3910" s="3" t="s">
        <v>13427</v>
      </c>
      <c r="P3910" s="3" t="s">
        <v>13428</v>
      </c>
      <c r="Q3910" s="3" t="s">
        <v>448</v>
      </c>
      <c r="R3910" s="3" t="s">
        <v>449</v>
      </c>
      <c r="S3910" s="3">
        <v>69072055</v>
      </c>
      <c r="T3910" s="3">
        <v>1124605488</v>
      </c>
      <c r="U3910" s="3" t="s">
        <v>29</v>
      </c>
    </row>
    <row r="3911" spans="1:21" ht="13.2" x14ac:dyDescent="0.25">
      <c r="A3911" s="14">
        <v>8263434000196</v>
      </c>
      <c r="B3911" s="15" t="str">
        <f t="shared" si="61"/>
        <v>08.263.434/0001-96</v>
      </c>
      <c r="C3911" s="12" t="str">
        <f>VLOOKUP(B3911,[1]Planilha1!$A:$B,2,0)</f>
        <v>Malu Montesino</v>
      </c>
      <c r="D3911" s="3" t="s">
        <v>13429</v>
      </c>
      <c r="E3911" s="3" t="s">
        <v>13430</v>
      </c>
      <c r="F3911" s="3" t="s">
        <v>20</v>
      </c>
      <c r="G3911" s="4">
        <v>38954</v>
      </c>
      <c r="H3911" s="3" t="s">
        <v>21</v>
      </c>
      <c r="I3911" s="3" t="s">
        <v>33</v>
      </c>
      <c r="J3911" s="5">
        <v>68416170</v>
      </c>
      <c r="K3911" s="3">
        <v>2831300</v>
      </c>
      <c r="L3911" s="3" t="s">
        <v>608</v>
      </c>
      <c r="M3911" s="3" t="s">
        <v>13431</v>
      </c>
      <c r="N3911" s="3">
        <v>1595</v>
      </c>
      <c r="P3911" s="3" t="s">
        <v>6637</v>
      </c>
      <c r="Q3911" s="3" t="s">
        <v>1235</v>
      </c>
      <c r="R3911" s="3" t="s">
        <v>28</v>
      </c>
      <c r="S3911" s="3">
        <v>13347320</v>
      </c>
      <c r="T3911" s="3">
        <v>1938019235</v>
      </c>
      <c r="U3911" s="3" t="s">
        <v>29</v>
      </c>
    </row>
    <row r="3912" spans="1:21" ht="13.2" x14ac:dyDescent="0.25">
      <c r="A3912" s="14">
        <v>92660604000182</v>
      </c>
      <c r="B3912" s="15" t="str">
        <f t="shared" si="61"/>
        <v>92.660.604/0001-82</v>
      </c>
      <c r="C3912" s="12"/>
      <c r="D3912" s="3" t="s">
        <v>13432</v>
      </c>
      <c r="E3912" s="3" t="s">
        <v>13432</v>
      </c>
      <c r="F3912" s="3" t="s">
        <v>20</v>
      </c>
      <c r="G3912" s="4">
        <v>23084</v>
      </c>
      <c r="H3912" s="3" t="s">
        <v>94</v>
      </c>
      <c r="I3912" s="3" t="s">
        <v>33</v>
      </c>
      <c r="J3912" s="5">
        <v>10625717000</v>
      </c>
      <c r="K3912" s="3">
        <v>2013402</v>
      </c>
      <c r="L3912" s="3" t="s">
        <v>732</v>
      </c>
      <c r="M3912" s="3" t="s">
        <v>4878</v>
      </c>
      <c r="N3912" s="3">
        <v>1672</v>
      </c>
      <c r="P3912" s="3" t="s">
        <v>3871</v>
      </c>
      <c r="Q3912" s="3" t="s">
        <v>437</v>
      </c>
      <c r="R3912" s="3" t="s">
        <v>53</v>
      </c>
      <c r="S3912" s="3">
        <v>90470282</v>
      </c>
      <c r="T3912" s="3">
        <v>5132301300</v>
      </c>
      <c r="U3912" s="3" t="s">
        <v>29</v>
      </c>
    </row>
    <row r="3913" spans="1:21" ht="13.2" x14ac:dyDescent="0.25">
      <c r="A3913" s="14">
        <v>41193792000145</v>
      </c>
      <c r="B3913" s="15" t="str">
        <f t="shared" si="61"/>
        <v>41.193.792/0001-45</v>
      </c>
      <c r="C3913" s="12"/>
      <c r="D3913" s="3" t="s">
        <v>13433</v>
      </c>
      <c r="E3913" s="3" t="s">
        <v>13434</v>
      </c>
      <c r="F3913" s="3" t="s">
        <v>20</v>
      </c>
      <c r="G3913" s="4">
        <v>44267</v>
      </c>
      <c r="H3913" s="3" t="s">
        <v>21</v>
      </c>
      <c r="I3913" s="3" t="s">
        <v>33</v>
      </c>
      <c r="J3913" s="5">
        <v>600000</v>
      </c>
      <c r="K3913" s="3">
        <v>4663000</v>
      </c>
      <c r="L3913" s="3" t="s">
        <v>128</v>
      </c>
      <c r="M3913" s="3" t="s">
        <v>13435</v>
      </c>
      <c r="N3913" s="3">
        <v>600</v>
      </c>
      <c r="P3913" s="3" t="s">
        <v>13436</v>
      </c>
      <c r="Q3913" s="3" t="s">
        <v>13437</v>
      </c>
      <c r="R3913" s="3" t="s">
        <v>53</v>
      </c>
      <c r="S3913" s="3">
        <v>98280000</v>
      </c>
      <c r="T3913" s="3">
        <v>5533751940</v>
      </c>
      <c r="U3913" s="3" t="s">
        <v>29</v>
      </c>
    </row>
    <row r="3914" spans="1:21" ht="13.2" x14ac:dyDescent="0.25">
      <c r="A3914" s="14">
        <v>21339786000146</v>
      </c>
      <c r="B3914" s="15" t="str">
        <f t="shared" si="61"/>
        <v>21.339.786/0001-46</v>
      </c>
      <c r="C3914" s="12"/>
      <c r="D3914" s="3" t="s">
        <v>13438</v>
      </c>
      <c r="E3914" s="3" t="s">
        <v>13438</v>
      </c>
      <c r="F3914" s="3" t="s">
        <v>20</v>
      </c>
      <c r="G3914" s="4">
        <v>41946</v>
      </c>
      <c r="H3914" s="3" t="s">
        <v>21</v>
      </c>
      <c r="I3914" s="3" t="s">
        <v>33</v>
      </c>
      <c r="J3914" s="5">
        <v>3187066</v>
      </c>
      <c r="K3914" s="3">
        <v>4221905</v>
      </c>
      <c r="L3914" s="3" t="s">
        <v>13439</v>
      </c>
      <c r="M3914" s="3" t="s">
        <v>13440</v>
      </c>
      <c r="N3914" s="3">
        <v>103</v>
      </c>
      <c r="O3914" s="3" t="s">
        <v>505</v>
      </c>
      <c r="P3914" s="3" t="s">
        <v>2207</v>
      </c>
      <c r="Q3914" s="3" t="s">
        <v>27</v>
      </c>
      <c r="R3914" s="3" t="s">
        <v>28</v>
      </c>
      <c r="S3914" s="3">
        <v>2018000</v>
      </c>
      <c r="T3914" s="3">
        <v>1129590355</v>
      </c>
      <c r="U3914" s="3" t="s">
        <v>29</v>
      </c>
    </row>
    <row r="3915" spans="1:21" ht="13.2" x14ac:dyDescent="0.25">
      <c r="A3915" s="14">
        <v>81365223000154</v>
      </c>
      <c r="B3915" s="15" t="str">
        <f t="shared" si="61"/>
        <v>81.365.223/0001-54</v>
      </c>
      <c r="C3915" s="12" t="str">
        <f>VLOOKUP(B3915,[1]Planilha1!$A:$B,2,0)</f>
        <v>Malu Montesino</v>
      </c>
      <c r="D3915" s="3" t="s">
        <v>13441</v>
      </c>
      <c r="E3915" s="3" t="s">
        <v>13441</v>
      </c>
      <c r="F3915" s="3" t="s">
        <v>20</v>
      </c>
      <c r="G3915" s="4">
        <v>32679</v>
      </c>
      <c r="H3915" s="3" t="s">
        <v>94</v>
      </c>
      <c r="I3915" s="3" t="s">
        <v>33</v>
      </c>
      <c r="J3915" s="5">
        <v>70000000</v>
      </c>
      <c r="K3915" s="3">
        <v>2759701</v>
      </c>
      <c r="L3915" s="3" t="s">
        <v>9038</v>
      </c>
      <c r="M3915" s="3" t="s">
        <v>13442</v>
      </c>
      <c r="N3915" s="3" t="s">
        <v>82</v>
      </c>
      <c r="P3915" s="3" t="s">
        <v>13443</v>
      </c>
      <c r="Q3915" s="3" t="s">
        <v>13444</v>
      </c>
      <c r="R3915" s="3" t="s">
        <v>91</v>
      </c>
      <c r="S3915" s="3">
        <v>89870000</v>
      </c>
      <c r="T3915" s="3">
        <v>4933666000</v>
      </c>
      <c r="U3915" s="3" t="s">
        <v>29</v>
      </c>
    </row>
    <row r="3916" spans="1:21" ht="13.2" x14ac:dyDescent="0.25">
      <c r="A3916" s="14">
        <v>26958241000131</v>
      </c>
      <c r="B3916" s="15" t="str">
        <f t="shared" si="61"/>
        <v>26.958.241/0001-31</v>
      </c>
      <c r="C3916" s="12"/>
      <c r="D3916" s="3" t="s">
        <v>13445</v>
      </c>
      <c r="E3916" s="3" t="s">
        <v>13446</v>
      </c>
      <c r="F3916" s="3" t="s">
        <v>20</v>
      </c>
      <c r="G3916" s="4">
        <v>42761</v>
      </c>
      <c r="H3916" s="3" t="s">
        <v>21</v>
      </c>
      <c r="I3916" s="3" t="s">
        <v>47</v>
      </c>
      <c r="J3916" s="5">
        <v>500000</v>
      </c>
      <c r="K3916" s="3">
        <v>4689399</v>
      </c>
      <c r="L3916" s="3" t="s">
        <v>783</v>
      </c>
      <c r="M3916" s="3" t="s">
        <v>13447</v>
      </c>
      <c r="N3916" s="3">
        <v>466</v>
      </c>
      <c r="P3916" s="3" t="s">
        <v>13448</v>
      </c>
      <c r="Q3916" s="3" t="s">
        <v>27</v>
      </c>
      <c r="R3916" s="3" t="s">
        <v>28</v>
      </c>
      <c r="S3916" s="3">
        <v>8311020</v>
      </c>
      <c r="T3916" s="3">
        <v>1142293026</v>
      </c>
      <c r="U3916" s="3" t="s">
        <v>29</v>
      </c>
    </row>
    <row r="3917" spans="1:21" ht="13.2" x14ac:dyDescent="0.25">
      <c r="A3917" s="14">
        <v>4772979000177</v>
      </c>
      <c r="B3917" s="15" t="str">
        <f t="shared" si="61"/>
        <v>04.772.979/0001-77</v>
      </c>
      <c r="C3917" s="12"/>
      <c r="D3917" s="3" t="s">
        <v>13449</v>
      </c>
      <c r="E3917" s="3" t="s">
        <v>13450</v>
      </c>
      <c r="F3917" s="3" t="s">
        <v>20</v>
      </c>
      <c r="G3917" s="4">
        <v>37189</v>
      </c>
      <c r="H3917" s="3" t="s">
        <v>21</v>
      </c>
      <c r="I3917" s="3" t="s">
        <v>22</v>
      </c>
      <c r="J3917" s="5">
        <v>150000</v>
      </c>
      <c r="K3917" s="3">
        <v>3292202</v>
      </c>
      <c r="L3917" s="3" t="s">
        <v>1654</v>
      </c>
      <c r="M3917" s="3" t="s">
        <v>13451</v>
      </c>
      <c r="N3917" s="3">
        <v>663</v>
      </c>
      <c r="P3917" s="3" t="s">
        <v>13452</v>
      </c>
      <c r="Q3917" s="3" t="s">
        <v>893</v>
      </c>
      <c r="R3917" s="3" t="s">
        <v>28</v>
      </c>
      <c r="S3917" s="3">
        <v>17245134</v>
      </c>
      <c r="T3917" s="3">
        <v>1436662046</v>
      </c>
      <c r="U3917" s="3" t="s">
        <v>29</v>
      </c>
    </row>
    <row r="3918" spans="1:21" ht="13.2" x14ac:dyDescent="0.25">
      <c r="A3918" s="14">
        <v>61357406000110</v>
      </c>
      <c r="B3918" s="15" t="str">
        <f t="shared" si="61"/>
        <v>61.357.406/0001-10</v>
      </c>
      <c r="C3918" s="12"/>
      <c r="D3918" s="3" t="s">
        <v>13453</v>
      </c>
      <c r="E3918" s="3" t="s">
        <v>13453</v>
      </c>
      <c r="F3918" s="3" t="s">
        <v>20</v>
      </c>
      <c r="G3918" s="4">
        <v>22977</v>
      </c>
      <c r="H3918" s="3" t="s">
        <v>94</v>
      </c>
      <c r="I3918" s="3" t="s">
        <v>33</v>
      </c>
      <c r="J3918" s="5">
        <v>50000000</v>
      </c>
      <c r="K3918" s="3">
        <v>2949299</v>
      </c>
      <c r="L3918" s="3" t="s">
        <v>1083</v>
      </c>
      <c r="M3918" s="3" t="s">
        <v>13454</v>
      </c>
      <c r="N3918" s="3">
        <v>446</v>
      </c>
      <c r="O3918" s="3">
        <v>90</v>
      </c>
      <c r="P3918" s="3" t="s">
        <v>3970</v>
      </c>
      <c r="Q3918" s="3" t="s">
        <v>27</v>
      </c>
      <c r="R3918" s="3" t="s">
        <v>28</v>
      </c>
      <c r="S3918" s="3">
        <v>4225001</v>
      </c>
      <c r="U3918" s="3" t="s">
        <v>29</v>
      </c>
    </row>
    <row r="3919" spans="1:21" ht="13.2" x14ac:dyDescent="0.25">
      <c r="A3919" s="14">
        <v>22477083000147</v>
      </c>
      <c r="B3919" s="15" t="str">
        <f t="shared" si="61"/>
        <v>22.477.083/0001-47</v>
      </c>
      <c r="C3919" s="12"/>
      <c r="D3919" s="3" t="s">
        <v>13455</v>
      </c>
      <c r="E3919" s="3" t="s">
        <v>13455</v>
      </c>
      <c r="F3919" s="3" t="s">
        <v>20</v>
      </c>
      <c r="G3919" s="4">
        <v>42107</v>
      </c>
      <c r="H3919" s="3" t="s">
        <v>21</v>
      </c>
      <c r="I3919" s="3" t="s">
        <v>22</v>
      </c>
      <c r="J3919" s="5">
        <v>200000</v>
      </c>
      <c r="K3919" s="3">
        <v>2731700</v>
      </c>
      <c r="L3919" s="3" t="s">
        <v>440</v>
      </c>
      <c r="M3919" s="3" t="s">
        <v>13456</v>
      </c>
      <c r="N3919" s="3">
        <v>2122</v>
      </c>
      <c r="O3919" s="3" t="s">
        <v>13457</v>
      </c>
      <c r="P3919" s="3" t="s">
        <v>3241</v>
      </c>
      <c r="Q3919" s="3" t="s">
        <v>476</v>
      </c>
      <c r="R3919" s="3" t="s">
        <v>100</v>
      </c>
      <c r="S3919" s="3">
        <v>31330382</v>
      </c>
      <c r="T3919" s="3">
        <v>3133042859</v>
      </c>
      <c r="U3919" s="3" t="s">
        <v>29</v>
      </c>
    </row>
    <row r="3920" spans="1:21" ht="13.2" x14ac:dyDescent="0.25">
      <c r="A3920" s="14">
        <v>6944369000139</v>
      </c>
      <c r="B3920" s="15" t="str">
        <f t="shared" si="61"/>
        <v>06.944.369/0001-39</v>
      </c>
      <c r="C3920" s="12" t="str">
        <f>VLOOKUP(B3920,[1]Planilha1!$A:$B,2,0)</f>
        <v>Malu Montesino</v>
      </c>
      <c r="D3920" s="3" t="s">
        <v>13458</v>
      </c>
      <c r="E3920" s="3" t="s">
        <v>13459</v>
      </c>
      <c r="F3920" s="3" t="s">
        <v>20</v>
      </c>
      <c r="G3920" s="4">
        <v>38198</v>
      </c>
      <c r="H3920" s="3" t="s">
        <v>21</v>
      </c>
      <c r="I3920" s="3" t="s">
        <v>22</v>
      </c>
      <c r="J3920" s="5">
        <v>360000</v>
      </c>
      <c r="K3920" s="3">
        <v>2869100</v>
      </c>
      <c r="L3920" s="3" t="s">
        <v>1416</v>
      </c>
      <c r="M3920" s="3" t="s">
        <v>13460</v>
      </c>
      <c r="N3920" s="3">
        <v>195</v>
      </c>
      <c r="O3920" s="3" t="s">
        <v>13461</v>
      </c>
      <c r="P3920" s="3" t="s">
        <v>11525</v>
      </c>
      <c r="Q3920" s="3" t="s">
        <v>27</v>
      </c>
      <c r="R3920" s="3" t="s">
        <v>28</v>
      </c>
      <c r="S3920" s="3">
        <v>1107010</v>
      </c>
      <c r="T3920" s="3">
        <v>1132276367</v>
      </c>
      <c r="U3920" s="3" t="s">
        <v>29</v>
      </c>
    </row>
    <row r="3921" spans="1:21" ht="13.2" x14ac:dyDescent="0.25">
      <c r="A3921" s="14">
        <v>7470296000153</v>
      </c>
      <c r="B3921" s="15" t="str">
        <f t="shared" si="61"/>
        <v>07.470.296/0001-53</v>
      </c>
      <c r="C3921" s="12"/>
      <c r="D3921" s="3" t="s">
        <v>13462</v>
      </c>
      <c r="E3921" s="3" t="s">
        <v>13462</v>
      </c>
      <c r="F3921" s="3" t="s">
        <v>20</v>
      </c>
      <c r="G3921" s="4">
        <v>38527</v>
      </c>
      <c r="H3921" s="3" t="s">
        <v>21</v>
      </c>
      <c r="I3921" s="3" t="s">
        <v>33</v>
      </c>
      <c r="J3921" s="5">
        <v>1138463</v>
      </c>
      <c r="K3921" s="3">
        <v>4645101</v>
      </c>
      <c r="L3921" s="3" t="s">
        <v>135</v>
      </c>
      <c r="M3921" s="3" t="s">
        <v>2071</v>
      </c>
      <c r="N3921" s="3">
        <v>7899</v>
      </c>
      <c r="O3921" s="3" t="s">
        <v>13463</v>
      </c>
      <c r="P3921" s="3" t="s">
        <v>252</v>
      </c>
      <c r="Q3921" s="3" t="s">
        <v>253</v>
      </c>
      <c r="R3921" s="3" t="s">
        <v>78</v>
      </c>
      <c r="S3921" s="3">
        <v>22793081</v>
      </c>
      <c r="T3921" s="3">
        <v>2136131680</v>
      </c>
      <c r="U3921" s="3" t="s">
        <v>29</v>
      </c>
    </row>
    <row r="3922" spans="1:21" ht="13.2" x14ac:dyDescent="0.25">
      <c r="A3922" s="14">
        <v>3133738000115</v>
      </c>
      <c r="B3922" s="15" t="str">
        <f t="shared" si="61"/>
        <v>03.133.738/0001-15</v>
      </c>
      <c r="C3922" s="12"/>
      <c r="D3922" s="3" t="s">
        <v>13464</v>
      </c>
      <c r="E3922" s="3" t="s">
        <v>13464</v>
      </c>
      <c r="F3922" s="3" t="s">
        <v>20</v>
      </c>
      <c r="G3922" s="4">
        <v>36284</v>
      </c>
      <c r="H3922" s="3" t="s">
        <v>21</v>
      </c>
      <c r="I3922" s="3" t="s">
        <v>33</v>
      </c>
      <c r="J3922" s="5">
        <v>1350000</v>
      </c>
      <c r="K3922" s="3">
        <v>6201501</v>
      </c>
      <c r="L3922" s="3" t="s">
        <v>298</v>
      </c>
      <c r="M3922" s="3" t="s">
        <v>960</v>
      </c>
      <c r="N3922" s="3">
        <v>101</v>
      </c>
      <c r="O3922" s="3" t="s">
        <v>13465</v>
      </c>
      <c r="P3922" s="3" t="s">
        <v>70</v>
      </c>
      <c r="Q3922" s="3" t="s">
        <v>217</v>
      </c>
      <c r="R3922" s="3" t="s">
        <v>28</v>
      </c>
      <c r="S3922" s="3">
        <v>9750730</v>
      </c>
      <c r="T3922" s="3">
        <v>1532320137</v>
      </c>
      <c r="U3922" s="3" t="s">
        <v>29</v>
      </c>
    </row>
    <row r="3923" spans="1:21" ht="13.2" x14ac:dyDescent="0.25">
      <c r="A3923" s="14">
        <v>24166595000118</v>
      </c>
      <c r="B3923" s="15" t="str">
        <f t="shared" si="61"/>
        <v>24.166.595/0001-18</v>
      </c>
      <c r="C3923" s="12" t="str">
        <f>VLOOKUP(B3923,[1]Planilha1!$A:$B,2,0)</f>
        <v>Mariane Nascimento</v>
      </c>
      <c r="D3923" s="3" t="s">
        <v>13466</v>
      </c>
      <c r="E3923" s="3" t="s">
        <v>13466</v>
      </c>
      <c r="F3923" s="3" t="s">
        <v>20</v>
      </c>
      <c r="G3923" s="4">
        <v>42415</v>
      </c>
      <c r="H3923" s="3" t="s">
        <v>21</v>
      </c>
      <c r="I3923" s="3" t="s">
        <v>33</v>
      </c>
      <c r="J3923" s="5">
        <v>62071644</v>
      </c>
      <c r="K3923" s="3">
        <v>8650003</v>
      </c>
      <c r="L3923" s="3" t="s">
        <v>12405</v>
      </c>
      <c r="M3923" s="3" t="s">
        <v>13467</v>
      </c>
      <c r="N3923" s="3">
        <v>86</v>
      </c>
      <c r="O3923" s="3" t="s">
        <v>13468</v>
      </c>
      <c r="P3923" s="3" t="s">
        <v>316</v>
      </c>
      <c r="Q3923" s="3" t="s">
        <v>27</v>
      </c>
      <c r="R3923" s="3" t="s">
        <v>28</v>
      </c>
      <c r="S3923" s="3">
        <v>4551080</v>
      </c>
      <c r="T3923" s="3">
        <v>1145424743</v>
      </c>
      <c r="U3923" s="3" t="s">
        <v>29</v>
      </c>
    </row>
    <row r="3924" spans="1:21" ht="13.2" x14ac:dyDescent="0.25">
      <c r="A3924" s="14">
        <v>46563532000138</v>
      </c>
      <c r="B3924" s="15" t="str">
        <f t="shared" si="61"/>
        <v>46.563.532/0001-38</v>
      </c>
      <c r="C3924" s="12"/>
      <c r="D3924" s="3" t="s">
        <v>13469</v>
      </c>
      <c r="E3924" s="3" t="s">
        <v>13469</v>
      </c>
      <c r="F3924" s="3" t="s">
        <v>20</v>
      </c>
      <c r="G3924" s="4">
        <v>27145</v>
      </c>
      <c r="H3924" s="3" t="s">
        <v>21</v>
      </c>
      <c r="I3924" s="3" t="s">
        <v>33</v>
      </c>
      <c r="J3924" s="5">
        <v>784000</v>
      </c>
      <c r="K3924" s="3">
        <v>4649408</v>
      </c>
      <c r="L3924" s="3" t="s">
        <v>464</v>
      </c>
      <c r="M3924" s="3" t="s">
        <v>13470</v>
      </c>
      <c r="N3924" s="3">
        <v>165</v>
      </c>
      <c r="O3924" s="3" t="s">
        <v>2013</v>
      </c>
      <c r="P3924" s="3" t="s">
        <v>13471</v>
      </c>
      <c r="Q3924" s="3" t="s">
        <v>1410</v>
      </c>
      <c r="R3924" s="3" t="s">
        <v>28</v>
      </c>
      <c r="S3924" s="3">
        <v>9290416</v>
      </c>
      <c r="T3924" s="3">
        <v>1129101933</v>
      </c>
      <c r="U3924" s="3" t="s">
        <v>29</v>
      </c>
    </row>
    <row r="3925" spans="1:21" ht="13.2" x14ac:dyDescent="0.25">
      <c r="A3925" s="14">
        <v>10861317000176</v>
      </c>
      <c r="B3925" s="15" t="str">
        <f t="shared" si="61"/>
        <v>10.861.317/0001-76</v>
      </c>
      <c r="C3925" s="12" t="str">
        <f>VLOOKUP(B3925,[1]Planilha1!$A:$B,2,0)</f>
        <v>Mariane Nascimento</v>
      </c>
      <c r="D3925" s="3" t="s">
        <v>13472</v>
      </c>
      <c r="E3925" s="3" t="s">
        <v>13473</v>
      </c>
      <c r="F3925" s="3" t="s">
        <v>20</v>
      </c>
      <c r="G3925" s="4">
        <v>39938</v>
      </c>
      <c r="H3925" s="3" t="s">
        <v>21</v>
      </c>
      <c r="I3925" s="3" t="s">
        <v>33</v>
      </c>
      <c r="J3925" s="5">
        <v>600000</v>
      </c>
      <c r="K3925" s="3">
        <v>4645101</v>
      </c>
      <c r="L3925" s="3" t="s">
        <v>135</v>
      </c>
      <c r="M3925" s="3" t="s">
        <v>2233</v>
      </c>
      <c r="N3925" s="3">
        <v>1089</v>
      </c>
      <c r="O3925" s="3" t="s">
        <v>13474</v>
      </c>
      <c r="P3925" s="3" t="s">
        <v>2235</v>
      </c>
      <c r="Q3925" s="3" t="s">
        <v>27</v>
      </c>
      <c r="R3925" s="3" t="s">
        <v>28</v>
      </c>
      <c r="S3925" s="3">
        <v>4707900</v>
      </c>
      <c r="T3925" s="3">
        <v>1150822450</v>
      </c>
      <c r="U3925" s="3" t="s">
        <v>29</v>
      </c>
    </row>
    <row r="3926" spans="1:21" ht="13.2" x14ac:dyDescent="0.25">
      <c r="A3926" s="14">
        <v>4569600000126</v>
      </c>
      <c r="B3926" s="15" t="str">
        <f t="shared" si="61"/>
        <v>04.569.600/0001-26</v>
      </c>
      <c r="C3926" s="12"/>
      <c r="D3926" s="3" t="s">
        <v>13475</v>
      </c>
      <c r="E3926" s="3" t="s">
        <v>13476</v>
      </c>
      <c r="F3926" s="3" t="s">
        <v>20</v>
      </c>
      <c r="G3926" s="4">
        <v>37084</v>
      </c>
      <c r="H3926" s="3" t="s">
        <v>21</v>
      </c>
      <c r="I3926" s="3" t="s">
        <v>22</v>
      </c>
      <c r="J3926" s="5">
        <v>1000000</v>
      </c>
      <c r="K3926" s="3">
        <v>1412601</v>
      </c>
      <c r="L3926" s="3" t="s">
        <v>1353</v>
      </c>
      <c r="M3926" s="3" t="s">
        <v>13477</v>
      </c>
      <c r="N3926" s="3">
        <v>859</v>
      </c>
      <c r="P3926" s="3" t="s">
        <v>3838</v>
      </c>
      <c r="Q3926" s="3" t="s">
        <v>27</v>
      </c>
      <c r="R3926" s="3" t="s">
        <v>28</v>
      </c>
      <c r="S3926" s="3">
        <v>1125001</v>
      </c>
      <c r="T3926" s="3">
        <v>1132250540</v>
      </c>
      <c r="U3926" s="3" t="s">
        <v>29</v>
      </c>
    </row>
    <row r="3927" spans="1:21" ht="13.2" x14ac:dyDescent="0.25">
      <c r="A3927" s="14">
        <v>32836259000163</v>
      </c>
      <c r="B3927" s="15" t="str">
        <f t="shared" si="61"/>
        <v>32.836.259/0001-63</v>
      </c>
      <c r="C3927" s="12" t="str">
        <f>VLOOKUP(B3927,[1]Planilha1!$A:$B,2,0)</f>
        <v>Malu Montesino</v>
      </c>
      <c r="D3927" s="3" t="s">
        <v>13478</v>
      </c>
      <c r="E3927" s="3" t="s">
        <v>13478</v>
      </c>
      <c r="F3927" s="3" t="s">
        <v>20</v>
      </c>
      <c r="G3927" s="4">
        <v>43516</v>
      </c>
      <c r="H3927" s="3" t="s">
        <v>21</v>
      </c>
      <c r="I3927" s="3" t="s">
        <v>33</v>
      </c>
      <c r="J3927" s="5">
        <v>8310439</v>
      </c>
      <c r="K3927" s="3">
        <v>4299599</v>
      </c>
      <c r="L3927" s="3" t="s">
        <v>1185</v>
      </c>
      <c r="M3927" s="3" t="s">
        <v>13479</v>
      </c>
      <c r="N3927" s="3">
        <v>157</v>
      </c>
      <c r="O3927" s="3" t="s">
        <v>2234</v>
      </c>
      <c r="P3927" s="3" t="s">
        <v>1183</v>
      </c>
      <c r="Q3927" s="3" t="s">
        <v>27</v>
      </c>
      <c r="R3927" s="3" t="s">
        <v>28</v>
      </c>
      <c r="S3927" s="3">
        <v>1141030</v>
      </c>
      <c r="T3927" s="3">
        <v>1123871002</v>
      </c>
      <c r="U3927" s="3" t="s">
        <v>29</v>
      </c>
    </row>
    <row r="3928" spans="1:21" ht="13.2" x14ac:dyDescent="0.25">
      <c r="A3928" s="14">
        <v>4530781000187</v>
      </c>
      <c r="B3928" s="15" t="str">
        <f t="shared" si="61"/>
        <v>04.530.781/0001-87</v>
      </c>
      <c r="C3928" s="12"/>
      <c r="D3928" s="3" t="s">
        <v>13480</v>
      </c>
      <c r="E3928" s="3" t="s">
        <v>13481</v>
      </c>
      <c r="F3928" s="3" t="s">
        <v>20</v>
      </c>
      <c r="G3928" s="4">
        <v>37035</v>
      </c>
      <c r="H3928" s="3" t="s">
        <v>21</v>
      </c>
      <c r="I3928" s="3" t="s">
        <v>33</v>
      </c>
      <c r="J3928" s="5">
        <v>14000000</v>
      </c>
      <c r="K3928" s="3">
        <v>4669999</v>
      </c>
      <c r="L3928" s="3" t="s">
        <v>558</v>
      </c>
      <c r="M3928" s="3" t="s">
        <v>13482</v>
      </c>
      <c r="N3928" s="3">
        <v>88</v>
      </c>
      <c r="O3928" s="3" t="s">
        <v>13483</v>
      </c>
      <c r="P3928" s="3" t="s">
        <v>1136</v>
      </c>
      <c r="Q3928" s="3" t="s">
        <v>253</v>
      </c>
      <c r="R3928" s="3" t="s">
        <v>78</v>
      </c>
      <c r="S3928" s="3">
        <v>22775042</v>
      </c>
      <c r="T3928" s="3">
        <v>2132218300</v>
      </c>
      <c r="U3928" s="3" t="s">
        <v>29</v>
      </c>
    </row>
    <row r="3929" spans="1:21" ht="13.2" x14ac:dyDescent="0.25">
      <c r="A3929" s="14">
        <v>5816526000168</v>
      </c>
      <c r="B3929" s="15" t="str">
        <f t="shared" si="61"/>
        <v>05.816.526/0001-68</v>
      </c>
      <c r="C3929" s="12"/>
      <c r="D3929" s="3" t="s">
        <v>13484</v>
      </c>
      <c r="E3929" s="3" t="s">
        <v>13484</v>
      </c>
      <c r="F3929" s="3" t="s">
        <v>20</v>
      </c>
      <c r="G3929" s="4">
        <v>37700</v>
      </c>
      <c r="H3929" s="3" t="s">
        <v>21</v>
      </c>
      <c r="I3929" s="3" t="s">
        <v>33</v>
      </c>
      <c r="J3929" s="5">
        <v>4091142</v>
      </c>
      <c r="K3929" s="3">
        <v>6190699</v>
      </c>
      <c r="L3929" s="3" t="s">
        <v>258</v>
      </c>
      <c r="M3929" s="3" t="s">
        <v>5333</v>
      </c>
      <c r="N3929" s="3">
        <v>1694</v>
      </c>
      <c r="O3929" s="3" t="s">
        <v>13485</v>
      </c>
      <c r="P3929" s="3" t="s">
        <v>1019</v>
      </c>
      <c r="Q3929" s="3" t="s">
        <v>27</v>
      </c>
      <c r="R3929" s="3" t="s">
        <v>28</v>
      </c>
      <c r="S3929" s="3">
        <v>4571000</v>
      </c>
      <c r="T3929" s="3">
        <v>1133650410</v>
      </c>
      <c r="U3929" s="3" t="s">
        <v>29</v>
      </c>
    </row>
    <row r="3930" spans="1:21" ht="13.2" x14ac:dyDescent="0.25">
      <c r="A3930" s="14">
        <v>28008981000132</v>
      </c>
      <c r="B3930" s="15" t="str">
        <f t="shared" si="61"/>
        <v>28.008.981/0001-32</v>
      </c>
      <c r="C3930" s="12"/>
      <c r="D3930" s="3" t="s">
        <v>13486</v>
      </c>
      <c r="E3930" s="3" t="s">
        <v>13487</v>
      </c>
      <c r="F3930" s="3" t="s">
        <v>20</v>
      </c>
      <c r="G3930" s="4">
        <v>42907</v>
      </c>
      <c r="H3930" s="3" t="s">
        <v>21</v>
      </c>
      <c r="I3930" s="3" t="s">
        <v>47</v>
      </c>
      <c r="J3930" s="5">
        <v>10000</v>
      </c>
      <c r="K3930" s="3">
        <v>7112000</v>
      </c>
      <c r="L3930" s="3" t="s">
        <v>276</v>
      </c>
      <c r="M3930" s="3" t="s">
        <v>5872</v>
      </c>
      <c r="N3930" s="3">
        <v>568</v>
      </c>
      <c r="P3930" s="3" t="s">
        <v>5873</v>
      </c>
      <c r="Q3930" s="3" t="s">
        <v>262</v>
      </c>
      <c r="R3930" s="3" t="s">
        <v>28</v>
      </c>
      <c r="S3930" s="3">
        <v>6112050</v>
      </c>
      <c r="T3930" s="3">
        <v>1142376323</v>
      </c>
      <c r="U3930" s="3" t="s">
        <v>29</v>
      </c>
    </row>
    <row r="3931" spans="1:21" ht="13.2" x14ac:dyDescent="0.25">
      <c r="A3931" s="14">
        <v>17109432000138</v>
      </c>
      <c r="B3931" s="15" t="str">
        <f t="shared" si="61"/>
        <v>17.109.432/0001-38</v>
      </c>
      <c r="C3931" s="12" t="str">
        <f>VLOOKUP(B3931,[1]Planilha1!$A:$B,2,0)</f>
        <v>Malu Montesino</v>
      </c>
      <c r="D3931" s="3" t="s">
        <v>13488</v>
      </c>
      <c r="E3931" s="3" t="s">
        <v>13488</v>
      </c>
      <c r="F3931" s="3" t="s">
        <v>20</v>
      </c>
      <c r="G3931" s="4">
        <v>41192</v>
      </c>
      <c r="H3931" s="3" t="s">
        <v>21</v>
      </c>
      <c r="I3931" s="3" t="s">
        <v>33</v>
      </c>
      <c r="J3931" s="5">
        <v>73788930</v>
      </c>
      <c r="K3931" s="3">
        <v>2822402</v>
      </c>
      <c r="L3931" s="3" t="s">
        <v>4317</v>
      </c>
      <c r="M3931" s="3" t="s">
        <v>13489</v>
      </c>
      <c r="N3931" s="3">
        <v>694</v>
      </c>
      <c r="P3931" s="3" t="s">
        <v>1996</v>
      </c>
      <c r="Q3931" s="3" t="s">
        <v>1235</v>
      </c>
      <c r="R3931" s="3" t="s">
        <v>28</v>
      </c>
      <c r="S3931" s="3">
        <v>13347659</v>
      </c>
      <c r="T3931" s="3">
        <v>1931156000</v>
      </c>
      <c r="U3931" s="3" t="s">
        <v>29</v>
      </c>
    </row>
    <row r="3932" spans="1:21" ht="13.2" x14ac:dyDescent="0.25">
      <c r="A3932" s="14">
        <v>6105781000165</v>
      </c>
      <c r="B3932" s="15" t="str">
        <f t="shared" si="61"/>
        <v>06.105.781/0001-65</v>
      </c>
      <c r="C3932" s="12"/>
      <c r="D3932" s="3" t="s">
        <v>13490</v>
      </c>
      <c r="E3932" s="3" t="s">
        <v>13491</v>
      </c>
      <c r="F3932" s="3" t="s">
        <v>20</v>
      </c>
      <c r="G3932" s="4">
        <v>38029</v>
      </c>
      <c r="H3932" s="3" t="s">
        <v>21</v>
      </c>
      <c r="I3932" s="3" t="s">
        <v>33</v>
      </c>
      <c r="J3932" s="5">
        <v>40500000</v>
      </c>
      <c r="K3932" s="3">
        <v>4751201</v>
      </c>
      <c r="L3932" s="3" t="s">
        <v>23</v>
      </c>
      <c r="M3932" s="3" t="s">
        <v>10250</v>
      </c>
      <c r="N3932" s="3">
        <v>215</v>
      </c>
      <c r="P3932" s="3" t="s">
        <v>10251</v>
      </c>
      <c r="Q3932" s="3" t="s">
        <v>1572</v>
      </c>
      <c r="R3932" s="3" t="s">
        <v>91</v>
      </c>
      <c r="S3932" s="3">
        <v>88132300</v>
      </c>
      <c r="T3932" s="3">
        <v>4832790400</v>
      </c>
      <c r="U3932" s="3" t="s">
        <v>29</v>
      </c>
    </row>
    <row r="3933" spans="1:21" ht="13.2" x14ac:dyDescent="0.25">
      <c r="A3933" s="14">
        <v>3073654000133</v>
      </c>
      <c r="B3933" s="15" t="str">
        <f t="shared" si="61"/>
        <v>03.073.654/0001-33</v>
      </c>
      <c r="C3933" s="12"/>
      <c r="D3933" s="3" t="s">
        <v>13492</v>
      </c>
      <c r="E3933" s="3" t="s">
        <v>13493</v>
      </c>
      <c r="F3933" s="3" t="s">
        <v>20</v>
      </c>
      <c r="G3933" s="4">
        <v>36256</v>
      </c>
      <c r="H3933" s="3" t="s">
        <v>21</v>
      </c>
      <c r="I3933" s="3" t="s">
        <v>33</v>
      </c>
      <c r="J3933" s="5">
        <v>1145000</v>
      </c>
      <c r="K3933" s="3">
        <v>7830200</v>
      </c>
      <c r="L3933" s="3" t="s">
        <v>473</v>
      </c>
      <c r="M3933" s="3" t="s">
        <v>13494</v>
      </c>
      <c r="N3933" s="3">
        <v>21</v>
      </c>
      <c r="O3933" s="3" t="s">
        <v>5316</v>
      </c>
      <c r="P3933" s="3" t="s">
        <v>13495</v>
      </c>
      <c r="Q3933" s="3" t="s">
        <v>631</v>
      </c>
      <c r="R3933" s="3" t="s">
        <v>632</v>
      </c>
      <c r="S3933" s="3">
        <v>71070505</v>
      </c>
      <c r="T3933" s="3">
        <v>6139702400</v>
      </c>
      <c r="U3933" s="3" t="s">
        <v>29</v>
      </c>
    </row>
    <row r="3934" spans="1:21" ht="13.2" x14ac:dyDescent="0.25">
      <c r="A3934" s="14">
        <v>2525794000132</v>
      </c>
      <c r="B3934" s="15" t="str">
        <f t="shared" si="61"/>
        <v>02.525.794/0001-32</v>
      </c>
      <c r="C3934" s="12" t="str">
        <f>VLOOKUP(B3934,[1]Planilha1!$A:$B,2,0)</f>
        <v>Malu Montesino</v>
      </c>
      <c r="D3934" s="3" t="s">
        <v>13496</v>
      </c>
      <c r="E3934" s="3" t="s">
        <v>13496</v>
      </c>
      <c r="F3934" s="3" t="s">
        <v>20</v>
      </c>
      <c r="G3934" s="4">
        <v>35908</v>
      </c>
      <c r="H3934" s="3" t="s">
        <v>21</v>
      </c>
      <c r="I3934" s="3" t="s">
        <v>33</v>
      </c>
      <c r="J3934" s="5">
        <v>2549557</v>
      </c>
      <c r="K3934" s="3">
        <v>2449199</v>
      </c>
      <c r="L3934" s="3" t="s">
        <v>13497</v>
      </c>
      <c r="M3934" s="3" t="s">
        <v>13498</v>
      </c>
      <c r="N3934" s="3">
        <v>500</v>
      </c>
      <c r="O3934" s="3" t="s">
        <v>9278</v>
      </c>
      <c r="P3934" s="3" t="s">
        <v>13499</v>
      </c>
      <c r="Q3934" s="3" t="s">
        <v>27</v>
      </c>
      <c r="R3934" s="3" t="s">
        <v>28</v>
      </c>
      <c r="S3934" s="3">
        <v>2168020</v>
      </c>
      <c r="T3934" s="3">
        <v>1126325252</v>
      </c>
      <c r="U3934" s="3" t="s">
        <v>29</v>
      </c>
    </row>
    <row r="3935" spans="1:21" ht="13.2" x14ac:dyDescent="0.25">
      <c r="A3935" s="14">
        <v>1241313000102</v>
      </c>
      <c r="B3935" s="15" t="str">
        <f t="shared" si="61"/>
        <v>01.241.313/0001-02</v>
      </c>
      <c r="C3935" s="12"/>
      <c r="D3935" s="3" t="s">
        <v>13500</v>
      </c>
      <c r="E3935" s="3" t="s">
        <v>13501</v>
      </c>
      <c r="F3935" s="3" t="s">
        <v>20</v>
      </c>
      <c r="G3935" s="4">
        <v>35097</v>
      </c>
      <c r="H3935" s="3" t="s">
        <v>21</v>
      </c>
      <c r="I3935" s="3" t="s">
        <v>33</v>
      </c>
      <c r="J3935" s="5">
        <v>4000000</v>
      </c>
      <c r="K3935" s="3">
        <v>4511101</v>
      </c>
      <c r="L3935" s="3" t="s">
        <v>1870</v>
      </c>
      <c r="M3935" s="3" t="s">
        <v>13502</v>
      </c>
      <c r="N3935" s="3" t="s">
        <v>82</v>
      </c>
      <c r="O3935" s="3" t="s">
        <v>13503</v>
      </c>
      <c r="P3935" s="3" t="s">
        <v>7851</v>
      </c>
      <c r="Q3935" s="3" t="s">
        <v>791</v>
      </c>
      <c r="R3935" s="3" t="s">
        <v>792</v>
      </c>
      <c r="S3935" s="3">
        <v>68508970</v>
      </c>
      <c r="T3935" s="3">
        <v>9421011220</v>
      </c>
      <c r="U3935" s="3" t="s">
        <v>29</v>
      </c>
    </row>
    <row r="3936" spans="1:21" ht="13.2" x14ac:dyDescent="0.25">
      <c r="A3936" s="14">
        <v>21333748000186</v>
      </c>
      <c r="B3936" s="15" t="str">
        <f t="shared" si="61"/>
        <v>21.333.748/0001-86</v>
      </c>
      <c r="C3936" s="12" t="str">
        <f>VLOOKUP(B3936,[1]Planilha1!$A:$B,2,0)</f>
        <v>Malu Montesino</v>
      </c>
      <c r="D3936" s="3" t="s">
        <v>13504</v>
      </c>
      <c r="E3936" s="3" t="s">
        <v>13505</v>
      </c>
      <c r="F3936" s="3" t="s">
        <v>20</v>
      </c>
      <c r="G3936" s="4">
        <v>41946</v>
      </c>
      <c r="H3936" s="3" t="s">
        <v>21</v>
      </c>
      <c r="I3936" s="3" t="s">
        <v>33</v>
      </c>
      <c r="J3936" s="5">
        <v>500000</v>
      </c>
      <c r="K3936" s="3">
        <v>4614100</v>
      </c>
      <c r="L3936" s="3" t="s">
        <v>6077</v>
      </c>
      <c r="M3936" s="3" t="s">
        <v>1932</v>
      </c>
      <c r="N3936" s="3">
        <v>1827</v>
      </c>
      <c r="O3936" s="3" t="s">
        <v>5886</v>
      </c>
      <c r="P3936" s="3" t="s">
        <v>306</v>
      </c>
      <c r="Q3936" s="3" t="s">
        <v>27</v>
      </c>
      <c r="R3936" s="3" t="s">
        <v>28</v>
      </c>
      <c r="S3936" s="3">
        <v>4715005</v>
      </c>
      <c r="T3936" s="3">
        <v>1122680004</v>
      </c>
      <c r="U3936" s="3" t="s">
        <v>29</v>
      </c>
    </row>
    <row r="3937" spans="1:21" ht="13.2" x14ac:dyDescent="0.25">
      <c r="A3937" s="14">
        <v>286633000108</v>
      </c>
      <c r="B3937" s="15" t="str">
        <f t="shared" si="61"/>
        <v>00.286.633/0001-08</v>
      </c>
      <c r="C3937" s="12"/>
      <c r="D3937" s="3" t="s">
        <v>13506</v>
      </c>
      <c r="E3937" s="3" t="s">
        <v>13507</v>
      </c>
      <c r="F3937" s="3" t="s">
        <v>20</v>
      </c>
      <c r="G3937" s="4">
        <v>30594</v>
      </c>
      <c r="H3937" s="3" t="s">
        <v>21</v>
      </c>
      <c r="I3937" s="3" t="s">
        <v>33</v>
      </c>
      <c r="J3937" s="5">
        <v>456040</v>
      </c>
      <c r="K3937" s="3">
        <v>2062200</v>
      </c>
      <c r="L3937" s="3" t="s">
        <v>2500</v>
      </c>
      <c r="M3937" s="3" t="s">
        <v>13508</v>
      </c>
      <c r="N3937" s="3" t="s">
        <v>111</v>
      </c>
      <c r="O3937" s="3" t="s">
        <v>13509</v>
      </c>
      <c r="P3937" s="3" t="s">
        <v>1475</v>
      </c>
      <c r="Q3937" s="3" t="s">
        <v>573</v>
      </c>
      <c r="R3937" s="3" t="s">
        <v>274</v>
      </c>
      <c r="S3937" s="3">
        <v>74993440</v>
      </c>
      <c r="T3937" s="3">
        <v>6240064277</v>
      </c>
      <c r="U3937" s="3" t="s">
        <v>29</v>
      </c>
    </row>
  </sheetData>
  <autoFilter ref="A1:U3937" xr:uid="{00000000-0009-0000-0000-000000000000}"/>
  <hyperlinks>
    <hyperlink ref="E292" r:id="rId1" xr:uid="{00000000-0004-0000-0000-000000000000}"/>
    <hyperlink ref="E1312" r:id="rId2" xr:uid="{00000000-0004-0000-0000-000001000000}"/>
    <hyperlink ref="E1529" r:id="rId3" xr:uid="{00000000-0004-0000-0000-000002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empresas_receita_federal_2025-1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2025-11-17T21:39:26Z</dcterms:modified>
</cp:coreProperties>
</file>